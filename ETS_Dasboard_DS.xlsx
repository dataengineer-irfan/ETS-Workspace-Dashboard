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3.xml" ContentType="application/vnd.openxmlformats-officedocument.spreadsheetml.table+xml"/>
  <Override PartName="/xl/worksheets/sheet4.xml" ContentType="application/vnd.openxmlformats-officedocument.spreadsheetml.worksheet+xml"/>
  <Override PartName="/xl/tables/table1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-110" windowWidth="18490" windowHeight="11020" tabRatio="766" firstSheet="4" activeTab="4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Finance_History" sheetId="4" state="visible" r:id="rId4"/>
    <sheet xmlns:r="http://schemas.openxmlformats.org/officeDocument/2006/relationships" name="APPRAISAL_PROMOTION" sheetId="5" state="visible" r:id="rId5"/>
    <sheet xmlns:r="http://schemas.openxmlformats.org/officeDocument/2006/relationships" name="LEAVE" sheetId="6" state="visible" r:id="rId6"/>
    <sheet xmlns:r="http://schemas.openxmlformats.org/officeDocument/2006/relationships" name="SKILL" sheetId="7" state="visible" r:id="rId7"/>
  </sheets>
  <definedNames>
    <definedName name="CNT_EMPLOYEES">COUNTA(T_EMPLOYEES[EMPLOYEE FIRST NAME])</definedName>
    <definedName name="L_DEPARTMENT">T_DEPARTMENT[DEPARTMENT]</definedName>
    <definedName name="L_EMPLABELS">OFFSET(T_EMPLOYEES[[#Headers],[EMPLOYEE LABEL]],1,0,CNT_EMPLOYEES)</definedName>
    <definedName name="L_ETHNICITY">T_ETHNICITY[ETHNICITY]</definedName>
    <definedName name="L_EXITREASON">#REF!</definedName>
    <definedName name="L_EXITTYPE">#REF!</definedName>
    <definedName name="L_GENDER">T_GENDER[GENDER]</definedName>
    <definedName name="L_HIRESOURCE">T_HIRESOURCE[HIRE SOURCE]</definedName>
    <definedName name="L_JOBCATEGORY">T_JOBCATEGORY[JOB CATEGORY]</definedName>
    <definedName name="L_JOBLEVEL">T_JOBLEVEL[JOB LEVEL]</definedName>
    <definedName name="L_JOBTITLE">T_JOBTITLE[JOB TITLE]</definedName>
    <definedName name="L_JOBTYPE">T_JOBTYPE[JOB TYPE]</definedName>
    <definedName name="L_LEAVETYPES">T_LEAVE_TYPES[LEAVE TYPE]</definedName>
    <definedName name="L_LOCATION">T_LOCATION[LOCATION]</definedName>
    <definedName name="L_RECORDREASON">#REF!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_ [$₹-4009]\ * #,##0.00_ ;_ [$₹-4009]\ * \-#,##0.00_ ;_ [$₹-4009]\ * &quot;-&quot;??_ ;_ @_ "/>
  </numFmts>
  <fonts count="19">
    <font>
      <name val="HP Simplified"/>
      <family val="2"/>
      <color theme="1"/>
      <sz val="11"/>
      <scheme val="minor"/>
    </font>
    <font>
      <name val="HP Simplified"/>
      <family val="2"/>
      <sz val="8"/>
      <scheme val="minor"/>
    </font>
    <font>
      <name val="Daytona"/>
      <family val="2"/>
      <color rgb="FFFF0000"/>
      <sz val="10"/>
    </font>
    <font>
      <name val="HP Simplified"/>
      <family val="2"/>
      <color theme="1"/>
      <sz val="14"/>
      <scheme val="minor"/>
    </font>
    <font>
      <name val="HP Simplified"/>
      <family val="2"/>
      <color theme="10"/>
      <sz val="11"/>
      <u val="single"/>
      <scheme val="minor"/>
    </font>
    <font>
      <name val="HP Simplified"/>
      <family val="2"/>
      <color theme="1" tint="0.499984740745262"/>
      <sz val="11"/>
      <scheme val="minor"/>
    </font>
    <font>
      <name val="HP Simplified"/>
      <family val="2"/>
      <color theme="1" tint="0.499984740745262"/>
      <sz val="14"/>
      <scheme val="minor"/>
    </font>
    <font>
      <name val="HP Simplified"/>
      <family val="2"/>
      <color theme="0"/>
      <sz val="11"/>
      <scheme val="minor"/>
    </font>
    <font>
      <name val="HP Simplified"/>
      <family val="2"/>
      <color theme="0"/>
      <sz val="14"/>
      <scheme val="minor"/>
    </font>
    <font>
      <name val="HP Simplified"/>
      <family val="2"/>
      <color theme="0"/>
      <sz val="12"/>
      <scheme val="minor"/>
    </font>
    <font>
      <name val="HP Simplified"/>
      <family val="2"/>
      <color theme="10"/>
      <sz val="14"/>
      <u val="single"/>
      <scheme val="minor"/>
    </font>
    <font>
      <name val="HP Simplified"/>
      <family val="2"/>
      <i val="1"/>
      <sz val="11"/>
      <scheme val="minor"/>
    </font>
    <font>
      <name val="Tahoma"/>
      <family val="2"/>
      <color indexed="81"/>
      <sz val="9"/>
    </font>
    <font>
      <name val="HP Simplified"/>
      <family val="2"/>
      <i val="1"/>
      <color theme="1"/>
      <sz val="11"/>
      <scheme val="minor"/>
    </font>
    <font>
      <name val="HP Simplified"/>
      <family val="2"/>
      <color rgb="FFFF0000"/>
      <sz val="11"/>
      <scheme val="minor"/>
    </font>
    <font>
      <name val="HP Simplified"/>
      <family val="2"/>
      <i val="1"/>
      <color theme="1"/>
      <sz val="9"/>
      <scheme val="minor"/>
    </font>
    <font>
      <name val="HP Simplified"/>
      <family val="2"/>
      <color indexed="8"/>
      <sz val="11"/>
      <scheme val="minor"/>
    </font>
    <font>
      <name val="HP Simplified"/>
      <family val="2"/>
      <b val="1"/>
      <color theme="0"/>
      <sz val="11"/>
      <scheme val="minor"/>
    </font>
    <font>
      <name val="HP Simplified"/>
      <family val="2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0" fillId="0" borderId="0"/>
    <xf numFmtId="0" fontId="4" fillId="0" borderId="0"/>
    <xf numFmtId="0" fontId="16" fillId="0" borderId="0"/>
  </cellStyleXfs>
  <cellXfs count="5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5" fillId="3" borderId="0" applyAlignment="1" pivotButton="0" quotePrefix="0" xfId="0">
      <alignment horizontal="centerContinuous"/>
    </xf>
    <xf numFmtId="0" fontId="6" fillId="3" borderId="0" applyAlignment="1" pivotButton="0" quotePrefix="0" xfId="0">
      <alignment horizontal="centerContinuous"/>
    </xf>
    <xf numFmtId="0" fontId="9" fillId="3" borderId="0" applyAlignment="1" pivotButton="0" quotePrefix="0" xfId="0">
      <alignment horizontal="centerContinuous"/>
    </xf>
    <xf numFmtId="0" fontId="7" fillId="0" borderId="0" pivotButton="0" quotePrefix="0" xfId="0"/>
    <xf numFmtId="0" fontId="8" fillId="3" borderId="1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0" borderId="3" pivotButton="0" quotePrefix="0" xfId="0"/>
    <xf numFmtId="0" fontId="3" fillId="0" borderId="4" pivotButton="0" quotePrefix="0" xfId="0"/>
    <xf numFmtId="0" fontId="10" fillId="0" borderId="4" pivotButton="0" quotePrefix="0" xfId="1"/>
    <xf numFmtId="0" fontId="3" fillId="0" borderId="5" pivotButton="0" quotePrefix="0" xfId="0"/>
    <xf numFmtId="0" fontId="3" fillId="0" borderId="6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164" fontId="0" fillId="0" borderId="0" applyProtection="1" pivotButton="0" quotePrefix="0" xfId="0">
      <protection locked="0" hidden="0"/>
    </xf>
    <xf numFmtId="0" fontId="8" fillId="4" borderId="0" applyAlignment="1" pivotButton="0" quotePrefix="0" xfId="0">
      <alignment horizontal="left" vertical="center"/>
    </xf>
    <xf numFmtId="14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5" fontId="0" fillId="0" borderId="0" pivotButton="0" quotePrefix="0" xfId="0"/>
    <xf numFmtId="0" fontId="0" fillId="5" borderId="0" pivotButton="0" quotePrefix="0" xfId="0"/>
    <xf numFmtId="164" fontId="0" fillId="6" borderId="0" applyProtection="1" pivotButton="0" quotePrefix="0" xfId="0">
      <protection locked="0" hidden="0"/>
    </xf>
    <xf numFmtId="2" fontId="0" fillId="0" borderId="0" pivotButton="0" quotePrefix="0" xfId="0"/>
    <xf numFmtId="0" fontId="17" fillId="7" borderId="7" pivotButton="0" quotePrefix="0" xfId="0"/>
    <xf numFmtId="0" fontId="17" fillId="2" borderId="7" pivotButton="0" quotePrefix="0" xfId="0"/>
    <xf numFmtId="0" fontId="0" fillId="0" borderId="0" applyAlignment="1" pivotButton="0" quotePrefix="0" xfId="0">
      <alignment wrapText="1"/>
    </xf>
    <xf numFmtId="0" fontId="17" fillId="7" borderId="8" pivotButton="0" quotePrefix="0" xfId="0"/>
    <xf numFmtId="1" fontId="17" fillId="7" borderId="8" pivotButton="0" quotePrefix="0" xfId="0"/>
    <xf numFmtId="1" fontId="0" fillId="0" borderId="0" pivotButton="0" quotePrefix="0" xfId="0"/>
    <xf numFmtId="1" fontId="0" fillId="8" borderId="0" pivotButton="0" quotePrefix="0" xfId="0"/>
    <xf numFmtId="10" fontId="17" fillId="7" borderId="8" pivotButton="0" quotePrefix="0" xfId="0"/>
    <xf numFmtId="165" fontId="17" fillId="7" borderId="8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7" fillId="0" borderId="7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  <xf numFmtId="1" fontId="0" fillId="9" borderId="9" pivotButton="0" quotePrefix="0" xfId="0"/>
    <xf numFmtId="0" fontId="0" fillId="9" borderId="10" pivotButton="0" quotePrefix="0" xfId="0"/>
    <xf numFmtId="1" fontId="0" fillId="0" borderId="9" pivotButton="0" quotePrefix="0" xfId="0"/>
    <xf numFmtId="0" fontId="0" fillId="0" borderId="10" pivotButton="0" quotePrefix="0" xfId="0"/>
    <xf numFmtId="1" fontId="0" fillId="8" borderId="9" pivotButton="0" quotePrefix="0" xfId="0"/>
    <xf numFmtId="0" fontId="0" fillId="5" borderId="8" pivotButton="0" quotePrefix="0" xfId="0"/>
    <xf numFmtId="1" fontId="0" fillId="5" borderId="0" pivotButton="0" quotePrefix="0" xfId="0"/>
  </cellXfs>
  <cellStyles count="3">
    <cellStyle name="Normal" xfId="0" builtinId="0"/>
    <cellStyle name="Hyperlink" xfId="1" builtinId="8"/>
    <cellStyle name="Normal 2" xfId="2"/>
  </cellStyles>
  <dxfs count="79"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numFmt numFmtId="0" formatCode="General"/>
      <protection locked="0" hidden="0"/>
    </dxf>
    <dxf>
      <protection locked="0" hidden="0"/>
    </dxf>
    <dxf>
      <numFmt numFmtId="164" formatCode="dd\-mmm\-yyyy"/>
      <protection locked="0" hidden="0"/>
    </dxf>
    <dxf>
      <numFmt numFmtId="164" formatCode="dd\-mmm\-yyyy"/>
      <protection locked="0" hidden="0"/>
    </dxf>
    <dxf>
      <protection locked="0" hidden="0"/>
    </dxf>
    <dxf>
      <protection locked="1" hidden="0"/>
    </dxf>
    <dxf>
      <protection locked="1" hidden="0"/>
    </dxf>
    <dxf>
      <numFmt numFmtId="0" formatCode="General"/>
    </dxf>
    <dxf>
      <numFmt numFmtId="165" formatCode="_ [$₹-4009]\ * #,##0.00_ ;_ [$₹-4009]\ * \-#,##0.00_ ;_ [$₹-4009]\ * &quot;-&quot;??_ ;_ @_ "/>
    </dxf>
    <dxf>
      <numFmt numFmtId="0" formatCode="General"/>
    </dxf>
    <dxf>
      <numFmt numFmtId="1" formatCode="0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name val="HP Simplified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5"/>
          <bgColor theme="5"/>
        </patternFill>
      </fill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dd\-mmm\-yyyy"/>
      <protection locked="0" hidden="0"/>
    </dxf>
    <dxf>
      <numFmt numFmtId="164" formatCode="dd\-mmm\-yyyy"/>
      <protection locked="0" hidden="0"/>
    </dxf>
    <dxf>
      <numFmt numFmtId="164" formatCode="dd\-mmm\-yyyy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lor auto="1"/>
        <sz val="11"/>
        <vertAlign val="baseline"/>
        <scheme val="minor"/>
      </font>
    </dxf>
    <dxf>
      <numFmt numFmtId="164" formatCode="dd\-mmm\-yyyy"/>
    </dxf>
    <dxf>
      <font>
        <name val="HP Simplified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lor auto="1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HP Simplified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</dxf>
    <dxf>
      <font>
        <name val="Daytona"/>
        <family val="2"/>
        <color theme="1"/>
        <sz val="11"/>
      </font>
      <border>
        <vertical/>
        <horizontal/>
      </border>
    </dxf>
    <dxf>
      <font>
        <name val="Daytona"/>
        <family val="2"/>
        <color theme="1"/>
        <sz val="8"/>
      </font>
      <fill>
        <patternFill>
          <bgColor theme="0" tint="-0.0499893185216834"/>
        </patternFill>
      </fill>
      <border>
        <left/>
        <right/>
        <top/>
        <bottom/>
        <vertical/>
        <horizontal/>
      </border>
    </dxf>
    <dxf>
      <font>
        <name val="Daytona"/>
        <family val="2"/>
        <color theme="1"/>
        <sz val="9"/>
      </font>
      <fill>
        <patternFill>
          <bgColor auto="1"/>
        </patternFill>
      </fill>
      <border>
        <bottom style="thin">
          <color theme="7"/>
        </bottom>
        <vertical/>
        <horizontal/>
      </border>
    </dxf>
    <dxf>
      <font>
        <name val="Daytona"/>
        <family val="2"/>
        <color theme="1"/>
        <sz val="8"/>
      </font>
      <fill>
        <patternFill patternType="solid">
          <bgColor theme="0" tint="-0.0499893185216834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Ret_Dash" pivot="0" table="0" count="10">
      <tableStyleElement type="wholeTable" dxfId="78"/>
      <tableStyleElement type="headerRow" dxfId="77"/>
    </tableStyle>
    <tableStyle name="RetDashTime" pivot="0" table="0" count="9">
      <tableStyleElement type="wholeTable" dxfId="76"/>
      <tableStyleElement type="headerRow" dxfId="7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Dinesh Natarajan Mohan</author>
  </authors>
  <commentList>
    <comment ref="AC3" authorId="0" shapeId="0">
      <text>
        <t>1 indicates invalid date. 0 indicates valid.</t>
      </text>
    </comment>
    <comment ref="AD3" authorId="0" shapeId="0">
      <text>
        <t>1 indicates invalid date. 0 indicates valid.</t>
      </text>
    </comment>
  </commentList>
</comments>
</file>

<file path=xl/tables/table1.xml><?xml version="1.0" encoding="utf-8"?>
<table xmlns="http://schemas.openxmlformats.org/spreadsheetml/2006/main" id="1" name="T_GENDER" displayName="T_GENDER" ref="B6:B9" headerRowCount="1" totalsRowShown="0" headerRowDxfId="74">
  <autoFilter ref="B6:B9">
    <filterColumn colId="0" hiddenButton="1" showButton="1"/>
  </autoFilter>
  <tableColumns count="1">
    <tableColumn id="1" name="GENDER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id="2" name="T_HIRESOURCE" displayName="T_HIRESOURCE" ref="D6:D11" headerRowCount="1" totalsRowShown="0" headerRowDxfId="73">
  <autoFilter ref="D6:D11">
    <filterColumn colId="0" hiddenButton="1" showButton="1"/>
  </autoFilter>
  <tableColumns count="1">
    <tableColumn id="1" name="HIRE SOURCE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id="3" name="T_LOCATION" displayName="T_LOCATION" ref="H6:K11" headerRowCount="1" totalsRowShown="0" headerRowDxfId="72">
  <autoFilter ref="H6:K11">
    <filterColumn colId="0" hiddenButton="1" showButton="1"/>
    <filterColumn colId="1" hiddenButton="1" showButton="1"/>
    <filterColumn colId="2" hiddenButton="1" showButton="1"/>
    <filterColumn colId="3" hiddenButton="1" showButton="1"/>
  </autoFilter>
  <tableColumns count="4">
    <tableColumn id="1" name="LOCATION"/>
    <tableColumn id="2" name="CITY"/>
    <tableColumn id="3" name="STATE"/>
    <tableColumn id="4" name="COUNTRY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id="4" name="T_DEPARTMENT" displayName="T_DEPARTMENT" ref="M6:M23" headerRowCount="1" totalsRowShown="0" headerRowDxfId="71">
  <autoFilter ref="M6:M23">
    <filterColumn colId="0" hiddenButton="1" showButton="1"/>
  </autoFilter>
  <sortState ref="M7:M14">
    <sortCondition ref="M6:M14"/>
  </sortState>
  <tableColumns count="1">
    <tableColumn id="1" name="DEPARTMENT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id="5" name="T_JOBTYPE" displayName="T_JOBTYPE" ref="O6:O12" headerRowCount="1" totalsRowShown="0" headerRowDxfId="70">
  <autoFilter ref="O6:O12">
    <filterColumn colId="0" hiddenButton="1" showButton="1"/>
  </autoFilter>
  <tableColumns count="1">
    <tableColumn id="1" name="JOB TYPE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id="6" name="T_JOBCATEGORY" displayName="T_JOBCATEGORY" ref="Q6:Q50" headerRowCount="1" totalsRowShown="0" headerRowDxfId="69">
  <autoFilter ref="Q6:Q50">
    <filterColumn colId="0" hiddenButton="1" showButton="1"/>
  </autoFilter>
  <tableColumns count="1">
    <tableColumn id="1" name="JOB CATEGORY"/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id="7" name="T_JOBLEVEL" displayName="T_JOBLEVEL" ref="S6:S17" headerRowCount="1" totalsRowShown="0" headerRowDxfId="68">
  <autoFilter ref="S6:S17">
    <filterColumn colId="0" hiddenButton="1" showButton="1"/>
  </autoFilter>
  <tableColumns count="1">
    <tableColumn id="1" name="JOB LEVEL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id="8" name="T_JOBTITLE" displayName="T_JOBTITLE" ref="U6:U50" headerRowCount="1" totalsRowShown="0" headerRowDxfId="67">
  <autoFilter ref="U6:U50">
    <filterColumn colId="0" hiddenButton="1" showButton="1"/>
  </autoFilter>
  <tableColumns count="1">
    <tableColumn id="1" name="JOB TITLE"/>
  </tableColumns>
  <tableStyleInfo name="TableStyleMedium17" showFirstColumn="0" showLastColumn="0" showRowStripes="1" showColumnStripes="0"/>
</table>
</file>

<file path=xl/tables/table9.xml><?xml version="1.0" encoding="utf-8"?>
<table xmlns="http://schemas.openxmlformats.org/spreadsheetml/2006/main" id="9" name="T_WEEKENDS" displayName="T_WEEKENDS" ref="X6:Y13" headerRowCount="1" totalsRowShown="0">
  <autoFilter ref="X6:Y13">
    <filterColumn colId="0" hiddenButton="1" showButton="1"/>
    <filterColumn colId="1" hiddenButton="1" showButton="1"/>
  </autoFilter>
  <tableColumns count="2">
    <tableColumn id="1" name="WEEKDAY"/>
    <tableColumn id="2" name="WEEKEND"/>
  </tableColumns>
  <tableStyleInfo name="TableStyleMedium17" showFirstColumn="0" showLastColumn="0" showRowStripes="1" showColumnStripes="0"/>
</table>
</file>

<file path=xl/tables/table10.xml><?xml version="1.0" encoding="utf-8"?>
<table xmlns="http://schemas.openxmlformats.org/spreadsheetml/2006/main" id="10" name="T_HOLS" displayName="T_HOLS" ref="X16:Z26" headerRowCount="1" totalsRowShown="0" headerRowDxfId="66">
  <autoFilter ref="X16:Z26">
    <filterColumn colId="0" hiddenButton="1" showButton="1"/>
    <filterColumn colId="1" hiddenButton="1" showButton="1"/>
    <filterColumn colId="2" hiddenButton="1" showButton="1"/>
  </autoFilter>
  <tableColumns count="3">
    <tableColumn id="1" name="DATE" dataDxfId="65"/>
    <tableColumn id="2" name="HOLIDAY NAME"/>
    <tableColumn id="3" name="Holiday Type"/>
  </tableColumns>
  <tableStyleInfo name="TableStyleMedium17" showFirstColumn="0" showLastColumn="0" showRowStripes="1" showColumnStripes="0"/>
</table>
</file>

<file path=xl/tables/table11.xml><?xml version="1.0" encoding="utf-8"?>
<table xmlns="http://schemas.openxmlformats.org/spreadsheetml/2006/main" id="11" name="T_LEAVE_TYPES" displayName="T_LEAVE_TYPES" ref="AA6:AB14" headerRowCount="1" totalsRowShown="0" headerRowDxfId="64">
  <autoFilter ref="AA6:AB14">
    <filterColumn colId="0" hiddenButton="1" showButton="1"/>
    <filterColumn colId="1" hiddenButton="1" showButton="1"/>
  </autoFilter>
  <tableColumns count="2">
    <tableColumn id="1" name="LEAVE TYPE"/>
    <tableColumn id="2" name="SYMBOL"/>
  </tableColumns>
  <tableStyleInfo name="TableStyleMedium17" showFirstColumn="0" showLastColumn="0" showRowStripes="1" showColumnStripes="0"/>
</table>
</file>

<file path=xl/tables/table12.xml><?xml version="1.0" encoding="utf-8"?>
<table xmlns="http://schemas.openxmlformats.org/spreadsheetml/2006/main" id="12" name="T_ETHNICITY" displayName="T_ETHNICITY" ref="F6:F12" headerRowCount="1" totalsRowShown="0" headerRowDxfId="63">
  <autoFilter ref="F6:F12">
    <filterColumn colId="0" hiddenButton="1" showButton="1"/>
  </autoFilter>
  <sortState ref="F7:F12">
    <sortCondition ref="F7:F12"/>
  </sortState>
  <tableColumns count="1">
    <tableColumn id="1" name="ETHNICITY"/>
  </tableColumns>
  <tableStyleInfo name="TableStyleMedium17" showFirstColumn="0" showLastColumn="0" showRowStripes="1" showColumnStripes="0"/>
</table>
</file>

<file path=xl/tables/table13.xml><?xml version="1.0" encoding="utf-8"?>
<table xmlns="http://schemas.openxmlformats.org/spreadsheetml/2006/main" id="13" name="T_EMPLOYEES" displayName="T_EMPLOYEES" ref="A3:AP593" headerRowCount="1" totalsRowShown="0" headerRowDxfId="62" dataDxfId="61">
  <autoFilter ref="A3:AP593"/>
  <tableColumns count="42">
    <tableColumn id="1" name="EMPLOYEE FIRST NAME" dataDxfId="60"/>
    <tableColumn id="10" name="EMPLOYEE LAST NAME" dataDxfId="59"/>
    <tableColumn id="2" name="EMPLOYEE NUMBER" dataDxfId="58"/>
    <tableColumn id="3" name="EMAIL" dataDxfId="57"/>
    <tableColumn id="4" name="DATE OF BIRTH" dataDxfId="56"/>
    <tableColumn id="5" name="START DATE" dataDxfId="55"/>
    <tableColumn id="31" name="EXIT DATE" dataDxfId="54"/>
    <tableColumn id="7" name="GENDER" dataDxfId="53"/>
    <tableColumn id="13" name="ETHNICITY" dataDxfId="52"/>
    <tableColumn id="8" name="HIRE SOURCE" dataDxfId="51"/>
    <tableColumn id="23" name="LOCATION" dataDxfId="50"/>
    <tableColumn id="19" name="DEPARTMENT" dataDxfId="49"/>
    <tableColumn id="20" name="JOB TYPE" dataDxfId="48"/>
    <tableColumn id="21" name="JOB CATEGORY" dataDxfId="47"/>
    <tableColumn id="22" name="JOB LEVEL" dataDxfId="46"/>
    <tableColumn id="15" name="JOB TITLE" dataDxfId="45"/>
    <tableColumn id="16" name="MANAGER" dataDxfId="44"/>
    <tableColumn id="17" name="Prior EXPERIENCE1" dataDxfId="43"/>
    <tableColumn id="18" name="EMP_CTC1" dataDxfId="42"/>
    <tableColumn id="42" name="M_Salary" dataDxfId="41">
      <calculatedColumnFormula>ROUND(T_EMPLOYEES[[#This Row],[EMP_CTC1]]/12, 0)</calculatedColumnFormula>
    </tableColumn>
    <tableColumn id="39" name="Prev_CTC2" dataDxfId="40"/>
    <tableColumn id="40" name="State" dataDxfId="39"/>
    <tableColumn id="41" name="Project Working" dataDxfId="38"/>
    <tableColumn id="6" name="EMPLOYEE LABEL" dataDxfId="37">
      <calculatedColumnFormula>IFERROR(IF(T_EMPLOYEES[[#This Row],[EMPLOYEE FIRST NAME]]="","",T_EMPLOYEES[[#This Row],[EMPLOYEE FIRST NAME]]&amp;" "&amp;T_EMPLOYEES[[#This Row],[EMPLOYEE LAST NAME]]&amp;" ("&amp;T_EMPLOYEES[[#This Row],[EMPLOYEE NUMBER]]&amp;")"),"")</calculatedColumnFormula>
    </tableColumn>
    <tableColumn id="37" name="Last_Bonus"/>
    <tableColumn id="38" name="Hike_Percentage"/>
    <tableColumn id="9" name="EMPLOYEE SYS ID" dataDxfId="36">
      <calculatedColumnFormula>IF(T_EMPLOYEES[[#This Row],[EMPLOYEE NUMBER]]="","",ROW(T_EMPLOYEES[[#This Row],[EMPLOYEE LABEL]])-ROW(T_EMPLOYEES[[#Headers],[EMPLOYEE LABEL]]))</calculatedColumnFormula>
    </tableColumn>
    <tableColumn id="36" name="EMPLOYEE NUM ERROR" dataDxfId="35">
      <calculatedColumnFormula>IF(T_EMPLOYEES[[#This Row],[EMPLOYEE NUMBER]]="","",IF(COUNTIF(T_EMPLOYEES[EMPLOYEE NUMBER],T_EMPLOYEES[[#This Row],[EMPLOYEE NUMBER]])&gt;1,1,0))</calculatedColumnFormula>
    </tableColumn>
    <tableColumn id="34" name="DOB DV" dataDxfId="34">
      <calculatedColumnFormula>IF(T_EMPLOYEES[[#This Row],[EMPLOYEE NUMBER]]="","",IF(AND(T_EMPLOYEES[[#This Row],[DATE OF BIRTH]]&gt;0,T_EMPLOYEES[[#This Row],[DATE OF BIRTH]]&lt;TODAY()),0,1))</calculatedColumnFormula>
    </tableColumn>
    <tableColumn id="35" name="START DATE DV" dataDxfId="33">
      <calculatedColumnFormula>IF(T_EMPLOYEES[[#This Row],[EMPLOYEE NUMBER]]="","",IF(AND(T_EMPLOYEES[[#This Row],[START DATE]]&gt;0,T_EMPLOYEES[[#This Row],[START DATE]]&lt;TODAY()+60),0,1))</calculatedColumnFormula>
    </tableColumn>
    <tableColumn id="11" name="GENDER SYS ID" dataDxfId="32">
      <calculatedColumnFormula>IF(T_EMPLOYEES[[#This Row],[EMPLOYEE NUMBER]]="","",MATCH(T_EMPLOYEES[[#This Row],[GENDER]],L_GENDER,0))</calculatedColumnFormula>
    </tableColumn>
    <tableColumn id="12" name="HIRE SOURCE SYS ID" dataDxfId="31">
      <calculatedColumnFormula>IF(T_EMPLOYEES[[#This Row],[EMPLOYEE NUMBER]]="","",MATCH(T_EMPLOYEES[[#This Row],[HIRE SOURCE]],L_HIRESOURCE,0))</calculatedColumnFormula>
    </tableColumn>
    <tableColumn id="14" name="ETHNICITY SYS ID" dataDxfId="30">
      <calculatedColumnFormula>IF(T_EMPLOYEES[[#This Row],[EMPLOYEE NUMBER]]="","",MATCH(T_EMPLOYEES[[#This Row],[ETHNICITY]],L_ETHNICITY,0))</calculatedColumnFormula>
    </tableColumn>
    <tableColumn id="24" name="LOCATION SYS ID" dataDxfId="29">
      <calculatedColumnFormula>IF(T_EMPLOYEES[[#This Row],[EMPLOYEE NUMBER]]="","",MATCH(T_EMPLOYEES[[#This Row],[LOCATION]],L_LOCATION,0))</calculatedColumnFormula>
    </tableColumn>
    <tableColumn id="25" name="DEPARTMENT SYS ID" dataDxfId="28">
      <calculatedColumnFormula>IF(T_EMPLOYEES[[#This Row],[EMPLOYEE NUMBER]]="","",MATCH(T_EMPLOYEES[[#This Row],[DEPARTMENT]],L_DEPARTMENT,0))</calculatedColumnFormula>
    </tableColumn>
    <tableColumn id="26" name="JOB TYPE SYS ID" dataDxfId="27">
      <calculatedColumnFormula>IF(T_EMPLOYEES[[#This Row],[EMPLOYEE NUMBER]]="","",MATCH(T_EMPLOYEES[[#This Row],[JOB TYPE]],L_JOBTYPE,0))</calculatedColumnFormula>
    </tableColumn>
    <tableColumn id="27" name="JOB CATEGORY SYS ID" dataDxfId="26">
      <calculatedColumnFormula>IF(T_EMPLOYEES[[#This Row],[EMPLOYEE NUMBER]]="","",MATCH(T_EMPLOYEES[[#This Row],[JOB CATEGORY]],L_JOBCATEGORY,0))</calculatedColumnFormula>
    </tableColumn>
    <tableColumn id="28" name="JOB LEVEL SYS ID" dataDxfId="25">
      <calculatedColumnFormula>IF(T_EMPLOYEES[[#This Row],[EMPLOYEE NUMBER]]="","",MATCH(T_EMPLOYEES[[#This Row],[JOB LEVEL]],L_JOBLEVEL,0))</calculatedColumnFormula>
    </tableColumn>
    <tableColumn id="29" name="JOB TITLE SYS ID" dataDxfId="24">
      <calculatedColumnFormula>IF(T_EMPLOYEES[[#This Row],[EMPLOYEE NUMBER]]="","",MATCH(T_EMPLOYEES[[#This Row],[JOB TITLE]],L_JOBTITLE,0))</calculatedColumnFormula>
    </tableColumn>
    <tableColumn id="30" name="MANAGER EMP SYS ID" dataDxfId="23">
      <calculatedColumnFormula>IF(T_EMPLOYEES[[#This Row],[EMPLOYEE NUMBER]]="","",MATCH(T_EMPLOYEES[[#This Row],[MANAGER]],L_EMPLABELS,0))</calculatedColumnFormula>
    </tableColumn>
    <tableColumn id="33" name="ERROR IND" dataDxfId="22">
      <calculatedColumnFormula>IF(T_EMPLOYEES[[#This Row],[EMPLOYEE NUMBER]]="","",IF(T_EMPLOYEES[[#This Row],[ERROR]]="",0,1))</calculatedColumnFormula>
    </tableColumn>
    <tableColumn id="32" name="ERROR" dataDxfId="21">
      <calculatedColumnFormula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calculatedColumnFormula>
    </tableColumn>
  </tableColumns>
  <tableStyleInfo name="TableStyleMedium17" showFirstColumn="0" showLastColumn="0" showRowStripes="1" showColumnStripes="0"/>
</table>
</file>

<file path=xl/tables/table14.xml><?xml version="1.0" encoding="utf-8"?>
<table xmlns="http://schemas.openxmlformats.org/spreadsheetml/2006/main" id="14" name="Table1" displayName="Table1" ref="A1:K56" headerRowCount="1" totalsRowShown="0" headerRowDxfId="20" headerRowBorderDxfId="18" tableBorderDxfId="19">
  <autoFilter ref="A1:K56"/>
  <tableColumns count="11">
    <tableColumn id="1" name="EMPLOYEE NUMBER" dataDxfId="17"/>
    <tableColumn id="2" name="Year"/>
    <tableColumn id="3" name="Base_Salary"/>
    <tableColumn id="4" name="Bonus"/>
    <tableColumn id="5" name="Perks"/>
    <tableColumn id="6" name="Other_Comp"/>
    <tableColumn id="10" name="Is_Promotion"/>
    <tableColumn id="11" name="Prom_Eve_Date"/>
    <tableColumn id="9" name="M_Salary" dataDxfId="16">
      <calculatedColumnFormula>ROUND(Table1[[#This Row],[Base_Salary]]/12, 0)</calculatedColumnFormula>
    </tableColumn>
    <tableColumn id="7" name="Total_CTC" dataDxfId="15">
      <calculatedColumnFormula>SUM(Table1[[#This Row],[Base_Salary]], Table1[[#This Row],[Bonus]], Table1[[#This Row],[Perks]], Table1[[#This Row],[Other_Comp]])</calculatedColumnFormula>
    </tableColumn>
    <tableColumn id="8" name="Hike" dataDxfId="14">
      <calculatedColumnFormula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LEAVE" displayName="T_LEAVE" ref="A3:L802" headerRowCount="1" totalsRowShown="0" headerRowDxfId="13" dataDxfId="12">
  <autoFilter ref="A3:L802"/>
  <tableColumns count="12">
    <tableColumn id="1" name="EMPLOYEE" dataDxfId="11"/>
    <tableColumn id="2" name="START DATE" dataDxfId="10"/>
    <tableColumn id="3" name="END DATE" dataDxfId="9"/>
    <tableColumn id="5" name="LEAVE TYPE" dataDxfId="8"/>
    <tableColumn id="12" name="DAY VALUE" dataDxfId="7"/>
    <tableColumn id="10" name="MY LEAVE COLUMN 1" dataDxfId="6"/>
    <tableColumn id="11" name="MY LEAVE COLUMN 2" dataDxfId="5"/>
    <tableColumn id="4" name="EMPLOYEE SYS ID" dataDxfId="4">
      <calculatedColumnFormula>IF(T_LEAVE[[#This Row],[EMPLOYEE]]="","",MATCH(T_LEAVE[[#This Row],[EMPLOYEE]],L_EMPLABELS,0))</calculatedColumnFormula>
    </tableColumn>
    <tableColumn id="6" name="LEAVE TYPE SYS ID" dataDxfId="3">
      <calculatedColumnFormula>IF(T_LEAVE[[#This Row],[EMPLOYEE]]="","",MATCH(T_LEAVE[[#This Row],[LEAVE TYPE]],L_LEAVETYPES,0))</calculatedColumnFormula>
    </tableColumn>
    <tableColumn id="7" name="LEAVE TYPE SYMBOL" dataDxfId="2">
      <calculatedColumnFormula array="1">IFERROR(INDEX(T_LEAVE_TYPES[SYMBOL],T_LEAVE[[#This Row],[LEAVE TYPE SYS ID]]),"")</calculatedColumnFormula>
    </tableColumn>
    <tableColumn id="9" name="ERROR IND" dataDxfId="1">
      <calculatedColumnFormula>IF(T_LEAVE[[#This Row],[EMPLOYEE]]="","",IF(T_LEAVE[[#This Row],[ERROR]]="",0,1))</calculatedColumnFormula>
    </tableColumn>
    <tableColumn id="8" name="ERROR" dataDxfId="0">
      <calculatedColumnFormula array="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OWERHR">
      <a:dk1>
        <a:srgbClr val="332C2D"/>
      </a:dk1>
      <a:lt1>
        <a:sysClr val="window" lastClr="FFFFFF"/>
      </a:lt1>
      <a:dk2>
        <a:srgbClr val="6A4C37"/>
      </a:dk2>
      <a:lt2>
        <a:srgbClr val="ECE0D1"/>
      </a:lt2>
      <a:accent1>
        <a:srgbClr val="ECE0D1"/>
      </a:accent1>
      <a:accent2>
        <a:srgbClr val="6A4C37"/>
      </a:accent2>
      <a:accent3>
        <a:srgbClr val="FAB944"/>
      </a:accent3>
      <a:accent4>
        <a:srgbClr val="DD6B7F"/>
      </a:accent4>
      <a:accent5>
        <a:srgbClr val="58CBB5"/>
      </a:accent5>
      <a:accent6>
        <a:srgbClr val="485A6F"/>
      </a:accent6>
      <a:hlink>
        <a:srgbClr val="034A90"/>
      </a:hlink>
      <a:folHlink>
        <a:srgbClr val="954F72"/>
      </a:folHlink>
    </a:clrScheme>
    <a:fontScheme name="PowerHR">
      <a:majorFont>
        <a:latin typeface="Verdana"/>
        <a:ea typeface=""/>
        <a:cs typeface=""/>
      </a:majorFont>
      <a:minorFont>
        <a:latin typeface="HP Simplifie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B1" sqref="B1"/>
    </sheetView>
  </sheetViews>
  <sheetFormatPr baseColWidth="8" defaultRowHeight="14.1"/>
  <cols>
    <col width="2.625" customWidth="1" min="1" max="1"/>
    <col width="73" bestFit="1" customWidth="1" min="2" max="2"/>
    <col width="6.625" customWidth="1" min="3" max="3"/>
  </cols>
  <sheetData>
    <row r="1" ht="20.1" customHeight="1">
      <c r="B1" s="6" t="inlineStr">
        <is>
          <t>ETS Power BI Dashboard Template</t>
        </is>
      </c>
      <c r="C1" s="7" t="inlineStr">
        <is>
          <t>v1.0</t>
        </is>
      </c>
    </row>
    <row r="2" ht="17.45" customHeight="1">
      <c r="B2" s="8" t="n"/>
      <c r="C2" s="9" t="n"/>
    </row>
    <row r="3" ht="17.45" customHeight="1">
      <c r="B3" s="8" t="n"/>
      <c r="C3" s="9" t="n"/>
    </row>
    <row r="4" ht="17.45" customHeight="1">
      <c r="B4" s="8" t="inlineStr">
        <is>
          <t>Power BI Template requires Power BI file and this Excel file.</t>
        </is>
      </c>
      <c r="C4" s="9" t="n"/>
    </row>
    <row r="5" ht="17.45" customHeight="1">
      <c r="B5" s="8" t="inlineStr">
        <is>
          <t>Data is input in this Excel file and reports are viewed in the Power BI File.</t>
        </is>
      </c>
      <c r="C5" s="9" t="n"/>
    </row>
    <row r="6" ht="17.45" customHeight="1">
      <c r="B6" s="8" t="n"/>
      <c r="C6" s="9" t="n"/>
    </row>
    <row r="7" ht="17.45" customHeight="1">
      <c r="B7" s="8" t="n"/>
      <c r="C7" s="9" t="n"/>
    </row>
    <row r="8" ht="17.45" customHeight="1">
      <c r="B8" s="8" t="inlineStr">
        <is>
          <t xml:space="preserve">For support, please visit </t>
        </is>
      </c>
      <c r="C8" s="9" t="n"/>
    </row>
    <row r="9" ht="17.45" customHeight="1">
      <c r="B9" t="inlineStr">
        <is>
          <t>Leave Tracker (Power BI) Support</t>
        </is>
      </c>
      <c r="C9" s="10" t="n"/>
    </row>
    <row r="10" ht="17.45" customHeight="1">
      <c r="B10" s="8" t="n"/>
      <c r="C10" s="9" t="n"/>
    </row>
    <row r="11" ht="17.45" customHeight="1">
      <c r="B11" s="8" t="n"/>
      <c r="C11" s="9" t="n"/>
    </row>
    <row r="12" ht="17.45" customHeight="1">
      <c r="B12" s="8" t="n"/>
      <c r="C12" s="9" t="n"/>
    </row>
    <row r="13" ht="17.45" customHeight="1">
      <c r="B13" s="8" t="n"/>
      <c r="C13" s="9" t="n"/>
    </row>
    <row r="14" ht="17.45" customHeight="1">
      <c r="B14" s="8" t="n"/>
      <c r="C14" s="9" t="n"/>
    </row>
    <row r="15" ht="17.45" customHeight="1">
      <c r="B15" s="8" t="n"/>
      <c r="C15" s="9" t="n"/>
    </row>
    <row r="16" ht="17.45" customHeight="1">
      <c r="B16" s="8" t="n"/>
      <c r="C16" s="9" t="n"/>
    </row>
    <row r="17" ht="18" customHeight="1" thickBot="1">
      <c r="B17" s="11" t="n"/>
      <c r="C17" s="12" t="n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"/>
  <sheetViews>
    <sheetView showGridLines="0" topLeftCell="I1" zoomScaleNormal="100" workbookViewId="0">
      <selection activeCell="X27" sqref="X27"/>
    </sheetView>
  </sheetViews>
  <sheetFormatPr baseColWidth="8" defaultRowHeight="14.25"/>
  <cols>
    <col width="3.5" customWidth="1" min="1" max="1"/>
    <col width="8.875" customWidth="1" min="2" max="2"/>
    <col width="2.625" customWidth="1" min="3" max="3"/>
    <col width="14.125" customWidth="1" min="4" max="4"/>
    <col width="2.625" customWidth="1" min="5" max="5"/>
    <col width="35.125" customWidth="1" min="6" max="6"/>
    <col width="2.625" customWidth="1" min="7" max="7"/>
    <col width="15.125" customWidth="1" min="8" max="11"/>
    <col width="3.625" customWidth="1" min="12" max="12"/>
    <col width="24" customWidth="1" min="13" max="13"/>
    <col width="3.625" customWidth="1" min="14" max="14"/>
    <col width="18.5" customWidth="1" min="15" max="15"/>
    <col width="3.625" customWidth="1" min="16" max="16"/>
    <col width="27.5" customWidth="1" min="17" max="17"/>
    <col width="3.625" customWidth="1" min="18" max="18"/>
    <col width="22.125" customWidth="1" min="19" max="19"/>
    <col width="3.625" customWidth="1" min="20" max="20"/>
    <col width="30.5" customWidth="1" min="21" max="21"/>
    <col width="2.625" customWidth="1" min="22" max="23"/>
    <col width="15.5" customWidth="1" min="24" max="24"/>
    <col width="17.75" customWidth="1" min="25" max="25"/>
    <col width="11.75" bestFit="1" customWidth="1" min="26" max="26"/>
    <col width="19" customWidth="1" min="27" max="27"/>
    <col width="12.625" customWidth="1" min="28" max="28"/>
    <col width="2.625" customWidth="1" min="29" max="29"/>
    <col width="6.375" customWidth="1" min="31" max="34"/>
    <col width="9.625" customWidth="1" min="35" max="36"/>
  </cols>
  <sheetData>
    <row r="1" ht="20.1" customHeight="1">
      <c r="A1" s="16" t="inlineStr">
        <is>
          <t>SETTINGS</t>
        </is>
      </c>
      <c r="B1" s="23" t="n"/>
      <c r="C1" s="23" t="n"/>
    </row>
    <row r="2" ht="14.1" customHeight="1">
      <c r="B2" s="21" t="inlineStr">
        <is>
          <t>DO NOT CHANGE COLUMN HEADERS OR FIELD NAMES IN ROW 6 BELOW. YOU CAN CHANGE IN ROW 5 AND THEN MODIFY NAMES IN POWER BI. EMAIL SUPPORT@INDZARA.COM FOR ASSISTANCE.</t>
        </is>
      </c>
    </row>
    <row r="4" ht="17.45" customHeight="1">
      <c r="B4" s="4" t="inlineStr">
        <is>
          <t>EMPLOYEE ATTRIBUTES</t>
        </is>
      </c>
      <c r="C4" s="2" t="n"/>
      <c r="D4" s="2" t="n"/>
      <c r="E4" s="2" t="n"/>
      <c r="F4" s="2" t="n"/>
      <c r="H4" s="4" t="inlineStr">
        <is>
          <t>JOB ATTRIBUTES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X4" s="4" t="inlineStr">
        <is>
          <t>LEAVE ATTRIBUTES</t>
        </is>
      </c>
      <c r="Y4" s="2" t="n"/>
      <c r="Z4" s="2" t="n"/>
      <c r="AA4" s="2" t="n"/>
      <c r="AB4" s="2" t="n"/>
    </row>
    <row r="5" ht="14.1" customHeight="1">
      <c r="B5" s="22" t="inlineStr">
        <is>
          <t>GENDER</t>
        </is>
      </c>
      <c r="C5" s="22" t="n"/>
      <c r="D5" s="22" t="inlineStr">
        <is>
          <t>HIRE SOURCE</t>
        </is>
      </c>
      <c r="E5" s="22" t="n"/>
      <c r="F5" s="22" t="inlineStr">
        <is>
          <t>ETHNICITY</t>
        </is>
      </c>
      <c r="G5" s="22" t="n"/>
      <c r="H5" s="22" t="inlineStr">
        <is>
          <t>LOCATION</t>
        </is>
      </c>
      <c r="I5" s="22" t="inlineStr">
        <is>
          <t>CITY</t>
        </is>
      </c>
      <c r="J5" s="22" t="inlineStr">
        <is>
          <t>STATE</t>
        </is>
      </c>
      <c r="K5" s="22" t="inlineStr">
        <is>
          <t>COUNTRY</t>
        </is>
      </c>
      <c r="L5" s="22" t="n"/>
      <c r="M5" s="22" t="inlineStr">
        <is>
          <t>DEPARTMENT</t>
        </is>
      </c>
      <c r="N5" s="22" t="n"/>
      <c r="O5" s="22" t="inlineStr">
        <is>
          <t>JOB TYPE</t>
        </is>
      </c>
      <c r="P5" s="22" t="n"/>
      <c r="Q5" s="22" t="inlineStr">
        <is>
          <t>JOB CATEGORY</t>
        </is>
      </c>
      <c r="R5" s="22" t="n"/>
      <c r="S5" s="22" t="inlineStr">
        <is>
          <t>JOB LEVEL</t>
        </is>
      </c>
      <c r="T5" s="22" t="n"/>
      <c r="U5" s="22" t="inlineStr">
        <is>
          <t>JOB TITLE</t>
        </is>
      </c>
      <c r="V5" s="22" t="n"/>
      <c r="W5" s="22" t="n"/>
      <c r="X5" s="22" t="inlineStr">
        <is>
          <t>WEEKDAY</t>
        </is>
      </c>
      <c r="Y5" s="22" t="inlineStr">
        <is>
          <t>WEEKEND</t>
        </is>
      </c>
      <c r="Z5" s="22" t="n"/>
      <c r="AA5" s="22" t="inlineStr">
        <is>
          <t>LEAVE TYPE</t>
        </is>
      </c>
      <c r="AB5" s="22" t="inlineStr">
        <is>
          <t>SYMBOL</t>
        </is>
      </c>
      <c r="AC5" s="22" t="n"/>
    </row>
    <row r="6">
      <c r="B6" s="5" t="inlineStr">
        <is>
          <t>GENDER</t>
        </is>
      </c>
      <c r="D6" s="5" t="inlineStr">
        <is>
          <t>HIRE SOURCE</t>
        </is>
      </c>
      <c r="F6" s="5" t="inlineStr">
        <is>
          <t>ETHNICITY</t>
        </is>
      </c>
      <c r="H6" s="5" t="inlineStr">
        <is>
          <t>LOCATION</t>
        </is>
      </c>
      <c r="I6" s="5" t="inlineStr">
        <is>
          <t>CITY</t>
        </is>
      </c>
      <c r="J6" s="5" t="inlineStr">
        <is>
          <t>STATE</t>
        </is>
      </c>
      <c r="K6" s="5" t="inlineStr">
        <is>
          <t>COUNTRY</t>
        </is>
      </c>
      <c r="M6" s="5" t="inlineStr">
        <is>
          <t>DEPARTMENT</t>
        </is>
      </c>
      <c r="O6" s="5" t="inlineStr">
        <is>
          <t>JOB TYPE</t>
        </is>
      </c>
      <c r="Q6" s="5" t="inlineStr">
        <is>
          <t>JOB CATEGORY</t>
        </is>
      </c>
      <c r="S6" s="5" t="inlineStr">
        <is>
          <t>JOB LEVEL</t>
        </is>
      </c>
      <c r="U6" s="5" t="inlineStr">
        <is>
          <t>JOB TITLE</t>
        </is>
      </c>
      <c r="X6" s="5" t="inlineStr">
        <is>
          <t>WEEKDAY</t>
        </is>
      </c>
      <c r="Y6" s="5" t="inlineStr">
        <is>
          <t>WEEKEND</t>
        </is>
      </c>
      <c r="AA6" s="5" t="inlineStr">
        <is>
          <t>LEAVE TYPE</t>
        </is>
      </c>
      <c r="AB6" s="5" t="inlineStr">
        <is>
          <t>SYMBOL</t>
        </is>
      </c>
    </row>
    <row r="7">
      <c r="B7" t="inlineStr">
        <is>
          <t>Male</t>
        </is>
      </c>
      <c r="D7" t="inlineStr">
        <is>
          <t>INDEED</t>
        </is>
      </c>
      <c r="F7" t="inlineStr">
        <is>
          <t>African American</t>
        </is>
      </c>
      <c r="H7" t="inlineStr">
        <is>
          <t>Bangalore</t>
        </is>
      </c>
      <c r="I7" t="inlineStr">
        <is>
          <t>Bangalore</t>
        </is>
      </c>
      <c r="J7" t="inlineStr">
        <is>
          <t>KR</t>
        </is>
      </c>
      <c r="K7" t="inlineStr">
        <is>
          <t>INDIA</t>
        </is>
      </c>
      <c r="M7" t="inlineStr">
        <is>
          <t>Product</t>
        </is>
      </c>
      <c r="O7" t="inlineStr">
        <is>
          <t>Part-Time</t>
        </is>
      </c>
      <c r="Q7" s="1" t="inlineStr">
        <is>
          <t>People Manager</t>
        </is>
      </c>
      <c r="S7" t="inlineStr">
        <is>
          <t>E1</t>
        </is>
      </c>
      <c r="U7" t="inlineStr">
        <is>
          <t>People Manager</t>
        </is>
      </c>
      <c r="X7" t="inlineStr">
        <is>
          <t>Sunday</t>
        </is>
      </c>
      <c r="Y7" t="n">
        <v>1</v>
      </c>
      <c r="AA7" t="inlineStr">
        <is>
          <t>Vacation</t>
        </is>
      </c>
      <c r="AB7" t="inlineStr">
        <is>
          <t>V</t>
        </is>
      </c>
    </row>
    <row r="8">
      <c r="B8" t="inlineStr">
        <is>
          <t>Female</t>
        </is>
      </c>
      <c r="D8" t="inlineStr">
        <is>
          <t>LINKEDIN</t>
        </is>
      </c>
      <c r="F8" t="inlineStr">
        <is>
          <t>American Indian</t>
        </is>
      </c>
      <c r="H8" s="1" t="inlineStr">
        <is>
          <t>Hyderabad</t>
        </is>
      </c>
      <c r="I8" t="inlineStr">
        <is>
          <t>Hyderabad</t>
        </is>
      </c>
      <c r="J8" t="inlineStr">
        <is>
          <t>TS</t>
        </is>
      </c>
      <c r="K8" t="inlineStr">
        <is>
          <t>INDIA</t>
        </is>
      </c>
      <c r="M8" t="inlineStr">
        <is>
          <t>IT</t>
        </is>
      </c>
      <c r="O8" t="inlineStr">
        <is>
          <t>Full-Time</t>
        </is>
      </c>
      <c r="Q8" t="inlineStr">
        <is>
          <t>Technical Manager</t>
        </is>
      </c>
      <c r="S8" t="inlineStr">
        <is>
          <t>E2</t>
        </is>
      </c>
      <c r="U8" t="inlineStr">
        <is>
          <t>Technical Manager</t>
        </is>
      </c>
      <c r="X8" t="inlineStr">
        <is>
          <t>Monday</t>
        </is>
      </c>
      <c r="Y8" t="n">
        <v>0</v>
      </c>
      <c r="AA8" t="inlineStr">
        <is>
          <t>Sick</t>
        </is>
      </c>
      <c r="AB8" t="inlineStr">
        <is>
          <t>S</t>
        </is>
      </c>
    </row>
    <row r="9">
      <c r="B9" t="inlineStr">
        <is>
          <t>Other</t>
        </is>
      </c>
      <c r="D9" t="inlineStr">
        <is>
          <t>AGENCY</t>
        </is>
      </c>
      <c r="F9" t="inlineStr">
        <is>
          <t>Asian</t>
        </is>
      </c>
      <c r="H9" t="inlineStr">
        <is>
          <t>Chennai</t>
        </is>
      </c>
      <c r="I9" t="inlineStr">
        <is>
          <t>Chennai</t>
        </is>
      </c>
      <c r="J9" t="inlineStr">
        <is>
          <t>CH</t>
        </is>
      </c>
      <c r="K9" t="inlineStr">
        <is>
          <t>INDIA</t>
        </is>
      </c>
      <c r="M9" t="inlineStr">
        <is>
          <t>Sales</t>
        </is>
      </c>
      <c r="O9" t="inlineStr">
        <is>
          <t>Part-Time Internship</t>
        </is>
      </c>
      <c r="Q9" t="inlineStr">
        <is>
          <t>Program Manager</t>
        </is>
      </c>
      <c r="S9" t="inlineStr">
        <is>
          <t>E3</t>
        </is>
      </c>
      <c r="U9" t="inlineStr">
        <is>
          <t>Program Manager</t>
        </is>
      </c>
      <c r="X9" t="inlineStr">
        <is>
          <t>Tuesday</t>
        </is>
      </c>
      <c r="Y9" t="n">
        <v>0</v>
      </c>
      <c r="AA9" t="inlineStr">
        <is>
          <t>Maternity</t>
        </is>
      </c>
      <c r="AB9" t="inlineStr">
        <is>
          <t>M</t>
        </is>
      </c>
    </row>
    <row r="10">
      <c r="D10" t="inlineStr">
        <is>
          <t>WEBSITE</t>
        </is>
      </c>
      <c r="F10" t="inlineStr">
        <is>
          <t>Hispanic</t>
        </is>
      </c>
      <c r="H10" t="inlineStr">
        <is>
          <t>Vizag</t>
        </is>
      </c>
      <c r="I10" t="inlineStr">
        <is>
          <t>Vizag</t>
        </is>
      </c>
      <c r="J10" t="inlineStr">
        <is>
          <t>AP</t>
        </is>
      </c>
      <c r="K10" t="inlineStr">
        <is>
          <t>INDIA</t>
        </is>
      </c>
      <c r="M10" t="inlineStr">
        <is>
          <t>Marketing</t>
        </is>
      </c>
      <c r="O10" t="inlineStr">
        <is>
          <t>Full-Time Internship</t>
        </is>
      </c>
      <c r="Q10" t="inlineStr">
        <is>
          <t>Senior Project Manager</t>
        </is>
      </c>
      <c r="S10" t="inlineStr">
        <is>
          <t>E4</t>
        </is>
      </c>
      <c r="U10" t="inlineStr">
        <is>
          <t>Senior Project Manager</t>
        </is>
      </c>
      <c r="X10" t="inlineStr">
        <is>
          <t>Wednesday</t>
        </is>
      </c>
      <c r="Y10" t="n">
        <v>0</v>
      </c>
      <c r="AA10" t="inlineStr">
        <is>
          <t>Paternity</t>
        </is>
      </c>
      <c r="AB10" t="inlineStr">
        <is>
          <t>P</t>
        </is>
      </c>
    </row>
    <row r="11">
      <c r="D11" s="1" t="inlineStr">
        <is>
          <t>DIRECT</t>
        </is>
      </c>
      <c r="F11" t="inlineStr">
        <is>
          <t>Native Hawaian or Other Pacific Islander</t>
        </is>
      </c>
      <c r="H11" t="inlineStr">
        <is>
          <t>Pune</t>
        </is>
      </c>
      <c r="I11" t="inlineStr">
        <is>
          <t>Pune</t>
        </is>
      </c>
      <c r="J11" t="inlineStr">
        <is>
          <t>MH</t>
        </is>
      </c>
      <c r="K11" t="inlineStr">
        <is>
          <t>INDIA</t>
        </is>
      </c>
      <c r="M11" t="inlineStr">
        <is>
          <t>Accounting</t>
        </is>
      </c>
      <c r="O11" t="inlineStr">
        <is>
          <t>Contract/Temporary</t>
        </is>
      </c>
      <c r="Q11" t="inlineStr">
        <is>
          <t>Senior Technical Lead</t>
        </is>
      </c>
      <c r="S11" t="inlineStr">
        <is>
          <t>E5</t>
        </is>
      </c>
      <c r="U11" t="inlineStr">
        <is>
          <t>Senior Technical Lead</t>
        </is>
      </c>
      <c r="X11" t="inlineStr">
        <is>
          <t>Thursday</t>
        </is>
      </c>
      <c r="Y11" t="n">
        <v>0</v>
      </c>
      <c r="AA11" t="inlineStr">
        <is>
          <t>Bereavement</t>
        </is>
      </c>
      <c r="AB11" t="inlineStr">
        <is>
          <t>B</t>
        </is>
      </c>
    </row>
    <row r="12">
      <c r="F12" t="inlineStr">
        <is>
          <t>White</t>
        </is>
      </c>
      <c r="M12" t="inlineStr">
        <is>
          <t>Human Resources</t>
        </is>
      </c>
      <c r="O12" t="inlineStr">
        <is>
          <t>Freelance</t>
        </is>
      </c>
      <c r="Q12" t="inlineStr">
        <is>
          <t>Senior Software Test Engineer</t>
        </is>
      </c>
      <c r="S12" t="inlineStr">
        <is>
          <t>E6</t>
        </is>
      </c>
      <c r="U12" t="inlineStr">
        <is>
          <t>Senior Software Test Engineer</t>
        </is>
      </c>
      <c r="X12" t="inlineStr">
        <is>
          <t>Friday</t>
        </is>
      </c>
      <c r="Y12" t="n">
        <v>0</v>
      </c>
      <c r="AA12" s="1" t="inlineStr">
        <is>
          <t>Privilege</t>
        </is>
      </c>
      <c r="AB12" t="inlineStr">
        <is>
          <t>PR</t>
        </is>
      </c>
    </row>
    <row r="13">
      <c r="M13" t="inlineStr">
        <is>
          <t>Customer Service</t>
        </is>
      </c>
      <c r="Q13" t="inlineStr">
        <is>
          <t>Senior Manager</t>
        </is>
      </c>
      <c r="S13" t="inlineStr">
        <is>
          <t>E7</t>
        </is>
      </c>
      <c r="U13" t="inlineStr">
        <is>
          <t>Senior Manager</t>
        </is>
      </c>
      <c r="X13" t="inlineStr">
        <is>
          <t>Saturday</t>
        </is>
      </c>
      <c r="Y13" t="n">
        <v>1</v>
      </c>
      <c r="AA13" t="inlineStr">
        <is>
          <t xml:space="preserve">Casual / Sick </t>
        </is>
      </c>
      <c r="AB13" t="inlineStr">
        <is>
          <t>C</t>
        </is>
      </c>
    </row>
    <row r="14">
      <c r="M14" t="inlineStr">
        <is>
          <t>Operations</t>
        </is>
      </c>
      <c r="Q14" t="inlineStr">
        <is>
          <t>Project Manager</t>
        </is>
      </c>
      <c r="S14" t="inlineStr">
        <is>
          <t>E8</t>
        </is>
      </c>
      <c r="U14" t="inlineStr">
        <is>
          <t>Project Manager</t>
        </is>
      </c>
      <c r="AA14" t="inlineStr">
        <is>
          <t>LOP</t>
        </is>
      </c>
      <c r="AB14" t="inlineStr">
        <is>
          <t>LOP</t>
        </is>
      </c>
    </row>
    <row r="15">
      <c r="M15" t="inlineStr">
        <is>
          <t>Finance</t>
        </is>
      </c>
      <c r="Q15" t="inlineStr">
        <is>
          <t>Senior Solution Architect</t>
        </is>
      </c>
      <c r="S15" t="inlineStr">
        <is>
          <t>E9</t>
        </is>
      </c>
      <c r="U15" t="inlineStr">
        <is>
          <t>Senior Solution Architect</t>
        </is>
      </c>
      <c r="X15" s="22" t="inlineStr">
        <is>
          <t>DATE</t>
        </is>
      </c>
      <c r="Y15" s="22" t="inlineStr">
        <is>
          <t>HOLIDAY NAME</t>
        </is>
      </c>
      <c r="Z15" t="inlineStr">
        <is>
          <t>Holiday type</t>
        </is>
      </c>
    </row>
    <row r="16">
      <c r="M16" t="inlineStr">
        <is>
          <t>QA</t>
        </is>
      </c>
      <c r="Q16" t="inlineStr">
        <is>
          <t>Technical Lead</t>
        </is>
      </c>
      <c r="S16" t="inlineStr">
        <is>
          <t>E10</t>
        </is>
      </c>
      <c r="U16" t="inlineStr">
        <is>
          <t>Technical Lead</t>
        </is>
      </c>
      <c r="X16" s="5" t="inlineStr">
        <is>
          <t>DATE</t>
        </is>
      </c>
      <c r="Y16" s="5" t="inlineStr">
        <is>
          <t>HOLIDAY NAME</t>
        </is>
      </c>
      <c r="Z16" s="5" t="inlineStr">
        <is>
          <t>Holiday Type</t>
        </is>
      </c>
    </row>
    <row r="17" ht="16.5" customHeight="1">
      <c r="M17" t="inlineStr">
        <is>
          <t>Core</t>
        </is>
      </c>
      <c r="Q17" t="inlineStr">
        <is>
          <t>Vice President</t>
        </is>
      </c>
      <c r="S17" t="inlineStr">
        <is>
          <t>E11</t>
        </is>
      </c>
      <c r="U17" t="inlineStr">
        <is>
          <t>Vice President</t>
        </is>
      </c>
      <c r="X17" s="25" t="n">
        <v>45292</v>
      </c>
      <c r="Y17" s="24" t="inlineStr">
        <is>
          <t>New Year's Day</t>
        </is>
      </c>
      <c r="Z17" t="inlineStr">
        <is>
          <t>M</t>
        </is>
      </c>
    </row>
    <row r="18">
      <c r="M18" t="inlineStr">
        <is>
          <t>Cognos</t>
        </is>
      </c>
      <c r="Q18" t="inlineStr">
        <is>
          <t>Senior Test Lead</t>
        </is>
      </c>
      <c r="U18" t="inlineStr">
        <is>
          <t>Senior Test Lead</t>
        </is>
      </c>
      <c r="X18" s="25" t="n">
        <v>45306</v>
      </c>
      <c r="Y18" t="inlineStr">
        <is>
          <t>Makara Sankranthi</t>
        </is>
      </c>
      <c r="Z18" t="inlineStr">
        <is>
          <t>M</t>
        </is>
      </c>
    </row>
    <row r="19" ht="16.5" customHeight="1">
      <c r="M19" t="inlineStr">
        <is>
          <t>Informatica</t>
        </is>
      </c>
      <c r="Q19" t="inlineStr">
        <is>
          <t>Program Director</t>
        </is>
      </c>
      <c r="U19" t="inlineStr">
        <is>
          <t>Program Director</t>
        </is>
      </c>
      <c r="X19" s="25" t="n">
        <v>45317</v>
      </c>
      <c r="Y19" s="24" t="inlineStr">
        <is>
          <t>Republic Day</t>
        </is>
      </c>
      <c r="Z19" t="inlineStr">
        <is>
          <t>M</t>
        </is>
      </c>
    </row>
    <row r="20">
      <c r="M20" t="inlineStr">
        <is>
          <t>EDMS</t>
        </is>
      </c>
      <c r="Q20" t="inlineStr">
        <is>
          <t>Test Lead</t>
        </is>
      </c>
      <c r="U20" t="inlineStr">
        <is>
          <t>Test Lead</t>
        </is>
      </c>
      <c r="X20" s="25" t="n">
        <v>45376</v>
      </c>
      <c r="Y20" t="inlineStr">
        <is>
          <t>Holi</t>
        </is>
      </c>
      <c r="Z20" t="inlineStr">
        <is>
          <t>M</t>
        </is>
      </c>
    </row>
    <row r="21" ht="16.5" customHeight="1">
      <c r="M21" t="inlineStr">
        <is>
          <t>Letters</t>
        </is>
      </c>
      <c r="Q21" t="inlineStr">
        <is>
          <t>Senior Software Engineer</t>
        </is>
      </c>
      <c r="U21" t="inlineStr">
        <is>
          <t>Senior Software Engineer</t>
        </is>
      </c>
      <c r="X21" s="25" t="n">
        <v>45360</v>
      </c>
      <c r="Y21" s="24" t="inlineStr">
        <is>
          <t>Ugadi</t>
        </is>
      </c>
      <c r="Z21" t="inlineStr">
        <is>
          <t>M</t>
        </is>
      </c>
    </row>
    <row r="22">
      <c r="M22" t="inlineStr">
        <is>
          <t>Infra</t>
        </is>
      </c>
      <c r="Q22" t="inlineStr">
        <is>
          <t>Senior Business Analyst</t>
        </is>
      </c>
      <c r="U22" t="inlineStr">
        <is>
          <t>Senior Business Analyst</t>
        </is>
      </c>
      <c r="X22" s="25" t="n">
        <v>45413</v>
      </c>
      <c r="Y22" t="inlineStr">
        <is>
          <t>May Day</t>
        </is>
      </c>
      <c r="Z22" t="inlineStr">
        <is>
          <t>M</t>
        </is>
      </c>
    </row>
    <row r="23" ht="16.5" customHeight="1">
      <c r="M23" t="inlineStr">
        <is>
          <t>Production Support</t>
        </is>
      </c>
      <c r="Q23" t="inlineStr">
        <is>
          <t>Senior Technical Manager</t>
        </is>
      </c>
      <c r="U23" t="inlineStr">
        <is>
          <t>Senior Technical Manager</t>
        </is>
      </c>
      <c r="X23" s="25" t="n">
        <v>45519</v>
      </c>
      <c r="Y23" s="24" t="inlineStr">
        <is>
          <t>Independence Day</t>
        </is>
      </c>
      <c r="Z23" t="inlineStr">
        <is>
          <t>M</t>
        </is>
      </c>
    </row>
    <row r="24">
      <c r="Q24" t="inlineStr">
        <is>
          <t>Senior Lead Business Analyst</t>
        </is>
      </c>
      <c r="U24" t="inlineStr">
        <is>
          <t>Senior Lead Business Analyst</t>
        </is>
      </c>
      <c r="X24" s="25" t="n">
        <v>45554</v>
      </c>
      <c r="Y24" t="inlineStr">
        <is>
          <t>Raksha Bandhan</t>
        </is>
      </c>
      <c r="Z24" t="inlineStr">
        <is>
          <t>M</t>
        </is>
      </c>
    </row>
    <row r="25" ht="16.5" customHeight="1">
      <c r="Q25" t="inlineStr">
        <is>
          <t>Assistant Vice President</t>
        </is>
      </c>
      <c r="U25" t="inlineStr">
        <is>
          <t>Assistant Vice President</t>
        </is>
      </c>
      <c r="X25" s="25" t="n">
        <v>45567</v>
      </c>
      <c r="Y25" s="24" t="inlineStr">
        <is>
          <t>Gandhi Jayanthi</t>
        </is>
      </c>
      <c r="Z25" t="inlineStr">
        <is>
          <t>M</t>
        </is>
      </c>
    </row>
    <row r="26">
      <c r="Q26" t="inlineStr">
        <is>
          <t>Senior Project Lead</t>
        </is>
      </c>
      <c r="U26" t="inlineStr">
        <is>
          <t>Senior Project Lead</t>
        </is>
      </c>
      <c r="X26" s="25" t="n">
        <v>45597</v>
      </c>
      <c r="Y26" t="inlineStr">
        <is>
          <t>Kannada Rajyostava</t>
        </is>
      </c>
      <c r="Z26" t="inlineStr">
        <is>
          <t>M</t>
        </is>
      </c>
    </row>
    <row r="27">
      <c r="Q27" t="inlineStr">
        <is>
          <t>Senior Technical Writer</t>
        </is>
      </c>
      <c r="U27" t="inlineStr">
        <is>
          <t>Senior Technical Writer</t>
        </is>
      </c>
    </row>
    <row r="28">
      <c r="Q28" t="inlineStr">
        <is>
          <t>Assistant Manager</t>
        </is>
      </c>
      <c r="U28" t="inlineStr">
        <is>
          <t>Assistant Manager</t>
        </is>
      </c>
    </row>
    <row r="29">
      <c r="Q29" t="inlineStr">
        <is>
          <t>Senior Technical Architect</t>
        </is>
      </c>
      <c r="U29" t="inlineStr">
        <is>
          <t>Senior Technical Architect</t>
        </is>
      </c>
    </row>
    <row r="30" ht="21" customHeight="1">
      <c r="Q30" t="inlineStr">
        <is>
          <t>Project Lead</t>
        </is>
      </c>
      <c r="U30" t="inlineStr">
        <is>
          <t>Project Lead</t>
        </is>
      </c>
    </row>
    <row r="31">
      <c r="Q31" t="inlineStr">
        <is>
          <t>Senior Lead System Administrator</t>
        </is>
      </c>
      <c r="U31" t="inlineStr">
        <is>
          <t>Senior Lead System Administrator</t>
        </is>
      </c>
    </row>
    <row r="32">
      <c r="Q32" t="inlineStr">
        <is>
          <t>Manager</t>
        </is>
      </c>
      <c r="U32" t="inlineStr">
        <is>
          <t>Manager</t>
        </is>
      </c>
    </row>
    <row r="33">
      <c r="Q33" t="inlineStr">
        <is>
          <t>Software Test Engineer</t>
        </is>
      </c>
      <c r="U33" t="inlineStr">
        <is>
          <t>Software Test Engineer</t>
        </is>
      </c>
    </row>
    <row r="34" ht="23.25" customHeight="1">
      <c r="Q34" t="inlineStr">
        <is>
          <t>Technical Support Specialist</t>
        </is>
      </c>
      <c r="U34" t="inlineStr">
        <is>
          <t>Technical Support Specialist</t>
        </is>
      </c>
    </row>
    <row r="35">
      <c r="Q35" t="inlineStr">
        <is>
          <t>Senior Executive</t>
        </is>
      </c>
      <c r="U35" t="inlineStr">
        <is>
          <t>Senior Executive</t>
        </is>
      </c>
    </row>
    <row r="36">
      <c r="Q36" t="inlineStr">
        <is>
          <t>Associate Software Engineer</t>
        </is>
      </c>
      <c r="U36" t="inlineStr">
        <is>
          <t>Associate Software Engineer</t>
        </is>
      </c>
    </row>
    <row r="37">
      <c r="Q37" t="inlineStr">
        <is>
          <t>Senior Support Engineer</t>
        </is>
      </c>
      <c r="U37" t="inlineStr">
        <is>
          <t>Senior Support Engineer</t>
        </is>
      </c>
    </row>
    <row r="38">
      <c r="Q38" t="inlineStr">
        <is>
          <t>Senior Lead System Engineer</t>
        </is>
      </c>
      <c r="U38" t="inlineStr">
        <is>
          <t>Senior Lead System Engineer</t>
        </is>
      </c>
    </row>
    <row r="39">
      <c r="Q39" t="inlineStr">
        <is>
          <t>Lead Business Analyst</t>
        </is>
      </c>
      <c r="U39" t="inlineStr">
        <is>
          <t>Lead Business Analyst</t>
        </is>
      </c>
    </row>
    <row r="40">
      <c r="Q40" t="inlineStr">
        <is>
          <t>Lead System Engineer</t>
        </is>
      </c>
      <c r="U40" t="inlineStr">
        <is>
          <t>Lead System Engineer</t>
        </is>
      </c>
    </row>
    <row r="41">
      <c r="Q41" t="inlineStr">
        <is>
          <t>Associate Support Engineer</t>
        </is>
      </c>
      <c r="U41" t="inlineStr">
        <is>
          <t>Associate Support Engineer</t>
        </is>
      </c>
    </row>
    <row r="42">
      <c r="Q42" t="inlineStr">
        <is>
          <t>Senior System Administrator</t>
        </is>
      </c>
      <c r="U42" t="inlineStr">
        <is>
          <t>Senior System Administrator</t>
        </is>
      </c>
    </row>
    <row r="43">
      <c r="Q43" t="inlineStr">
        <is>
          <t>Executive</t>
        </is>
      </c>
      <c r="U43" t="inlineStr">
        <is>
          <t>Executive</t>
        </is>
      </c>
    </row>
    <row r="44">
      <c r="Q44" t="inlineStr">
        <is>
          <t>Support Engineer</t>
        </is>
      </c>
      <c r="U44" t="inlineStr">
        <is>
          <t>Support Engineer</t>
        </is>
      </c>
    </row>
    <row r="45">
      <c r="Q45" t="inlineStr">
        <is>
          <t>Software Engineer</t>
        </is>
      </c>
      <c r="U45" t="inlineStr">
        <is>
          <t>Software Engineer</t>
        </is>
      </c>
    </row>
    <row r="46" ht="19.5" customHeight="1">
      <c r="Q46" t="inlineStr">
        <is>
          <t>Senior Test Analyst</t>
        </is>
      </c>
      <c r="U46" t="inlineStr">
        <is>
          <t>Senior Test Analyst</t>
        </is>
      </c>
    </row>
    <row r="47">
      <c r="Q47" t="inlineStr">
        <is>
          <t>Senior Database administrator</t>
        </is>
      </c>
      <c r="U47" t="inlineStr">
        <is>
          <t>Senior Database administrator</t>
        </is>
      </c>
    </row>
    <row r="48" ht="20.25" customHeight="1">
      <c r="Q48" t="inlineStr">
        <is>
          <t>Database Administrator</t>
        </is>
      </c>
      <c r="U48" t="inlineStr">
        <is>
          <t>Database Administrator</t>
        </is>
      </c>
    </row>
    <row r="49">
      <c r="Q49" t="inlineStr">
        <is>
          <t>IT Analyst</t>
        </is>
      </c>
      <c r="U49" t="inlineStr">
        <is>
          <t>IT Analyst</t>
        </is>
      </c>
    </row>
    <row r="50">
      <c r="Q50" t="inlineStr">
        <is>
          <t>Associate Software Test Engineer</t>
        </is>
      </c>
      <c r="U50" t="inlineStr">
        <is>
          <t>Associate Software Test Engineer</t>
        </is>
      </c>
    </row>
  </sheetData>
  <dataValidations count="3">
    <dataValidation sqref="H8" showDropDown="0" showInputMessage="1" showErrorMessage="1" allowBlank="1" type="list">
      <formula1>L_LOCATION</formula1>
    </dataValidation>
    <dataValidation sqref="AA12" showDropDown="0" showInputMessage="1" showErrorMessage="1" allowBlank="1" type="list">
      <formula1>L_LEAVETYPES</formula1>
    </dataValidation>
    <dataValidation sqref="Q7:Q50" showDropDown="0" showInputMessage="1" showErrorMessage="1" allowBlank="1" type="list">
      <formula1>L_JOBCATEGORY</formula1>
    </dataValidation>
  </dataValidations>
  <pageMargins left="0.7" right="0.7" top="0.75" bottom="0.75" header="0.3" footer="0.3"/>
  <pageSetup orientation="portrait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93"/>
  <sheetViews>
    <sheetView showGridLines="0" topLeftCell="X68" zoomScaleNormal="100" workbookViewId="0">
      <selection activeCell="C4" sqref="C4:C85"/>
    </sheetView>
  </sheetViews>
  <sheetFormatPr baseColWidth="8" defaultRowHeight="14.25" customHeight="1"/>
  <cols>
    <col width="22.125" customWidth="1" min="1" max="1"/>
    <col width="22.25" bestFit="1" customWidth="1" min="2" max="2"/>
    <col width="22" customWidth="1" min="3" max="3"/>
    <col width="27" customWidth="1" min="4" max="4"/>
    <col width="18.125" customWidth="1" min="5" max="5"/>
    <col width="19" customWidth="1" min="6" max="7"/>
    <col width="14.5" customWidth="1" min="8" max="9"/>
    <col width="18" customWidth="1" min="10" max="14"/>
    <col width="24.625" customWidth="1" min="15" max="15"/>
    <col width="18" customWidth="1" min="16" max="16"/>
    <col width="35" bestFit="1" customWidth="1" min="17" max="17"/>
    <col width="21.625" customWidth="1" min="18" max="23"/>
    <col width="43.875" bestFit="1" customWidth="1" min="24" max="24"/>
    <col width="43.875" customWidth="1" min="25" max="26"/>
    <col width="28.125" customWidth="1" min="27" max="27"/>
    <col width="22.875" bestFit="1" customWidth="1" min="28" max="28"/>
    <col width="15.125" customWidth="1" min="29" max="29"/>
    <col width="19.875" customWidth="1" min="30" max="30"/>
    <col width="15.25" bestFit="1" customWidth="1" min="31" max="31"/>
    <col width="20.125" bestFit="1" customWidth="1" min="32" max="32"/>
    <col width="17.25" bestFit="1" customWidth="1" min="33" max="33"/>
    <col width="24.625" customWidth="1" min="34" max="34"/>
    <col width="20.375" bestFit="1" customWidth="1" min="35" max="35"/>
    <col width="16.625" bestFit="1" customWidth="1" min="36" max="36"/>
    <col width="22.25" bestFit="1" customWidth="1" min="37" max="37"/>
    <col width="17.625" bestFit="1" customWidth="1" min="38" max="38"/>
    <col width="16.875" bestFit="1" customWidth="1" min="39" max="39"/>
    <col width="21.125" bestFit="1" customWidth="1" min="40" max="40"/>
    <col width="14.375" customWidth="1" min="41" max="41"/>
    <col width="30.625" customWidth="1" min="42" max="42"/>
  </cols>
  <sheetData>
    <row r="1" ht="18" customHeight="1">
      <c r="A1" s="16" t="inlineStr">
        <is>
          <t>EMPLOYEES</t>
        </is>
      </c>
      <c r="D1" s="19">
        <f>SUM(T_EMPLOYEES[ERROR IND])&amp;" Errors"</f>
        <v/>
      </c>
    </row>
    <row r="2" ht="16.5" customHeight="1">
      <c r="C2" s="13" t="inlineStr">
        <is>
          <t>Unique. Required</t>
        </is>
      </c>
      <c r="D2" s="19" t="n"/>
      <c r="E2" s="13" t="inlineStr">
        <is>
          <t>Required</t>
        </is>
      </c>
      <c r="F2" s="13" t="inlineStr">
        <is>
          <t>Required</t>
        </is>
      </c>
      <c r="G2" s="13" t="n"/>
      <c r="H2" s="13" t="inlineStr">
        <is>
          <t>Required</t>
        </is>
      </c>
      <c r="I2" s="13" t="inlineStr">
        <is>
          <t>Required</t>
        </is>
      </c>
      <c r="J2" s="13" t="inlineStr">
        <is>
          <t>Required</t>
        </is>
      </c>
      <c r="K2" s="13" t="inlineStr">
        <is>
          <t>Required</t>
        </is>
      </c>
      <c r="L2" s="13" t="inlineStr">
        <is>
          <t>Required</t>
        </is>
      </c>
      <c r="M2" s="13" t="inlineStr">
        <is>
          <t>Required</t>
        </is>
      </c>
      <c r="N2" s="13" t="inlineStr">
        <is>
          <t>Required</t>
        </is>
      </c>
      <c r="O2" s="13" t="inlineStr">
        <is>
          <t>Required</t>
        </is>
      </c>
      <c r="P2" s="13" t="inlineStr">
        <is>
          <t>Required</t>
        </is>
      </c>
      <c r="Q2" s="13" t="inlineStr">
        <is>
          <t>Required</t>
        </is>
      </c>
      <c r="R2" s="18" t="inlineStr">
        <is>
          <t>Optional</t>
        </is>
      </c>
      <c r="S2" s="18" t="inlineStr">
        <is>
          <t>Optional</t>
        </is>
      </c>
      <c r="T2" s="18" t="n"/>
      <c r="U2" s="18" t="n"/>
      <c r="V2" s="18" t="n"/>
      <c r="W2" s="18" t="n"/>
    </row>
    <row r="3">
      <c r="A3" t="inlineStr">
        <is>
          <t>EMPLOYEE FIRST NAME</t>
        </is>
      </c>
      <c r="B3" t="inlineStr">
        <is>
          <t>EMPLOYEE LAST NAME</t>
        </is>
      </c>
      <c r="C3" t="inlineStr">
        <is>
          <t>EMPLOYEE NUMBER</t>
        </is>
      </c>
      <c r="D3" t="inlineStr">
        <is>
          <t>EMAIL</t>
        </is>
      </c>
      <c r="E3" t="inlineStr">
        <is>
          <t>DATE OF BIRTH</t>
        </is>
      </c>
      <c r="F3" t="inlineStr">
        <is>
          <t>START DATE</t>
        </is>
      </c>
      <c r="G3" t="inlineStr">
        <is>
          <t>EXIT DATE</t>
        </is>
      </c>
      <c r="H3" t="inlineStr">
        <is>
          <t>GENDER</t>
        </is>
      </c>
      <c r="I3" t="inlineStr">
        <is>
          <t>ETHNICITY</t>
        </is>
      </c>
      <c r="J3" t="inlineStr">
        <is>
          <t>HIRE SOURCE</t>
        </is>
      </c>
      <c r="K3" t="inlineStr">
        <is>
          <t>LOCATION</t>
        </is>
      </c>
      <c r="L3" t="inlineStr">
        <is>
          <t>DEPARTMENT</t>
        </is>
      </c>
      <c r="M3" t="inlineStr">
        <is>
          <t>JOB TYPE</t>
        </is>
      </c>
      <c r="N3" t="inlineStr">
        <is>
          <t>JOB CATEGORY</t>
        </is>
      </c>
      <c r="O3" t="inlineStr">
        <is>
          <t>JOB LEVEL</t>
        </is>
      </c>
      <c r="P3" t="inlineStr">
        <is>
          <t>JOB TITLE</t>
        </is>
      </c>
      <c r="Q3" t="inlineStr">
        <is>
          <t>MANAGER</t>
        </is>
      </c>
      <c r="R3" t="inlineStr">
        <is>
          <t>Prior EXPERIENCE1</t>
        </is>
      </c>
      <c r="S3" t="inlineStr">
        <is>
          <t>EMP_CTC1</t>
        </is>
      </c>
      <c r="T3" t="inlineStr">
        <is>
          <t>M_Salary</t>
        </is>
      </c>
      <c r="U3" t="inlineStr">
        <is>
          <t>Prev_CTC2</t>
        </is>
      </c>
      <c r="V3" t="inlineStr">
        <is>
          <t>State</t>
        </is>
      </c>
      <c r="W3" t="inlineStr">
        <is>
          <t>Project Working</t>
        </is>
      </c>
      <c r="X3" s="14" t="inlineStr">
        <is>
          <t>EMPLOYEE LABEL</t>
        </is>
      </c>
      <c r="Y3" s="14" t="inlineStr">
        <is>
          <t>Last_Bonus</t>
        </is>
      </c>
      <c r="Z3" s="14" t="inlineStr">
        <is>
          <t>Hike_Percentage</t>
        </is>
      </c>
      <c r="AA3" s="14" t="inlineStr">
        <is>
          <t>EMPLOYEE SYS ID</t>
        </is>
      </c>
      <c r="AB3" s="14" t="inlineStr">
        <is>
          <t>EMPLOYEE NUM ERROR</t>
        </is>
      </c>
      <c r="AC3" s="14" t="inlineStr">
        <is>
          <t>DOB DV</t>
        </is>
      </c>
      <c r="AD3" s="14" t="inlineStr">
        <is>
          <t>START DATE DV</t>
        </is>
      </c>
      <c r="AE3" s="14" t="inlineStr">
        <is>
          <t>GENDER SYS ID</t>
        </is>
      </c>
      <c r="AF3" s="14" t="inlineStr">
        <is>
          <t>HIRE SOURCE SYS ID</t>
        </is>
      </c>
      <c r="AG3" s="14" t="inlineStr">
        <is>
          <t>ETHNICITY SYS ID</t>
        </is>
      </c>
      <c r="AH3" s="14" t="inlineStr">
        <is>
          <t>LOCATION SYS ID</t>
        </is>
      </c>
      <c r="AI3" s="14" t="inlineStr">
        <is>
          <t>DEPARTMENT SYS ID</t>
        </is>
      </c>
      <c r="AJ3" s="14" t="inlineStr">
        <is>
          <t>JOB TYPE SYS ID</t>
        </is>
      </c>
      <c r="AK3" s="14" t="inlineStr">
        <is>
          <t>JOB CATEGORY SYS ID</t>
        </is>
      </c>
      <c r="AL3" s="14" t="inlineStr">
        <is>
          <t>JOB LEVEL SYS ID</t>
        </is>
      </c>
      <c r="AM3" s="14" t="inlineStr">
        <is>
          <t>JOB TITLE SYS ID</t>
        </is>
      </c>
      <c r="AN3" s="14" t="inlineStr">
        <is>
          <t>MANAGER EMP SYS ID</t>
        </is>
      </c>
      <c r="AO3" s="14" t="inlineStr">
        <is>
          <t>ERROR IND</t>
        </is>
      </c>
      <c r="AP3" s="14" t="inlineStr">
        <is>
          <t>ERROR</t>
        </is>
      </c>
      <c r="AQ3" t="inlineStr">
        <is>
          <t>Module</t>
        </is>
      </c>
    </row>
    <row r="4">
      <c r="A4" t="inlineStr">
        <is>
          <t>Anand</t>
        </is>
      </c>
      <c r="B4" t="inlineStr">
        <is>
          <t>Kumar Potdar</t>
        </is>
      </c>
      <c r="C4" t="n">
        <v>1019272</v>
      </c>
      <c r="D4" t="inlineStr">
        <is>
          <t>anandp@infinite.com</t>
        </is>
      </c>
      <c r="E4" s="26" t="n">
        <v>23529</v>
      </c>
      <c r="F4" s="26" t="n">
        <v>42816</v>
      </c>
      <c r="G4" s="26" t="n">
        <v>45575</v>
      </c>
      <c r="H4" t="inlineStr">
        <is>
          <t>Male</t>
        </is>
      </c>
      <c r="I4" t="inlineStr">
        <is>
          <t>Asian</t>
        </is>
      </c>
      <c r="J4" t="inlineStr">
        <is>
          <t>WEBSITE</t>
        </is>
      </c>
      <c r="K4" t="inlineStr">
        <is>
          <t>Bangalore</t>
        </is>
      </c>
      <c r="L4" s="27" t="inlineStr">
        <is>
          <t>Core</t>
        </is>
      </c>
      <c r="M4" t="inlineStr">
        <is>
          <t>Full-Time</t>
        </is>
      </c>
      <c r="N4" t="inlineStr">
        <is>
          <t>Technical Manager</t>
        </is>
      </c>
      <c r="O4" t="inlineStr">
        <is>
          <t>E6</t>
        </is>
      </c>
      <c r="P4" t="inlineStr">
        <is>
          <t>Technical Manager</t>
        </is>
      </c>
      <c r="Q4" t="inlineStr">
        <is>
          <t>Dipakbhai Motibhai Tandel (1027230)</t>
        </is>
      </c>
      <c r="R4" s="27" t="n">
        <v>7</v>
      </c>
      <c r="S4" s="1" t="n">
        <v>2000000</v>
      </c>
      <c r="T4" s="1">
        <f>ROUND(T_EMPLOYEES[[#This Row],[EMP_CTC1]]/12, 0)</f>
        <v/>
      </c>
      <c r="U4" s="1" t="n">
        <v>130000</v>
      </c>
      <c r="V4" s="1" t="inlineStr">
        <is>
          <t>NH</t>
        </is>
      </c>
      <c r="W4" s="1" t="inlineStr">
        <is>
          <t>NH</t>
        </is>
      </c>
      <c r="X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" t="n">
        <v>40000</v>
      </c>
      <c r="Z4" s="29">
        <f>(S5 - U5)/S5 * 100</f>
        <v/>
      </c>
      <c r="AA4">
        <f>IF(T_EMPLOYEES[[#This Row],[EMPLOYEE NUMBER]]="","",ROW(T_EMPLOYEES[[#This Row],[EMPLOYEE LABEL]])-ROW(T_EMPLOYEES[[#Headers],[EMPLOYEE LABEL]]))</f>
        <v/>
      </c>
      <c r="AB4">
        <f>IF(T_EMPLOYEES[[#This Row],[EMPLOYEE NUMBER]]="","",IF(COUNTIF(T_EMPLOYEES[EMPLOYEE NUMBER],T_EMPLOYEES[[#This Row],[EMPLOYEE NUMBER]])&gt;1,1,0))</f>
        <v/>
      </c>
      <c r="AC4">
        <f>IF(T_EMPLOYEES[[#This Row],[EMPLOYEE NUMBER]]="","",IF(AND(T_EMPLOYEES[[#This Row],[DATE OF BIRTH]]&gt;0,T_EMPLOYEES[[#This Row],[DATE OF BIRTH]]&lt;TODAY()),0,1))</f>
        <v/>
      </c>
      <c r="AD4">
        <f>IF(T_EMPLOYEES[[#This Row],[EMPLOYEE NUMBER]]="","",IF(AND(T_EMPLOYEES[[#This Row],[START DATE]]&gt;0,T_EMPLOYEES[[#This Row],[START DATE]]&lt;TODAY()+60),0,1))</f>
        <v/>
      </c>
      <c r="AE4">
        <f>IF(T_EMPLOYEES[[#This Row],[EMPLOYEE NUMBER]]="","",MATCH(T_EMPLOYEES[[#This Row],[GENDER]],L_GENDER,0))</f>
        <v/>
      </c>
      <c r="AF4">
        <f>IF(T_EMPLOYEES[[#This Row],[EMPLOYEE NUMBER]]="","",MATCH(T_EMPLOYEES[[#This Row],[HIRE SOURCE]],L_HIRESOURCE,0))</f>
        <v/>
      </c>
      <c r="AG4">
        <f>IF(T_EMPLOYEES[[#This Row],[EMPLOYEE NUMBER]]="","",MATCH(T_EMPLOYEES[[#This Row],[ETHNICITY]],L_ETHNICITY,0))</f>
        <v/>
      </c>
      <c r="AH4">
        <f>IF(T_EMPLOYEES[[#This Row],[EMPLOYEE NUMBER]]="","",MATCH(T_EMPLOYEES[[#This Row],[LOCATION]],L_LOCATION,0))</f>
        <v/>
      </c>
      <c r="AI4">
        <f>IF(T_EMPLOYEES[[#This Row],[EMPLOYEE NUMBER]]="","",MATCH(T_EMPLOYEES[[#This Row],[DEPARTMENT]],L_DEPARTMENT,0))</f>
        <v/>
      </c>
      <c r="AJ4">
        <f>IF(T_EMPLOYEES[[#This Row],[EMPLOYEE NUMBER]]="","",MATCH(T_EMPLOYEES[[#This Row],[JOB TYPE]],L_JOBTYPE,0))</f>
        <v/>
      </c>
      <c r="AK4">
        <f>IF(T_EMPLOYEES[[#This Row],[EMPLOYEE NUMBER]]="","",MATCH(T_EMPLOYEES[[#This Row],[JOB CATEGORY]],L_JOBCATEGORY,0))</f>
        <v/>
      </c>
      <c r="AL4">
        <f>IF(T_EMPLOYEES[[#This Row],[EMPLOYEE NUMBER]]="","",MATCH(T_EMPLOYEES[[#This Row],[JOB LEVEL]],L_JOBLEVEL,0))</f>
        <v/>
      </c>
      <c r="AM4">
        <f>IF(T_EMPLOYEES[[#This Row],[EMPLOYEE NUMBER]]="","",MATCH(T_EMPLOYEES[[#This Row],[JOB TITLE]],L_JOBTITLE,0))</f>
        <v/>
      </c>
      <c r="AN4">
        <f>IF(T_EMPLOYEES[[#This Row],[EMPLOYEE NUMBER]]="","",MATCH(T_EMPLOYEES[[#This Row],[MANAGER]],L_EMPLABELS,0))</f>
        <v/>
      </c>
      <c r="AO4">
        <f>IF(T_EMPLOYEES[[#This Row],[EMPLOYEE NUMBER]]="","",IF(T_EMPLOYEES[[#This Row],[ERROR]]="",0,1))</f>
        <v/>
      </c>
      <c r="AP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">
      <c r="A5" t="inlineStr">
        <is>
          <t>Niranjan</t>
        </is>
      </c>
      <c r="B5" t="inlineStr">
        <is>
          <t>Reddy G</t>
        </is>
      </c>
      <c r="C5" t="n">
        <v>1032824</v>
      </c>
      <c r="D5" t="inlineStr">
        <is>
          <t>Niranjan.Reddy3@infinite.com</t>
        </is>
      </c>
      <c r="E5" s="26" t="n">
        <v>25965</v>
      </c>
      <c r="F5" s="26" t="n">
        <v>45065</v>
      </c>
      <c r="G5" s="26" t="n">
        <v>45575</v>
      </c>
      <c r="H5" t="inlineStr">
        <is>
          <t>Male</t>
        </is>
      </c>
      <c r="I5" t="inlineStr">
        <is>
          <t>Asian</t>
        </is>
      </c>
      <c r="J5" t="inlineStr">
        <is>
          <t>WEBSITE</t>
        </is>
      </c>
      <c r="K5" t="inlineStr">
        <is>
          <t>Hyderabad</t>
        </is>
      </c>
      <c r="L5" s="27" t="inlineStr">
        <is>
          <t>IT</t>
        </is>
      </c>
      <c r="M5" t="inlineStr">
        <is>
          <t>Full-Time</t>
        </is>
      </c>
      <c r="N5" t="inlineStr">
        <is>
          <t>Program Manager</t>
        </is>
      </c>
      <c r="O5" t="inlineStr">
        <is>
          <t>E7</t>
        </is>
      </c>
      <c r="P5" t="inlineStr">
        <is>
          <t>Program Manager</t>
        </is>
      </c>
      <c r="Q5" t="inlineStr">
        <is>
          <t>Nagarajan K (1019672)</t>
        </is>
      </c>
      <c r="R5" t="n">
        <v>3</v>
      </c>
      <c r="S5" s="1" t="n">
        <v>2500000</v>
      </c>
      <c r="T5" s="1">
        <f>ROUND(T_EMPLOYEES[[#This Row],[EMP_CTC1]]/12, 0)</f>
        <v/>
      </c>
      <c r="U5" s="1" t="n">
        <v>150000</v>
      </c>
      <c r="V5" s="1" t="inlineStr">
        <is>
          <t>NH</t>
        </is>
      </c>
      <c r="W5" s="1" t="inlineStr">
        <is>
          <t>NH</t>
        </is>
      </c>
      <c r="X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" t="n">
        <v>50000</v>
      </c>
      <c r="Z5" s="29">
        <f>(S6 - U6)/S6 * 100</f>
        <v/>
      </c>
      <c r="AA5">
        <f>IF(T_EMPLOYEES[[#This Row],[EMPLOYEE NUMBER]]="","",ROW(T_EMPLOYEES[[#This Row],[EMPLOYEE LABEL]])-ROW(T_EMPLOYEES[[#Headers],[EMPLOYEE LABEL]]))</f>
        <v/>
      </c>
      <c r="AB5">
        <f>IF(T_EMPLOYEES[[#This Row],[EMPLOYEE NUMBER]]="","",IF(COUNTIF(T_EMPLOYEES[EMPLOYEE NUMBER],T_EMPLOYEES[[#This Row],[EMPLOYEE NUMBER]])&gt;1,1,0))</f>
        <v/>
      </c>
      <c r="AC5">
        <f>IF(T_EMPLOYEES[[#This Row],[EMPLOYEE NUMBER]]="","",IF(AND(T_EMPLOYEES[[#This Row],[DATE OF BIRTH]]&gt;0,T_EMPLOYEES[[#This Row],[DATE OF BIRTH]]&lt;TODAY()),0,1))</f>
        <v/>
      </c>
      <c r="AD5">
        <f>IF(T_EMPLOYEES[[#This Row],[EMPLOYEE NUMBER]]="","",IF(AND(T_EMPLOYEES[[#This Row],[START DATE]]&gt;0,T_EMPLOYEES[[#This Row],[START DATE]]&lt;TODAY()+60),0,1))</f>
        <v/>
      </c>
      <c r="AE5">
        <f>IF(T_EMPLOYEES[[#This Row],[EMPLOYEE NUMBER]]="","",MATCH(T_EMPLOYEES[[#This Row],[GENDER]],L_GENDER,0))</f>
        <v/>
      </c>
      <c r="AF5">
        <f>IF(T_EMPLOYEES[[#This Row],[EMPLOYEE NUMBER]]="","",MATCH(T_EMPLOYEES[[#This Row],[HIRE SOURCE]],L_HIRESOURCE,0))</f>
        <v/>
      </c>
      <c r="AG5">
        <f>IF(T_EMPLOYEES[[#This Row],[EMPLOYEE NUMBER]]="","",MATCH(T_EMPLOYEES[[#This Row],[ETHNICITY]],L_ETHNICITY,0))</f>
        <v/>
      </c>
      <c r="AH5">
        <f>IF(T_EMPLOYEES[[#This Row],[EMPLOYEE NUMBER]]="","",MATCH(T_EMPLOYEES[[#This Row],[LOCATION]],L_LOCATION,0))</f>
        <v/>
      </c>
      <c r="AI5">
        <f>IF(T_EMPLOYEES[[#This Row],[EMPLOYEE NUMBER]]="","",MATCH(T_EMPLOYEES[[#This Row],[DEPARTMENT]],L_DEPARTMENT,0))</f>
        <v/>
      </c>
      <c r="AJ5">
        <f>IF(T_EMPLOYEES[[#This Row],[EMPLOYEE NUMBER]]="","",MATCH(T_EMPLOYEES[[#This Row],[JOB TYPE]],L_JOBTYPE,0))</f>
        <v/>
      </c>
      <c r="AK5">
        <f>IF(T_EMPLOYEES[[#This Row],[EMPLOYEE NUMBER]]="","",MATCH(T_EMPLOYEES[[#This Row],[JOB CATEGORY]],L_JOBCATEGORY,0))</f>
        <v/>
      </c>
      <c r="AL5">
        <f>IF(T_EMPLOYEES[[#This Row],[EMPLOYEE NUMBER]]="","",MATCH(T_EMPLOYEES[[#This Row],[JOB LEVEL]],L_JOBLEVEL,0))</f>
        <v/>
      </c>
      <c r="AM5">
        <f>IF(T_EMPLOYEES[[#This Row],[EMPLOYEE NUMBER]]="","",MATCH(T_EMPLOYEES[[#This Row],[JOB TITLE]],L_JOBTITLE,0))</f>
        <v/>
      </c>
      <c r="AN5">
        <f>IF(T_EMPLOYEES[[#This Row],[EMPLOYEE NUMBER]]="","",MATCH(T_EMPLOYEES[[#This Row],[MANAGER]],L_EMPLABELS,0))</f>
        <v/>
      </c>
      <c r="AO5">
        <f>IF(T_EMPLOYEES[[#This Row],[EMPLOYEE NUMBER]]="","",IF(T_EMPLOYEES[[#This Row],[ERROR]]="",0,1))</f>
        <v/>
      </c>
      <c r="AP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">
      <c r="A6" t="inlineStr">
        <is>
          <t>Joel</t>
        </is>
      </c>
      <c r="B6" t="inlineStr">
        <is>
          <t>Clifton Dsouza</t>
        </is>
      </c>
      <c r="C6" t="n">
        <v>1012233</v>
      </c>
      <c r="D6" t="inlineStr">
        <is>
          <t>Joel.Dsouza@infinite.com</t>
        </is>
      </c>
      <c r="E6" s="26" t="n">
        <v>26365</v>
      </c>
      <c r="F6" s="26" t="n">
        <v>41173</v>
      </c>
      <c r="G6" s="26" t="n">
        <v>44875</v>
      </c>
      <c r="H6" t="inlineStr">
        <is>
          <t>Male</t>
        </is>
      </c>
      <c r="I6" t="inlineStr">
        <is>
          <t>Asian</t>
        </is>
      </c>
      <c r="J6" t="inlineStr">
        <is>
          <t>WEBSITE</t>
        </is>
      </c>
      <c r="K6" t="inlineStr">
        <is>
          <t>Hyderabad</t>
        </is>
      </c>
      <c r="L6" s="27" t="inlineStr">
        <is>
          <t>IT</t>
        </is>
      </c>
      <c r="M6" t="inlineStr">
        <is>
          <t>Full-Time</t>
        </is>
      </c>
      <c r="N6" t="inlineStr">
        <is>
          <t>Senior Project Manager</t>
        </is>
      </c>
      <c r="O6" t="inlineStr">
        <is>
          <t>E7</t>
        </is>
      </c>
      <c r="P6" t="inlineStr">
        <is>
          <t>Senior Project Manager</t>
        </is>
      </c>
      <c r="Q6" t="inlineStr">
        <is>
          <t>Radhakanta  Samantara (1010164)</t>
        </is>
      </c>
      <c r="R6" s="27" t="n">
        <v>4</v>
      </c>
      <c r="S6" s="1" t="n">
        <v>300000</v>
      </c>
      <c r="T6" s="1">
        <f>ROUND(T_EMPLOYEES[[#This Row],[EMP_CTC1]]/12, 0)</f>
        <v/>
      </c>
      <c r="U6" s="1" t="n">
        <v>30000</v>
      </c>
      <c r="V6" s="1" t="inlineStr">
        <is>
          <t>NH</t>
        </is>
      </c>
      <c r="W6" s="1" t="inlineStr">
        <is>
          <t>NH</t>
        </is>
      </c>
      <c r="X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" t="n">
        <v>60000</v>
      </c>
      <c r="Z6" s="29">
        <f>(S7 - U7)/S7 * 100</f>
        <v/>
      </c>
      <c r="AA6">
        <f>IF(T_EMPLOYEES[[#This Row],[EMPLOYEE NUMBER]]="","",ROW(T_EMPLOYEES[[#This Row],[EMPLOYEE LABEL]])-ROW(T_EMPLOYEES[[#Headers],[EMPLOYEE LABEL]]))</f>
        <v/>
      </c>
      <c r="AB6">
        <f>IF(T_EMPLOYEES[[#This Row],[EMPLOYEE NUMBER]]="","",IF(COUNTIF(T_EMPLOYEES[EMPLOYEE NUMBER],T_EMPLOYEES[[#This Row],[EMPLOYEE NUMBER]])&gt;1,1,0))</f>
        <v/>
      </c>
      <c r="AC6">
        <f>IF(T_EMPLOYEES[[#This Row],[EMPLOYEE NUMBER]]="","",IF(AND(T_EMPLOYEES[[#This Row],[DATE OF BIRTH]]&gt;0,T_EMPLOYEES[[#This Row],[DATE OF BIRTH]]&lt;TODAY()),0,1))</f>
        <v/>
      </c>
      <c r="AD6">
        <f>IF(T_EMPLOYEES[[#This Row],[EMPLOYEE NUMBER]]="","",IF(AND(T_EMPLOYEES[[#This Row],[START DATE]]&gt;0,T_EMPLOYEES[[#This Row],[START DATE]]&lt;TODAY()+60),0,1))</f>
        <v/>
      </c>
      <c r="AE6">
        <f>IF(T_EMPLOYEES[[#This Row],[EMPLOYEE NUMBER]]="","",MATCH(T_EMPLOYEES[[#This Row],[GENDER]],L_GENDER,0))</f>
        <v/>
      </c>
      <c r="AF6">
        <f>IF(T_EMPLOYEES[[#This Row],[EMPLOYEE NUMBER]]="","",MATCH(T_EMPLOYEES[[#This Row],[HIRE SOURCE]],L_HIRESOURCE,0))</f>
        <v/>
      </c>
      <c r="AG6">
        <f>IF(T_EMPLOYEES[[#This Row],[EMPLOYEE NUMBER]]="","",MATCH(T_EMPLOYEES[[#This Row],[ETHNICITY]],L_ETHNICITY,0))</f>
        <v/>
      </c>
      <c r="AH6">
        <f>IF(T_EMPLOYEES[[#This Row],[EMPLOYEE NUMBER]]="","",MATCH(T_EMPLOYEES[[#This Row],[LOCATION]],L_LOCATION,0))</f>
        <v/>
      </c>
      <c r="AI6">
        <f>IF(T_EMPLOYEES[[#This Row],[EMPLOYEE NUMBER]]="","",MATCH(T_EMPLOYEES[[#This Row],[DEPARTMENT]],L_DEPARTMENT,0))</f>
        <v/>
      </c>
      <c r="AJ6">
        <f>IF(T_EMPLOYEES[[#This Row],[EMPLOYEE NUMBER]]="","",MATCH(T_EMPLOYEES[[#This Row],[JOB TYPE]],L_JOBTYPE,0))</f>
        <v/>
      </c>
      <c r="AK6">
        <f>IF(T_EMPLOYEES[[#This Row],[EMPLOYEE NUMBER]]="","",MATCH(T_EMPLOYEES[[#This Row],[JOB CATEGORY]],L_JOBCATEGORY,0))</f>
        <v/>
      </c>
      <c r="AL6">
        <f>IF(T_EMPLOYEES[[#This Row],[EMPLOYEE NUMBER]]="","",MATCH(T_EMPLOYEES[[#This Row],[JOB LEVEL]],L_JOBLEVEL,0))</f>
        <v/>
      </c>
      <c r="AM6">
        <f>IF(T_EMPLOYEES[[#This Row],[EMPLOYEE NUMBER]]="","",MATCH(T_EMPLOYEES[[#This Row],[JOB TITLE]],L_JOBTITLE,0))</f>
        <v/>
      </c>
      <c r="AN6">
        <f>IF(T_EMPLOYEES[[#This Row],[EMPLOYEE NUMBER]]="","",MATCH(T_EMPLOYEES[[#This Row],[MANAGER]],L_EMPLABELS,0))</f>
        <v/>
      </c>
      <c r="AO6">
        <f>IF(T_EMPLOYEES[[#This Row],[EMPLOYEE NUMBER]]="","",IF(T_EMPLOYEES[[#This Row],[ERROR]]="",0,1))</f>
        <v/>
      </c>
      <c r="AP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">
      <c r="A7" t="inlineStr">
        <is>
          <t>M</t>
        </is>
      </c>
      <c r="B7" t="inlineStr">
        <is>
          <t>Jitendar Reddy</t>
        </is>
      </c>
      <c r="C7" t="n">
        <v>1020217</v>
      </c>
      <c r="D7" t="inlineStr">
        <is>
          <t>Jitendar.Reddy@infinite.com</t>
        </is>
      </c>
      <c r="E7" s="26" t="n">
        <v>26389</v>
      </c>
      <c r="F7" s="26" t="n">
        <v>43138</v>
      </c>
      <c r="G7" s="26" t="n">
        <v>45606</v>
      </c>
      <c r="H7" t="inlineStr">
        <is>
          <t>Male</t>
        </is>
      </c>
      <c r="I7" t="inlineStr">
        <is>
          <t>Asian</t>
        </is>
      </c>
      <c r="J7" t="inlineStr">
        <is>
          <t>WEBSITE</t>
        </is>
      </c>
      <c r="K7" t="inlineStr">
        <is>
          <t>Hyderabad</t>
        </is>
      </c>
      <c r="L7" s="27" t="inlineStr">
        <is>
          <t>IT</t>
        </is>
      </c>
      <c r="M7" t="inlineStr">
        <is>
          <t>Full-Time</t>
        </is>
      </c>
      <c r="N7" t="inlineStr">
        <is>
          <t>Senior Technical Lead</t>
        </is>
      </c>
      <c r="O7" t="inlineStr">
        <is>
          <t>E5</t>
        </is>
      </c>
      <c r="P7" t="inlineStr">
        <is>
          <t>Senior Technical Lead</t>
        </is>
      </c>
      <c r="Q7" t="inlineStr">
        <is>
          <t>Siddharth Kumar (1027551)</t>
        </is>
      </c>
      <c r="R7" t="n">
        <v>7</v>
      </c>
      <c r="S7" s="1" t="n">
        <v>320000</v>
      </c>
      <c r="T7" s="1">
        <f>ROUND(T_EMPLOYEES[[#This Row],[EMP_CTC1]]/12, 0)</f>
        <v/>
      </c>
      <c r="U7" s="1" t="n">
        <v>72000</v>
      </c>
      <c r="V7" s="1" t="inlineStr">
        <is>
          <t>NH</t>
        </is>
      </c>
      <c r="W7" s="1" t="inlineStr">
        <is>
          <t>NH</t>
        </is>
      </c>
      <c r="X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" t="n">
        <v>92000</v>
      </c>
      <c r="Z7" s="29">
        <f>(S8 - U8)/S8 * 100</f>
        <v/>
      </c>
      <c r="AA7">
        <f>IF(T_EMPLOYEES[[#This Row],[EMPLOYEE NUMBER]]="","",ROW(T_EMPLOYEES[[#This Row],[EMPLOYEE LABEL]])-ROW(T_EMPLOYEES[[#Headers],[EMPLOYEE LABEL]]))</f>
        <v/>
      </c>
      <c r="AB7">
        <f>IF(T_EMPLOYEES[[#This Row],[EMPLOYEE NUMBER]]="","",IF(COUNTIF(T_EMPLOYEES[EMPLOYEE NUMBER],T_EMPLOYEES[[#This Row],[EMPLOYEE NUMBER]])&gt;1,1,0))</f>
        <v/>
      </c>
      <c r="AC7">
        <f>IF(T_EMPLOYEES[[#This Row],[EMPLOYEE NUMBER]]="","",IF(AND(T_EMPLOYEES[[#This Row],[DATE OF BIRTH]]&gt;0,T_EMPLOYEES[[#This Row],[DATE OF BIRTH]]&lt;TODAY()),0,1))</f>
        <v/>
      </c>
      <c r="AD7">
        <f>IF(T_EMPLOYEES[[#This Row],[EMPLOYEE NUMBER]]="","",IF(AND(T_EMPLOYEES[[#This Row],[START DATE]]&gt;0,T_EMPLOYEES[[#This Row],[START DATE]]&lt;TODAY()+60),0,1))</f>
        <v/>
      </c>
      <c r="AE7">
        <f>IF(T_EMPLOYEES[[#This Row],[EMPLOYEE NUMBER]]="","",MATCH(T_EMPLOYEES[[#This Row],[GENDER]],L_GENDER,0))</f>
        <v/>
      </c>
      <c r="AF7">
        <f>IF(T_EMPLOYEES[[#This Row],[EMPLOYEE NUMBER]]="","",MATCH(T_EMPLOYEES[[#This Row],[HIRE SOURCE]],L_HIRESOURCE,0))</f>
        <v/>
      </c>
      <c r="AG7">
        <f>IF(T_EMPLOYEES[[#This Row],[EMPLOYEE NUMBER]]="","",MATCH(T_EMPLOYEES[[#This Row],[ETHNICITY]],L_ETHNICITY,0))</f>
        <v/>
      </c>
      <c r="AH7">
        <f>IF(T_EMPLOYEES[[#This Row],[EMPLOYEE NUMBER]]="","",MATCH(T_EMPLOYEES[[#This Row],[LOCATION]],L_LOCATION,0))</f>
        <v/>
      </c>
      <c r="AI7">
        <f>IF(T_EMPLOYEES[[#This Row],[EMPLOYEE NUMBER]]="","",MATCH(T_EMPLOYEES[[#This Row],[DEPARTMENT]],L_DEPARTMENT,0))</f>
        <v/>
      </c>
      <c r="AJ7">
        <f>IF(T_EMPLOYEES[[#This Row],[EMPLOYEE NUMBER]]="","",MATCH(T_EMPLOYEES[[#This Row],[JOB TYPE]],L_JOBTYPE,0))</f>
        <v/>
      </c>
      <c r="AK7">
        <f>IF(T_EMPLOYEES[[#This Row],[EMPLOYEE NUMBER]]="","",MATCH(T_EMPLOYEES[[#This Row],[JOB CATEGORY]],L_JOBCATEGORY,0))</f>
        <v/>
      </c>
      <c r="AL7">
        <f>IF(T_EMPLOYEES[[#This Row],[EMPLOYEE NUMBER]]="","",MATCH(T_EMPLOYEES[[#This Row],[JOB LEVEL]],L_JOBLEVEL,0))</f>
        <v/>
      </c>
      <c r="AM7">
        <f>IF(T_EMPLOYEES[[#This Row],[EMPLOYEE NUMBER]]="","",MATCH(T_EMPLOYEES[[#This Row],[JOB TITLE]],L_JOBTITLE,0))</f>
        <v/>
      </c>
      <c r="AN7">
        <f>IF(T_EMPLOYEES[[#This Row],[EMPLOYEE NUMBER]]="","",MATCH(T_EMPLOYEES[[#This Row],[MANAGER]],L_EMPLABELS,0))</f>
        <v/>
      </c>
      <c r="AO7">
        <f>IF(T_EMPLOYEES[[#This Row],[EMPLOYEE NUMBER]]="","",IF(T_EMPLOYEES[[#This Row],[ERROR]]="",0,1))</f>
        <v/>
      </c>
      <c r="AP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7" t="inlineStr">
        <is>
          <t>Service Authorization</t>
        </is>
      </c>
    </row>
    <row r="8">
      <c r="A8" t="inlineStr">
        <is>
          <t>Shingnapurkar</t>
        </is>
      </c>
      <c r="B8" t="inlineStr">
        <is>
          <t>Prasad P</t>
        </is>
      </c>
      <c r="C8" t="n">
        <v>1028704</v>
      </c>
      <c r="D8" t="inlineStr">
        <is>
          <t>Prasad.Shingnapurkar@infinite.com</t>
        </is>
      </c>
      <c r="E8" s="26" t="n">
        <v>26478</v>
      </c>
      <c r="F8" s="26" t="n">
        <v>44649</v>
      </c>
      <c r="G8" s="26" t="n">
        <v>45575</v>
      </c>
      <c r="H8" t="inlineStr">
        <is>
          <t>Male</t>
        </is>
      </c>
      <c r="I8" t="inlineStr">
        <is>
          <t>Asian</t>
        </is>
      </c>
      <c r="J8" t="inlineStr">
        <is>
          <t>WEBSITE</t>
        </is>
      </c>
      <c r="K8" t="inlineStr">
        <is>
          <t>Hyderabad</t>
        </is>
      </c>
      <c r="L8" s="27" t="inlineStr">
        <is>
          <t>IT</t>
        </is>
      </c>
      <c r="M8" t="inlineStr">
        <is>
          <t>Full-Time</t>
        </is>
      </c>
      <c r="N8" t="inlineStr">
        <is>
          <t>Senior Software Test Engineer</t>
        </is>
      </c>
      <c r="O8" t="inlineStr">
        <is>
          <t>E3</t>
        </is>
      </c>
      <c r="P8" t="inlineStr">
        <is>
          <t>Senior Software Test Engineer</t>
        </is>
      </c>
      <c r="Q8" t="inlineStr">
        <is>
          <t>Sreekanth  Pulumati (1022868)</t>
        </is>
      </c>
      <c r="R8" s="27" t="n">
        <v>5</v>
      </c>
      <c r="S8" s="1" t="n">
        <v>150000</v>
      </c>
      <c r="T8" s="1">
        <f>ROUND(T_EMPLOYEES[[#This Row],[EMP_CTC1]]/12, 0)</f>
        <v/>
      </c>
      <c r="U8" s="1" t="n">
        <v>55000</v>
      </c>
      <c r="V8" s="1" t="inlineStr">
        <is>
          <t>NH</t>
        </is>
      </c>
      <c r="W8" s="1" t="inlineStr">
        <is>
          <t>NH</t>
        </is>
      </c>
      <c r="X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" t="n">
        <v>100000</v>
      </c>
      <c r="Z8" s="29">
        <f>(S9 - U9)/S9 * 100</f>
        <v/>
      </c>
      <c r="AA8">
        <f>IF(T_EMPLOYEES[[#This Row],[EMPLOYEE NUMBER]]="","",ROW(T_EMPLOYEES[[#This Row],[EMPLOYEE LABEL]])-ROW(T_EMPLOYEES[[#Headers],[EMPLOYEE LABEL]]))</f>
        <v/>
      </c>
      <c r="AB8">
        <f>IF(T_EMPLOYEES[[#This Row],[EMPLOYEE NUMBER]]="","",IF(COUNTIF(T_EMPLOYEES[EMPLOYEE NUMBER],T_EMPLOYEES[[#This Row],[EMPLOYEE NUMBER]])&gt;1,1,0))</f>
        <v/>
      </c>
      <c r="AC8">
        <f>IF(T_EMPLOYEES[[#This Row],[EMPLOYEE NUMBER]]="","",IF(AND(T_EMPLOYEES[[#This Row],[DATE OF BIRTH]]&gt;0,T_EMPLOYEES[[#This Row],[DATE OF BIRTH]]&lt;TODAY()),0,1))</f>
        <v/>
      </c>
      <c r="AD8">
        <f>IF(T_EMPLOYEES[[#This Row],[EMPLOYEE NUMBER]]="","",IF(AND(T_EMPLOYEES[[#This Row],[START DATE]]&gt;0,T_EMPLOYEES[[#This Row],[START DATE]]&lt;TODAY()+60),0,1))</f>
        <v/>
      </c>
      <c r="AE8">
        <f>IF(T_EMPLOYEES[[#This Row],[EMPLOYEE NUMBER]]="","",MATCH(T_EMPLOYEES[[#This Row],[GENDER]],L_GENDER,0))</f>
        <v/>
      </c>
      <c r="AF8">
        <f>IF(T_EMPLOYEES[[#This Row],[EMPLOYEE NUMBER]]="","",MATCH(T_EMPLOYEES[[#This Row],[HIRE SOURCE]],L_HIRESOURCE,0))</f>
        <v/>
      </c>
      <c r="AG8">
        <f>IF(T_EMPLOYEES[[#This Row],[EMPLOYEE NUMBER]]="","",MATCH(T_EMPLOYEES[[#This Row],[ETHNICITY]],L_ETHNICITY,0))</f>
        <v/>
      </c>
      <c r="AH8">
        <f>IF(T_EMPLOYEES[[#This Row],[EMPLOYEE NUMBER]]="","",MATCH(T_EMPLOYEES[[#This Row],[LOCATION]],L_LOCATION,0))</f>
        <v/>
      </c>
      <c r="AI8">
        <f>IF(T_EMPLOYEES[[#This Row],[EMPLOYEE NUMBER]]="","",MATCH(T_EMPLOYEES[[#This Row],[DEPARTMENT]],L_DEPARTMENT,0))</f>
        <v/>
      </c>
      <c r="AJ8">
        <f>IF(T_EMPLOYEES[[#This Row],[EMPLOYEE NUMBER]]="","",MATCH(T_EMPLOYEES[[#This Row],[JOB TYPE]],L_JOBTYPE,0))</f>
        <v/>
      </c>
      <c r="AK8">
        <f>IF(T_EMPLOYEES[[#This Row],[EMPLOYEE NUMBER]]="","",MATCH(T_EMPLOYEES[[#This Row],[JOB CATEGORY]],L_JOBCATEGORY,0))</f>
        <v/>
      </c>
      <c r="AL8">
        <f>IF(T_EMPLOYEES[[#This Row],[EMPLOYEE NUMBER]]="","",MATCH(T_EMPLOYEES[[#This Row],[JOB LEVEL]],L_JOBLEVEL,0))</f>
        <v/>
      </c>
      <c r="AM8">
        <f>IF(T_EMPLOYEES[[#This Row],[EMPLOYEE NUMBER]]="","",MATCH(T_EMPLOYEES[[#This Row],[JOB TITLE]],L_JOBTITLE,0))</f>
        <v/>
      </c>
      <c r="AN8">
        <f>IF(T_EMPLOYEES[[#This Row],[EMPLOYEE NUMBER]]="","",MATCH(T_EMPLOYEES[[#This Row],[MANAGER]],L_EMPLABELS,0))</f>
        <v/>
      </c>
      <c r="AO8">
        <f>IF(T_EMPLOYEES[[#This Row],[EMPLOYEE NUMBER]]="","",IF(T_EMPLOYEES[[#This Row],[ERROR]]="",0,1))</f>
        <v/>
      </c>
      <c r="AP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">
      <c r="A9" t="inlineStr">
        <is>
          <t>Dipakbhai</t>
        </is>
      </c>
      <c r="B9" t="inlineStr">
        <is>
          <t>Motibhai Tandel</t>
        </is>
      </c>
      <c r="C9" t="n">
        <v>1027230</v>
      </c>
      <c r="D9" t="inlineStr">
        <is>
          <t>Dipakbhai.Tandel@infinite.com</t>
        </is>
      </c>
      <c r="E9" s="26" t="n">
        <v>26510</v>
      </c>
      <c r="F9" s="26" t="n">
        <v>44517</v>
      </c>
      <c r="G9" s="26" t="n">
        <v>44542</v>
      </c>
      <c r="H9" t="inlineStr">
        <is>
          <t>Male</t>
        </is>
      </c>
      <c r="I9" t="inlineStr">
        <is>
          <t>Asian</t>
        </is>
      </c>
      <c r="J9" t="inlineStr">
        <is>
          <t>WEBSITE</t>
        </is>
      </c>
      <c r="K9" t="inlineStr">
        <is>
          <t>Hyderabad</t>
        </is>
      </c>
      <c r="L9" s="27" t="inlineStr">
        <is>
          <t>IT</t>
        </is>
      </c>
      <c r="M9" t="inlineStr">
        <is>
          <t>Full-Time</t>
        </is>
      </c>
      <c r="N9" t="inlineStr">
        <is>
          <t>Senior Project Manager</t>
        </is>
      </c>
      <c r="O9" t="inlineStr">
        <is>
          <t>E7</t>
        </is>
      </c>
      <c r="P9" t="inlineStr">
        <is>
          <t>Senior Project Manager</t>
        </is>
      </c>
      <c r="Q9" t="inlineStr">
        <is>
          <t>Radhakanta  Samantara (1010164)</t>
        </is>
      </c>
      <c r="R9" t="n">
        <v>2</v>
      </c>
      <c r="S9" s="1" t="n">
        <v>330000</v>
      </c>
      <c r="T9" s="1">
        <f>ROUND(T_EMPLOYEES[[#This Row],[EMP_CTC1]]/12, 0)</f>
        <v/>
      </c>
      <c r="U9" s="1" t="n">
        <v>80000</v>
      </c>
      <c r="V9" s="1" t="inlineStr">
        <is>
          <t>NH</t>
        </is>
      </c>
      <c r="W9" s="1" t="inlineStr">
        <is>
          <t>NH</t>
        </is>
      </c>
      <c r="X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" t="n">
        <v>150000</v>
      </c>
      <c r="Z9" s="29">
        <f>(S9 - U9)/S9 * 100</f>
        <v/>
      </c>
      <c r="AA9">
        <f>IF(T_EMPLOYEES[[#This Row],[EMPLOYEE NUMBER]]="","",ROW(T_EMPLOYEES[[#This Row],[EMPLOYEE LABEL]])-ROW(T_EMPLOYEES[[#Headers],[EMPLOYEE LABEL]]))</f>
        <v/>
      </c>
      <c r="AB9">
        <f>IF(T_EMPLOYEES[[#This Row],[EMPLOYEE NUMBER]]="","",IF(COUNTIF(T_EMPLOYEES[EMPLOYEE NUMBER],T_EMPLOYEES[[#This Row],[EMPLOYEE NUMBER]])&gt;1,1,0))</f>
        <v/>
      </c>
      <c r="AC9">
        <f>IF(T_EMPLOYEES[[#This Row],[EMPLOYEE NUMBER]]="","",IF(AND(T_EMPLOYEES[[#This Row],[DATE OF BIRTH]]&gt;0,T_EMPLOYEES[[#This Row],[DATE OF BIRTH]]&lt;TODAY()),0,1))</f>
        <v/>
      </c>
      <c r="AD9">
        <f>IF(T_EMPLOYEES[[#This Row],[EMPLOYEE NUMBER]]="","",IF(AND(T_EMPLOYEES[[#This Row],[START DATE]]&gt;0,T_EMPLOYEES[[#This Row],[START DATE]]&lt;TODAY()+60),0,1))</f>
        <v/>
      </c>
      <c r="AE9">
        <f>IF(T_EMPLOYEES[[#This Row],[EMPLOYEE NUMBER]]="","",MATCH(T_EMPLOYEES[[#This Row],[GENDER]],L_GENDER,0))</f>
        <v/>
      </c>
      <c r="AF9">
        <f>IF(T_EMPLOYEES[[#This Row],[EMPLOYEE NUMBER]]="","",MATCH(T_EMPLOYEES[[#This Row],[HIRE SOURCE]],L_HIRESOURCE,0))</f>
        <v/>
      </c>
      <c r="AG9">
        <f>IF(T_EMPLOYEES[[#This Row],[EMPLOYEE NUMBER]]="","",MATCH(T_EMPLOYEES[[#This Row],[ETHNICITY]],L_ETHNICITY,0))</f>
        <v/>
      </c>
      <c r="AH9">
        <f>IF(T_EMPLOYEES[[#This Row],[EMPLOYEE NUMBER]]="","",MATCH(T_EMPLOYEES[[#This Row],[LOCATION]],L_LOCATION,0))</f>
        <v/>
      </c>
      <c r="AI9">
        <f>IF(T_EMPLOYEES[[#This Row],[EMPLOYEE NUMBER]]="","",MATCH(T_EMPLOYEES[[#This Row],[DEPARTMENT]],L_DEPARTMENT,0))</f>
        <v/>
      </c>
      <c r="AJ9">
        <f>IF(T_EMPLOYEES[[#This Row],[EMPLOYEE NUMBER]]="","",MATCH(T_EMPLOYEES[[#This Row],[JOB TYPE]],L_JOBTYPE,0))</f>
        <v/>
      </c>
      <c r="AK9">
        <f>IF(T_EMPLOYEES[[#This Row],[EMPLOYEE NUMBER]]="","",MATCH(T_EMPLOYEES[[#This Row],[JOB CATEGORY]],L_JOBCATEGORY,0))</f>
        <v/>
      </c>
      <c r="AL9">
        <f>IF(T_EMPLOYEES[[#This Row],[EMPLOYEE NUMBER]]="","",MATCH(T_EMPLOYEES[[#This Row],[JOB LEVEL]],L_JOBLEVEL,0))</f>
        <v/>
      </c>
      <c r="AM9">
        <f>IF(T_EMPLOYEES[[#This Row],[EMPLOYEE NUMBER]]="","",MATCH(T_EMPLOYEES[[#This Row],[JOB TITLE]],L_JOBTITLE,0))</f>
        <v/>
      </c>
      <c r="AN9">
        <f>IF(T_EMPLOYEES[[#This Row],[EMPLOYEE NUMBER]]="","",MATCH(T_EMPLOYEES[[#This Row],[MANAGER]],L_EMPLABELS,0))</f>
        <v/>
      </c>
      <c r="AO9">
        <f>IF(T_EMPLOYEES[[#This Row],[EMPLOYEE NUMBER]]="","",IF(T_EMPLOYEES[[#This Row],[ERROR]]="",0,1))</f>
        <v/>
      </c>
      <c r="AP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">
      <c r="A10" t="inlineStr">
        <is>
          <t>K</t>
        </is>
      </c>
      <c r="B10" t="inlineStr">
        <is>
          <t>Murari Bhat</t>
        </is>
      </c>
      <c r="C10" t="n">
        <v>1008532</v>
      </c>
      <c r="D10" t="inlineStr">
        <is>
          <t>Murari.Bhat@infinite.com</t>
        </is>
      </c>
      <c r="E10" s="26" t="n">
        <v>26606</v>
      </c>
      <c r="F10" s="26" t="n">
        <v>40548</v>
      </c>
      <c r="G10" s="26" t="n">
        <v>44208</v>
      </c>
      <c r="H10" t="inlineStr">
        <is>
          <t>Male</t>
        </is>
      </c>
      <c r="I10" t="inlineStr">
        <is>
          <t>Asian</t>
        </is>
      </c>
      <c r="J10" t="inlineStr">
        <is>
          <t>WEBSITE</t>
        </is>
      </c>
      <c r="K10" t="inlineStr">
        <is>
          <t>Hyderabad</t>
        </is>
      </c>
      <c r="L10" s="27" t="inlineStr">
        <is>
          <t>IT</t>
        </is>
      </c>
      <c r="M10" t="inlineStr">
        <is>
          <t>Full-Time</t>
        </is>
      </c>
      <c r="N10" t="inlineStr">
        <is>
          <t>Senior Manager</t>
        </is>
      </c>
      <c r="O10" t="inlineStr">
        <is>
          <t>E7</t>
        </is>
      </c>
      <c r="P10" t="inlineStr">
        <is>
          <t>Senior Manager</t>
        </is>
      </c>
      <c r="Q10" t="inlineStr">
        <is>
          <t>Radhakanta  Samantara (1010164)</t>
        </is>
      </c>
      <c r="R10" s="27" t="n">
        <v>1</v>
      </c>
      <c r="S10" s="1" t="n">
        <v>5000000</v>
      </c>
      <c r="T10" s="1">
        <f>ROUND(T_EMPLOYEES[[#This Row],[EMP_CTC1]]/12, 0)</f>
        <v/>
      </c>
      <c r="U10" s="1" t="n">
        <v>2300000</v>
      </c>
      <c r="V10" s="1" t="inlineStr">
        <is>
          <t>NH</t>
        </is>
      </c>
      <c r="W10" s="1" t="inlineStr">
        <is>
          <t>NH</t>
        </is>
      </c>
      <c r="X1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" t="n">
        <v>40000</v>
      </c>
      <c r="Z10" s="29">
        <f>(S10 - U10)/S10 * 100</f>
        <v/>
      </c>
      <c r="AA10">
        <f>IF(T_EMPLOYEES[[#This Row],[EMPLOYEE NUMBER]]="","",ROW(T_EMPLOYEES[[#This Row],[EMPLOYEE LABEL]])-ROW(T_EMPLOYEES[[#Headers],[EMPLOYEE LABEL]]))</f>
        <v/>
      </c>
      <c r="AB10">
        <f>IF(T_EMPLOYEES[[#This Row],[EMPLOYEE NUMBER]]="","",IF(COUNTIF(T_EMPLOYEES[EMPLOYEE NUMBER],T_EMPLOYEES[[#This Row],[EMPLOYEE NUMBER]])&gt;1,1,0))</f>
        <v/>
      </c>
      <c r="AC10">
        <f>IF(T_EMPLOYEES[[#This Row],[EMPLOYEE NUMBER]]="","",IF(AND(T_EMPLOYEES[[#This Row],[DATE OF BIRTH]]&gt;0,T_EMPLOYEES[[#This Row],[DATE OF BIRTH]]&lt;TODAY()),0,1))</f>
        <v/>
      </c>
      <c r="AD10">
        <f>IF(T_EMPLOYEES[[#This Row],[EMPLOYEE NUMBER]]="","",IF(AND(T_EMPLOYEES[[#This Row],[START DATE]]&gt;0,T_EMPLOYEES[[#This Row],[START DATE]]&lt;TODAY()+60),0,1))</f>
        <v/>
      </c>
      <c r="AE10">
        <f>IF(T_EMPLOYEES[[#This Row],[EMPLOYEE NUMBER]]="","",MATCH(T_EMPLOYEES[[#This Row],[GENDER]],L_GENDER,0))</f>
        <v/>
      </c>
      <c r="AF10">
        <f>IF(T_EMPLOYEES[[#This Row],[EMPLOYEE NUMBER]]="","",MATCH(T_EMPLOYEES[[#This Row],[HIRE SOURCE]],L_HIRESOURCE,0))</f>
        <v/>
      </c>
      <c r="AG10">
        <f>IF(T_EMPLOYEES[[#This Row],[EMPLOYEE NUMBER]]="","",MATCH(T_EMPLOYEES[[#This Row],[ETHNICITY]],L_ETHNICITY,0))</f>
        <v/>
      </c>
      <c r="AH10">
        <f>IF(T_EMPLOYEES[[#This Row],[EMPLOYEE NUMBER]]="","",MATCH(T_EMPLOYEES[[#This Row],[LOCATION]],L_LOCATION,0))</f>
        <v/>
      </c>
      <c r="AI10">
        <f>IF(T_EMPLOYEES[[#This Row],[EMPLOYEE NUMBER]]="","",MATCH(T_EMPLOYEES[[#This Row],[DEPARTMENT]],L_DEPARTMENT,0))</f>
        <v/>
      </c>
      <c r="AJ10">
        <f>IF(T_EMPLOYEES[[#This Row],[EMPLOYEE NUMBER]]="","",MATCH(T_EMPLOYEES[[#This Row],[JOB TYPE]],L_JOBTYPE,0))</f>
        <v/>
      </c>
      <c r="AK10">
        <f>IF(T_EMPLOYEES[[#This Row],[EMPLOYEE NUMBER]]="","",MATCH(T_EMPLOYEES[[#This Row],[JOB CATEGORY]],L_JOBCATEGORY,0))</f>
        <v/>
      </c>
      <c r="AL10">
        <f>IF(T_EMPLOYEES[[#This Row],[EMPLOYEE NUMBER]]="","",MATCH(T_EMPLOYEES[[#This Row],[JOB LEVEL]],L_JOBLEVEL,0))</f>
        <v/>
      </c>
      <c r="AM10">
        <f>IF(T_EMPLOYEES[[#This Row],[EMPLOYEE NUMBER]]="","",MATCH(T_EMPLOYEES[[#This Row],[JOB TITLE]],L_JOBTITLE,0))</f>
        <v/>
      </c>
      <c r="AN10">
        <f>IF(T_EMPLOYEES[[#This Row],[EMPLOYEE NUMBER]]="","",MATCH(T_EMPLOYEES[[#This Row],[MANAGER]],L_EMPLABELS,0))</f>
        <v/>
      </c>
      <c r="AO10">
        <f>IF(T_EMPLOYEES[[#This Row],[EMPLOYEE NUMBER]]="","",IF(T_EMPLOYEES[[#This Row],[ERROR]]="",0,1))</f>
        <v/>
      </c>
      <c r="AP1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">
      <c r="A11" t="inlineStr">
        <is>
          <t>Srinivas</t>
        </is>
      </c>
      <c r="B11" t="inlineStr">
        <is>
          <t>Rao Vemana</t>
        </is>
      </c>
      <c r="C11" t="n">
        <v>1028538</v>
      </c>
      <c r="D11" t="inlineStr">
        <is>
          <t>Srinivasrao.Vemana@infinite.com</t>
        </is>
      </c>
      <c r="E11" s="26" t="n">
        <v>26924</v>
      </c>
      <c r="F11" s="26" t="n">
        <v>44628</v>
      </c>
      <c r="G11" s="26" t="n">
        <v>44571</v>
      </c>
      <c r="H11" t="inlineStr">
        <is>
          <t>Male</t>
        </is>
      </c>
      <c r="I11" t="inlineStr">
        <is>
          <t>Asian</t>
        </is>
      </c>
      <c r="J11" t="inlineStr">
        <is>
          <t>WEBSITE</t>
        </is>
      </c>
      <c r="K11" t="inlineStr">
        <is>
          <t>Hyderabad</t>
        </is>
      </c>
      <c r="L11" s="27" t="inlineStr">
        <is>
          <t>IT</t>
        </is>
      </c>
      <c r="M11" t="inlineStr">
        <is>
          <t>Full-Time</t>
        </is>
      </c>
      <c r="N11" t="inlineStr">
        <is>
          <t>Senior Project Manager</t>
        </is>
      </c>
      <c r="O11" t="inlineStr">
        <is>
          <t>E7</t>
        </is>
      </c>
      <c r="P11" t="inlineStr">
        <is>
          <t>Senior Project Manager</t>
        </is>
      </c>
      <c r="Q11" t="inlineStr">
        <is>
          <t>Purushotham Ayachetula (1022573)</t>
        </is>
      </c>
      <c r="R11" t="n">
        <v>2</v>
      </c>
      <c r="S11" s="1" t="n">
        <v>5000000</v>
      </c>
      <c r="T11" s="1">
        <f>ROUND(T_EMPLOYEES[[#This Row],[EMP_CTC1]]/12, 0)</f>
        <v/>
      </c>
      <c r="U11" s="1" t="n">
        <v>2300000</v>
      </c>
      <c r="V11" s="1" t="inlineStr">
        <is>
          <t>NH</t>
        </is>
      </c>
      <c r="W11" s="1" t="inlineStr">
        <is>
          <t>NH</t>
        </is>
      </c>
      <c r="X1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" t="n">
        <v>40000</v>
      </c>
      <c r="Z11" s="29">
        <f>(S11 - U11)/S11 * 100</f>
        <v/>
      </c>
      <c r="AA11">
        <f>IF(T_EMPLOYEES[[#This Row],[EMPLOYEE NUMBER]]="","",ROW(T_EMPLOYEES[[#This Row],[EMPLOYEE LABEL]])-ROW(T_EMPLOYEES[[#Headers],[EMPLOYEE LABEL]]))</f>
        <v/>
      </c>
      <c r="AB11">
        <f>IF(T_EMPLOYEES[[#This Row],[EMPLOYEE NUMBER]]="","",IF(COUNTIF(T_EMPLOYEES[EMPLOYEE NUMBER],T_EMPLOYEES[[#This Row],[EMPLOYEE NUMBER]])&gt;1,1,0))</f>
        <v/>
      </c>
      <c r="AC11">
        <f>IF(T_EMPLOYEES[[#This Row],[EMPLOYEE NUMBER]]="","",IF(AND(T_EMPLOYEES[[#This Row],[DATE OF BIRTH]]&gt;0,T_EMPLOYEES[[#This Row],[DATE OF BIRTH]]&lt;TODAY()),0,1))</f>
        <v/>
      </c>
      <c r="AD11">
        <f>IF(T_EMPLOYEES[[#This Row],[EMPLOYEE NUMBER]]="","",IF(AND(T_EMPLOYEES[[#This Row],[START DATE]]&gt;0,T_EMPLOYEES[[#This Row],[START DATE]]&lt;TODAY()+60),0,1))</f>
        <v/>
      </c>
      <c r="AE11">
        <f>IF(T_EMPLOYEES[[#This Row],[EMPLOYEE NUMBER]]="","",MATCH(T_EMPLOYEES[[#This Row],[GENDER]],L_GENDER,0))</f>
        <v/>
      </c>
      <c r="AF11">
        <f>IF(T_EMPLOYEES[[#This Row],[EMPLOYEE NUMBER]]="","",MATCH(T_EMPLOYEES[[#This Row],[HIRE SOURCE]],L_HIRESOURCE,0))</f>
        <v/>
      </c>
      <c r="AG11">
        <f>IF(T_EMPLOYEES[[#This Row],[EMPLOYEE NUMBER]]="","",MATCH(T_EMPLOYEES[[#This Row],[ETHNICITY]],L_ETHNICITY,0))</f>
        <v/>
      </c>
      <c r="AH11">
        <f>IF(T_EMPLOYEES[[#This Row],[EMPLOYEE NUMBER]]="","",MATCH(T_EMPLOYEES[[#This Row],[LOCATION]],L_LOCATION,0))</f>
        <v/>
      </c>
      <c r="AI11">
        <f>IF(T_EMPLOYEES[[#This Row],[EMPLOYEE NUMBER]]="","",MATCH(T_EMPLOYEES[[#This Row],[DEPARTMENT]],L_DEPARTMENT,0))</f>
        <v/>
      </c>
      <c r="AJ11">
        <f>IF(T_EMPLOYEES[[#This Row],[EMPLOYEE NUMBER]]="","",MATCH(T_EMPLOYEES[[#This Row],[JOB TYPE]],L_JOBTYPE,0))</f>
        <v/>
      </c>
      <c r="AK11">
        <f>IF(T_EMPLOYEES[[#This Row],[EMPLOYEE NUMBER]]="","",MATCH(T_EMPLOYEES[[#This Row],[JOB CATEGORY]],L_JOBCATEGORY,0))</f>
        <v/>
      </c>
      <c r="AL11">
        <f>IF(T_EMPLOYEES[[#This Row],[EMPLOYEE NUMBER]]="","",MATCH(T_EMPLOYEES[[#This Row],[JOB LEVEL]],L_JOBLEVEL,0))</f>
        <v/>
      </c>
      <c r="AM11">
        <f>IF(T_EMPLOYEES[[#This Row],[EMPLOYEE NUMBER]]="","",MATCH(T_EMPLOYEES[[#This Row],[JOB TITLE]],L_JOBTITLE,0))</f>
        <v/>
      </c>
      <c r="AN11">
        <f>IF(T_EMPLOYEES[[#This Row],[EMPLOYEE NUMBER]]="","",MATCH(T_EMPLOYEES[[#This Row],[MANAGER]],L_EMPLABELS,0))</f>
        <v/>
      </c>
      <c r="AO11">
        <f>IF(T_EMPLOYEES[[#This Row],[EMPLOYEE NUMBER]]="","",IF(T_EMPLOYEES[[#This Row],[ERROR]]="",0,1))</f>
        <v/>
      </c>
      <c r="AP1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">
      <c r="A12" t="inlineStr">
        <is>
          <t>Unnikrishnan</t>
        </is>
      </c>
      <c r="B12" t="inlineStr">
        <is>
          <t>Chellappan C</t>
        </is>
      </c>
      <c r="C12" t="n">
        <v>1025919</v>
      </c>
      <c r="D12" t="inlineStr">
        <is>
          <t>Unnikrishnan.Chellappanpillai@infinite.com</t>
        </is>
      </c>
      <c r="E12" s="26" t="n">
        <v>27221</v>
      </c>
      <c r="F12" s="26" t="n">
        <v>44403</v>
      </c>
      <c r="G12" s="26" t="n">
        <v>44571</v>
      </c>
      <c r="H12" t="inlineStr">
        <is>
          <t>Male</t>
        </is>
      </c>
      <c r="I12" t="inlineStr">
        <is>
          <t>Asian</t>
        </is>
      </c>
      <c r="J12" t="inlineStr">
        <is>
          <t>WEBSITE</t>
        </is>
      </c>
      <c r="K12" t="inlineStr">
        <is>
          <t>Bangalore</t>
        </is>
      </c>
      <c r="L12" s="27" t="inlineStr">
        <is>
          <t>IT</t>
        </is>
      </c>
      <c r="M12" t="inlineStr">
        <is>
          <t>Full-Time</t>
        </is>
      </c>
      <c r="N12" t="inlineStr">
        <is>
          <t>Project Manager</t>
        </is>
      </c>
      <c r="O12" t="inlineStr">
        <is>
          <t>E6</t>
        </is>
      </c>
      <c r="P12" t="inlineStr">
        <is>
          <t>Project Manager</t>
        </is>
      </c>
      <c r="Q12" t="inlineStr">
        <is>
          <t>Syed Atif Ali Syed Arshad Taher Subzwari (1024996)</t>
        </is>
      </c>
      <c r="R12" s="27" t="n">
        <v>6</v>
      </c>
      <c r="S12" s="1" t="n">
        <v>5000000</v>
      </c>
      <c r="T12" s="1">
        <f>ROUND(T_EMPLOYEES[[#This Row],[EMP_CTC1]]/12, 0)</f>
        <v/>
      </c>
      <c r="U12" s="1" t="n">
        <v>2300000</v>
      </c>
      <c r="V12" s="1" t="inlineStr">
        <is>
          <t>NH</t>
        </is>
      </c>
      <c r="W12" s="1" t="inlineStr">
        <is>
          <t>NH</t>
        </is>
      </c>
      <c r="X1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" t="n">
        <v>40000</v>
      </c>
      <c r="Z12" s="29">
        <f>(S12 - U12)/S12 * 100</f>
        <v/>
      </c>
      <c r="AA12">
        <f>IF(T_EMPLOYEES[[#This Row],[EMPLOYEE NUMBER]]="","",ROW(T_EMPLOYEES[[#This Row],[EMPLOYEE LABEL]])-ROW(T_EMPLOYEES[[#Headers],[EMPLOYEE LABEL]]))</f>
        <v/>
      </c>
      <c r="AB12">
        <f>IF(T_EMPLOYEES[[#This Row],[EMPLOYEE NUMBER]]="","",IF(COUNTIF(T_EMPLOYEES[EMPLOYEE NUMBER],T_EMPLOYEES[[#This Row],[EMPLOYEE NUMBER]])&gt;1,1,0))</f>
        <v/>
      </c>
      <c r="AC12">
        <f>IF(T_EMPLOYEES[[#This Row],[EMPLOYEE NUMBER]]="","",IF(AND(T_EMPLOYEES[[#This Row],[DATE OF BIRTH]]&gt;0,T_EMPLOYEES[[#This Row],[DATE OF BIRTH]]&lt;TODAY()),0,1))</f>
        <v/>
      </c>
      <c r="AD12">
        <f>IF(T_EMPLOYEES[[#This Row],[EMPLOYEE NUMBER]]="","",IF(AND(T_EMPLOYEES[[#This Row],[START DATE]]&gt;0,T_EMPLOYEES[[#This Row],[START DATE]]&lt;TODAY()+60),0,1))</f>
        <v/>
      </c>
      <c r="AE12">
        <f>IF(T_EMPLOYEES[[#This Row],[EMPLOYEE NUMBER]]="","",MATCH(T_EMPLOYEES[[#This Row],[GENDER]],L_GENDER,0))</f>
        <v/>
      </c>
      <c r="AF12">
        <f>IF(T_EMPLOYEES[[#This Row],[EMPLOYEE NUMBER]]="","",MATCH(T_EMPLOYEES[[#This Row],[HIRE SOURCE]],L_HIRESOURCE,0))</f>
        <v/>
      </c>
      <c r="AG12">
        <f>IF(T_EMPLOYEES[[#This Row],[EMPLOYEE NUMBER]]="","",MATCH(T_EMPLOYEES[[#This Row],[ETHNICITY]],L_ETHNICITY,0))</f>
        <v/>
      </c>
      <c r="AH12">
        <f>IF(T_EMPLOYEES[[#This Row],[EMPLOYEE NUMBER]]="","",MATCH(T_EMPLOYEES[[#This Row],[LOCATION]],L_LOCATION,0))</f>
        <v/>
      </c>
      <c r="AI12">
        <f>IF(T_EMPLOYEES[[#This Row],[EMPLOYEE NUMBER]]="","",MATCH(T_EMPLOYEES[[#This Row],[DEPARTMENT]],L_DEPARTMENT,0))</f>
        <v/>
      </c>
      <c r="AJ12">
        <f>IF(T_EMPLOYEES[[#This Row],[EMPLOYEE NUMBER]]="","",MATCH(T_EMPLOYEES[[#This Row],[JOB TYPE]],L_JOBTYPE,0))</f>
        <v/>
      </c>
      <c r="AK12">
        <f>IF(T_EMPLOYEES[[#This Row],[EMPLOYEE NUMBER]]="","",MATCH(T_EMPLOYEES[[#This Row],[JOB CATEGORY]],L_JOBCATEGORY,0))</f>
        <v/>
      </c>
      <c r="AL12">
        <f>IF(T_EMPLOYEES[[#This Row],[EMPLOYEE NUMBER]]="","",MATCH(T_EMPLOYEES[[#This Row],[JOB LEVEL]],L_JOBLEVEL,0))</f>
        <v/>
      </c>
      <c r="AM12">
        <f>IF(T_EMPLOYEES[[#This Row],[EMPLOYEE NUMBER]]="","",MATCH(T_EMPLOYEES[[#This Row],[JOB TITLE]],L_JOBTITLE,0))</f>
        <v/>
      </c>
      <c r="AN12">
        <f>IF(T_EMPLOYEES[[#This Row],[EMPLOYEE NUMBER]]="","",MATCH(T_EMPLOYEES[[#This Row],[MANAGER]],L_EMPLABELS,0))</f>
        <v/>
      </c>
      <c r="AO12">
        <f>IF(T_EMPLOYEES[[#This Row],[EMPLOYEE NUMBER]]="","",IF(T_EMPLOYEES[[#This Row],[ERROR]]="",0,1))</f>
        <v/>
      </c>
      <c r="AP1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">
      <c r="A13" t="inlineStr">
        <is>
          <t>Prashanth</t>
        </is>
      </c>
      <c r="B13" t="inlineStr">
        <is>
          <t>Kumar Mangipudi</t>
        </is>
      </c>
      <c r="C13" t="n">
        <v>1028544</v>
      </c>
      <c r="D13" t="inlineStr">
        <is>
          <t>Prashanth.Mangipudi@infinite.com</t>
        </is>
      </c>
      <c r="E13" s="26" t="n">
        <v>27238</v>
      </c>
      <c r="F13" s="26" t="n">
        <v>44628</v>
      </c>
      <c r="G13" s="26" t="n">
        <v>44571</v>
      </c>
      <c r="H13" t="inlineStr">
        <is>
          <t>Male</t>
        </is>
      </c>
      <c r="I13" t="inlineStr">
        <is>
          <t>Asian</t>
        </is>
      </c>
      <c r="J13" t="inlineStr">
        <is>
          <t>WEBSITE</t>
        </is>
      </c>
      <c r="K13" t="inlineStr">
        <is>
          <t>Hyderabad</t>
        </is>
      </c>
      <c r="L13" s="27" t="inlineStr">
        <is>
          <t>IT</t>
        </is>
      </c>
      <c r="M13" t="inlineStr">
        <is>
          <t>Full-Time</t>
        </is>
      </c>
      <c r="N13" t="inlineStr">
        <is>
          <t>Senior Solution Architect</t>
        </is>
      </c>
      <c r="O13" t="inlineStr">
        <is>
          <t>E7</t>
        </is>
      </c>
      <c r="P13" t="inlineStr">
        <is>
          <t>Senior Solution Architect</t>
        </is>
      </c>
      <c r="Q13" t="inlineStr">
        <is>
          <t>Syed Atif Ali Syed Arshad Taher Subzwari (1024996)</t>
        </is>
      </c>
      <c r="R13" t="n">
        <v>4</v>
      </c>
      <c r="S13" s="1" t="n">
        <v>5000000</v>
      </c>
      <c r="T13" s="1">
        <f>ROUND(T_EMPLOYEES[[#This Row],[EMP_CTC1]]/12, 0)</f>
        <v/>
      </c>
      <c r="U13" s="1" t="n">
        <v>2300000</v>
      </c>
      <c r="V13" s="1" t="inlineStr">
        <is>
          <t>NH</t>
        </is>
      </c>
      <c r="W13" s="1" t="inlineStr">
        <is>
          <t>NH</t>
        </is>
      </c>
      <c r="X1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" t="n">
        <v>40000</v>
      </c>
      <c r="Z13" s="29">
        <f>(S13 - U13)/S13 * 100</f>
        <v/>
      </c>
      <c r="AA13">
        <f>IF(T_EMPLOYEES[[#This Row],[EMPLOYEE NUMBER]]="","",ROW(T_EMPLOYEES[[#This Row],[EMPLOYEE LABEL]])-ROW(T_EMPLOYEES[[#Headers],[EMPLOYEE LABEL]]))</f>
        <v/>
      </c>
      <c r="AB13">
        <f>IF(T_EMPLOYEES[[#This Row],[EMPLOYEE NUMBER]]="","",IF(COUNTIF(T_EMPLOYEES[EMPLOYEE NUMBER],T_EMPLOYEES[[#This Row],[EMPLOYEE NUMBER]])&gt;1,1,0))</f>
        <v/>
      </c>
      <c r="AC13">
        <f>IF(T_EMPLOYEES[[#This Row],[EMPLOYEE NUMBER]]="","",IF(AND(T_EMPLOYEES[[#This Row],[DATE OF BIRTH]]&gt;0,T_EMPLOYEES[[#This Row],[DATE OF BIRTH]]&lt;TODAY()),0,1))</f>
        <v/>
      </c>
      <c r="AD13">
        <f>IF(T_EMPLOYEES[[#This Row],[EMPLOYEE NUMBER]]="","",IF(AND(T_EMPLOYEES[[#This Row],[START DATE]]&gt;0,T_EMPLOYEES[[#This Row],[START DATE]]&lt;TODAY()+60),0,1))</f>
        <v/>
      </c>
      <c r="AE13">
        <f>IF(T_EMPLOYEES[[#This Row],[EMPLOYEE NUMBER]]="","",MATCH(T_EMPLOYEES[[#This Row],[GENDER]],L_GENDER,0))</f>
        <v/>
      </c>
      <c r="AF13">
        <f>IF(T_EMPLOYEES[[#This Row],[EMPLOYEE NUMBER]]="","",MATCH(T_EMPLOYEES[[#This Row],[HIRE SOURCE]],L_HIRESOURCE,0))</f>
        <v/>
      </c>
      <c r="AG13">
        <f>IF(T_EMPLOYEES[[#This Row],[EMPLOYEE NUMBER]]="","",MATCH(T_EMPLOYEES[[#This Row],[ETHNICITY]],L_ETHNICITY,0))</f>
        <v/>
      </c>
      <c r="AH13">
        <f>IF(T_EMPLOYEES[[#This Row],[EMPLOYEE NUMBER]]="","",MATCH(T_EMPLOYEES[[#This Row],[LOCATION]],L_LOCATION,0))</f>
        <v/>
      </c>
      <c r="AI13">
        <f>IF(T_EMPLOYEES[[#This Row],[EMPLOYEE NUMBER]]="","",MATCH(T_EMPLOYEES[[#This Row],[DEPARTMENT]],L_DEPARTMENT,0))</f>
        <v/>
      </c>
      <c r="AJ13">
        <f>IF(T_EMPLOYEES[[#This Row],[EMPLOYEE NUMBER]]="","",MATCH(T_EMPLOYEES[[#This Row],[JOB TYPE]],L_JOBTYPE,0))</f>
        <v/>
      </c>
      <c r="AK13">
        <f>IF(T_EMPLOYEES[[#This Row],[EMPLOYEE NUMBER]]="","",MATCH(T_EMPLOYEES[[#This Row],[JOB CATEGORY]],L_JOBCATEGORY,0))</f>
        <v/>
      </c>
      <c r="AL13">
        <f>IF(T_EMPLOYEES[[#This Row],[EMPLOYEE NUMBER]]="","",MATCH(T_EMPLOYEES[[#This Row],[JOB LEVEL]],L_JOBLEVEL,0))</f>
        <v/>
      </c>
      <c r="AM13">
        <f>IF(T_EMPLOYEES[[#This Row],[EMPLOYEE NUMBER]]="","",MATCH(T_EMPLOYEES[[#This Row],[JOB TITLE]],L_JOBTITLE,0))</f>
        <v/>
      </c>
      <c r="AN13">
        <f>IF(T_EMPLOYEES[[#This Row],[EMPLOYEE NUMBER]]="","",MATCH(T_EMPLOYEES[[#This Row],[MANAGER]],L_EMPLABELS,0))</f>
        <v/>
      </c>
      <c r="AO13">
        <f>IF(T_EMPLOYEES[[#This Row],[EMPLOYEE NUMBER]]="","",IF(T_EMPLOYEES[[#This Row],[ERROR]]="",0,1))</f>
        <v/>
      </c>
      <c r="AP1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3" t="inlineStr">
        <is>
          <t>County billing</t>
        </is>
      </c>
    </row>
    <row r="14">
      <c r="A14" t="inlineStr">
        <is>
          <t>Sharat</t>
        </is>
      </c>
      <c r="B14" t="inlineStr">
        <is>
          <t>Kumar Ravi Sandapola</t>
        </is>
      </c>
      <c r="C14" t="n">
        <v>1027650</v>
      </c>
      <c r="D14" t="inlineStr">
        <is>
          <t>Sharatkumar.Sandapola@infinite.com</t>
        </is>
      </c>
      <c r="E14" s="26" t="n">
        <v>27354</v>
      </c>
      <c r="F14" s="26" t="n">
        <v>44543</v>
      </c>
      <c r="G14" s="26" t="n">
        <v>44571</v>
      </c>
      <c r="H14" t="inlineStr">
        <is>
          <t>Male</t>
        </is>
      </c>
      <c r="I14" t="inlineStr">
        <is>
          <t>Asian</t>
        </is>
      </c>
      <c r="J14" t="inlineStr">
        <is>
          <t>WEBSITE</t>
        </is>
      </c>
      <c r="K14" t="inlineStr">
        <is>
          <t>Hyderabad</t>
        </is>
      </c>
      <c r="L14" s="27" t="inlineStr">
        <is>
          <t>Core</t>
        </is>
      </c>
      <c r="M14" t="inlineStr">
        <is>
          <t>Full-Time</t>
        </is>
      </c>
      <c r="N14" t="inlineStr">
        <is>
          <t>Technical Lead</t>
        </is>
      </c>
      <c r="O14" t="inlineStr">
        <is>
          <t>E4</t>
        </is>
      </c>
      <c r="P14" t="inlineStr">
        <is>
          <t>Technical Lead</t>
        </is>
      </c>
      <c r="Q14" t="inlineStr">
        <is>
          <t>Dipakbhai Motibhai Tandel (1027230)</t>
        </is>
      </c>
      <c r="R14" s="27" t="n">
        <v>1</v>
      </c>
      <c r="S14" s="1" t="n">
        <v>5000000</v>
      </c>
      <c r="T14" s="1">
        <f>ROUND(T_EMPLOYEES[[#This Row],[EMP_CTC1]]/12, 0)</f>
        <v/>
      </c>
      <c r="U14" s="1" t="n">
        <v>2300000</v>
      </c>
      <c r="V14" s="1" t="inlineStr">
        <is>
          <t>NH</t>
        </is>
      </c>
      <c r="W14" s="1" t="inlineStr">
        <is>
          <t>NH</t>
        </is>
      </c>
      <c r="X1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" t="n">
        <v>40000</v>
      </c>
      <c r="Z14" s="29">
        <f>(S14 - U14)/S14 * 100</f>
        <v/>
      </c>
      <c r="AA14">
        <f>IF(T_EMPLOYEES[[#This Row],[EMPLOYEE NUMBER]]="","",ROW(T_EMPLOYEES[[#This Row],[EMPLOYEE LABEL]])-ROW(T_EMPLOYEES[[#Headers],[EMPLOYEE LABEL]]))</f>
        <v/>
      </c>
      <c r="AB14">
        <f>IF(T_EMPLOYEES[[#This Row],[EMPLOYEE NUMBER]]="","",IF(COUNTIF(T_EMPLOYEES[EMPLOYEE NUMBER],T_EMPLOYEES[[#This Row],[EMPLOYEE NUMBER]])&gt;1,1,0))</f>
        <v/>
      </c>
      <c r="AC14">
        <f>IF(T_EMPLOYEES[[#This Row],[EMPLOYEE NUMBER]]="","",IF(AND(T_EMPLOYEES[[#This Row],[DATE OF BIRTH]]&gt;0,T_EMPLOYEES[[#This Row],[DATE OF BIRTH]]&lt;TODAY()),0,1))</f>
        <v/>
      </c>
      <c r="AD14">
        <f>IF(T_EMPLOYEES[[#This Row],[EMPLOYEE NUMBER]]="","",IF(AND(T_EMPLOYEES[[#This Row],[START DATE]]&gt;0,T_EMPLOYEES[[#This Row],[START DATE]]&lt;TODAY()+60),0,1))</f>
        <v/>
      </c>
      <c r="AE14">
        <f>IF(T_EMPLOYEES[[#This Row],[EMPLOYEE NUMBER]]="","",MATCH(T_EMPLOYEES[[#This Row],[GENDER]],L_GENDER,0))</f>
        <v/>
      </c>
      <c r="AF14">
        <f>IF(T_EMPLOYEES[[#This Row],[EMPLOYEE NUMBER]]="","",MATCH(T_EMPLOYEES[[#This Row],[HIRE SOURCE]],L_HIRESOURCE,0))</f>
        <v/>
      </c>
      <c r="AG14">
        <f>IF(T_EMPLOYEES[[#This Row],[EMPLOYEE NUMBER]]="","",MATCH(T_EMPLOYEES[[#This Row],[ETHNICITY]],L_ETHNICITY,0))</f>
        <v/>
      </c>
      <c r="AH14">
        <f>IF(T_EMPLOYEES[[#This Row],[EMPLOYEE NUMBER]]="","",MATCH(T_EMPLOYEES[[#This Row],[LOCATION]],L_LOCATION,0))</f>
        <v/>
      </c>
      <c r="AI14">
        <f>IF(T_EMPLOYEES[[#This Row],[EMPLOYEE NUMBER]]="","",MATCH(T_EMPLOYEES[[#This Row],[DEPARTMENT]],L_DEPARTMENT,0))</f>
        <v/>
      </c>
      <c r="AJ14">
        <f>IF(T_EMPLOYEES[[#This Row],[EMPLOYEE NUMBER]]="","",MATCH(T_EMPLOYEES[[#This Row],[JOB TYPE]],L_JOBTYPE,0))</f>
        <v/>
      </c>
      <c r="AK14">
        <f>IF(T_EMPLOYEES[[#This Row],[EMPLOYEE NUMBER]]="","",MATCH(T_EMPLOYEES[[#This Row],[JOB CATEGORY]],L_JOBCATEGORY,0))</f>
        <v/>
      </c>
      <c r="AL14">
        <f>IF(T_EMPLOYEES[[#This Row],[EMPLOYEE NUMBER]]="","",MATCH(T_EMPLOYEES[[#This Row],[JOB LEVEL]],L_JOBLEVEL,0))</f>
        <v/>
      </c>
      <c r="AM14">
        <f>IF(T_EMPLOYEES[[#This Row],[EMPLOYEE NUMBER]]="","",MATCH(T_EMPLOYEES[[#This Row],[JOB TITLE]],L_JOBTITLE,0))</f>
        <v/>
      </c>
      <c r="AN14">
        <f>IF(T_EMPLOYEES[[#This Row],[EMPLOYEE NUMBER]]="","",MATCH(T_EMPLOYEES[[#This Row],[MANAGER]],L_EMPLABELS,0))</f>
        <v/>
      </c>
      <c r="AO14">
        <f>IF(T_EMPLOYEES[[#This Row],[EMPLOYEE NUMBER]]="","",IF(T_EMPLOYEES[[#This Row],[ERROR]]="",0,1))</f>
        <v/>
      </c>
      <c r="AP1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4" t="inlineStr">
        <is>
          <t>EDI</t>
        </is>
      </c>
    </row>
    <row r="15">
      <c r="A15" t="inlineStr">
        <is>
          <t>Siva</t>
        </is>
      </c>
      <c r="B15" t="inlineStr">
        <is>
          <t>Kumar  Shada</t>
        </is>
      </c>
      <c r="C15" t="n">
        <v>1000177</v>
      </c>
      <c r="D15" t="inlineStr">
        <is>
          <t>sivakumars@infinite.com</t>
        </is>
      </c>
      <c r="E15" s="26" t="n">
        <v>27454</v>
      </c>
      <c r="F15" s="26" t="n">
        <v>37466</v>
      </c>
      <c r="G15" s="26" t="n">
        <v>44542</v>
      </c>
      <c r="H15" t="inlineStr">
        <is>
          <t>Male</t>
        </is>
      </c>
      <c r="I15" t="inlineStr">
        <is>
          <t>Asian</t>
        </is>
      </c>
      <c r="J15" t="inlineStr">
        <is>
          <t>WEBSITE</t>
        </is>
      </c>
      <c r="K15" t="inlineStr">
        <is>
          <t>Hyderabad</t>
        </is>
      </c>
      <c r="L15" s="27" t="inlineStr">
        <is>
          <t>IT</t>
        </is>
      </c>
      <c r="M15" t="inlineStr">
        <is>
          <t>Full-Time</t>
        </is>
      </c>
      <c r="N15" t="inlineStr">
        <is>
          <t>Senior Project Manager</t>
        </is>
      </c>
      <c r="O15" t="inlineStr">
        <is>
          <t>E7</t>
        </is>
      </c>
      <c r="P15" t="inlineStr">
        <is>
          <t>Senior Project Manager</t>
        </is>
      </c>
      <c r="Q15" t="inlineStr">
        <is>
          <t>Talluri  Mangarao (1004641)</t>
        </is>
      </c>
      <c r="R15" t="n">
        <v>5</v>
      </c>
      <c r="S15" s="1" t="n">
        <v>5000000</v>
      </c>
      <c r="T15" s="1">
        <f>ROUND(T_EMPLOYEES[[#This Row],[EMP_CTC1]]/12, 0)</f>
        <v/>
      </c>
      <c r="U15" s="1" t="n">
        <v>2300000</v>
      </c>
      <c r="V15" s="1" t="inlineStr">
        <is>
          <t>NH</t>
        </is>
      </c>
      <c r="W15" s="1" t="inlineStr">
        <is>
          <t>NH</t>
        </is>
      </c>
      <c r="X1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" t="n">
        <v>40000</v>
      </c>
      <c r="Z15" s="29">
        <f>(S15 - U15)/S15 * 100</f>
        <v/>
      </c>
      <c r="AA15">
        <f>IF(T_EMPLOYEES[[#This Row],[EMPLOYEE NUMBER]]="","",ROW(T_EMPLOYEES[[#This Row],[EMPLOYEE LABEL]])-ROW(T_EMPLOYEES[[#Headers],[EMPLOYEE LABEL]]))</f>
        <v/>
      </c>
      <c r="AB15">
        <f>IF(T_EMPLOYEES[[#This Row],[EMPLOYEE NUMBER]]="","",IF(COUNTIF(T_EMPLOYEES[EMPLOYEE NUMBER],T_EMPLOYEES[[#This Row],[EMPLOYEE NUMBER]])&gt;1,1,0))</f>
        <v/>
      </c>
      <c r="AC15">
        <f>IF(T_EMPLOYEES[[#This Row],[EMPLOYEE NUMBER]]="","",IF(AND(T_EMPLOYEES[[#This Row],[DATE OF BIRTH]]&gt;0,T_EMPLOYEES[[#This Row],[DATE OF BIRTH]]&lt;TODAY()),0,1))</f>
        <v/>
      </c>
      <c r="AD15">
        <f>IF(T_EMPLOYEES[[#This Row],[EMPLOYEE NUMBER]]="","",IF(AND(T_EMPLOYEES[[#This Row],[START DATE]]&gt;0,T_EMPLOYEES[[#This Row],[START DATE]]&lt;TODAY()+60),0,1))</f>
        <v/>
      </c>
      <c r="AE15">
        <f>IF(T_EMPLOYEES[[#This Row],[EMPLOYEE NUMBER]]="","",MATCH(T_EMPLOYEES[[#This Row],[GENDER]],L_GENDER,0))</f>
        <v/>
      </c>
      <c r="AF15">
        <f>IF(T_EMPLOYEES[[#This Row],[EMPLOYEE NUMBER]]="","",MATCH(T_EMPLOYEES[[#This Row],[HIRE SOURCE]],L_HIRESOURCE,0))</f>
        <v/>
      </c>
      <c r="AG15">
        <f>IF(T_EMPLOYEES[[#This Row],[EMPLOYEE NUMBER]]="","",MATCH(T_EMPLOYEES[[#This Row],[ETHNICITY]],L_ETHNICITY,0))</f>
        <v/>
      </c>
      <c r="AH15">
        <f>IF(T_EMPLOYEES[[#This Row],[EMPLOYEE NUMBER]]="","",MATCH(T_EMPLOYEES[[#This Row],[LOCATION]],L_LOCATION,0))</f>
        <v/>
      </c>
      <c r="AI15">
        <f>IF(T_EMPLOYEES[[#This Row],[EMPLOYEE NUMBER]]="","",MATCH(T_EMPLOYEES[[#This Row],[DEPARTMENT]],L_DEPARTMENT,0))</f>
        <v/>
      </c>
      <c r="AJ15">
        <f>IF(T_EMPLOYEES[[#This Row],[EMPLOYEE NUMBER]]="","",MATCH(T_EMPLOYEES[[#This Row],[JOB TYPE]],L_JOBTYPE,0))</f>
        <v/>
      </c>
      <c r="AK15">
        <f>IF(T_EMPLOYEES[[#This Row],[EMPLOYEE NUMBER]]="","",MATCH(T_EMPLOYEES[[#This Row],[JOB CATEGORY]],L_JOBCATEGORY,0))</f>
        <v/>
      </c>
      <c r="AL15">
        <f>IF(T_EMPLOYEES[[#This Row],[EMPLOYEE NUMBER]]="","",MATCH(T_EMPLOYEES[[#This Row],[JOB LEVEL]],L_JOBLEVEL,0))</f>
        <v/>
      </c>
      <c r="AM15">
        <f>IF(T_EMPLOYEES[[#This Row],[EMPLOYEE NUMBER]]="","",MATCH(T_EMPLOYEES[[#This Row],[JOB TITLE]],L_JOBTITLE,0))</f>
        <v/>
      </c>
      <c r="AN15">
        <f>IF(T_EMPLOYEES[[#This Row],[EMPLOYEE NUMBER]]="","",MATCH(T_EMPLOYEES[[#This Row],[MANAGER]],L_EMPLABELS,0))</f>
        <v/>
      </c>
      <c r="AO15">
        <f>IF(T_EMPLOYEES[[#This Row],[EMPLOYEE NUMBER]]="","",IF(T_EMPLOYEES[[#This Row],[ERROR]]="",0,1))</f>
        <v/>
      </c>
      <c r="AP1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">
      <c r="A16" t="inlineStr">
        <is>
          <t>Radhakanta</t>
        </is>
      </c>
      <c r="B16" t="inlineStr">
        <is>
          <t xml:space="preserve"> Samantara</t>
        </is>
      </c>
      <c r="C16" t="n">
        <v>1010164</v>
      </c>
      <c r="D16" t="inlineStr">
        <is>
          <t>Radhakanta.Samantara@infinite.com</t>
        </is>
      </c>
      <c r="E16" s="26" t="n">
        <v>27532</v>
      </c>
      <c r="F16" s="26" t="n">
        <v>40772</v>
      </c>
      <c r="G16" s="26" t="n">
        <v>44542</v>
      </c>
      <c r="H16" t="inlineStr">
        <is>
          <t>Male</t>
        </is>
      </c>
      <c r="I16" t="inlineStr">
        <is>
          <t>Asian</t>
        </is>
      </c>
      <c r="J16" t="inlineStr">
        <is>
          <t>WEBSITE</t>
        </is>
      </c>
      <c r="K16" t="inlineStr">
        <is>
          <t>Bangalore</t>
        </is>
      </c>
      <c r="L16" s="27" t="inlineStr">
        <is>
          <t>IT</t>
        </is>
      </c>
      <c r="M16" t="inlineStr">
        <is>
          <t>Full-Time</t>
        </is>
      </c>
      <c r="N16" t="inlineStr">
        <is>
          <t>Vice President</t>
        </is>
      </c>
      <c r="O16" t="inlineStr">
        <is>
          <t>E10</t>
        </is>
      </c>
      <c r="P16" t="inlineStr">
        <is>
          <t>Vice President</t>
        </is>
      </c>
      <c r="Q16" t="inlineStr">
        <is>
          <t>Radhakanta  Samantara (1010164)</t>
        </is>
      </c>
      <c r="R16" s="27" t="n">
        <v>18</v>
      </c>
      <c r="S16" s="1" t="n">
        <v>5000000</v>
      </c>
      <c r="T16" s="1">
        <f>ROUND(T_EMPLOYEES[[#This Row],[EMP_CTC1]]/12, 0)</f>
        <v/>
      </c>
      <c r="U16" s="1" t="n">
        <v>2300000</v>
      </c>
      <c r="V16" s="1" t="inlineStr">
        <is>
          <t>NH</t>
        </is>
      </c>
      <c r="W16" s="1" t="inlineStr">
        <is>
          <t>NH</t>
        </is>
      </c>
      <c r="X1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" t="n">
        <v>40000</v>
      </c>
      <c r="Z16" s="29">
        <f>(S16 - U16)/S16 * 100</f>
        <v/>
      </c>
      <c r="AA16">
        <f>IF(T_EMPLOYEES[[#This Row],[EMPLOYEE NUMBER]]="","",ROW(T_EMPLOYEES[[#This Row],[EMPLOYEE LABEL]])-ROW(T_EMPLOYEES[[#Headers],[EMPLOYEE LABEL]]))</f>
        <v/>
      </c>
      <c r="AB16">
        <f>IF(T_EMPLOYEES[[#This Row],[EMPLOYEE NUMBER]]="","",IF(COUNTIF(T_EMPLOYEES[EMPLOYEE NUMBER],T_EMPLOYEES[[#This Row],[EMPLOYEE NUMBER]])&gt;1,1,0))</f>
        <v/>
      </c>
      <c r="AC16">
        <f>IF(T_EMPLOYEES[[#This Row],[EMPLOYEE NUMBER]]="","",IF(AND(T_EMPLOYEES[[#This Row],[DATE OF BIRTH]]&gt;0,T_EMPLOYEES[[#This Row],[DATE OF BIRTH]]&lt;TODAY()),0,1))</f>
        <v/>
      </c>
      <c r="AD16">
        <f>IF(T_EMPLOYEES[[#This Row],[EMPLOYEE NUMBER]]="","",IF(AND(T_EMPLOYEES[[#This Row],[START DATE]]&gt;0,T_EMPLOYEES[[#This Row],[START DATE]]&lt;TODAY()+60),0,1))</f>
        <v/>
      </c>
      <c r="AE16">
        <f>IF(T_EMPLOYEES[[#This Row],[EMPLOYEE NUMBER]]="","",MATCH(T_EMPLOYEES[[#This Row],[GENDER]],L_GENDER,0))</f>
        <v/>
      </c>
      <c r="AF16">
        <f>IF(T_EMPLOYEES[[#This Row],[EMPLOYEE NUMBER]]="","",MATCH(T_EMPLOYEES[[#This Row],[HIRE SOURCE]],L_HIRESOURCE,0))</f>
        <v/>
      </c>
      <c r="AG16">
        <f>IF(T_EMPLOYEES[[#This Row],[EMPLOYEE NUMBER]]="","",MATCH(T_EMPLOYEES[[#This Row],[ETHNICITY]],L_ETHNICITY,0))</f>
        <v/>
      </c>
      <c r="AH16">
        <f>IF(T_EMPLOYEES[[#This Row],[EMPLOYEE NUMBER]]="","",MATCH(T_EMPLOYEES[[#This Row],[LOCATION]],L_LOCATION,0))</f>
        <v/>
      </c>
      <c r="AI16">
        <f>IF(T_EMPLOYEES[[#This Row],[EMPLOYEE NUMBER]]="","",MATCH(T_EMPLOYEES[[#This Row],[DEPARTMENT]],L_DEPARTMENT,0))</f>
        <v/>
      </c>
      <c r="AJ16">
        <f>IF(T_EMPLOYEES[[#This Row],[EMPLOYEE NUMBER]]="","",MATCH(T_EMPLOYEES[[#This Row],[JOB TYPE]],L_JOBTYPE,0))</f>
        <v/>
      </c>
      <c r="AK16">
        <f>IF(T_EMPLOYEES[[#This Row],[EMPLOYEE NUMBER]]="","",MATCH(T_EMPLOYEES[[#This Row],[JOB CATEGORY]],L_JOBCATEGORY,0))</f>
        <v/>
      </c>
      <c r="AL16">
        <f>IF(T_EMPLOYEES[[#This Row],[EMPLOYEE NUMBER]]="","",MATCH(T_EMPLOYEES[[#This Row],[JOB LEVEL]],L_JOBLEVEL,0))</f>
        <v/>
      </c>
      <c r="AM16">
        <f>IF(T_EMPLOYEES[[#This Row],[EMPLOYEE NUMBER]]="","",MATCH(T_EMPLOYEES[[#This Row],[JOB TITLE]],L_JOBTITLE,0))</f>
        <v/>
      </c>
      <c r="AN16">
        <f>IF(T_EMPLOYEES[[#This Row],[EMPLOYEE NUMBER]]="","",MATCH(T_EMPLOYEES[[#This Row],[MANAGER]],L_EMPLABELS,0))</f>
        <v/>
      </c>
      <c r="AO16">
        <f>IF(T_EMPLOYEES[[#This Row],[EMPLOYEE NUMBER]]="","",IF(T_EMPLOYEES[[#This Row],[ERROR]]="",0,1))</f>
        <v/>
      </c>
      <c r="AP1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">
      <c r="A17" t="inlineStr">
        <is>
          <t>Bharat</t>
        </is>
      </c>
      <c r="B17" t="inlineStr">
        <is>
          <t>Digambar Lande</t>
        </is>
      </c>
      <c r="C17" t="n">
        <v>1028541</v>
      </c>
      <c r="D17" t="inlineStr">
        <is>
          <t>Bharat.Lande@infinite.com</t>
        </is>
      </c>
      <c r="E17" s="26" t="n">
        <v>27550</v>
      </c>
      <c r="F17" s="26" t="n">
        <v>44628</v>
      </c>
      <c r="G17" s="26" t="n"/>
      <c r="H17" t="inlineStr">
        <is>
          <t>Male</t>
        </is>
      </c>
      <c r="I17" t="inlineStr">
        <is>
          <t>Asian</t>
        </is>
      </c>
      <c r="J17" t="inlineStr">
        <is>
          <t>WEBSITE</t>
        </is>
      </c>
      <c r="K17" t="inlineStr">
        <is>
          <t>Hyderabad</t>
        </is>
      </c>
      <c r="L17" s="27" t="inlineStr">
        <is>
          <t>IT</t>
        </is>
      </c>
      <c r="M17" t="inlineStr">
        <is>
          <t>Full-Time</t>
        </is>
      </c>
      <c r="N17" t="inlineStr">
        <is>
          <t>Senior Project Manager</t>
        </is>
      </c>
      <c r="O17" t="inlineStr">
        <is>
          <t>E7</t>
        </is>
      </c>
      <c r="P17" t="inlineStr">
        <is>
          <t>Senior Project Manager</t>
        </is>
      </c>
      <c r="Q17" t="inlineStr">
        <is>
          <t>Syed Atif Ali Syed Arshad Taher Subzwari (1024996)</t>
        </is>
      </c>
      <c r="R17" t="n">
        <v>1</v>
      </c>
      <c r="S17" s="1" t="n">
        <v>5000000</v>
      </c>
      <c r="T17" s="1">
        <f>ROUND(T_EMPLOYEES[[#This Row],[EMP_CTC1]]/12, 0)</f>
        <v/>
      </c>
      <c r="U17" s="1" t="n">
        <v>2300000</v>
      </c>
      <c r="V17" s="1" t="inlineStr">
        <is>
          <t>NH</t>
        </is>
      </c>
      <c r="W17" s="1" t="inlineStr">
        <is>
          <t>NH</t>
        </is>
      </c>
      <c r="X1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" t="n">
        <v>40000</v>
      </c>
      <c r="Z17" s="29">
        <f>(S17 - U17)/S17 * 100</f>
        <v/>
      </c>
      <c r="AA17">
        <f>IF(T_EMPLOYEES[[#This Row],[EMPLOYEE NUMBER]]="","",ROW(T_EMPLOYEES[[#This Row],[EMPLOYEE LABEL]])-ROW(T_EMPLOYEES[[#Headers],[EMPLOYEE LABEL]]))</f>
        <v/>
      </c>
      <c r="AB17">
        <f>IF(T_EMPLOYEES[[#This Row],[EMPLOYEE NUMBER]]="","",IF(COUNTIF(T_EMPLOYEES[EMPLOYEE NUMBER],T_EMPLOYEES[[#This Row],[EMPLOYEE NUMBER]])&gt;1,1,0))</f>
        <v/>
      </c>
      <c r="AC17">
        <f>IF(T_EMPLOYEES[[#This Row],[EMPLOYEE NUMBER]]="","",IF(AND(T_EMPLOYEES[[#This Row],[DATE OF BIRTH]]&gt;0,T_EMPLOYEES[[#This Row],[DATE OF BIRTH]]&lt;TODAY()),0,1))</f>
        <v/>
      </c>
      <c r="AD17">
        <f>IF(T_EMPLOYEES[[#This Row],[EMPLOYEE NUMBER]]="","",IF(AND(T_EMPLOYEES[[#This Row],[START DATE]]&gt;0,T_EMPLOYEES[[#This Row],[START DATE]]&lt;TODAY()+60),0,1))</f>
        <v/>
      </c>
      <c r="AE17">
        <f>IF(T_EMPLOYEES[[#This Row],[EMPLOYEE NUMBER]]="","",MATCH(T_EMPLOYEES[[#This Row],[GENDER]],L_GENDER,0))</f>
        <v/>
      </c>
      <c r="AF17">
        <f>IF(T_EMPLOYEES[[#This Row],[EMPLOYEE NUMBER]]="","",MATCH(T_EMPLOYEES[[#This Row],[HIRE SOURCE]],L_HIRESOURCE,0))</f>
        <v/>
      </c>
      <c r="AG17">
        <f>IF(T_EMPLOYEES[[#This Row],[EMPLOYEE NUMBER]]="","",MATCH(T_EMPLOYEES[[#This Row],[ETHNICITY]],L_ETHNICITY,0))</f>
        <v/>
      </c>
      <c r="AH17">
        <f>IF(T_EMPLOYEES[[#This Row],[EMPLOYEE NUMBER]]="","",MATCH(T_EMPLOYEES[[#This Row],[LOCATION]],L_LOCATION,0))</f>
        <v/>
      </c>
      <c r="AI17">
        <f>IF(T_EMPLOYEES[[#This Row],[EMPLOYEE NUMBER]]="","",MATCH(T_EMPLOYEES[[#This Row],[DEPARTMENT]],L_DEPARTMENT,0))</f>
        <v/>
      </c>
      <c r="AJ17">
        <f>IF(T_EMPLOYEES[[#This Row],[EMPLOYEE NUMBER]]="","",MATCH(T_EMPLOYEES[[#This Row],[JOB TYPE]],L_JOBTYPE,0))</f>
        <v/>
      </c>
      <c r="AK17">
        <f>IF(T_EMPLOYEES[[#This Row],[EMPLOYEE NUMBER]]="","",MATCH(T_EMPLOYEES[[#This Row],[JOB CATEGORY]],L_JOBCATEGORY,0))</f>
        <v/>
      </c>
      <c r="AL17">
        <f>IF(T_EMPLOYEES[[#This Row],[EMPLOYEE NUMBER]]="","",MATCH(T_EMPLOYEES[[#This Row],[JOB LEVEL]],L_JOBLEVEL,0))</f>
        <v/>
      </c>
      <c r="AM17">
        <f>IF(T_EMPLOYEES[[#This Row],[EMPLOYEE NUMBER]]="","",MATCH(T_EMPLOYEES[[#This Row],[JOB TITLE]],L_JOBTITLE,0))</f>
        <v/>
      </c>
      <c r="AN17">
        <f>IF(T_EMPLOYEES[[#This Row],[EMPLOYEE NUMBER]]="","",MATCH(T_EMPLOYEES[[#This Row],[MANAGER]],L_EMPLABELS,0))</f>
        <v/>
      </c>
      <c r="AO17">
        <f>IF(T_EMPLOYEES[[#This Row],[EMPLOYEE NUMBER]]="","",IF(T_EMPLOYEES[[#This Row],[ERROR]]="",0,1))</f>
        <v/>
      </c>
      <c r="AP1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">
      <c r="A18" t="inlineStr">
        <is>
          <t>Nageswara</t>
        </is>
      </c>
      <c r="B18" t="inlineStr">
        <is>
          <t>Rao Ambati</t>
        </is>
      </c>
      <c r="C18" t="n">
        <v>1005530</v>
      </c>
      <c r="D18" t="inlineStr">
        <is>
          <t>NageswaraRao.Ambati@infinite.com</t>
        </is>
      </c>
      <c r="E18" s="26" t="n">
        <v>27584</v>
      </c>
      <c r="F18" s="26" t="n">
        <v>40026</v>
      </c>
      <c r="G18" s="26" t="n">
        <v>44177</v>
      </c>
      <c r="H18" t="inlineStr">
        <is>
          <t>Male</t>
        </is>
      </c>
      <c r="I18" t="inlineStr">
        <is>
          <t>Asian</t>
        </is>
      </c>
      <c r="J18" t="inlineStr">
        <is>
          <t>WEBSITE</t>
        </is>
      </c>
      <c r="K18" t="inlineStr">
        <is>
          <t>Hyderabad</t>
        </is>
      </c>
      <c r="L18" s="27" t="inlineStr">
        <is>
          <t>IT</t>
        </is>
      </c>
      <c r="M18" t="inlineStr">
        <is>
          <t>Full-Time</t>
        </is>
      </c>
      <c r="N18" t="inlineStr">
        <is>
          <t>Senior Test Lead</t>
        </is>
      </c>
      <c r="O18" t="inlineStr">
        <is>
          <t>E5</t>
        </is>
      </c>
      <c r="P18" t="inlineStr">
        <is>
          <t>Senior Test Lead</t>
        </is>
      </c>
      <c r="Q18" t="inlineStr">
        <is>
          <t>Talluri  Mangarao (1004641)</t>
        </is>
      </c>
      <c r="R18" s="27" t="n">
        <v>4</v>
      </c>
      <c r="S18" s="1" t="n">
        <v>5000000</v>
      </c>
      <c r="T18" s="1">
        <f>ROUND(T_EMPLOYEES[[#This Row],[EMP_CTC1]]/12, 0)</f>
        <v/>
      </c>
      <c r="U18" s="1" t="n">
        <v>2300000</v>
      </c>
      <c r="V18" s="1" t="inlineStr">
        <is>
          <t>NH</t>
        </is>
      </c>
      <c r="W18" s="1" t="inlineStr">
        <is>
          <t>NH</t>
        </is>
      </c>
      <c r="X1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" t="n">
        <v>40000</v>
      </c>
      <c r="Z18" s="29">
        <f>(S18 - U18)/S18 * 100</f>
        <v/>
      </c>
      <c r="AA18">
        <f>IF(T_EMPLOYEES[[#This Row],[EMPLOYEE NUMBER]]="","",ROW(T_EMPLOYEES[[#This Row],[EMPLOYEE LABEL]])-ROW(T_EMPLOYEES[[#Headers],[EMPLOYEE LABEL]]))</f>
        <v/>
      </c>
      <c r="AB18">
        <f>IF(T_EMPLOYEES[[#This Row],[EMPLOYEE NUMBER]]="","",IF(COUNTIF(T_EMPLOYEES[EMPLOYEE NUMBER],T_EMPLOYEES[[#This Row],[EMPLOYEE NUMBER]])&gt;1,1,0))</f>
        <v/>
      </c>
      <c r="AC18">
        <f>IF(T_EMPLOYEES[[#This Row],[EMPLOYEE NUMBER]]="","",IF(AND(T_EMPLOYEES[[#This Row],[DATE OF BIRTH]]&gt;0,T_EMPLOYEES[[#This Row],[DATE OF BIRTH]]&lt;TODAY()),0,1))</f>
        <v/>
      </c>
      <c r="AD18">
        <f>IF(T_EMPLOYEES[[#This Row],[EMPLOYEE NUMBER]]="","",IF(AND(T_EMPLOYEES[[#This Row],[START DATE]]&gt;0,T_EMPLOYEES[[#This Row],[START DATE]]&lt;TODAY()+60),0,1))</f>
        <v/>
      </c>
      <c r="AE18">
        <f>IF(T_EMPLOYEES[[#This Row],[EMPLOYEE NUMBER]]="","",MATCH(T_EMPLOYEES[[#This Row],[GENDER]],L_GENDER,0))</f>
        <v/>
      </c>
      <c r="AF18">
        <f>IF(T_EMPLOYEES[[#This Row],[EMPLOYEE NUMBER]]="","",MATCH(T_EMPLOYEES[[#This Row],[HIRE SOURCE]],L_HIRESOURCE,0))</f>
        <v/>
      </c>
      <c r="AG18">
        <f>IF(T_EMPLOYEES[[#This Row],[EMPLOYEE NUMBER]]="","",MATCH(T_EMPLOYEES[[#This Row],[ETHNICITY]],L_ETHNICITY,0))</f>
        <v/>
      </c>
      <c r="AH18">
        <f>IF(T_EMPLOYEES[[#This Row],[EMPLOYEE NUMBER]]="","",MATCH(T_EMPLOYEES[[#This Row],[LOCATION]],L_LOCATION,0))</f>
        <v/>
      </c>
      <c r="AI18">
        <f>IF(T_EMPLOYEES[[#This Row],[EMPLOYEE NUMBER]]="","",MATCH(T_EMPLOYEES[[#This Row],[DEPARTMENT]],L_DEPARTMENT,0))</f>
        <v/>
      </c>
      <c r="AJ18">
        <f>IF(T_EMPLOYEES[[#This Row],[EMPLOYEE NUMBER]]="","",MATCH(T_EMPLOYEES[[#This Row],[JOB TYPE]],L_JOBTYPE,0))</f>
        <v/>
      </c>
      <c r="AK18">
        <f>IF(T_EMPLOYEES[[#This Row],[EMPLOYEE NUMBER]]="","",MATCH(T_EMPLOYEES[[#This Row],[JOB CATEGORY]],L_JOBCATEGORY,0))</f>
        <v/>
      </c>
      <c r="AL18">
        <f>IF(T_EMPLOYEES[[#This Row],[EMPLOYEE NUMBER]]="","",MATCH(T_EMPLOYEES[[#This Row],[JOB LEVEL]],L_JOBLEVEL,0))</f>
        <v/>
      </c>
      <c r="AM18">
        <f>IF(T_EMPLOYEES[[#This Row],[EMPLOYEE NUMBER]]="","",MATCH(T_EMPLOYEES[[#This Row],[JOB TITLE]],L_JOBTITLE,0))</f>
        <v/>
      </c>
      <c r="AN18">
        <f>IF(T_EMPLOYEES[[#This Row],[EMPLOYEE NUMBER]]="","",MATCH(T_EMPLOYEES[[#This Row],[MANAGER]],L_EMPLABELS,0))</f>
        <v/>
      </c>
      <c r="AO18">
        <f>IF(T_EMPLOYEES[[#This Row],[EMPLOYEE NUMBER]]="","",IF(T_EMPLOYEES[[#This Row],[ERROR]]="",0,1))</f>
        <v/>
      </c>
      <c r="AP1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">
      <c r="A19" t="inlineStr">
        <is>
          <t>Senthilalagan</t>
        </is>
      </c>
      <c r="B19" t="inlineStr">
        <is>
          <t xml:space="preserve"> N</t>
        </is>
      </c>
      <c r="C19" t="n">
        <v>1018674</v>
      </c>
      <c r="D19" t="inlineStr">
        <is>
          <t>Senthilalagan.Natarajan@infinite.com</t>
        </is>
      </c>
      <c r="E19" s="26" t="n">
        <v>27600</v>
      </c>
      <c r="F19" s="26" t="n">
        <v>42613</v>
      </c>
      <c r="G19" s="26" t="n">
        <v>44177</v>
      </c>
      <c r="H19" t="inlineStr">
        <is>
          <t>Male</t>
        </is>
      </c>
      <c r="I19" t="inlineStr">
        <is>
          <t>Asian</t>
        </is>
      </c>
      <c r="J19" t="inlineStr">
        <is>
          <t>WEBSITE</t>
        </is>
      </c>
      <c r="K19" t="inlineStr">
        <is>
          <t>Hyderabad</t>
        </is>
      </c>
      <c r="L19" s="27" t="inlineStr">
        <is>
          <t>IT</t>
        </is>
      </c>
      <c r="M19" t="inlineStr">
        <is>
          <t>Full-Time</t>
        </is>
      </c>
      <c r="N19" t="inlineStr">
        <is>
          <t>Senior Software Test Engineer</t>
        </is>
      </c>
      <c r="O19" t="inlineStr">
        <is>
          <t>E3</t>
        </is>
      </c>
      <c r="P19" t="inlineStr">
        <is>
          <t>Senior Software Test Engineer</t>
        </is>
      </c>
      <c r="Q19" t="inlineStr">
        <is>
          <t>J S S  Vardhan (1020135)</t>
        </is>
      </c>
      <c r="R19" t="n">
        <v>2</v>
      </c>
      <c r="S19" s="1" t="n">
        <v>5000000</v>
      </c>
      <c r="T19" s="1">
        <f>ROUND(T_EMPLOYEES[[#This Row],[EMP_CTC1]]/12, 0)</f>
        <v/>
      </c>
      <c r="U19" s="1" t="n">
        <v>2300000</v>
      </c>
      <c r="V19" s="1" t="inlineStr">
        <is>
          <t>NH</t>
        </is>
      </c>
      <c r="W19" s="1" t="inlineStr">
        <is>
          <t>NH</t>
        </is>
      </c>
      <c r="X1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" t="n">
        <v>40000</v>
      </c>
      <c r="Z19" s="29">
        <f>(S19 - U19)/S19 * 100</f>
        <v/>
      </c>
      <c r="AA19">
        <f>IF(T_EMPLOYEES[[#This Row],[EMPLOYEE NUMBER]]="","",ROW(T_EMPLOYEES[[#This Row],[EMPLOYEE LABEL]])-ROW(T_EMPLOYEES[[#Headers],[EMPLOYEE LABEL]]))</f>
        <v/>
      </c>
      <c r="AB19">
        <f>IF(T_EMPLOYEES[[#This Row],[EMPLOYEE NUMBER]]="","",IF(COUNTIF(T_EMPLOYEES[EMPLOYEE NUMBER],T_EMPLOYEES[[#This Row],[EMPLOYEE NUMBER]])&gt;1,1,0))</f>
        <v/>
      </c>
      <c r="AC19">
        <f>IF(T_EMPLOYEES[[#This Row],[EMPLOYEE NUMBER]]="","",IF(AND(T_EMPLOYEES[[#This Row],[DATE OF BIRTH]]&gt;0,T_EMPLOYEES[[#This Row],[DATE OF BIRTH]]&lt;TODAY()),0,1))</f>
        <v/>
      </c>
      <c r="AD19">
        <f>IF(T_EMPLOYEES[[#This Row],[EMPLOYEE NUMBER]]="","",IF(AND(T_EMPLOYEES[[#This Row],[START DATE]]&gt;0,T_EMPLOYEES[[#This Row],[START DATE]]&lt;TODAY()+60),0,1))</f>
        <v/>
      </c>
      <c r="AE19">
        <f>IF(T_EMPLOYEES[[#This Row],[EMPLOYEE NUMBER]]="","",MATCH(T_EMPLOYEES[[#This Row],[GENDER]],L_GENDER,0))</f>
        <v/>
      </c>
      <c r="AF19">
        <f>IF(T_EMPLOYEES[[#This Row],[EMPLOYEE NUMBER]]="","",MATCH(T_EMPLOYEES[[#This Row],[HIRE SOURCE]],L_HIRESOURCE,0))</f>
        <v/>
      </c>
      <c r="AG19">
        <f>IF(T_EMPLOYEES[[#This Row],[EMPLOYEE NUMBER]]="","",MATCH(T_EMPLOYEES[[#This Row],[ETHNICITY]],L_ETHNICITY,0))</f>
        <v/>
      </c>
      <c r="AH19">
        <f>IF(T_EMPLOYEES[[#This Row],[EMPLOYEE NUMBER]]="","",MATCH(T_EMPLOYEES[[#This Row],[LOCATION]],L_LOCATION,0))</f>
        <v/>
      </c>
      <c r="AI19">
        <f>IF(T_EMPLOYEES[[#This Row],[EMPLOYEE NUMBER]]="","",MATCH(T_EMPLOYEES[[#This Row],[DEPARTMENT]],L_DEPARTMENT,0))</f>
        <v/>
      </c>
      <c r="AJ19">
        <f>IF(T_EMPLOYEES[[#This Row],[EMPLOYEE NUMBER]]="","",MATCH(T_EMPLOYEES[[#This Row],[JOB TYPE]],L_JOBTYPE,0))</f>
        <v/>
      </c>
      <c r="AK19">
        <f>IF(T_EMPLOYEES[[#This Row],[EMPLOYEE NUMBER]]="","",MATCH(T_EMPLOYEES[[#This Row],[JOB CATEGORY]],L_JOBCATEGORY,0))</f>
        <v/>
      </c>
      <c r="AL19">
        <f>IF(T_EMPLOYEES[[#This Row],[EMPLOYEE NUMBER]]="","",MATCH(T_EMPLOYEES[[#This Row],[JOB LEVEL]],L_JOBLEVEL,0))</f>
        <v/>
      </c>
      <c r="AM19">
        <f>IF(T_EMPLOYEES[[#This Row],[EMPLOYEE NUMBER]]="","",MATCH(T_EMPLOYEES[[#This Row],[JOB TITLE]],L_JOBTITLE,0))</f>
        <v/>
      </c>
      <c r="AN19">
        <f>IF(T_EMPLOYEES[[#This Row],[EMPLOYEE NUMBER]]="","",MATCH(T_EMPLOYEES[[#This Row],[MANAGER]],L_EMPLABELS,0))</f>
        <v/>
      </c>
      <c r="AO19">
        <f>IF(T_EMPLOYEES[[#This Row],[EMPLOYEE NUMBER]]="","",IF(T_EMPLOYEES[[#This Row],[ERROR]]="",0,1))</f>
        <v/>
      </c>
      <c r="AP1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">
      <c r="A20" t="inlineStr">
        <is>
          <t>Avdhut</t>
        </is>
      </c>
      <c r="B20" t="inlineStr">
        <is>
          <t>Sunil Kavdikar</t>
        </is>
      </c>
      <c r="C20" t="n">
        <v>1032836</v>
      </c>
      <c r="D20" t="inlineStr">
        <is>
          <t>Avdhut.Kavdikar@infinite.com</t>
        </is>
      </c>
      <c r="E20" s="26" t="n">
        <v>27711</v>
      </c>
      <c r="F20" s="26" t="n">
        <v>45068</v>
      </c>
      <c r="H20" t="inlineStr">
        <is>
          <t>Male</t>
        </is>
      </c>
      <c r="I20" t="inlineStr">
        <is>
          <t>Asian</t>
        </is>
      </c>
      <c r="J20" t="inlineStr">
        <is>
          <t>WEBSITE</t>
        </is>
      </c>
      <c r="K20" t="inlineStr">
        <is>
          <t>Hyderabad</t>
        </is>
      </c>
      <c r="L20" s="27" t="inlineStr">
        <is>
          <t>IT</t>
        </is>
      </c>
      <c r="M20" t="inlineStr">
        <is>
          <t>Full-Time</t>
        </is>
      </c>
      <c r="N20" t="inlineStr">
        <is>
          <t>Program Director</t>
        </is>
      </c>
      <c r="O20" t="inlineStr">
        <is>
          <t>E8</t>
        </is>
      </c>
      <c r="P20" t="inlineStr">
        <is>
          <t>Program Director</t>
        </is>
      </c>
      <c r="Q20" t="inlineStr">
        <is>
          <t>Radhakanta  Samantara (1010164)</t>
        </is>
      </c>
      <c r="R20" s="27" t="n">
        <v>10</v>
      </c>
      <c r="S20" s="1" t="n">
        <v>5000000</v>
      </c>
      <c r="T20" s="1">
        <f>ROUND(T_EMPLOYEES[[#This Row],[EMP_CTC1]]/12, 0)</f>
        <v/>
      </c>
      <c r="U20" s="1" t="n">
        <v>2300000</v>
      </c>
      <c r="V20" s="1" t="inlineStr">
        <is>
          <t>NH</t>
        </is>
      </c>
      <c r="W20" s="1" t="inlineStr">
        <is>
          <t>NH</t>
        </is>
      </c>
      <c r="X2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" t="n">
        <v>40000</v>
      </c>
      <c r="Z20" s="29">
        <f>(S20 - U20)/S20 * 100</f>
        <v/>
      </c>
      <c r="AA20">
        <f>IF(T_EMPLOYEES[[#This Row],[EMPLOYEE NUMBER]]="","",ROW(T_EMPLOYEES[[#This Row],[EMPLOYEE LABEL]])-ROW(T_EMPLOYEES[[#Headers],[EMPLOYEE LABEL]]))</f>
        <v/>
      </c>
      <c r="AB20">
        <f>IF(T_EMPLOYEES[[#This Row],[EMPLOYEE NUMBER]]="","",IF(COUNTIF(T_EMPLOYEES[EMPLOYEE NUMBER],T_EMPLOYEES[[#This Row],[EMPLOYEE NUMBER]])&gt;1,1,0))</f>
        <v/>
      </c>
      <c r="AC20">
        <f>IF(T_EMPLOYEES[[#This Row],[EMPLOYEE NUMBER]]="","",IF(AND(T_EMPLOYEES[[#This Row],[DATE OF BIRTH]]&gt;0,T_EMPLOYEES[[#This Row],[DATE OF BIRTH]]&lt;TODAY()),0,1))</f>
        <v/>
      </c>
      <c r="AD20">
        <f>IF(T_EMPLOYEES[[#This Row],[EMPLOYEE NUMBER]]="","",IF(AND(T_EMPLOYEES[[#This Row],[START DATE]]&gt;0,T_EMPLOYEES[[#This Row],[START DATE]]&lt;TODAY()+60),0,1))</f>
        <v/>
      </c>
      <c r="AE20">
        <f>IF(T_EMPLOYEES[[#This Row],[EMPLOYEE NUMBER]]="","",MATCH(T_EMPLOYEES[[#This Row],[GENDER]],L_GENDER,0))</f>
        <v/>
      </c>
      <c r="AF20">
        <f>IF(T_EMPLOYEES[[#This Row],[EMPLOYEE NUMBER]]="","",MATCH(T_EMPLOYEES[[#This Row],[HIRE SOURCE]],L_HIRESOURCE,0))</f>
        <v/>
      </c>
      <c r="AG20">
        <f>IF(T_EMPLOYEES[[#This Row],[EMPLOYEE NUMBER]]="","",MATCH(T_EMPLOYEES[[#This Row],[ETHNICITY]],L_ETHNICITY,0))</f>
        <v/>
      </c>
      <c r="AH20">
        <f>IF(T_EMPLOYEES[[#This Row],[EMPLOYEE NUMBER]]="","",MATCH(T_EMPLOYEES[[#This Row],[LOCATION]],L_LOCATION,0))</f>
        <v/>
      </c>
      <c r="AI20">
        <f>IF(T_EMPLOYEES[[#This Row],[EMPLOYEE NUMBER]]="","",MATCH(T_EMPLOYEES[[#This Row],[DEPARTMENT]],L_DEPARTMENT,0))</f>
        <v/>
      </c>
      <c r="AJ20">
        <f>IF(T_EMPLOYEES[[#This Row],[EMPLOYEE NUMBER]]="","",MATCH(T_EMPLOYEES[[#This Row],[JOB TYPE]],L_JOBTYPE,0))</f>
        <v/>
      </c>
      <c r="AK20">
        <f>IF(T_EMPLOYEES[[#This Row],[EMPLOYEE NUMBER]]="","",MATCH(T_EMPLOYEES[[#This Row],[JOB CATEGORY]],L_JOBCATEGORY,0))</f>
        <v/>
      </c>
      <c r="AL20">
        <f>IF(T_EMPLOYEES[[#This Row],[EMPLOYEE NUMBER]]="","",MATCH(T_EMPLOYEES[[#This Row],[JOB LEVEL]],L_JOBLEVEL,0))</f>
        <v/>
      </c>
      <c r="AM20">
        <f>IF(T_EMPLOYEES[[#This Row],[EMPLOYEE NUMBER]]="","",MATCH(T_EMPLOYEES[[#This Row],[JOB TITLE]],L_JOBTITLE,0))</f>
        <v/>
      </c>
      <c r="AN20">
        <f>IF(T_EMPLOYEES[[#This Row],[EMPLOYEE NUMBER]]="","",MATCH(T_EMPLOYEES[[#This Row],[MANAGER]],L_EMPLABELS,0))</f>
        <v/>
      </c>
      <c r="AO20">
        <f>IF(T_EMPLOYEES[[#This Row],[EMPLOYEE NUMBER]]="","",IF(T_EMPLOYEES[[#This Row],[ERROR]]="",0,1))</f>
        <v/>
      </c>
      <c r="AP2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">
      <c r="A21" t="inlineStr">
        <is>
          <t>Sudip</t>
        </is>
      </c>
      <c r="B21" t="inlineStr">
        <is>
          <t>Karmakar</t>
        </is>
      </c>
      <c r="C21" t="n">
        <v>1020365</v>
      </c>
      <c r="D21" t="inlineStr">
        <is>
          <t>Sudip.Karmakar@infinite.com</t>
        </is>
      </c>
      <c r="E21" s="26" t="n">
        <v>27737</v>
      </c>
      <c r="F21" s="26" t="n">
        <v>43188</v>
      </c>
      <c r="G21" s="26" t="n">
        <v>45209</v>
      </c>
      <c r="H21" t="inlineStr">
        <is>
          <t>Male</t>
        </is>
      </c>
      <c r="I21" t="inlineStr">
        <is>
          <t>Asian</t>
        </is>
      </c>
      <c r="J21" t="inlineStr">
        <is>
          <t>WEBSITE</t>
        </is>
      </c>
      <c r="K21" t="inlineStr">
        <is>
          <t>Hyderabad</t>
        </is>
      </c>
      <c r="L21" s="27" t="inlineStr">
        <is>
          <t>IT</t>
        </is>
      </c>
      <c r="M21" t="inlineStr">
        <is>
          <t>Full-Time</t>
        </is>
      </c>
      <c r="N21" t="inlineStr">
        <is>
          <t>Senior Project Manager</t>
        </is>
      </c>
      <c r="O21" t="inlineStr">
        <is>
          <t>E7</t>
        </is>
      </c>
      <c r="P21" t="inlineStr">
        <is>
          <t>Senior Project Manager</t>
        </is>
      </c>
      <c r="Q21" t="inlineStr">
        <is>
          <t>Radhakanta  Samantara (1010164)</t>
        </is>
      </c>
      <c r="R21" t="n">
        <v>2</v>
      </c>
      <c r="S21" s="1" t="n">
        <v>5000000</v>
      </c>
      <c r="T21" s="1">
        <f>ROUND(T_EMPLOYEES[[#This Row],[EMP_CTC1]]/12, 0)</f>
        <v/>
      </c>
      <c r="U21" s="1" t="n">
        <v>2300000</v>
      </c>
      <c r="V21" s="1" t="inlineStr">
        <is>
          <t>NH</t>
        </is>
      </c>
      <c r="W21" s="1" t="inlineStr">
        <is>
          <t>NH</t>
        </is>
      </c>
      <c r="X2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" t="n">
        <v>40000</v>
      </c>
      <c r="Z21" s="29">
        <f>(S21 - U21)/S21 * 100</f>
        <v/>
      </c>
      <c r="AA21">
        <f>IF(T_EMPLOYEES[[#This Row],[EMPLOYEE NUMBER]]="","",ROW(T_EMPLOYEES[[#This Row],[EMPLOYEE LABEL]])-ROW(T_EMPLOYEES[[#Headers],[EMPLOYEE LABEL]]))</f>
        <v/>
      </c>
      <c r="AB21">
        <f>IF(T_EMPLOYEES[[#This Row],[EMPLOYEE NUMBER]]="","",IF(COUNTIF(T_EMPLOYEES[EMPLOYEE NUMBER],T_EMPLOYEES[[#This Row],[EMPLOYEE NUMBER]])&gt;1,1,0))</f>
        <v/>
      </c>
      <c r="AC21">
        <f>IF(T_EMPLOYEES[[#This Row],[EMPLOYEE NUMBER]]="","",IF(AND(T_EMPLOYEES[[#This Row],[DATE OF BIRTH]]&gt;0,T_EMPLOYEES[[#This Row],[DATE OF BIRTH]]&lt;TODAY()),0,1))</f>
        <v/>
      </c>
      <c r="AD21">
        <f>IF(T_EMPLOYEES[[#This Row],[EMPLOYEE NUMBER]]="","",IF(AND(T_EMPLOYEES[[#This Row],[START DATE]]&gt;0,T_EMPLOYEES[[#This Row],[START DATE]]&lt;TODAY()+60),0,1))</f>
        <v/>
      </c>
      <c r="AE21">
        <f>IF(T_EMPLOYEES[[#This Row],[EMPLOYEE NUMBER]]="","",MATCH(T_EMPLOYEES[[#This Row],[GENDER]],L_GENDER,0))</f>
        <v/>
      </c>
      <c r="AF21">
        <f>IF(T_EMPLOYEES[[#This Row],[EMPLOYEE NUMBER]]="","",MATCH(T_EMPLOYEES[[#This Row],[HIRE SOURCE]],L_HIRESOURCE,0))</f>
        <v/>
      </c>
      <c r="AG21">
        <f>IF(T_EMPLOYEES[[#This Row],[EMPLOYEE NUMBER]]="","",MATCH(T_EMPLOYEES[[#This Row],[ETHNICITY]],L_ETHNICITY,0))</f>
        <v/>
      </c>
      <c r="AH21">
        <f>IF(T_EMPLOYEES[[#This Row],[EMPLOYEE NUMBER]]="","",MATCH(T_EMPLOYEES[[#This Row],[LOCATION]],L_LOCATION,0))</f>
        <v/>
      </c>
      <c r="AI21">
        <f>IF(T_EMPLOYEES[[#This Row],[EMPLOYEE NUMBER]]="","",MATCH(T_EMPLOYEES[[#This Row],[DEPARTMENT]],L_DEPARTMENT,0))</f>
        <v/>
      </c>
      <c r="AJ21">
        <f>IF(T_EMPLOYEES[[#This Row],[EMPLOYEE NUMBER]]="","",MATCH(T_EMPLOYEES[[#This Row],[JOB TYPE]],L_JOBTYPE,0))</f>
        <v/>
      </c>
      <c r="AK21">
        <f>IF(T_EMPLOYEES[[#This Row],[EMPLOYEE NUMBER]]="","",MATCH(T_EMPLOYEES[[#This Row],[JOB CATEGORY]],L_JOBCATEGORY,0))</f>
        <v/>
      </c>
      <c r="AL21">
        <f>IF(T_EMPLOYEES[[#This Row],[EMPLOYEE NUMBER]]="","",MATCH(T_EMPLOYEES[[#This Row],[JOB LEVEL]],L_JOBLEVEL,0))</f>
        <v/>
      </c>
      <c r="AM21">
        <f>IF(T_EMPLOYEES[[#This Row],[EMPLOYEE NUMBER]]="","",MATCH(T_EMPLOYEES[[#This Row],[JOB TITLE]],L_JOBTITLE,0))</f>
        <v/>
      </c>
      <c r="AN21">
        <f>IF(T_EMPLOYEES[[#This Row],[EMPLOYEE NUMBER]]="","",MATCH(T_EMPLOYEES[[#This Row],[MANAGER]],L_EMPLABELS,0))</f>
        <v/>
      </c>
      <c r="AO21">
        <f>IF(T_EMPLOYEES[[#This Row],[EMPLOYEE NUMBER]]="","",IF(T_EMPLOYEES[[#This Row],[ERROR]]="",0,1))</f>
        <v/>
      </c>
      <c r="AP2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">
      <c r="A22" t="inlineStr">
        <is>
          <t>Purushotham</t>
        </is>
      </c>
      <c r="B22" t="inlineStr">
        <is>
          <t>Ayachetula</t>
        </is>
      </c>
      <c r="C22" t="n">
        <v>1022573</v>
      </c>
      <c r="D22" t="inlineStr">
        <is>
          <t>Purushotham.Ayachetula@infinite.com</t>
        </is>
      </c>
      <c r="E22" s="26" t="n">
        <v>27753</v>
      </c>
      <c r="F22" s="26" t="n">
        <v>43711</v>
      </c>
      <c r="G22" s="26" t="n">
        <v>45210</v>
      </c>
      <c r="H22" t="inlineStr">
        <is>
          <t>Male</t>
        </is>
      </c>
      <c r="I22" t="inlineStr">
        <is>
          <t>Asian</t>
        </is>
      </c>
      <c r="J22" t="inlineStr">
        <is>
          <t>WEBSITE</t>
        </is>
      </c>
      <c r="K22" t="inlineStr">
        <is>
          <t>Bangalore</t>
        </is>
      </c>
      <c r="L22" s="27" t="inlineStr">
        <is>
          <t>IT</t>
        </is>
      </c>
      <c r="M22" t="inlineStr">
        <is>
          <t>Full-Time</t>
        </is>
      </c>
      <c r="N22" t="inlineStr">
        <is>
          <t>Vice President</t>
        </is>
      </c>
      <c r="O22" t="inlineStr">
        <is>
          <t>E10</t>
        </is>
      </c>
      <c r="P22" t="inlineStr">
        <is>
          <t>Vice President</t>
        </is>
      </c>
      <c r="Q22" t="inlineStr">
        <is>
          <t>Radhakanta  Samantara (1010164)</t>
        </is>
      </c>
      <c r="R22" s="27" t="n">
        <v>17</v>
      </c>
      <c r="S22" s="1" t="n">
        <v>5000000</v>
      </c>
      <c r="T22" s="1">
        <f>ROUND(T_EMPLOYEES[[#This Row],[EMP_CTC1]]/12, 0)</f>
        <v/>
      </c>
      <c r="U22" s="1" t="n">
        <v>2300000</v>
      </c>
      <c r="V22" s="1" t="inlineStr">
        <is>
          <t>NH</t>
        </is>
      </c>
      <c r="W22" s="1" t="inlineStr">
        <is>
          <t>NH</t>
        </is>
      </c>
      <c r="X2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" t="n">
        <v>60000</v>
      </c>
      <c r="Z22" s="29">
        <f>(S22 - U22)/S22 * 100</f>
        <v/>
      </c>
      <c r="AA22">
        <f>IF(T_EMPLOYEES[[#This Row],[EMPLOYEE NUMBER]]="","",ROW(T_EMPLOYEES[[#This Row],[EMPLOYEE LABEL]])-ROW(T_EMPLOYEES[[#Headers],[EMPLOYEE LABEL]]))</f>
        <v/>
      </c>
      <c r="AB22">
        <f>IF(T_EMPLOYEES[[#This Row],[EMPLOYEE NUMBER]]="","",IF(COUNTIF(T_EMPLOYEES[EMPLOYEE NUMBER],T_EMPLOYEES[[#This Row],[EMPLOYEE NUMBER]])&gt;1,1,0))</f>
        <v/>
      </c>
      <c r="AC22">
        <f>IF(T_EMPLOYEES[[#This Row],[EMPLOYEE NUMBER]]="","",IF(AND(T_EMPLOYEES[[#This Row],[DATE OF BIRTH]]&gt;0,T_EMPLOYEES[[#This Row],[DATE OF BIRTH]]&lt;TODAY()),0,1))</f>
        <v/>
      </c>
      <c r="AD22">
        <f>IF(T_EMPLOYEES[[#This Row],[EMPLOYEE NUMBER]]="","",IF(AND(T_EMPLOYEES[[#This Row],[START DATE]]&gt;0,T_EMPLOYEES[[#This Row],[START DATE]]&lt;TODAY()+60),0,1))</f>
        <v/>
      </c>
      <c r="AE22">
        <f>IF(T_EMPLOYEES[[#This Row],[EMPLOYEE NUMBER]]="","",MATCH(T_EMPLOYEES[[#This Row],[GENDER]],L_GENDER,0))</f>
        <v/>
      </c>
      <c r="AF22">
        <f>IF(T_EMPLOYEES[[#This Row],[EMPLOYEE NUMBER]]="","",MATCH(T_EMPLOYEES[[#This Row],[HIRE SOURCE]],L_HIRESOURCE,0))</f>
        <v/>
      </c>
      <c r="AG22">
        <f>IF(T_EMPLOYEES[[#This Row],[EMPLOYEE NUMBER]]="","",MATCH(T_EMPLOYEES[[#This Row],[ETHNICITY]],L_ETHNICITY,0))</f>
        <v/>
      </c>
      <c r="AH22">
        <f>IF(T_EMPLOYEES[[#This Row],[EMPLOYEE NUMBER]]="","",MATCH(T_EMPLOYEES[[#This Row],[LOCATION]],L_LOCATION,0))</f>
        <v/>
      </c>
      <c r="AI22">
        <f>IF(T_EMPLOYEES[[#This Row],[EMPLOYEE NUMBER]]="","",MATCH(T_EMPLOYEES[[#This Row],[DEPARTMENT]],L_DEPARTMENT,0))</f>
        <v/>
      </c>
      <c r="AJ22">
        <f>IF(T_EMPLOYEES[[#This Row],[EMPLOYEE NUMBER]]="","",MATCH(T_EMPLOYEES[[#This Row],[JOB TYPE]],L_JOBTYPE,0))</f>
        <v/>
      </c>
      <c r="AK22">
        <f>IF(T_EMPLOYEES[[#This Row],[EMPLOYEE NUMBER]]="","",MATCH(T_EMPLOYEES[[#This Row],[JOB CATEGORY]],L_JOBCATEGORY,0))</f>
        <v/>
      </c>
      <c r="AL22">
        <f>IF(T_EMPLOYEES[[#This Row],[EMPLOYEE NUMBER]]="","",MATCH(T_EMPLOYEES[[#This Row],[JOB LEVEL]],L_JOBLEVEL,0))</f>
        <v/>
      </c>
      <c r="AM22">
        <f>IF(T_EMPLOYEES[[#This Row],[EMPLOYEE NUMBER]]="","",MATCH(T_EMPLOYEES[[#This Row],[JOB TITLE]],L_JOBTITLE,0))</f>
        <v/>
      </c>
      <c r="AN22">
        <f>IF(T_EMPLOYEES[[#This Row],[EMPLOYEE NUMBER]]="","",MATCH(T_EMPLOYEES[[#This Row],[MANAGER]],L_EMPLABELS,0))</f>
        <v/>
      </c>
      <c r="AO22">
        <f>IF(T_EMPLOYEES[[#This Row],[EMPLOYEE NUMBER]]="","",IF(T_EMPLOYEES[[#This Row],[ERROR]]="",0,1))</f>
        <v/>
      </c>
      <c r="AP2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">
      <c r="A23" t="inlineStr">
        <is>
          <t>Chandrasekar</t>
        </is>
      </c>
      <c r="B23" t="inlineStr">
        <is>
          <t xml:space="preserve"> Nagarajan</t>
        </is>
      </c>
      <c r="C23" t="n">
        <v>1024729</v>
      </c>
      <c r="D23" t="inlineStr">
        <is>
          <t>Chandrasekar.Nagarajan@infinite.com</t>
        </is>
      </c>
      <c r="E23" s="26" t="n">
        <v>27802</v>
      </c>
      <c r="F23" s="26" t="n">
        <v>44263</v>
      </c>
      <c r="G23" s="26" t="n">
        <v>45211</v>
      </c>
      <c r="H23" t="inlineStr">
        <is>
          <t>Male</t>
        </is>
      </c>
      <c r="I23" t="inlineStr">
        <is>
          <t>Asian</t>
        </is>
      </c>
      <c r="J23" t="inlineStr">
        <is>
          <t>WEBSITE</t>
        </is>
      </c>
      <c r="K23" t="inlineStr">
        <is>
          <t>Hyderabad</t>
        </is>
      </c>
      <c r="L23" s="27" t="inlineStr">
        <is>
          <t>IT</t>
        </is>
      </c>
      <c r="M23" t="inlineStr">
        <is>
          <t>Full-Time</t>
        </is>
      </c>
      <c r="N23" t="inlineStr">
        <is>
          <t>Test Lead</t>
        </is>
      </c>
      <c r="O23" t="inlineStr">
        <is>
          <t>E4</t>
        </is>
      </c>
      <c r="P23" t="inlineStr">
        <is>
          <t>Test Lead</t>
        </is>
      </c>
      <c r="Q23" t="inlineStr">
        <is>
          <t>Santhosh B K (1025129)</t>
        </is>
      </c>
      <c r="R23" t="n">
        <v>2</v>
      </c>
      <c r="S23" s="1" t="n">
        <v>5000000</v>
      </c>
      <c r="T23" s="1">
        <f>ROUND(T_EMPLOYEES[[#This Row],[EMP_CTC1]]/12, 0)</f>
        <v/>
      </c>
      <c r="U23" s="1" t="n">
        <v>2300000</v>
      </c>
      <c r="V23" s="1" t="inlineStr">
        <is>
          <t>NH</t>
        </is>
      </c>
      <c r="W23" s="1" t="inlineStr">
        <is>
          <t>NH</t>
        </is>
      </c>
      <c r="X2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" t="n">
        <v>60000</v>
      </c>
      <c r="Z23" s="29">
        <f>(S23 - U23)/S23 * 100</f>
        <v/>
      </c>
      <c r="AA23">
        <f>IF(T_EMPLOYEES[[#This Row],[EMPLOYEE NUMBER]]="","",ROW(T_EMPLOYEES[[#This Row],[EMPLOYEE LABEL]])-ROW(T_EMPLOYEES[[#Headers],[EMPLOYEE LABEL]]))</f>
        <v/>
      </c>
      <c r="AB23">
        <f>IF(T_EMPLOYEES[[#This Row],[EMPLOYEE NUMBER]]="","",IF(COUNTIF(T_EMPLOYEES[EMPLOYEE NUMBER],T_EMPLOYEES[[#This Row],[EMPLOYEE NUMBER]])&gt;1,1,0))</f>
        <v/>
      </c>
      <c r="AC23">
        <f>IF(T_EMPLOYEES[[#This Row],[EMPLOYEE NUMBER]]="","",IF(AND(T_EMPLOYEES[[#This Row],[DATE OF BIRTH]]&gt;0,T_EMPLOYEES[[#This Row],[DATE OF BIRTH]]&lt;TODAY()),0,1))</f>
        <v/>
      </c>
      <c r="AD23">
        <f>IF(T_EMPLOYEES[[#This Row],[EMPLOYEE NUMBER]]="","",IF(AND(T_EMPLOYEES[[#This Row],[START DATE]]&gt;0,T_EMPLOYEES[[#This Row],[START DATE]]&lt;TODAY()+60),0,1))</f>
        <v/>
      </c>
      <c r="AE23">
        <f>IF(T_EMPLOYEES[[#This Row],[EMPLOYEE NUMBER]]="","",MATCH(T_EMPLOYEES[[#This Row],[GENDER]],L_GENDER,0))</f>
        <v/>
      </c>
      <c r="AF23">
        <f>IF(T_EMPLOYEES[[#This Row],[EMPLOYEE NUMBER]]="","",MATCH(T_EMPLOYEES[[#This Row],[HIRE SOURCE]],L_HIRESOURCE,0))</f>
        <v/>
      </c>
      <c r="AG23">
        <f>IF(T_EMPLOYEES[[#This Row],[EMPLOYEE NUMBER]]="","",MATCH(T_EMPLOYEES[[#This Row],[ETHNICITY]],L_ETHNICITY,0))</f>
        <v/>
      </c>
      <c r="AH23">
        <f>IF(T_EMPLOYEES[[#This Row],[EMPLOYEE NUMBER]]="","",MATCH(T_EMPLOYEES[[#This Row],[LOCATION]],L_LOCATION,0))</f>
        <v/>
      </c>
      <c r="AI23">
        <f>IF(T_EMPLOYEES[[#This Row],[EMPLOYEE NUMBER]]="","",MATCH(T_EMPLOYEES[[#This Row],[DEPARTMENT]],L_DEPARTMENT,0))</f>
        <v/>
      </c>
      <c r="AJ23">
        <f>IF(T_EMPLOYEES[[#This Row],[EMPLOYEE NUMBER]]="","",MATCH(T_EMPLOYEES[[#This Row],[JOB TYPE]],L_JOBTYPE,0))</f>
        <v/>
      </c>
      <c r="AK23">
        <f>IF(T_EMPLOYEES[[#This Row],[EMPLOYEE NUMBER]]="","",MATCH(T_EMPLOYEES[[#This Row],[JOB CATEGORY]],L_JOBCATEGORY,0))</f>
        <v/>
      </c>
      <c r="AL23">
        <f>IF(T_EMPLOYEES[[#This Row],[EMPLOYEE NUMBER]]="","",MATCH(T_EMPLOYEES[[#This Row],[JOB LEVEL]],L_JOBLEVEL,0))</f>
        <v/>
      </c>
      <c r="AM23">
        <f>IF(T_EMPLOYEES[[#This Row],[EMPLOYEE NUMBER]]="","",MATCH(T_EMPLOYEES[[#This Row],[JOB TITLE]],L_JOBTITLE,0))</f>
        <v/>
      </c>
      <c r="AN23">
        <f>IF(T_EMPLOYEES[[#This Row],[EMPLOYEE NUMBER]]="","",MATCH(T_EMPLOYEES[[#This Row],[MANAGER]],L_EMPLABELS,0))</f>
        <v/>
      </c>
      <c r="AO23">
        <f>IF(T_EMPLOYEES[[#This Row],[EMPLOYEE NUMBER]]="","",IF(T_EMPLOYEES[[#This Row],[ERROR]]="",0,1))</f>
        <v/>
      </c>
      <c r="AP2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">
      <c r="A24" t="inlineStr">
        <is>
          <t>Kamuju</t>
        </is>
      </c>
      <c r="B24" t="inlineStr">
        <is>
          <t>Srikanth</t>
        </is>
      </c>
      <c r="C24" t="n">
        <v>1029447</v>
      </c>
      <c r="D24" t="inlineStr">
        <is>
          <t>Srikanth.Kamuju@infinite.com</t>
        </is>
      </c>
      <c r="E24" s="26" t="n">
        <v>27969</v>
      </c>
      <c r="F24" s="26" t="n">
        <v>44746</v>
      </c>
      <c r="G24" s="26" t="n">
        <v>45212</v>
      </c>
      <c r="H24" t="inlineStr">
        <is>
          <t>Male</t>
        </is>
      </c>
      <c r="I24" t="inlineStr">
        <is>
          <t>Asian</t>
        </is>
      </c>
      <c r="J24" t="inlineStr">
        <is>
          <t>WEBSITE</t>
        </is>
      </c>
      <c r="K24" t="inlineStr">
        <is>
          <t>Hyderabad</t>
        </is>
      </c>
      <c r="L24" s="27" t="inlineStr">
        <is>
          <t>IT</t>
        </is>
      </c>
      <c r="M24" t="inlineStr">
        <is>
          <t>Full-Time</t>
        </is>
      </c>
      <c r="N24" t="inlineStr">
        <is>
          <t>Senior Software Engineer</t>
        </is>
      </c>
      <c r="O24" t="inlineStr">
        <is>
          <t>E3</t>
        </is>
      </c>
      <c r="P24" t="inlineStr">
        <is>
          <t>Senior Software Engineer</t>
        </is>
      </c>
      <c r="Q24" t="inlineStr">
        <is>
          <t>Srinivas Rao Vemana (1028538)</t>
        </is>
      </c>
      <c r="R24" s="27" t="n">
        <v>2</v>
      </c>
      <c r="S24" s="1" t="n">
        <v>5000000</v>
      </c>
      <c r="T24" s="1">
        <f>ROUND(T_EMPLOYEES[[#This Row],[EMP_CTC1]]/12, 0)</f>
        <v/>
      </c>
      <c r="U24" s="1" t="n">
        <v>2300000</v>
      </c>
      <c r="V24" s="1" t="inlineStr">
        <is>
          <t>NH</t>
        </is>
      </c>
      <c r="W24" s="1" t="inlineStr">
        <is>
          <t>NH</t>
        </is>
      </c>
      <c r="X2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" t="n">
        <v>60000</v>
      </c>
      <c r="Z24" s="29">
        <f>(S24 - U24)/S24 * 100</f>
        <v/>
      </c>
      <c r="AA24">
        <f>IF(T_EMPLOYEES[[#This Row],[EMPLOYEE NUMBER]]="","",ROW(T_EMPLOYEES[[#This Row],[EMPLOYEE LABEL]])-ROW(T_EMPLOYEES[[#Headers],[EMPLOYEE LABEL]]))</f>
        <v/>
      </c>
      <c r="AB24">
        <f>IF(T_EMPLOYEES[[#This Row],[EMPLOYEE NUMBER]]="","",IF(COUNTIF(T_EMPLOYEES[EMPLOYEE NUMBER],T_EMPLOYEES[[#This Row],[EMPLOYEE NUMBER]])&gt;1,1,0))</f>
        <v/>
      </c>
      <c r="AC24">
        <f>IF(T_EMPLOYEES[[#This Row],[EMPLOYEE NUMBER]]="","",IF(AND(T_EMPLOYEES[[#This Row],[DATE OF BIRTH]]&gt;0,T_EMPLOYEES[[#This Row],[DATE OF BIRTH]]&lt;TODAY()),0,1))</f>
        <v/>
      </c>
      <c r="AD24">
        <f>IF(T_EMPLOYEES[[#This Row],[EMPLOYEE NUMBER]]="","",IF(AND(T_EMPLOYEES[[#This Row],[START DATE]]&gt;0,T_EMPLOYEES[[#This Row],[START DATE]]&lt;TODAY()+60),0,1))</f>
        <v/>
      </c>
      <c r="AE24">
        <f>IF(T_EMPLOYEES[[#This Row],[EMPLOYEE NUMBER]]="","",MATCH(T_EMPLOYEES[[#This Row],[GENDER]],L_GENDER,0))</f>
        <v/>
      </c>
      <c r="AF24">
        <f>IF(T_EMPLOYEES[[#This Row],[EMPLOYEE NUMBER]]="","",MATCH(T_EMPLOYEES[[#This Row],[HIRE SOURCE]],L_HIRESOURCE,0))</f>
        <v/>
      </c>
      <c r="AG24">
        <f>IF(T_EMPLOYEES[[#This Row],[EMPLOYEE NUMBER]]="","",MATCH(T_EMPLOYEES[[#This Row],[ETHNICITY]],L_ETHNICITY,0))</f>
        <v/>
      </c>
      <c r="AH24">
        <f>IF(T_EMPLOYEES[[#This Row],[EMPLOYEE NUMBER]]="","",MATCH(T_EMPLOYEES[[#This Row],[LOCATION]],L_LOCATION,0))</f>
        <v/>
      </c>
      <c r="AI24">
        <f>IF(T_EMPLOYEES[[#This Row],[EMPLOYEE NUMBER]]="","",MATCH(T_EMPLOYEES[[#This Row],[DEPARTMENT]],L_DEPARTMENT,0))</f>
        <v/>
      </c>
      <c r="AJ24">
        <f>IF(T_EMPLOYEES[[#This Row],[EMPLOYEE NUMBER]]="","",MATCH(T_EMPLOYEES[[#This Row],[JOB TYPE]],L_JOBTYPE,0))</f>
        <v/>
      </c>
      <c r="AK24">
        <f>IF(T_EMPLOYEES[[#This Row],[EMPLOYEE NUMBER]]="","",MATCH(T_EMPLOYEES[[#This Row],[JOB CATEGORY]],L_JOBCATEGORY,0))</f>
        <v/>
      </c>
      <c r="AL24">
        <f>IF(T_EMPLOYEES[[#This Row],[EMPLOYEE NUMBER]]="","",MATCH(T_EMPLOYEES[[#This Row],[JOB LEVEL]],L_JOBLEVEL,0))</f>
        <v/>
      </c>
      <c r="AM24">
        <f>IF(T_EMPLOYEES[[#This Row],[EMPLOYEE NUMBER]]="","",MATCH(T_EMPLOYEES[[#This Row],[JOB TITLE]],L_JOBTITLE,0))</f>
        <v/>
      </c>
      <c r="AN24">
        <f>IF(T_EMPLOYEES[[#This Row],[EMPLOYEE NUMBER]]="","",MATCH(T_EMPLOYEES[[#This Row],[MANAGER]],L_EMPLABELS,0))</f>
        <v/>
      </c>
      <c r="AO24">
        <f>IF(T_EMPLOYEES[[#This Row],[EMPLOYEE NUMBER]]="","",IF(T_EMPLOYEES[[#This Row],[ERROR]]="",0,1))</f>
        <v/>
      </c>
      <c r="AP2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4" t="inlineStr">
        <is>
          <t>Provider</t>
        </is>
      </c>
    </row>
    <row r="25">
      <c r="A25" t="inlineStr">
        <is>
          <t>Deepa</t>
        </is>
      </c>
      <c r="B25" t="inlineStr">
        <is>
          <t xml:space="preserve"> Balachandra</t>
        </is>
      </c>
      <c r="C25" t="n">
        <v>1022524</v>
      </c>
      <c r="D25" t="inlineStr">
        <is>
          <t>Deepa.Balachandra@infinite.com</t>
        </is>
      </c>
      <c r="E25" s="26" t="n">
        <v>28295</v>
      </c>
      <c r="F25" s="26" t="n">
        <v>43703</v>
      </c>
      <c r="G25" s="26" t="n">
        <v>45213</v>
      </c>
      <c r="H25" t="inlineStr">
        <is>
          <t>Female</t>
        </is>
      </c>
      <c r="I25" t="inlineStr">
        <is>
          <t>Asian</t>
        </is>
      </c>
      <c r="J25" t="inlineStr">
        <is>
          <t>WEBSITE</t>
        </is>
      </c>
      <c r="K25" t="inlineStr">
        <is>
          <t>Hyderabad</t>
        </is>
      </c>
      <c r="L25" s="27" t="inlineStr">
        <is>
          <t>IT</t>
        </is>
      </c>
      <c r="M25" t="inlineStr">
        <is>
          <t>Full-Time</t>
        </is>
      </c>
      <c r="N25" t="inlineStr">
        <is>
          <t>Senior Technical Lead</t>
        </is>
      </c>
      <c r="O25" t="inlineStr">
        <is>
          <t>E5</t>
        </is>
      </c>
      <c r="P25" t="inlineStr">
        <is>
          <t>Senior Technical Lead</t>
        </is>
      </c>
      <c r="Q25" t="inlineStr">
        <is>
          <t>Vijaykrishnan  Ragavan (1013703)</t>
        </is>
      </c>
      <c r="R25" t="n">
        <v>6</v>
      </c>
      <c r="S25" s="1" t="n">
        <v>5000000</v>
      </c>
      <c r="T25" s="1">
        <f>ROUND(T_EMPLOYEES[[#This Row],[EMP_CTC1]]/12, 0)</f>
        <v/>
      </c>
      <c r="U25" s="1" t="n">
        <v>2300000</v>
      </c>
      <c r="V25" s="1" t="inlineStr">
        <is>
          <t>NH</t>
        </is>
      </c>
      <c r="W25" s="1" t="inlineStr">
        <is>
          <t>NH</t>
        </is>
      </c>
      <c r="X2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" t="n">
        <v>60000</v>
      </c>
      <c r="Z25" s="29">
        <f>(S25 - U25)/S25 * 100</f>
        <v/>
      </c>
      <c r="AA25">
        <f>IF(T_EMPLOYEES[[#This Row],[EMPLOYEE NUMBER]]="","",ROW(T_EMPLOYEES[[#This Row],[EMPLOYEE LABEL]])-ROW(T_EMPLOYEES[[#Headers],[EMPLOYEE LABEL]]))</f>
        <v/>
      </c>
      <c r="AB25">
        <f>IF(T_EMPLOYEES[[#This Row],[EMPLOYEE NUMBER]]="","",IF(COUNTIF(T_EMPLOYEES[EMPLOYEE NUMBER],T_EMPLOYEES[[#This Row],[EMPLOYEE NUMBER]])&gt;1,1,0))</f>
        <v/>
      </c>
      <c r="AC25">
        <f>IF(T_EMPLOYEES[[#This Row],[EMPLOYEE NUMBER]]="","",IF(AND(T_EMPLOYEES[[#This Row],[DATE OF BIRTH]]&gt;0,T_EMPLOYEES[[#This Row],[DATE OF BIRTH]]&lt;TODAY()),0,1))</f>
        <v/>
      </c>
      <c r="AD25">
        <f>IF(T_EMPLOYEES[[#This Row],[EMPLOYEE NUMBER]]="","",IF(AND(T_EMPLOYEES[[#This Row],[START DATE]]&gt;0,T_EMPLOYEES[[#This Row],[START DATE]]&lt;TODAY()+60),0,1))</f>
        <v/>
      </c>
      <c r="AE25">
        <f>IF(T_EMPLOYEES[[#This Row],[EMPLOYEE NUMBER]]="","",MATCH(T_EMPLOYEES[[#This Row],[GENDER]],L_GENDER,0))</f>
        <v/>
      </c>
      <c r="AF25">
        <f>IF(T_EMPLOYEES[[#This Row],[EMPLOYEE NUMBER]]="","",MATCH(T_EMPLOYEES[[#This Row],[HIRE SOURCE]],L_HIRESOURCE,0))</f>
        <v/>
      </c>
      <c r="AG25">
        <f>IF(T_EMPLOYEES[[#This Row],[EMPLOYEE NUMBER]]="","",MATCH(T_EMPLOYEES[[#This Row],[ETHNICITY]],L_ETHNICITY,0))</f>
        <v/>
      </c>
      <c r="AH25">
        <f>IF(T_EMPLOYEES[[#This Row],[EMPLOYEE NUMBER]]="","",MATCH(T_EMPLOYEES[[#This Row],[LOCATION]],L_LOCATION,0))</f>
        <v/>
      </c>
      <c r="AI25">
        <f>IF(T_EMPLOYEES[[#This Row],[EMPLOYEE NUMBER]]="","",MATCH(T_EMPLOYEES[[#This Row],[DEPARTMENT]],L_DEPARTMENT,0))</f>
        <v/>
      </c>
      <c r="AJ25">
        <f>IF(T_EMPLOYEES[[#This Row],[EMPLOYEE NUMBER]]="","",MATCH(T_EMPLOYEES[[#This Row],[JOB TYPE]],L_JOBTYPE,0))</f>
        <v/>
      </c>
      <c r="AK25">
        <f>IF(T_EMPLOYEES[[#This Row],[EMPLOYEE NUMBER]]="","",MATCH(T_EMPLOYEES[[#This Row],[JOB CATEGORY]],L_JOBCATEGORY,0))</f>
        <v/>
      </c>
      <c r="AL25">
        <f>IF(T_EMPLOYEES[[#This Row],[EMPLOYEE NUMBER]]="","",MATCH(T_EMPLOYEES[[#This Row],[JOB LEVEL]],L_JOBLEVEL,0))</f>
        <v/>
      </c>
      <c r="AM25">
        <f>IF(T_EMPLOYEES[[#This Row],[EMPLOYEE NUMBER]]="","",MATCH(T_EMPLOYEES[[#This Row],[JOB TITLE]],L_JOBTITLE,0))</f>
        <v/>
      </c>
      <c r="AN25">
        <f>IF(T_EMPLOYEES[[#This Row],[EMPLOYEE NUMBER]]="","",MATCH(T_EMPLOYEES[[#This Row],[MANAGER]],L_EMPLABELS,0))</f>
        <v/>
      </c>
      <c r="AO25">
        <f>IF(T_EMPLOYEES[[#This Row],[EMPLOYEE NUMBER]]="","",IF(T_EMPLOYEES[[#This Row],[ERROR]]="",0,1))</f>
        <v/>
      </c>
      <c r="AP2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5" t="inlineStr">
        <is>
          <t>Service Authorization</t>
        </is>
      </c>
    </row>
    <row r="26">
      <c r="A26" t="inlineStr">
        <is>
          <t>Jallipalli</t>
        </is>
      </c>
      <c r="B26" t="inlineStr">
        <is>
          <t xml:space="preserve"> Nagaraju</t>
        </is>
      </c>
      <c r="C26" t="n">
        <v>1023801</v>
      </c>
      <c r="D26" t="inlineStr">
        <is>
          <t>Nagaraju.Jallipalli@infinite.com</t>
        </is>
      </c>
      <c r="E26" s="26" t="n">
        <v>28295</v>
      </c>
      <c r="F26" s="26" t="n">
        <v>44081</v>
      </c>
      <c r="G26" s="26" t="n">
        <v>44848</v>
      </c>
      <c r="H26" t="inlineStr">
        <is>
          <t>Male</t>
        </is>
      </c>
      <c r="I26" t="inlineStr">
        <is>
          <t>Asian</t>
        </is>
      </c>
      <c r="J26" t="inlineStr">
        <is>
          <t>WEBSITE</t>
        </is>
      </c>
      <c r="K26" t="inlineStr">
        <is>
          <t>Hyderabad</t>
        </is>
      </c>
      <c r="L26" s="27" t="inlineStr">
        <is>
          <t>IT</t>
        </is>
      </c>
      <c r="M26" t="inlineStr">
        <is>
          <t>Full-Time</t>
        </is>
      </c>
      <c r="N26" t="inlineStr">
        <is>
          <t>Senior Technical Lead</t>
        </is>
      </c>
      <c r="O26" t="inlineStr">
        <is>
          <t>E5</t>
        </is>
      </c>
      <c r="P26" t="inlineStr">
        <is>
          <t>Senior Technical Lead</t>
        </is>
      </c>
      <c r="Q26" t="inlineStr">
        <is>
          <t>D N Rajesh (1028375)</t>
        </is>
      </c>
      <c r="R26" s="27" t="n">
        <v>6</v>
      </c>
      <c r="S26" s="1" t="n">
        <v>5000000</v>
      </c>
      <c r="T26" s="1">
        <f>ROUND(T_EMPLOYEES[[#This Row],[EMP_CTC1]]/12, 0)</f>
        <v/>
      </c>
      <c r="U26" s="1" t="n">
        <v>2300000</v>
      </c>
      <c r="V26" s="1" t="inlineStr">
        <is>
          <t>NH</t>
        </is>
      </c>
      <c r="W26" s="1" t="inlineStr">
        <is>
          <t>NH</t>
        </is>
      </c>
      <c r="X2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" t="n">
        <v>60000</v>
      </c>
      <c r="Z26" s="29">
        <f>(S26 - U26)/S26 * 100</f>
        <v/>
      </c>
      <c r="AA26">
        <f>IF(T_EMPLOYEES[[#This Row],[EMPLOYEE NUMBER]]="","",ROW(T_EMPLOYEES[[#This Row],[EMPLOYEE LABEL]])-ROW(T_EMPLOYEES[[#Headers],[EMPLOYEE LABEL]]))</f>
        <v/>
      </c>
      <c r="AB26">
        <f>IF(T_EMPLOYEES[[#This Row],[EMPLOYEE NUMBER]]="","",IF(COUNTIF(T_EMPLOYEES[EMPLOYEE NUMBER],T_EMPLOYEES[[#This Row],[EMPLOYEE NUMBER]])&gt;1,1,0))</f>
        <v/>
      </c>
      <c r="AC26">
        <f>IF(T_EMPLOYEES[[#This Row],[EMPLOYEE NUMBER]]="","",IF(AND(T_EMPLOYEES[[#This Row],[DATE OF BIRTH]]&gt;0,T_EMPLOYEES[[#This Row],[DATE OF BIRTH]]&lt;TODAY()),0,1))</f>
        <v/>
      </c>
      <c r="AD26">
        <f>IF(T_EMPLOYEES[[#This Row],[EMPLOYEE NUMBER]]="","",IF(AND(T_EMPLOYEES[[#This Row],[START DATE]]&gt;0,T_EMPLOYEES[[#This Row],[START DATE]]&lt;TODAY()+60),0,1))</f>
        <v/>
      </c>
      <c r="AE26">
        <f>IF(T_EMPLOYEES[[#This Row],[EMPLOYEE NUMBER]]="","",MATCH(T_EMPLOYEES[[#This Row],[GENDER]],L_GENDER,0))</f>
        <v/>
      </c>
      <c r="AF26">
        <f>IF(T_EMPLOYEES[[#This Row],[EMPLOYEE NUMBER]]="","",MATCH(T_EMPLOYEES[[#This Row],[HIRE SOURCE]],L_HIRESOURCE,0))</f>
        <v/>
      </c>
      <c r="AG26">
        <f>IF(T_EMPLOYEES[[#This Row],[EMPLOYEE NUMBER]]="","",MATCH(T_EMPLOYEES[[#This Row],[ETHNICITY]],L_ETHNICITY,0))</f>
        <v/>
      </c>
      <c r="AH26">
        <f>IF(T_EMPLOYEES[[#This Row],[EMPLOYEE NUMBER]]="","",MATCH(T_EMPLOYEES[[#This Row],[LOCATION]],L_LOCATION,0))</f>
        <v/>
      </c>
      <c r="AI26">
        <f>IF(T_EMPLOYEES[[#This Row],[EMPLOYEE NUMBER]]="","",MATCH(T_EMPLOYEES[[#This Row],[DEPARTMENT]],L_DEPARTMENT,0))</f>
        <v/>
      </c>
      <c r="AJ26">
        <f>IF(T_EMPLOYEES[[#This Row],[EMPLOYEE NUMBER]]="","",MATCH(T_EMPLOYEES[[#This Row],[JOB TYPE]],L_JOBTYPE,0))</f>
        <v/>
      </c>
      <c r="AK26">
        <f>IF(T_EMPLOYEES[[#This Row],[EMPLOYEE NUMBER]]="","",MATCH(T_EMPLOYEES[[#This Row],[JOB CATEGORY]],L_JOBCATEGORY,0))</f>
        <v/>
      </c>
      <c r="AL26">
        <f>IF(T_EMPLOYEES[[#This Row],[EMPLOYEE NUMBER]]="","",MATCH(T_EMPLOYEES[[#This Row],[JOB LEVEL]],L_JOBLEVEL,0))</f>
        <v/>
      </c>
      <c r="AM26">
        <f>IF(T_EMPLOYEES[[#This Row],[EMPLOYEE NUMBER]]="","",MATCH(T_EMPLOYEES[[#This Row],[JOB TITLE]],L_JOBTITLE,0))</f>
        <v/>
      </c>
      <c r="AN26">
        <f>IF(T_EMPLOYEES[[#This Row],[EMPLOYEE NUMBER]]="","",MATCH(T_EMPLOYEES[[#This Row],[MANAGER]],L_EMPLABELS,0))</f>
        <v/>
      </c>
      <c r="AO26">
        <f>IF(T_EMPLOYEES[[#This Row],[EMPLOYEE NUMBER]]="","",IF(T_EMPLOYEES[[#This Row],[ERROR]]="",0,1))</f>
        <v/>
      </c>
      <c r="AP2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">
      <c r="A27" t="inlineStr">
        <is>
          <t>Sreekanth</t>
        </is>
      </c>
      <c r="B27" t="inlineStr">
        <is>
          <t>V Pillai</t>
        </is>
      </c>
      <c r="C27" t="n">
        <v>1031854</v>
      </c>
      <c r="D27" t="inlineStr">
        <is>
          <t>Sreekanth.Pillai@infinite.com</t>
        </is>
      </c>
      <c r="E27" s="26" t="n">
        <v>28310</v>
      </c>
      <c r="F27" s="26" t="n">
        <v>44914</v>
      </c>
      <c r="G27" s="26" t="n">
        <v>45214</v>
      </c>
      <c r="H27" t="inlineStr">
        <is>
          <t>Male</t>
        </is>
      </c>
      <c r="I27" t="inlineStr">
        <is>
          <t>Asian</t>
        </is>
      </c>
      <c r="J27" t="inlineStr">
        <is>
          <t>WEBSITE</t>
        </is>
      </c>
      <c r="K27" t="inlineStr">
        <is>
          <t>Hyderabad</t>
        </is>
      </c>
      <c r="L27" s="27" t="inlineStr">
        <is>
          <t>IT</t>
        </is>
      </c>
      <c r="M27" t="inlineStr">
        <is>
          <t>Full-Time</t>
        </is>
      </c>
      <c r="N27" t="inlineStr">
        <is>
          <t>Senior Technical Lead</t>
        </is>
      </c>
      <c r="O27" t="inlineStr">
        <is>
          <t>E5</t>
        </is>
      </c>
      <c r="P27" t="inlineStr">
        <is>
          <t>Senior Technical Lead</t>
        </is>
      </c>
      <c r="Q27" t="inlineStr">
        <is>
          <t>Prabhakar Janardhanam (1031867)</t>
        </is>
      </c>
      <c r="R27" t="n">
        <v>5</v>
      </c>
      <c r="S27" s="1" t="n">
        <v>5000000</v>
      </c>
      <c r="T27" s="1">
        <f>ROUND(T_EMPLOYEES[[#This Row],[EMP_CTC1]]/12, 0)</f>
        <v/>
      </c>
      <c r="U27" s="1" t="n">
        <v>2300000</v>
      </c>
      <c r="V27" s="1" t="inlineStr">
        <is>
          <t>NH</t>
        </is>
      </c>
      <c r="W27" s="1" t="inlineStr">
        <is>
          <t>NH</t>
        </is>
      </c>
      <c r="X2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" t="n">
        <v>60000</v>
      </c>
      <c r="Z27" s="29">
        <f>(S27 - U27)/S27 * 100</f>
        <v/>
      </c>
      <c r="AA27">
        <f>IF(T_EMPLOYEES[[#This Row],[EMPLOYEE NUMBER]]="","",ROW(T_EMPLOYEES[[#This Row],[EMPLOYEE LABEL]])-ROW(T_EMPLOYEES[[#Headers],[EMPLOYEE LABEL]]))</f>
        <v/>
      </c>
      <c r="AB27">
        <f>IF(T_EMPLOYEES[[#This Row],[EMPLOYEE NUMBER]]="","",IF(COUNTIF(T_EMPLOYEES[EMPLOYEE NUMBER],T_EMPLOYEES[[#This Row],[EMPLOYEE NUMBER]])&gt;1,1,0))</f>
        <v/>
      </c>
      <c r="AC27">
        <f>IF(T_EMPLOYEES[[#This Row],[EMPLOYEE NUMBER]]="","",IF(AND(T_EMPLOYEES[[#This Row],[DATE OF BIRTH]]&gt;0,T_EMPLOYEES[[#This Row],[DATE OF BIRTH]]&lt;TODAY()),0,1))</f>
        <v/>
      </c>
      <c r="AD27">
        <f>IF(T_EMPLOYEES[[#This Row],[EMPLOYEE NUMBER]]="","",IF(AND(T_EMPLOYEES[[#This Row],[START DATE]]&gt;0,T_EMPLOYEES[[#This Row],[START DATE]]&lt;TODAY()+60),0,1))</f>
        <v/>
      </c>
      <c r="AE27">
        <f>IF(T_EMPLOYEES[[#This Row],[EMPLOYEE NUMBER]]="","",MATCH(T_EMPLOYEES[[#This Row],[GENDER]],L_GENDER,0))</f>
        <v/>
      </c>
      <c r="AF27">
        <f>IF(T_EMPLOYEES[[#This Row],[EMPLOYEE NUMBER]]="","",MATCH(T_EMPLOYEES[[#This Row],[HIRE SOURCE]],L_HIRESOURCE,0))</f>
        <v/>
      </c>
      <c r="AG27">
        <f>IF(T_EMPLOYEES[[#This Row],[EMPLOYEE NUMBER]]="","",MATCH(T_EMPLOYEES[[#This Row],[ETHNICITY]],L_ETHNICITY,0))</f>
        <v/>
      </c>
      <c r="AH27">
        <f>IF(T_EMPLOYEES[[#This Row],[EMPLOYEE NUMBER]]="","",MATCH(T_EMPLOYEES[[#This Row],[LOCATION]],L_LOCATION,0))</f>
        <v/>
      </c>
      <c r="AI27">
        <f>IF(T_EMPLOYEES[[#This Row],[EMPLOYEE NUMBER]]="","",MATCH(T_EMPLOYEES[[#This Row],[DEPARTMENT]],L_DEPARTMENT,0))</f>
        <v/>
      </c>
      <c r="AJ27">
        <f>IF(T_EMPLOYEES[[#This Row],[EMPLOYEE NUMBER]]="","",MATCH(T_EMPLOYEES[[#This Row],[JOB TYPE]],L_JOBTYPE,0))</f>
        <v/>
      </c>
      <c r="AK27">
        <f>IF(T_EMPLOYEES[[#This Row],[EMPLOYEE NUMBER]]="","",MATCH(T_EMPLOYEES[[#This Row],[JOB CATEGORY]],L_JOBCATEGORY,0))</f>
        <v/>
      </c>
      <c r="AL27">
        <f>IF(T_EMPLOYEES[[#This Row],[EMPLOYEE NUMBER]]="","",MATCH(T_EMPLOYEES[[#This Row],[JOB LEVEL]],L_JOBLEVEL,0))</f>
        <v/>
      </c>
      <c r="AM27">
        <f>IF(T_EMPLOYEES[[#This Row],[EMPLOYEE NUMBER]]="","",MATCH(T_EMPLOYEES[[#This Row],[JOB TITLE]],L_JOBTITLE,0))</f>
        <v/>
      </c>
      <c r="AN27">
        <f>IF(T_EMPLOYEES[[#This Row],[EMPLOYEE NUMBER]]="","",MATCH(T_EMPLOYEES[[#This Row],[MANAGER]],L_EMPLABELS,0))</f>
        <v/>
      </c>
      <c r="AO27">
        <f>IF(T_EMPLOYEES[[#This Row],[EMPLOYEE NUMBER]]="","",IF(T_EMPLOYEES[[#This Row],[ERROR]]="",0,1))</f>
        <v/>
      </c>
      <c r="AP2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">
      <c r="A28" t="inlineStr">
        <is>
          <t>Mohammed</t>
        </is>
      </c>
      <c r="B28" t="inlineStr">
        <is>
          <t>Vaniyambadi Ahmed Rafeeq</t>
        </is>
      </c>
      <c r="C28" t="n">
        <v>1021379</v>
      </c>
      <c r="D28" t="inlineStr">
        <is>
          <t>Mohammed.Rafeeq@infinite.com</t>
        </is>
      </c>
      <c r="E28" s="26" t="n">
        <v>28328</v>
      </c>
      <c r="F28" s="26" t="n">
        <v>43467</v>
      </c>
      <c r="G28" s="26" t="n">
        <v>44850</v>
      </c>
      <c r="H28" t="inlineStr">
        <is>
          <t>Male</t>
        </is>
      </c>
      <c r="I28" t="inlineStr">
        <is>
          <t>Asian</t>
        </is>
      </c>
      <c r="J28" t="inlineStr">
        <is>
          <t>WEBSITE</t>
        </is>
      </c>
      <c r="K28" t="inlineStr">
        <is>
          <t>Hyderabad</t>
        </is>
      </c>
      <c r="L28" s="27" t="inlineStr">
        <is>
          <t>Core</t>
        </is>
      </c>
      <c r="M28" t="inlineStr">
        <is>
          <t>Full-Time</t>
        </is>
      </c>
      <c r="N28" t="inlineStr">
        <is>
          <t>Technical Lead</t>
        </is>
      </c>
      <c r="O28" t="inlineStr">
        <is>
          <t>E4</t>
        </is>
      </c>
      <c r="P28" t="inlineStr">
        <is>
          <t>Technical Lead</t>
        </is>
      </c>
      <c r="Q28" t="inlineStr">
        <is>
          <t>Dipakbhai Motibhai Tandel (1027230)</t>
        </is>
      </c>
      <c r="R28" s="27" t="n">
        <v>5</v>
      </c>
      <c r="S28" s="1" t="n">
        <v>5000000</v>
      </c>
      <c r="T28" s="1">
        <f>ROUND(T_EMPLOYEES[[#This Row],[EMP_CTC1]]/12, 0)</f>
        <v/>
      </c>
      <c r="U28" s="1" t="n">
        <v>2300000</v>
      </c>
      <c r="V28" s="1" t="inlineStr">
        <is>
          <t>NH</t>
        </is>
      </c>
      <c r="W28" s="1" t="inlineStr">
        <is>
          <t>NH</t>
        </is>
      </c>
      <c r="X2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" t="n">
        <v>60000</v>
      </c>
      <c r="Z28" s="29">
        <f>(S28 - U28)/S28 * 100</f>
        <v/>
      </c>
      <c r="AA28">
        <f>IF(T_EMPLOYEES[[#This Row],[EMPLOYEE NUMBER]]="","",ROW(T_EMPLOYEES[[#This Row],[EMPLOYEE LABEL]])-ROW(T_EMPLOYEES[[#Headers],[EMPLOYEE LABEL]]))</f>
        <v/>
      </c>
      <c r="AB28">
        <f>IF(T_EMPLOYEES[[#This Row],[EMPLOYEE NUMBER]]="","",IF(COUNTIF(T_EMPLOYEES[EMPLOYEE NUMBER],T_EMPLOYEES[[#This Row],[EMPLOYEE NUMBER]])&gt;1,1,0))</f>
        <v/>
      </c>
      <c r="AC28">
        <f>IF(T_EMPLOYEES[[#This Row],[EMPLOYEE NUMBER]]="","",IF(AND(T_EMPLOYEES[[#This Row],[DATE OF BIRTH]]&gt;0,T_EMPLOYEES[[#This Row],[DATE OF BIRTH]]&lt;TODAY()),0,1))</f>
        <v/>
      </c>
      <c r="AD28">
        <f>IF(T_EMPLOYEES[[#This Row],[EMPLOYEE NUMBER]]="","",IF(AND(T_EMPLOYEES[[#This Row],[START DATE]]&gt;0,T_EMPLOYEES[[#This Row],[START DATE]]&lt;TODAY()+60),0,1))</f>
        <v/>
      </c>
      <c r="AE28">
        <f>IF(T_EMPLOYEES[[#This Row],[EMPLOYEE NUMBER]]="","",MATCH(T_EMPLOYEES[[#This Row],[GENDER]],L_GENDER,0))</f>
        <v/>
      </c>
      <c r="AF28">
        <f>IF(T_EMPLOYEES[[#This Row],[EMPLOYEE NUMBER]]="","",MATCH(T_EMPLOYEES[[#This Row],[HIRE SOURCE]],L_HIRESOURCE,0))</f>
        <v/>
      </c>
      <c r="AG28">
        <f>IF(T_EMPLOYEES[[#This Row],[EMPLOYEE NUMBER]]="","",MATCH(T_EMPLOYEES[[#This Row],[ETHNICITY]],L_ETHNICITY,0))</f>
        <v/>
      </c>
      <c r="AH28">
        <f>IF(T_EMPLOYEES[[#This Row],[EMPLOYEE NUMBER]]="","",MATCH(T_EMPLOYEES[[#This Row],[LOCATION]],L_LOCATION,0))</f>
        <v/>
      </c>
      <c r="AI28">
        <f>IF(T_EMPLOYEES[[#This Row],[EMPLOYEE NUMBER]]="","",MATCH(T_EMPLOYEES[[#This Row],[DEPARTMENT]],L_DEPARTMENT,0))</f>
        <v/>
      </c>
      <c r="AJ28">
        <f>IF(T_EMPLOYEES[[#This Row],[EMPLOYEE NUMBER]]="","",MATCH(T_EMPLOYEES[[#This Row],[JOB TYPE]],L_JOBTYPE,0))</f>
        <v/>
      </c>
      <c r="AK28">
        <f>IF(T_EMPLOYEES[[#This Row],[EMPLOYEE NUMBER]]="","",MATCH(T_EMPLOYEES[[#This Row],[JOB CATEGORY]],L_JOBCATEGORY,0))</f>
        <v/>
      </c>
      <c r="AL28">
        <f>IF(T_EMPLOYEES[[#This Row],[EMPLOYEE NUMBER]]="","",MATCH(T_EMPLOYEES[[#This Row],[JOB LEVEL]],L_JOBLEVEL,0))</f>
        <v/>
      </c>
      <c r="AM28">
        <f>IF(T_EMPLOYEES[[#This Row],[EMPLOYEE NUMBER]]="","",MATCH(T_EMPLOYEES[[#This Row],[JOB TITLE]],L_JOBTITLE,0))</f>
        <v/>
      </c>
      <c r="AN28">
        <f>IF(T_EMPLOYEES[[#This Row],[EMPLOYEE NUMBER]]="","",MATCH(T_EMPLOYEES[[#This Row],[MANAGER]],L_EMPLABELS,0))</f>
        <v/>
      </c>
      <c r="AO28">
        <f>IF(T_EMPLOYEES[[#This Row],[EMPLOYEE NUMBER]]="","",IF(T_EMPLOYEES[[#This Row],[ERROR]]="",0,1))</f>
        <v/>
      </c>
      <c r="AP2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8" t="inlineStr">
        <is>
          <t>Service Authorization</t>
        </is>
      </c>
    </row>
    <row r="29">
      <c r="A29" t="inlineStr">
        <is>
          <t>Vinit</t>
        </is>
      </c>
      <c r="B29" t="inlineStr">
        <is>
          <t>Kumar</t>
        </is>
      </c>
      <c r="C29" t="n">
        <v>1030980</v>
      </c>
      <c r="D29" t="inlineStr">
        <is>
          <t>vinit.kumar@infinite.com</t>
        </is>
      </c>
      <c r="E29" s="26" t="n">
        <v>28341</v>
      </c>
      <c r="F29" s="26" t="n">
        <v>44869</v>
      </c>
      <c r="H29" t="inlineStr">
        <is>
          <t>Male</t>
        </is>
      </c>
      <c r="I29" t="inlineStr">
        <is>
          <t>Asian</t>
        </is>
      </c>
      <c r="J29" t="inlineStr">
        <is>
          <t>WEBSITE</t>
        </is>
      </c>
      <c r="K29" t="inlineStr">
        <is>
          <t>Hyderabad</t>
        </is>
      </c>
      <c r="L29" s="27" t="inlineStr">
        <is>
          <t>IT</t>
        </is>
      </c>
      <c r="M29" t="inlineStr">
        <is>
          <t>Full-Time</t>
        </is>
      </c>
      <c r="N29" t="inlineStr">
        <is>
          <t>Technical Lead</t>
        </is>
      </c>
      <c r="O29" t="inlineStr">
        <is>
          <t>E4</t>
        </is>
      </c>
      <c r="P29" t="inlineStr">
        <is>
          <t>Technical Lead</t>
        </is>
      </c>
      <c r="Q29" t="inlineStr">
        <is>
          <t>Siddharth Kumar (1027551)</t>
        </is>
      </c>
      <c r="R29" t="n">
        <v>5</v>
      </c>
      <c r="S29" s="1" t="n">
        <v>5000000</v>
      </c>
      <c r="T29" s="1">
        <f>ROUND(T_EMPLOYEES[[#This Row],[EMP_CTC1]]/12, 0)</f>
        <v/>
      </c>
      <c r="U29" s="1" t="n">
        <v>2300000</v>
      </c>
      <c r="V29" s="1" t="inlineStr">
        <is>
          <t>NH</t>
        </is>
      </c>
      <c r="W29" s="1" t="inlineStr">
        <is>
          <t>NH</t>
        </is>
      </c>
      <c r="X2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" t="n">
        <v>60000</v>
      </c>
      <c r="Z29" s="29">
        <f>(S29 - U29)/S29 * 100</f>
        <v/>
      </c>
      <c r="AA29">
        <f>IF(T_EMPLOYEES[[#This Row],[EMPLOYEE NUMBER]]="","",ROW(T_EMPLOYEES[[#This Row],[EMPLOYEE LABEL]])-ROW(T_EMPLOYEES[[#Headers],[EMPLOYEE LABEL]]))</f>
        <v/>
      </c>
      <c r="AB29">
        <f>IF(T_EMPLOYEES[[#This Row],[EMPLOYEE NUMBER]]="","",IF(COUNTIF(T_EMPLOYEES[EMPLOYEE NUMBER],T_EMPLOYEES[[#This Row],[EMPLOYEE NUMBER]])&gt;1,1,0))</f>
        <v/>
      </c>
      <c r="AC29">
        <f>IF(T_EMPLOYEES[[#This Row],[EMPLOYEE NUMBER]]="","",IF(AND(T_EMPLOYEES[[#This Row],[DATE OF BIRTH]]&gt;0,T_EMPLOYEES[[#This Row],[DATE OF BIRTH]]&lt;TODAY()),0,1))</f>
        <v/>
      </c>
      <c r="AD29">
        <f>IF(T_EMPLOYEES[[#This Row],[EMPLOYEE NUMBER]]="","",IF(AND(T_EMPLOYEES[[#This Row],[START DATE]]&gt;0,T_EMPLOYEES[[#This Row],[START DATE]]&lt;TODAY()+60),0,1))</f>
        <v/>
      </c>
      <c r="AE29">
        <f>IF(T_EMPLOYEES[[#This Row],[EMPLOYEE NUMBER]]="","",MATCH(T_EMPLOYEES[[#This Row],[GENDER]],L_GENDER,0))</f>
        <v/>
      </c>
      <c r="AF29">
        <f>IF(T_EMPLOYEES[[#This Row],[EMPLOYEE NUMBER]]="","",MATCH(T_EMPLOYEES[[#This Row],[HIRE SOURCE]],L_HIRESOURCE,0))</f>
        <v/>
      </c>
      <c r="AG29">
        <f>IF(T_EMPLOYEES[[#This Row],[EMPLOYEE NUMBER]]="","",MATCH(T_EMPLOYEES[[#This Row],[ETHNICITY]],L_ETHNICITY,0))</f>
        <v/>
      </c>
      <c r="AH29">
        <f>IF(T_EMPLOYEES[[#This Row],[EMPLOYEE NUMBER]]="","",MATCH(T_EMPLOYEES[[#This Row],[LOCATION]],L_LOCATION,0))</f>
        <v/>
      </c>
      <c r="AI29">
        <f>IF(T_EMPLOYEES[[#This Row],[EMPLOYEE NUMBER]]="","",MATCH(T_EMPLOYEES[[#This Row],[DEPARTMENT]],L_DEPARTMENT,0))</f>
        <v/>
      </c>
      <c r="AJ29">
        <f>IF(T_EMPLOYEES[[#This Row],[EMPLOYEE NUMBER]]="","",MATCH(T_EMPLOYEES[[#This Row],[JOB TYPE]],L_JOBTYPE,0))</f>
        <v/>
      </c>
      <c r="AK29">
        <f>IF(T_EMPLOYEES[[#This Row],[EMPLOYEE NUMBER]]="","",MATCH(T_EMPLOYEES[[#This Row],[JOB CATEGORY]],L_JOBCATEGORY,0))</f>
        <v/>
      </c>
      <c r="AL29">
        <f>IF(T_EMPLOYEES[[#This Row],[EMPLOYEE NUMBER]]="","",MATCH(T_EMPLOYEES[[#This Row],[JOB LEVEL]],L_JOBLEVEL,0))</f>
        <v/>
      </c>
      <c r="AM29">
        <f>IF(T_EMPLOYEES[[#This Row],[EMPLOYEE NUMBER]]="","",MATCH(T_EMPLOYEES[[#This Row],[JOB TITLE]],L_JOBTITLE,0))</f>
        <v/>
      </c>
      <c r="AN29">
        <f>IF(T_EMPLOYEES[[#This Row],[EMPLOYEE NUMBER]]="","",MATCH(T_EMPLOYEES[[#This Row],[MANAGER]],L_EMPLABELS,0))</f>
        <v/>
      </c>
      <c r="AO29">
        <f>IF(T_EMPLOYEES[[#This Row],[EMPLOYEE NUMBER]]="","",IF(T_EMPLOYEES[[#This Row],[ERROR]]="",0,1))</f>
        <v/>
      </c>
      <c r="AP2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9" t="inlineStr">
        <is>
          <t>Security</t>
        </is>
      </c>
    </row>
    <row r="30">
      <c r="A30" t="inlineStr">
        <is>
          <t>Gangadhar</t>
        </is>
      </c>
      <c r="B30" t="inlineStr">
        <is>
          <t>Chiluka</t>
        </is>
      </c>
      <c r="C30" t="n">
        <v>1022458</v>
      </c>
      <c r="D30" t="inlineStr">
        <is>
          <t>Gangadhar.Chiluka@infinite.com</t>
        </is>
      </c>
      <c r="E30" s="26" t="n">
        <v>28402</v>
      </c>
      <c r="F30" s="26" t="n">
        <v>43682</v>
      </c>
      <c r="H30" t="inlineStr">
        <is>
          <t>Male</t>
        </is>
      </c>
      <c r="I30" t="inlineStr">
        <is>
          <t>Asian</t>
        </is>
      </c>
      <c r="J30" t="inlineStr">
        <is>
          <t>WEBSITE</t>
        </is>
      </c>
      <c r="K30" t="inlineStr">
        <is>
          <t>Bangalore</t>
        </is>
      </c>
      <c r="L30" s="27" t="inlineStr">
        <is>
          <t>IT</t>
        </is>
      </c>
      <c r="M30" t="inlineStr">
        <is>
          <t>Full-Time</t>
        </is>
      </c>
      <c r="N30" t="inlineStr">
        <is>
          <t>Technical Manager</t>
        </is>
      </c>
      <c r="O30" t="inlineStr">
        <is>
          <t>E6</t>
        </is>
      </c>
      <c r="P30" t="inlineStr">
        <is>
          <t>Technical Manager</t>
        </is>
      </c>
      <c r="Q30" t="inlineStr">
        <is>
          <t>Purushotham Ayachetula (1022573)</t>
        </is>
      </c>
      <c r="R30" s="27" t="n">
        <v>7</v>
      </c>
      <c r="S30" s="1" t="n">
        <v>5000000</v>
      </c>
      <c r="T30" s="1">
        <f>ROUND(T_EMPLOYEES[[#This Row],[EMP_CTC1]]/12, 0)</f>
        <v/>
      </c>
      <c r="U30" s="1" t="n">
        <v>2300000</v>
      </c>
      <c r="V30" s="1" t="inlineStr">
        <is>
          <t>NH</t>
        </is>
      </c>
      <c r="W30" s="1" t="inlineStr">
        <is>
          <t>NH</t>
        </is>
      </c>
      <c r="X3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" t="n">
        <v>60000</v>
      </c>
      <c r="Z30" s="29">
        <f>(S30 - U30)/S30 * 100</f>
        <v/>
      </c>
      <c r="AA30">
        <f>IF(T_EMPLOYEES[[#This Row],[EMPLOYEE NUMBER]]="","",ROW(T_EMPLOYEES[[#This Row],[EMPLOYEE LABEL]])-ROW(T_EMPLOYEES[[#Headers],[EMPLOYEE LABEL]]))</f>
        <v/>
      </c>
      <c r="AB30">
        <f>IF(T_EMPLOYEES[[#This Row],[EMPLOYEE NUMBER]]="","",IF(COUNTIF(T_EMPLOYEES[EMPLOYEE NUMBER],T_EMPLOYEES[[#This Row],[EMPLOYEE NUMBER]])&gt;1,1,0))</f>
        <v/>
      </c>
      <c r="AC30">
        <f>IF(T_EMPLOYEES[[#This Row],[EMPLOYEE NUMBER]]="","",IF(AND(T_EMPLOYEES[[#This Row],[DATE OF BIRTH]]&gt;0,T_EMPLOYEES[[#This Row],[DATE OF BIRTH]]&lt;TODAY()),0,1))</f>
        <v/>
      </c>
      <c r="AD30">
        <f>IF(T_EMPLOYEES[[#This Row],[EMPLOYEE NUMBER]]="","",IF(AND(T_EMPLOYEES[[#This Row],[START DATE]]&gt;0,T_EMPLOYEES[[#This Row],[START DATE]]&lt;TODAY()+60),0,1))</f>
        <v/>
      </c>
      <c r="AE30">
        <f>IF(T_EMPLOYEES[[#This Row],[EMPLOYEE NUMBER]]="","",MATCH(T_EMPLOYEES[[#This Row],[GENDER]],L_GENDER,0))</f>
        <v/>
      </c>
      <c r="AF30">
        <f>IF(T_EMPLOYEES[[#This Row],[EMPLOYEE NUMBER]]="","",MATCH(T_EMPLOYEES[[#This Row],[HIRE SOURCE]],L_HIRESOURCE,0))</f>
        <v/>
      </c>
      <c r="AG30">
        <f>IF(T_EMPLOYEES[[#This Row],[EMPLOYEE NUMBER]]="","",MATCH(T_EMPLOYEES[[#This Row],[ETHNICITY]],L_ETHNICITY,0))</f>
        <v/>
      </c>
      <c r="AH30">
        <f>IF(T_EMPLOYEES[[#This Row],[EMPLOYEE NUMBER]]="","",MATCH(T_EMPLOYEES[[#This Row],[LOCATION]],L_LOCATION,0))</f>
        <v/>
      </c>
      <c r="AI30">
        <f>IF(T_EMPLOYEES[[#This Row],[EMPLOYEE NUMBER]]="","",MATCH(T_EMPLOYEES[[#This Row],[DEPARTMENT]],L_DEPARTMENT,0))</f>
        <v/>
      </c>
      <c r="AJ30">
        <f>IF(T_EMPLOYEES[[#This Row],[EMPLOYEE NUMBER]]="","",MATCH(T_EMPLOYEES[[#This Row],[JOB TYPE]],L_JOBTYPE,0))</f>
        <v/>
      </c>
      <c r="AK30">
        <f>IF(T_EMPLOYEES[[#This Row],[EMPLOYEE NUMBER]]="","",MATCH(T_EMPLOYEES[[#This Row],[JOB CATEGORY]],L_JOBCATEGORY,0))</f>
        <v/>
      </c>
      <c r="AL30">
        <f>IF(T_EMPLOYEES[[#This Row],[EMPLOYEE NUMBER]]="","",MATCH(T_EMPLOYEES[[#This Row],[JOB LEVEL]],L_JOBLEVEL,0))</f>
        <v/>
      </c>
      <c r="AM30">
        <f>IF(T_EMPLOYEES[[#This Row],[EMPLOYEE NUMBER]]="","",MATCH(T_EMPLOYEES[[#This Row],[JOB TITLE]],L_JOBTITLE,0))</f>
        <v/>
      </c>
      <c r="AN30">
        <f>IF(T_EMPLOYEES[[#This Row],[EMPLOYEE NUMBER]]="","",MATCH(T_EMPLOYEES[[#This Row],[MANAGER]],L_EMPLABELS,0))</f>
        <v/>
      </c>
      <c r="AO30">
        <f>IF(T_EMPLOYEES[[#This Row],[EMPLOYEE NUMBER]]="","",IF(T_EMPLOYEES[[#This Row],[ERROR]]="",0,1))</f>
        <v/>
      </c>
      <c r="AP3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">
      <c r="A31" t="inlineStr">
        <is>
          <t>Umakanta</t>
        </is>
      </c>
      <c r="B31" t="inlineStr">
        <is>
          <t xml:space="preserve"> Rath</t>
        </is>
      </c>
      <c r="C31" t="n">
        <v>1004044</v>
      </c>
      <c r="D31" t="inlineStr">
        <is>
          <t>umakantar@infinite.com</t>
        </is>
      </c>
      <c r="E31" s="26" t="n">
        <v>28542</v>
      </c>
      <c r="F31" s="26" t="n">
        <v>39461</v>
      </c>
      <c r="G31" s="26" t="n">
        <v>44177</v>
      </c>
      <c r="H31" t="inlineStr">
        <is>
          <t>Male</t>
        </is>
      </c>
      <c r="I31" t="inlineStr">
        <is>
          <t>Asian</t>
        </is>
      </c>
      <c r="J31" t="inlineStr">
        <is>
          <t>WEBSITE</t>
        </is>
      </c>
      <c r="K31" t="inlineStr">
        <is>
          <t>Hyderabad</t>
        </is>
      </c>
      <c r="L31" s="27" t="inlineStr">
        <is>
          <t>IT</t>
        </is>
      </c>
      <c r="M31" t="inlineStr">
        <is>
          <t>Full-Time</t>
        </is>
      </c>
      <c r="N31" t="inlineStr">
        <is>
          <t>Technical Lead</t>
        </is>
      </c>
      <c r="O31" t="inlineStr">
        <is>
          <t>E4</t>
        </is>
      </c>
      <c r="P31" t="inlineStr">
        <is>
          <t>Technical Lead</t>
        </is>
      </c>
      <c r="Q31" t="inlineStr">
        <is>
          <t>D N Rajesh (1028375)</t>
        </is>
      </c>
      <c r="R31" t="n">
        <v>5</v>
      </c>
      <c r="S31" s="1" t="n">
        <v>5000000</v>
      </c>
      <c r="T31" s="1">
        <f>ROUND(T_EMPLOYEES[[#This Row],[EMP_CTC1]]/12, 0)</f>
        <v/>
      </c>
      <c r="U31" s="1" t="n">
        <v>2300000</v>
      </c>
      <c r="V31" s="1" t="inlineStr">
        <is>
          <t>NH</t>
        </is>
      </c>
      <c r="W31" s="1" t="inlineStr">
        <is>
          <t>NH</t>
        </is>
      </c>
      <c r="X3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" t="n">
        <v>60000</v>
      </c>
      <c r="Z31" s="29">
        <f>(S31 - U31)/S31 * 100</f>
        <v/>
      </c>
      <c r="AA31">
        <f>IF(T_EMPLOYEES[[#This Row],[EMPLOYEE NUMBER]]="","",ROW(T_EMPLOYEES[[#This Row],[EMPLOYEE LABEL]])-ROW(T_EMPLOYEES[[#Headers],[EMPLOYEE LABEL]]))</f>
        <v/>
      </c>
      <c r="AB31">
        <f>IF(T_EMPLOYEES[[#This Row],[EMPLOYEE NUMBER]]="","",IF(COUNTIF(T_EMPLOYEES[EMPLOYEE NUMBER],T_EMPLOYEES[[#This Row],[EMPLOYEE NUMBER]])&gt;1,1,0))</f>
        <v/>
      </c>
      <c r="AC31">
        <f>IF(T_EMPLOYEES[[#This Row],[EMPLOYEE NUMBER]]="","",IF(AND(T_EMPLOYEES[[#This Row],[DATE OF BIRTH]]&gt;0,T_EMPLOYEES[[#This Row],[DATE OF BIRTH]]&lt;TODAY()),0,1))</f>
        <v/>
      </c>
      <c r="AD31">
        <f>IF(T_EMPLOYEES[[#This Row],[EMPLOYEE NUMBER]]="","",IF(AND(T_EMPLOYEES[[#This Row],[START DATE]]&gt;0,T_EMPLOYEES[[#This Row],[START DATE]]&lt;TODAY()+60),0,1))</f>
        <v/>
      </c>
      <c r="AE31">
        <f>IF(T_EMPLOYEES[[#This Row],[EMPLOYEE NUMBER]]="","",MATCH(T_EMPLOYEES[[#This Row],[GENDER]],L_GENDER,0))</f>
        <v/>
      </c>
      <c r="AF31">
        <f>IF(T_EMPLOYEES[[#This Row],[EMPLOYEE NUMBER]]="","",MATCH(T_EMPLOYEES[[#This Row],[HIRE SOURCE]],L_HIRESOURCE,0))</f>
        <v/>
      </c>
      <c r="AG31">
        <f>IF(T_EMPLOYEES[[#This Row],[EMPLOYEE NUMBER]]="","",MATCH(T_EMPLOYEES[[#This Row],[ETHNICITY]],L_ETHNICITY,0))</f>
        <v/>
      </c>
      <c r="AH31">
        <f>IF(T_EMPLOYEES[[#This Row],[EMPLOYEE NUMBER]]="","",MATCH(T_EMPLOYEES[[#This Row],[LOCATION]],L_LOCATION,0))</f>
        <v/>
      </c>
      <c r="AI31">
        <f>IF(T_EMPLOYEES[[#This Row],[EMPLOYEE NUMBER]]="","",MATCH(T_EMPLOYEES[[#This Row],[DEPARTMENT]],L_DEPARTMENT,0))</f>
        <v/>
      </c>
      <c r="AJ31">
        <f>IF(T_EMPLOYEES[[#This Row],[EMPLOYEE NUMBER]]="","",MATCH(T_EMPLOYEES[[#This Row],[JOB TYPE]],L_JOBTYPE,0))</f>
        <v/>
      </c>
      <c r="AK31">
        <f>IF(T_EMPLOYEES[[#This Row],[EMPLOYEE NUMBER]]="","",MATCH(T_EMPLOYEES[[#This Row],[JOB CATEGORY]],L_JOBCATEGORY,0))</f>
        <v/>
      </c>
      <c r="AL31">
        <f>IF(T_EMPLOYEES[[#This Row],[EMPLOYEE NUMBER]]="","",MATCH(T_EMPLOYEES[[#This Row],[JOB LEVEL]],L_JOBLEVEL,0))</f>
        <v/>
      </c>
      <c r="AM31">
        <f>IF(T_EMPLOYEES[[#This Row],[EMPLOYEE NUMBER]]="","",MATCH(T_EMPLOYEES[[#This Row],[JOB TITLE]],L_JOBTITLE,0))</f>
        <v/>
      </c>
      <c r="AN31">
        <f>IF(T_EMPLOYEES[[#This Row],[EMPLOYEE NUMBER]]="","",MATCH(T_EMPLOYEES[[#This Row],[MANAGER]],L_EMPLABELS,0))</f>
        <v/>
      </c>
      <c r="AO31">
        <f>IF(T_EMPLOYEES[[#This Row],[EMPLOYEE NUMBER]]="","",IF(T_EMPLOYEES[[#This Row],[ERROR]]="",0,1))</f>
        <v/>
      </c>
      <c r="AP3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1" t="inlineStr">
        <is>
          <t>Provider</t>
        </is>
      </c>
    </row>
    <row r="32">
      <c r="A32" t="inlineStr">
        <is>
          <t>Madhavi</t>
        </is>
      </c>
      <c r="B32" t="inlineStr">
        <is>
          <t>Latha Jamjanam</t>
        </is>
      </c>
      <c r="C32" t="n">
        <v>1032204</v>
      </c>
      <c r="D32" t="inlineStr">
        <is>
          <t>Madhavi.Latha@infinite.com</t>
        </is>
      </c>
      <c r="E32" s="26" t="n">
        <v>28609</v>
      </c>
      <c r="F32" s="26" t="n">
        <v>44967</v>
      </c>
      <c r="H32" t="inlineStr">
        <is>
          <t>Female</t>
        </is>
      </c>
      <c r="I32" t="inlineStr">
        <is>
          <t>Asian</t>
        </is>
      </c>
      <c r="J32" t="inlineStr">
        <is>
          <t>WEBSITE</t>
        </is>
      </c>
      <c r="K32" t="inlineStr">
        <is>
          <t>Hyderabad</t>
        </is>
      </c>
      <c r="L32" s="27" t="inlineStr">
        <is>
          <t>IT</t>
        </is>
      </c>
      <c r="M32" t="inlineStr">
        <is>
          <t>Full-Time</t>
        </is>
      </c>
      <c r="N32" t="inlineStr">
        <is>
          <t>Senior Business Analyst</t>
        </is>
      </c>
      <c r="O32" t="inlineStr">
        <is>
          <t>E3</t>
        </is>
      </c>
      <c r="P32" t="inlineStr">
        <is>
          <t>Senior Business Analyst</t>
        </is>
      </c>
      <c r="Q32" t="inlineStr">
        <is>
          <t>Gangadhar Chiluka (1022458)</t>
        </is>
      </c>
      <c r="R32" s="27" t="n">
        <v>3</v>
      </c>
      <c r="S32" s="1" t="n">
        <v>5000000</v>
      </c>
      <c r="T32" s="1">
        <f>ROUND(T_EMPLOYEES[[#This Row],[EMP_CTC1]]/12, 0)</f>
        <v/>
      </c>
      <c r="U32" s="1" t="n">
        <v>2300000</v>
      </c>
      <c r="V32" s="1" t="inlineStr">
        <is>
          <t>NH</t>
        </is>
      </c>
      <c r="W32" s="1" t="inlineStr">
        <is>
          <t>NH</t>
        </is>
      </c>
      <c r="X3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" t="n">
        <v>60000</v>
      </c>
      <c r="Z32" s="29">
        <f>(S32 - U32)/S32 * 100</f>
        <v/>
      </c>
      <c r="AA32">
        <f>IF(T_EMPLOYEES[[#This Row],[EMPLOYEE NUMBER]]="","",ROW(T_EMPLOYEES[[#This Row],[EMPLOYEE LABEL]])-ROW(T_EMPLOYEES[[#Headers],[EMPLOYEE LABEL]]))</f>
        <v/>
      </c>
      <c r="AB32">
        <f>IF(T_EMPLOYEES[[#This Row],[EMPLOYEE NUMBER]]="","",IF(COUNTIF(T_EMPLOYEES[EMPLOYEE NUMBER],T_EMPLOYEES[[#This Row],[EMPLOYEE NUMBER]])&gt;1,1,0))</f>
        <v/>
      </c>
      <c r="AC32">
        <f>IF(T_EMPLOYEES[[#This Row],[EMPLOYEE NUMBER]]="","",IF(AND(T_EMPLOYEES[[#This Row],[DATE OF BIRTH]]&gt;0,T_EMPLOYEES[[#This Row],[DATE OF BIRTH]]&lt;TODAY()),0,1))</f>
        <v/>
      </c>
      <c r="AD32">
        <f>IF(T_EMPLOYEES[[#This Row],[EMPLOYEE NUMBER]]="","",IF(AND(T_EMPLOYEES[[#This Row],[START DATE]]&gt;0,T_EMPLOYEES[[#This Row],[START DATE]]&lt;TODAY()+60),0,1))</f>
        <v/>
      </c>
      <c r="AE32">
        <f>IF(T_EMPLOYEES[[#This Row],[EMPLOYEE NUMBER]]="","",MATCH(T_EMPLOYEES[[#This Row],[GENDER]],L_GENDER,0))</f>
        <v/>
      </c>
      <c r="AF32">
        <f>IF(T_EMPLOYEES[[#This Row],[EMPLOYEE NUMBER]]="","",MATCH(T_EMPLOYEES[[#This Row],[HIRE SOURCE]],L_HIRESOURCE,0))</f>
        <v/>
      </c>
      <c r="AG32">
        <f>IF(T_EMPLOYEES[[#This Row],[EMPLOYEE NUMBER]]="","",MATCH(T_EMPLOYEES[[#This Row],[ETHNICITY]],L_ETHNICITY,0))</f>
        <v/>
      </c>
      <c r="AH32">
        <f>IF(T_EMPLOYEES[[#This Row],[EMPLOYEE NUMBER]]="","",MATCH(T_EMPLOYEES[[#This Row],[LOCATION]],L_LOCATION,0))</f>
        <v/>
      </c>
      <c r="AI32">
        <f>IF(T_EMPLOYEES[[#This Row],[EMPLOYEE NUMBER]]="","",MATCH(T_EMPLOYEES[[#This Row],[DEPARTMENT]],L_DEPARTMENT,0))</f>
        <v/>
      </c>
      <c r="AJ32">
        <f>IF(T_EMPLOYEES[[#This Row],[EMPLOYEE NUMBER]]="","",MATCH(T_EMPLOYEES[[#This Row],[JOB TYPE]],L_JOBTYPE,0))</f>
        <v/>
      </c>
      <c r="AK32">
        <f>IF(T_EMPLOYEES[[#This Row],[EMPLOYEE NUMBER]]="","",MATCH(T_EMPLOYEES[[#This Row],[JOB CATEGORY]],L_JOBCATEGORY,0))</f>
        <v/>
      </c>
      <c r="AL32">
        <f>IF(T_EMPLOYEES[[#This Row],[EMPLOYEE NUMBER]]="","",MATCH(T_EMPLOYEES[[#This Row],[JOB LEVEL]],L_JOBLEVEL,0))</f>
        <v/>
      </c>
      <c r="AM32">
        <f>IF(T_EMPLOYEES[[#This Row],[EMPLOYEE NUMBER]]="","",MATCH(T_EMPLOYEES[[#This Row],[JOB TITLE]],L_JOBTITLE,0))</f>
        <v/>
      </c>
      <c r="AN32">
        <f>IF(T_EMPLOYEES[[#This Row],[EMPLOYEE NUMBER]]="","",MATCH(T_EMPLOYEES[[#This Row],[MANAGER]],L_EMPLABELS,0))</f>
        <v/>
      </c>
      <c r="AO32">
        <f>IF(T_EMPLOYEES[[#This Row],[EMPLOYEE NUMBER]]="","",IF(T_EMPLOYEES[[#This Row],[ERROR]]="",0,1))</f>
        <v/>
      </c>
      <c r="AP3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">
      <c r="A33" t="inlineStr">
        <is>
          <t>Rama</t>
        </is>
      </c>
      <c r="B33" t="inlineStr">
        <is>
          <t>Krishna Chakka</t>
        </is>
      </c>
      <c r="C33" t="n">
        <v>1000900</v>
      </c>
      <c r="D33" t="inlineStr">
        <is>
          <t>cramakrishna@infinite.com</t>
        </is>
      </c>
      <c r="E33" s="26" t="n">
        <v>28642</v>
      </c>
      <c r="F33" s="26" t="n">
        <v>38215</v>
      </c>
      <c r="G33" s="26" t="n">
        <v>44177</v>
      </c>
      <c r="H33" t="inlineStr">
        <is>
          <t>Male</t>
        </is>
      </c>
      <c r="I33" t="inlineStr">
        <is>
          <t>Asian</t>
        </is>
      </c>
      <c r="J33" t="inlineStr">
        <is>
          <t>WEBSITE</t>
        </is>
      </c>
      <c r="K33" t="inlineStr">
        <is>
          <t>Hyderabad</t>
        </is>
      </c>
      <c r="L33" s="27" t="inlineStr">
        <is>
          <t>IT</t>
        </is>
      </c>
      <c r="M33" t="inlineStr">
        <is>
          <t>Full-Time</t>
        </is>
      </c>
      <c r="N33" t="inlineStr">
        <is>
          <t>Senior Technical Manager</t>
        </is>
      </c>
      <c r="O33" t="inlineStr">
        <is>
          <t>E7</t>
        </is>
      </c>
      <c r="P33" t="inlineStr">
        <is>
          <t>Senior Technical Manager</t>
        </is>
      </c>
      <c r="Q33" t="inlineStr">
        <is>
          <t>Radhakanta  Samantara (1010164)</t>
        </is>
      </c>
      <c r="S33" s="1" t="n">
        <v>5000000</v>
      </c>
      <c r="T33" s="1">
        <f>ROUND(T_EMPLOYEES[[#This Row],[EMP_CTC1]]/12, 0)</f>
        <v/>
      </c>
      <c r="U33" s="1" t="n">
        <v>2300000</v>
      </c>
      <c r="V33" s="1" t="inlineStr">
        <is>
          <t>NH</t>
        </is>
      </c>
      <c r="W33" s="1" t="inlineStr">
        <is>
          <t>NH</t>
        </is>
      </c>
      <c r="X3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" t="n">
        <v>60000</v>
      </c>
      <c r="Z33" s="29">
        <f>(S33 - U33)/S33 * 100</f>
        <v/>
      </c>
      <c r="AA33">
        <f>IF(T_EMPLOYEES[[#This Row],[EMPLOYEE NUMBER]]="","",ROW(T_EMPLOYEES[[#This Row],[EMPLOYEE LABEL]])-ROW(T_EMPLOYEES[[#Headers],[EMPLOYEE LABEL]]))</f>
        <v/>
      </c>
      <c r="AB33">
        <f>IF(T_EMPLOYEES[[#This Row],[EMPLOYEE NUMBER]]="","",IF(COUNTIF(T_EMPLOYEES[EMPLOYEE NUMBER],T_EMPLOYEES[[#This Row],[EMPLOYEE NUMBER]])&gt;1,1,0))</f>
        <v/>
      </c>
      <c r="AC33">
        <f>IF(T_EMPLOYEES[[#This Row],[EMPLOYEE NUMBER]]="","",IF(AND(T_EMPLOYEES[[#This Row],[DATE OF BIRTH]]&gt;0,T_EMPLOYEES[[#This Row],[DATE OF BIRTH]]&lt;TODAY()),0,1))</f>
        <v/>
      </c>
      <c r="AD33">
        <f>IF(T_EMPLOYEES[[#This Row],[EMPLOYEE NUMBER]]="","",IF(AND(T_EMPLOYEES[[#This Row],[START DATE]]&gt;0,T_EMPLOYEES[[#This Row],[START DATE]]&lt;TODAY()+60),0,1))</f>
        <v/>
      </c>
      <c r="AE33">
        <f>IF(T_EMPLOYEES[[#This Row],[EMPLOYEE NUMBER]]="","",MATCH(T_EMPLOYEES[[#This Row],[GENDER]],L_GENDER,0))</f>
        <v/>
      </c>
      <c r="AF33">
        <f>IF(T_EMPLOYEES[[#This Row],[EMPLOYEE NUMBER]]="","",MATCH(T_EMPLOYEES[[#This Row],[HIRE SOURCE]],L_HIRESOURCE,0))</f>
        <v/>
      </c>
      <c r="AG33">
        <f>IF(T_EMPLOYEES[[#This Row],[EMPLOYEE NUMBER]]="","",MATCH(T_EMPLOYEES[[#This Row],[ETHNICITY]],L_ETHNICITY,0))</f>
        <v/>
      </c>
      <c r="AH33">
        <f>IF(T_EMPLOYEES[[#This Row],[EMPLOYEE NUMBER]]="","",MATCH(T_EMPLOYEES[[#This Row],[LOCATION]],L_LOCATION,0))</f>
        <v/>
      </c>
      <c r="AI33">
        <f>IF(T_EMPLOYEES[[#This Row],[EMPLOYEE NUMBER]]="","",MATCH(T_EMPLOYEES[[#This Row],[DEPARTMENT]],L_DEPARTMENT,0))</f>
        <v/>
      </c>
      <c r="AJ33">
        <f>IF(T_EMPLOYEES[[#This Row],[EMPLOYEE NUMBER]]="","",MATCH(T_EMPLOYEES[[#This Row],[JOB TYPE]],L_JOBTYPE,0))</f>
        <v/>
      </c>
      <c r="AK33">
        <f>IF(T_EMPLOYEES[[#This Row],[EMPLOYEE NUMBER]]="","",MATCH(T_EMPLOYEES[[#This Row],[JOB CATEGORY]],L_JOBCATEGORY,0))</f>
        <v/>
      </c>
      <c r="AL33">
        <f>IF(T_EMPLOYEES[[#This Row],[EMPLOYEE NUMBER]]="","",MATCH(T_EMPLOYEES[[#This Row],[JOB LEVEL]],L_JOBLEVEL,0))</f>
        <v/>
      </c>
      <c r="AM33">
        <f>IF(T_EMPLOYEES[[#This Row],[EMPLOYEE NUMBER]]="","",MATCH(T_EMPLOYEES[[#This Row],[JOB TITLE]],L_JOBTITLE,0))</f>
        <v/>
      </c>
      <c r="AN33">
        <f>IF(T_EMPLOYEES[[#This Row],[EMPLOYEE NUMBER]]="","",MATCH(T_EMPLOYEES[[#This Row],[MANAGER]],L_EMPLABELS,0))</f>
        <v/>
      </c>
      <c r="AO33">
        <f>IF(T_EMPLOYEES[[#This Row],[EMPLOYEE NUMBER]]="","",IF(T_EMPLOYEES[[#This Row],[ERROR]]="",0,1))</f>
        <v/>
      </c>
      <c r="AP3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">
      <c r="A34" t="inlineStr">
        <is>
          <t>Sudhakar</t>
        </is>
      </c>
      <c r="B34" t="inlineStr">
        <is>
          <t xml:space="preserve"> Channegowda</t>
        </is>
      </c>
      <c r="C34" t="n">
        <v>1031110</v>
      </c>
      <c r="D34" t="inlineStr">
        <is>
          <t>Sudhakar.Channegowda@infinite.com</t>
        </is>
      </c>
      <c r="E34" s="26" t="n">
        <v>28765</v>
      </c>
      <c r="F34" s="26" t="n">
        <v>44893</v>
      </c>
      <c r="H34" t="inlineStr">
        <is>
          <t>Male</t>
        </is>
      </c>
      <c r="I34" t="inlineStr">
        <is>
          <t>Asian</t>
        </is>
      </c>
      <c r="J34" t="inlineStr">
        <is>
          <t>WEBSITE</t>
        </is>
      </c>
      <c r="K34" t="inlineStr">
        <is>
          <t>Bangalore</t>
        </is>
      </c>
      <c r="L34" s="27" t="inlineStr">
        <is>
          <t>IT</t>
        </is>
      </c>
      <c r="M34" t="inlineStr">
        <is>
          <t>Full-Time</t>
        </is>
      </c>
      <c r="N34" t="inlineStr">
        <is>
          <t>Project Manager</t>
        </is>
      </c>
      <c r="O34" t="inlineStr">
        <is>
          <t>E6</t>
        </is>
      </c>
      <c r="P34" t="inlineStr">
        <is>
          <t>Project Manager</t>
        </is>
      </c>
      <c r="Q34" t="inlineStr">
        <is>
          <t>Niranjan Reddy G (1032824)</t>
        </is>
      </c>
      <c r="R34" s="27" t="n">
        <v>7</v>
      </c>
      <c r="S34" s="1" t="n">
        <v>5000000</v>
      </c>
      <c r="T34" s="1">
        <f>ROUND(T_EMPLOYEES[[#This Row],[EMP_CTC1]]/12, 0)</f>
        <v/>
      </c>
      <c r="U34" s="1" t="n">
        <v>2300000</v>
      </c>
      <c r="V34" s="1" t="inlineStr">
        <is>
          <t>NH</t>
        </is>
      </c>
      <c r="W34" s="1" t="inlineStr">
        <is>
          <t>NH</t>
        </is>
      </c>
      <c r="X3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" t="n">
        <v>60000</v>
      </c>
      <c r="Z34" s="29">
        <f>(S34 - U34)/S34 * 100</f>
        <v/>
      </c>
      <c r="AA34">
        <f>IF(T_EMPLOYEES[[#This Row],[EMPLOYEE NUMBER]]="","",ROW(T_EMPLOYEES[[#This Row],[EMPLOYEE LABEL]])-ROW(T_EMPLOYEES[[#Headers],[EMPLOYEE LABEL]]))</f>
        <v/>
      </c>
      <c r="AB34">
        <f>IF(T_EMPLOYEES[[#This Row],[EMPLOYEE NUMBER]]="","",IF(COUNTIF(T_EMPLOYEES[EMPLOYEE NUMBER],T_EMPLOYEES[[#This Row],[EMPLOYEE NUMBER]])&gt;1,1,0))</f>
        <v/>
      </c>
      <c r="AC34">
        <f>IF(T_EMPLOYEES[[#This Row],[EMPLOYEE NUMBER]]="","",IF(AND(T_EMPLOYEES[[#This Row],[DATE OF BIRTH]]&gt;0,T_EMPLOYEES[[#This Row],[DATE OF BIRTH]]&lt;TODAY()),0,1))</f>
        <v/>
      </c>
      <c r="AD34">
        <f>IF(T_EMPLOYEES[[#This Row],[EMPLOYEE NUMBER]]="","",IF(AND(T_EMPLOYEES[[#This Row],[START DATE]]&gt;0,T_EMPLOYEES[[#This Row],[START DATE]]&lt;TODAY()+60),0,1))</f>
        <v/>
      </c>
      <c r="AE34">
        <f>IF(T_EMPLOYEES[[#This Row],[EMPLOYEE NUMBER]]="","",MATCH(T_EMPLOYEES[[#This Row],[GENDER]],L_GENDER,0))</f>
        <v/>
      </c>
      <c r="AF34">
        <f>IF(T_EMPLOYEES[[#This Row],[EMPLOYEE NUMBER]]="","",MATCH(T_EMPLOYEES[[#This Row],[HIRE SOURCE]],L_HIRESOURCE,0))</f>
        <v/>
      </c>
      <c r="AG34">
        <f>IF(T_EMPLOYEES[[#This Row],[EMPLOYEE NUMBER]]="","",MATCH(T_EMPLOYEES[[#This Row],[ETHNICITY]],L_ETHNICITY,0))</f>
        <v/>
      </c>
      <c r="AH34">
        <f>IF(T_EMPLOYEES[[#This Row],[EMPLOYEE NUMBER]]="","",MATCH(T_EMPLOYEES[[#This Row],[LOCATION]],L_LOCATION,0))</f>
        <v/>
      </c>
      <c r="AI34">
        <f>IF(T_EMPLOYEES[[#This Row],[EMPLOYEE NUMBER]]="","",MATCH(T_EMPLOYEES[[#This Row],[DEPARTMENT]],L_DEPARTMENT,0))</f>
        <v/>
      </c>
      <c r="AJ34">
        <f>IF(T_EMPLOYEES[[#This Row],[EMPLOYEE NUMBER]]="","",MATCH(T_EMPLOYEES[[#This Row],[JOB TYPE]],L_JOBTYPE,0))</f>
        <v/>
      </c>
      <c r="AK34">
        <f>IF(T_EMPLOYEES[[#This Row],[EMPLOYEE NUMBER]]="","",MATCH(T_EMPLOYEES[[#This Row],[JOB CATEGORY]],L_JOBCATEGORY,0))</f>
        <v/>
      </c>
      <c r="AL34">
        <f>IF(T_EMPLOYEES[[#This Row],[EMPLOYEE NUMBER]]="","",MATCH(T_EMPLOYEES[[#This Row],[JOB LEVEL]],L_JOBLEVEL,0))</f>
        <v/>
      </c>
      <c r="AM34">
        <f>IF(T_EMPLOYEES[[#This Row],[EMPLOYEE NUMBER]]="","",MATCH(T_EMPLOYEES[[#This Row],[JOB TITLE]],L_JOBTITLE,0))</f>
        <v/>
      </c>
      <c r="AN34">
        <f>IF(T_EMPLOYEES[[#This Row],[EMPLOYEE NUMBER]]="","",MATCH(T_EMPLOYEES[[#This Row],[MANAGER]],L_EMPLABELS,0))</f>
        <v/>
      </c>
      <c r="AO34">
        <f>IF(T_EMPLOYEES[[#This Row],[EMPLOYEE NUMBER]]="","",IF(T_EMPLOYEES[[#This Row],[ERROR]]="",0,1))</f>
        <v/>
      </c>
      <c r="AP3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">
      <c r="A35" t="inlineStr">
        <is>
          <t>Khushal</t>
        </is>
      </c>
      <c r="B35" t="inlineStr">
        <is>
          <t>Shankarrao Bodhale</t>
        </is>
      </c>
      <c r="C35" t="n">
        <v>1028542</v>
      </c>
      <c r="D35" t="inlineStr">
        <is>
          <t>Khushal.Bodhale@infinite.com</t>
        </is>
      </c>
      <c r="E35" s="26" t="n">
        <v>28865</v>
      </c>
      <c r="F35" s="26" t="n">
        <v>44628</v>
      </c>
      <c r="H35" t="inlineStr">
        <is>
          <t>Male</t>
        </is>
      </c>
      <c r="I35" t="inlineStr">
        <is>
          <t>Asian</t>
        </is>
      </c>
      <c r="J35" t="inlineStr">
        <is>
          <t>WEBSITE</t>
        </is>
      </c>
      <c r="K35" t="inlineStr">
        <is>
          <t>Bangalore</t>
        </is>
      </c>
      <c r="L35" s="27" t="inlineStr">
        <is>
          <t>IT</t>
        </is>
      </c>
      <c r="M35" t="inlineStr">
        <is>
          <t>Full-Time</t>
        </is>
      </c>
      <c r="N35" t="inlineStr">
        <is>
          <t>Technical Manager</t>
        </is>
      </c>
      <c r="O35" t="inlineStr">
        <is>
          <t>E6</t>
        </is>
      </c>
      <c r="P35" t="inlineStr">
        <is>
          <t>Technical Manager</t>
        </is>
      </c>
      <c r="Q35" t="inlineStr">
        <is>
          <t>Richa Sharma (1031870)</t>
        </is>
      </c>
      <c r="R35" t="n">
        <v>7</v>
      </c>
      <c r="S35" s="1" t="n">
        <v>5000000</v>
      </c>
      <c r="T35" s="1">
        <f>ROUND(T_EMPLOYEES[[#This Row],[EMP_CTC1]]/12, 0)</f>
        <v/>
      </c>
      <c r="U35" s="1" t="n">
        <v>2300000</v>
      </c>
      <c r="V35" s="1" t="inlineStr">
        <is>
          <t>NH</t>
        </is>
      </c>
      <c r="W35" s="1" t="inlineStr">
        <is>
          <t>NH</t>
        </is>
      </c>
      <c r="X3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" t="n">
        <v>60000</v>
      </c>
      <c r="Z35" s="29">
        <f>(S35 - U35)/S35 * 100</f>
        <v/>
      </c>
      <c r="AA35">
        <f>IF(T_EMPLOYEES[[#This Row],[EMPLOYEE NUMBER]]="","",ROW(T_EMPLOYEES[[#This Row],[EMPLOYEE LABEL]])-ROW(T_EMPLOYEES[[#Headers],[EMPLOYEE LABEL]]))</f>
        <v/>
      </c>
      <c r="AB35">
        <f>IF(T_EMPLOYEES[[#This Row],[EMPLOYEE NUMBER]]="","",IF(COUNTIF(T_EMPLOYEES[EMPLOYEE NUMBER],T_EMPLOYEES[[#This Row],[EMPLOYEE NUMBER]])&gt;1,1,0))</f>
        <v/>
      </c>
      <c r="AC35">
        <f>IF(T_EMPLOYEES[[#This Row],[EMPLOYEE NUMBER]]="","",IF(AND(T_EMPLOYEES[[#This Row],[DATE OF BIRTH]]&gt;0,T_EMPLOYEES[[#This Row],[DATE OF BIRTH]]&lt;TODAY()),0,1))</f>
        <v/>
      </c>
      <c r="AD35">
        <f>IF(T_EMPLOYEES[[#This Row],[EMPLOYEE NUMBER]]="","",IF(AND(T_EMPLOYEES[[#This Row],[START DATE]]&gt;0,T_EMPLOYEES[[#This Row],[START DATE]]&lt;TODAY()+60),0,1))</f>
        <v/>
      </c>
      <c r="AE35">
        <f>IF(T_EMPLOYEES[[#This Row],[EMPLOYEE NUMBER]]="","",MATCH(T_EMPLOYEES[[#This Row],[GENDER]],L_GENDER,0))</f>
        <v/>
      </c>
      <c r="AF35">
        <f>IF(T_EMPLOYEES[[#This Row],[EMPLOYEE NUMBER]]="","",MATCH(T_EMPLOYEES[[#This Row],[HIRE SOURCE]],L_HIRESOURCE,0))</f>
        <v/>
      </c>
      <c r="AG35">
        <f>IF(T_EMPLOYEES[[#This Row],[EMPLOYEE NUMBER]]="","",MATCH(T_EMPLOYEES[[#This Row],[ETHNICITY]],L_ETHNICITY,0))</f>
        <v/>
      </c>
      <c r="AH35">
        <f>IF(T_EMPLOYEES[[#This Row],[EMPLOYEE NUMBER]]="","",MATCH(T_EMPLOYEES[[#This Row],[LOCATION]],L_LOCATION,0))</f>
        <v/>
      </c>
      <c r="AI35">
        <f>IF(T_EMPLOYEES[[#This Row],[EMPLOYEE NUMBER]]="","",MATCH(T_EMPLOYEES[[#This Row],[DEPARTMENT]],L_DEPARTMENT,0))</f>
        <v/>
      </c>
      <c r="AJ35">
        <f>IF(T_EMPLOYEES[[#This Row],[EMPLOYEE NUMBER]]="","",MATCH(T_EMPLOYEES[[#This Row],[JOB TYPE]],L_JOBTYPE,0))</f>
        <v/>
      </c>
      <c r="AK35">
        <f>IF(T_EMPLOYEES[[#This Row],[EMPLOYEE NUMBER]]="","",MATCH(T_EMPLOYEES[[#This Row],[JOB CATEGORY]],L_JOBCATEGORY,0))</f>
        <v/>
      </c>
      <c r="AL35">
        <f>IF(T_EMPLOYEES[[#This Row],[EMPLOYEE NUMBER]]="","",MATCH(T_EMPLOYEES[[#This Row],[JOB LEVEL]],L_JOBLEVEL,0))</f>
        <v/>
      </c>
      <c r="AM35">
        <f>IF(T_EMPLOYEES[[#This Row],[EMPLOYEE NUMBER]]="","",MATCH(T_EMPLOYEES[[#This Row],[JOB TITLE]],L_JOBTITLE,0))</f>
        <v/>
      </c>
      <c r="AN35">
        <f>IF(T_EMPLOYEES[[#This Row],[EMPLOYEE NUMBER]]="","",MATCH(T_EMPLOYEES[[#This Row],[MANAGER]],L_EMPLABELS,0))</f>
        <v/>
      </c>
      <c r="AO35">
        <f>IF(T_EMPLOYEES[[#This Row],[EMPLOYEE NUMBER]]="","",IF(T_EMPLOYEES[[#This Row],[ERROR]]="",0,1))</f>
        <v/>
      </c>
      <c r="AP3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">
      <c r="A36" t="inlineStr">
        <is>
          <t>Mohammed</t>
        </is>
      </c>
      <c r="B36" t="inlineStr">
        <is>
          <t>Khaja Shaik</t>
        </is>
      </c>
      <c r="C36" t="n">
        <v>1019968</v>
      </c>
      <c r="D36" t="inlineStr">
        <is>
          <t>Khaja.Shaik@infinite.com</t>
        </is>
      </c>
      <c r="E36" s="26" t="n">
        <v>28951</v>
      </c>
      <c r="F36" s="26" t="n">
        <v>43052</v>
      </c>
      <c r="H36" t="inlineStr">
        <is>
          <t>Male</t>
        </is>
      </c>
      <c r="I36" t="inlineStr">
        <is>
          <t>Asian</t>
        </is>
      </c>
      <c r="J36" t="inlineStr">
        <is>
          <t>WEBSITE</t>
        </is>
      </c>
      <c r="K36" t="inlineStr">
        <is>
          <t>Hyderabad</t>
        </is>
      </c>
      <c r="L36" s="27" t="inlineStr">
        <is>
          <t>IT</t>
        </is>
      </c>
      <c r="M36" t="inlineStr">
        <is>
          <t>Full-Time</t>
        </is>
      </c>
      <c r="N36" t="inlineStr">
        <is>
          <t>Senior Technical Lead</t>
        </is>
      </c>
      <c r="O36" t="inlineStr">
        <is>
          <t>E5</t>
        </is>
      </c>
      <c r="P36" t="inlineStr">
        <is>
          <t>Senior Technical Lead</t>
        </is>
      </c>
      <c r="Q36" t="inlineStr">
        <is>
          <t>Radhakanta  Samantara (1010164)</t>
        </is>
      </c>
      <c r="R36" s="27" t="n">
        <v>7</v>
      </c>
      <c r="S36" s="1" t="n">
        <v>5000000</v>
      </c>
      <c r="T36" s="1">
        <f>ROUND(T_EMPLOYEES[[#This Row],[EMP_CTC1]]/12, 0)</f>
        <v/>
      </c>
      <c r="U36" s="1" t="n">
        <v>2300000</v>
      </c>
      <c r="V36" s="1" t="inlineStr">
        <is>
          <t>NH</t>
        </is>
      </c>
      <c r="W36" s="1" t="inlineStr">
        <is>
          <t>NH</t>
        </is>
      </c>
      <c r="X3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" t="n">
        <v>60000</v>
      </c>
      <c r="Z36" s="29">
        <f>(S36 - U36)/S36 * 100</f>
        <v/>
      </c>
      <c r="AA36">
        <f>IF(T_EMPLOYEES[[#This Row],[EMPLOYEE NUMBER]]="","",ROW(T_EMPLOYEES[[#This Row],[EMPLOYEE LABEL]])-ROW(T_EMPLOYEES[[#Headers],[EMPLOYEE LABEL]]))</f>
        <v/>
      </c>
      <c r="AB36">
        <f>IF(T_EMPLOYEES[[#This Row],[EMPLOYEE NUMBER]]="","",IF(COUNTIF(T_EMPLOYEES[EMPLOYEE NUMBER],T_EMPLOYEES[[#This Row],[EMPLOYEE NUMBER]])&gt;1,1,0))</f>
        <v/>
      </c>
      <c r="AC36">
        <f>IF(T_EMPLOYEES[[#This Row],[EMPLOYEE NUMBER]]="","",IF(AND(T_EMPLOYEES[[#This Row],[DATE OF BIRTH]]&gt;0,T_EMPLOYEES[[#This Row],[DATE OF BIRTH]]&lt;TODAY()),0,1))</f>
        <v/>
      </c>
      <c r="AD36">
        <f>IF(T_EMPLOYEES[[#This Row],[EMPLOYEE NUMBER]]="","",IF(AND(T_EMPLOYEES[[#This Row],[START DATE]]&gt;0,T_EMPLOYEES[[#This Row],[START DATE]]&lt;TODAY()+60),0,1))</f>
        <v/>
      </c>
      <c r="AE36">
        <f>IF(T_EMPLOYEES[[#This Row],[EMPLOYEE NUMBER]]="","",MATCH(T_EMPLOYEES[[#This Row],[GENDER]],L_GENDER,0))</f>
        <v/>
      </c>
      <c r="AF36">
        <f>IF(T_EMPLOYEES[[#This Row],[EMPLOYEE NUMBER]]="","",MATCH(T_EMPLOYEES[[#This Row],[HIRE SOURCE]],L_HIRESOURCE,0))</f>
        <v/>
      </c>
      <c r="AG36">
        <f>IF(T_EMPLOYEES[[#This Row],[EMPLOYEE NUMBER]]="","",MATCH(T_EMPLOYEES[[#This Row],[ETHNICITY]],L_ETHNICITY,0))</f>
        <v/>
      </c>
      <c r="AH36">
        <f>IF(T_EMPLOYEES[[#This Row],[EMPLOYEE NUMBER]]="","",MATCH(T_EMPLOYEES[[#This Row],[LOCATION]],L_LOCATION,0))</f>
        <v/>
      </c>
      <c r="AI36">
        <f>IF(T_EMPLOYEES[[#This Row],[EMPLOYEE NUMBER]]="","",MATCH(T_EMPLOYEES[[#This Row],[DEPARTMENT]],L_DEPARTMENT,0))</f>
        <v/>
      </c>
      <c r="AJ36">
        <f>IF(T_EMPLOYEES[[#This Row],[EMPLOYEE NUMBER]]="","",MATCH(T_EMPLOYEES[[#This Row],[JOB TYPE]],L_JOBTYPE,0))</f>
        <v/>
      </c>
      <c r="AK36">
        <f>IF(T_EMPLOYEES[[#This Row],[EMPLOYEE NUMBER]]="","",MATCH(T_EMPLOYEES[[#This Row],[JOB CATEGORY]],L_JOBCATEGORY,0))</f>
        <v/>
      </c>
      <c r="AL36">
        <f>IF(T_EMPLOYEES[[#This Row],[EMPLOYEE NUMBER]]="","",MATCH(T_EMPLOYEES[[#This Row],[JOB LEVEL]],L_JOBLEVEL,0))</f>
        <v/>
      </c>
      <c r="AM36">
        <f>IF(T_EMPLOYEES[[#This Row],[EMPLOYEE NUMBER]]="","",MATCH(T_EMPLOYEES[[#This Row],[JOB TITLE]],L_JOBTITLE,0))</f>
        <v/>
      </c>
      <c r="AN36">
        <f>IF(T_EMPLOYEES[[#This Row],[EMPLOYEE NUMBER]]="","",MATCH(T_EMPLOYEES[[#This Row],[MANAGER]],L_EMPLABELS,0))</f>
        <v/>
      </c>
      <c r="AO36">
        <f>IF(T_EMPLOYEES[[#This Row],[EMPLOYEE NUMBER]]="","",IF(T_EMPLOYEES[[#This Row],[ERROR]]="",0,1))</f>
        <v/>
      </c>
      <c r="AP3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">
      <c r="A37" t="inlineStr">
        <is>
          <t>Elango</t>
        </is>
      </c>
      <c r="B37" t="inlineStr">
        <is>
          <t>Krishnamoorthy</t>
        </is>
      </c>
      <c r="C37" t="n">
        <v>1027276</v>
      </c>
      <c r="D37" t="inlineStr">
        <is>
          <t>Elango.Krishnamoorthy@infinite.com</t>
        </is>
      </c>
      <c r="E37" s="26" t="n">
        <v>28965</v>
      </c>
      <c r="F37" s="26" t="n">
        <v>44522</v>
      </c>
      <c r="H37" t="inlineStr">
        <is>
          <t>Male</t>
        </is>
      </c>
      <c r="I37" t="inlineStr">
        <is>
          <t>Asian</t>
        </is>
      </c>
      <c r="J37" t="inlineStr">
        <is>
          <t>WEBSITE</t>
        </is>
      </c>
      <c r="K37" t="inlineStr">
        <is>
          <t>Hyderabad</t>
        </is>
      </c>
      <c r="L37" s="27" t="inlineStr">
        <is>
          <t>IT</t>
        </is>
      </c>
      <c r="M37" t="inlineStr">
        <is>
          <t>Full-Time</t>
        </is>
      </c>
      <c r="N37" t="inlineStr">
        <is>
          <t>Senior Technical Lead</t>
        </is>
      </c>
      <c r="O37" t="inlineStr">
        <is>
          <t>E5</t>
        </is>
      </c>
      <c r="P37" t="inlineStr">
        <is>
          <t>Senior Technical Lead</t>
        </is>
      </c>
      <c r="Q37" t="inlineStr">
        <is>
          <t>Joel Clifton Dsouza (1012233)</t>
        </is>
      </c>
      <c r="R37" t="n">
        <v>7</v>
      </c>
      <c r="S37" s="1" t="n">
        <v>5000000</v>
      </c>
      <c r="T37" s="1">
        <f>ROUND(T_EMPLOYEES[[#This Row],[EMP_CTC1]]/12, 0)</f>
        <v/>
      </c>
      <c r="U37" s="1" t="n">
        <v>2300000</v>
      </c>
      <c r="V37" s="1" t="inlineStr">
        <is>
          <t>NH</t>
        </is>
      </c>
      <c r="W37" s="1" t="inlineStr">
        <is>
          <t>NH</t>
        </is>
      </c>
      <c r="X3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" t="n">
        <v>60000</v>
      </c>
      <c r="Z37" s="29">
        <f>(S37 - U37)/S37 * 100</f>
        <v/>
      </c>
      <c r="AA37">
        <f>IF(T_EMPLOYEES[[#This Row],[EMPLOYEE NUMBER]]="","",ROW(T_EMPLOYEES[[#This Row],[EMPLOYEE LABEL]])-ROW(T_EMPLOYEES[[#Headers],[EMPLOYEE LABEL]]))</f>
        <v/>
      </c>
      <c r="AB37">
        <f>IF(T_EMPLOYEES[[#This Row],[EMPLOYEE NUMBER]]="","",IF(COUNTIF(T_EMPLOYEES[EMPLOYEE NUMBER],T_EMPLOYEES[[#This Row],[EMPLOYEE NUMBER]])&gt;1,1,0))</f>
        <v/>
      </c>
      <c r="AC37">
        <f>IF(T_EMPLOYEES[[#This Row],[EMPLOYEE NUMBER]]="","",IF(AND(T_EMPLOYEES[[#This Row],[DATE OF BIRTH]]&gt;0,T_EMPLOYEES[[#This Row],[DATE OF BIRTH]]&lt;TODAY()),0,1))</f>
        <v/>
      </c>
      <c r="AD37">
        <f>IF(T_EMPLOYEES[[#This Row],[EMPLOYEE NUMBER]]="","",IF(AND(T_EMPLOYEES[[#This Row],[START DATE]]&gt;0,T_EMPLOYEES[[#This Row],[START DATE]]&lt;TODAY()+60),0,1))</f>
        <v/>
      </c>
      <c r="AE37">
        <f>IF(T_EMPLOYEES[[#This Row],[EMPLOYEE NUMBER]]="","",MATCH(T_EMPLOYEES[[#This Row],[GENDER]],L_GENDER,0))</f>
        <v/>
      </c>
      <c r="AF37">
        <f>IF(T_EMPLOYEES[[#This Row],[EMPLOYEE NUMBER]]="","",MATCH(T_EMPLOYEES[[#This Row],[HIRE SOURCE]],L_HIRESOURCE,0))</f>
        <v/>
      </c>
      <c r="AG37">
        <f>IF(T_EMPLOYEES[[#This Row],[EMPLOYEE NUMBER]]="","",MATCH(T_EMPLOYEES[[#This Row],[ETHNICITY]],L_ETHNICITY,0))</f>
        <v/>
      </c>
      <c r="AH37">
        <f>IF(T_EMPLOYEES[[#This Row],[EMPLOYEE NUMBER]]="","",MATCH(T_EMPLOYEES[[#This Row],[LOCATION]],L_LOCATION,0))</f>
        <v/>
      </c>
      <c r="AI37">
        <f>IF(T_EMPLOYEES[[#This Row],[EMPLOYEE NUMBER]]="","",MATCH(T_EMPLOYEES[[#This Row],[DEPARTMENT]],L_DEPARTMENT,0))</f>
        <v/>
      </c>
      <c r="AJ37">
        <f>IF(T_EMPLOYEES[[#This Row],[EMPLOYEE NUMBER]]="","",MATCH(T_EMPLOYEES[[#This Row],[JOB TYPE]],L_JOBTYPE,0))</f>
        <v/>
      </c>
      <c r="AK37">
        <f>IF(T_EMPLOYEES[[#This Row],[EMPLOYEE NUMBER]]="","",MATCH(T_EMPLOYEES[[#This Row],[JOB CATEGORY]],L_JOBCATEGORY,0))</f>
        <v/>
      </c>
      <c r="AL37">
        <f>IF(T_EMPLOYEES[[#This Row],[EMPLOYEE NUMBER]]="","",MATCH(T_EMPLOYEES[[#This Row],[JOB LEVEL]],L_JOBLEVEL,0))</f>
        <v/>
      </c>
      <c r="AM37">
        <f>IF(T_EMPLOYEES[[#This Row],[EMPLOYEE NUMBER]]="","",MATCH(T_EMPLOYEES[[#This Row],[JOB TITLE]],L_JOBTITLE,0))</f>
        <v/>
      </c>
      <c r="AN37">
        <f>IF(T_EMPLOYEES[[#This Row],[EMPLOYEE NUMBER]]="","",MATCH(T_EMPLOYEES[[#This Row],[MANAGER]],L_EMPLABELS,0))</f>
        <v/>
      </c>
      <c r="AO37">
        <f>IF(T_EMPLOYEES[[#This Row],[EMPLOYEE NUMBER]]="","",IF(T_EMPLOYEES[[#This Row],[ERROR]]="",0,1))</f>
        <v/>
      </c>
      <c r="AP3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">
      <c r="A38" t="inlineStr">
        <is>
          <t>Suparno</t>
        </is>
      </c>
      <c r="B38" t="inlineStr">
        <is>
          <t>Chowdhury</t>
        </is>
      </c>
      <c r="C38" t="n">
        <v>1028474</v>
      </c>
      <c r="D38" t="inlineStr">
        <is>
          <t>Suparno.Chowdhury@infinite.com</t>
        </is>
      </c>
      <c r="E38" s="26" t="n">
        <v>29000</v>
      </c>
      <c r="F38" s="26" t="n">
        <v>44622</v>
      </c>
      <c r="H38" t="inlineStr">
        <is>
          <t>Male</t>
        </is>
      </c>
      <c r="I38" t="inlineStr">
        <is>
          <t>Asian</t>
        </is>
      </c>
      <c r="J38" t="inlineStr">
        <is>
          <t>WEBSITE</t>
        </is>
      </c>
      <c r="K38" t="inlineStr">
        <is>
          <t>Hyderabad</t>
        </is>
      </c>
      <c r="L38" s="27" t="inlineStr">
        <is>
          <t>IT</t>
        </is>
      </c>
      <c r="M38" t="inlineStr">
        <is>
          <t>Full-Time</t>
        </is>
      </c>
      <c r="N38" t="inlineStr">
        <is>
          <t>Program Manager</t>
        </is>
      </c>
      <c r="O38" t="inlineStr">
        <is>
          <t>E7</t>
        </is>
      </c>
      <c r="P38" t="inlineStr">
        <is>
          <t>Program Manager</t>
        </is>
      </c>
      <c r="Q38" t="inlineStr">
        <is>
          <t>Nagarajan K (1019672)</t>
        </is>
      </c>
      <c r="R38" s="27" t="n"/>
      <c r="S38" s="1" t="n">
        <v>5000000</v>
      </c>
      <c r="T38" s="1">
        <f>ROUND(T_EMPLOYEES[[#This Row],[EMP_CTC1]]/12, 0)</f>
        <v/>
      </c>
      <c r="U38" s="1" t="n">
        <v>2300000</v>
      </c>
      <c r="V38" s="1" t="inlineStr">
        <is>
          <t>NH</t>
        </is>
      </c>
      <c r="W38" s="1" t="inlineStr">
        <is>
          <t>NH</t>
        </is>
      </c>
      <c r="X3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" t="n">
        <v>60000</v>
      </c>
      <c r="Z38" s="29">
        <f>(S38 - U38)/S38 * 100</f>
        <v/>
      </c>
      <c r="AA38">
        <f>IF(T_EMPLOYEES[[#This Row],[EMPLOYEE NUMBER]]="","",ROW(T_EMPLOYEES[[#This Row],[EMPLOYEE LABEL]])-ROW(T_EMPLOYEES[[#Headers],[EMPLOYEE LABEL]]))</f>
        <v/>
      </c>
      <c r="AB38">
        <f>IF(T_EMPLOYEES[[#This Row],[EMPLOYEE NUMBER]]="","",IF(COUNTIF(T_EMPLOYEES[EMPLOYEE NUMBER],T_EMPLOYEES[[#This Row],[EMPLOYEE NUMBER]])&gt;1,1,0))</f>
        <v/>
      </c>
      <c r="AC38">
        <f>IF(T_EMPLOYEES[[#This Row],[EMPLOYEE NUMBER]]="","",IF(AND(T_EMPLOYEES[[#This Row],[DATE OF BIRTH]]&gt;0,T_EMPLOYEES[[#This Row],[DATE OF BIRTH]]&lt;TODAY()),0,1))</f>
        <v/>
      </c>
      <c r="AD38">
        <f>IF(T_EMPLOYEES[[#This Row],[EMPLOYEE NUMBER]]="","",IF(AND(T_EMPLOYEES[[#This Row],[START DATE]]&gt;0,T_EMPLOYEES[[#This Row],[START DATE]]&lt;TODAY()+60),0,1))</f>
        <v/>
      </c>
      <c r="AE38">
        <f>IF(T_EMPLOYEES[[#This Row],[EMPLOYEE NUMBER]]="","",MATCH(T_EMPLOYEES[[#This Row],[GENDER]],L_GENDER,0))</f>
        <v/>
      </c>
      <c r="AF38">
        <f>IF(T_EMPLOYEES[[#This Row],[EMPLOYEE NUMBER]]="","",MATCH(T_EMPLOYEES[[#This Row],[HIRE SOURCE]],L_HIRESOURCE,0))</f>
        <v/>
      </c>
      <c r="AG38">
        <f>IF(T_EMPLOYEES[[#This Row],[EMPLOYEE NUMBER]]="","",MATCH(T_EMPLOYEES[[#This Row],[ETHNICITY]],L_ETHNICITY,0))</f>
        <v/>
      </c>
      <c r="AH38">
        <f>IF(T_EMPLOYEES[[#This Row],[EMPLOYEE NUMBER]]="","",MATCH(T_EMPLOYEES[[#This Row],[LOCATION]],L_LOCATION,0))</f>
        <v/>
      </c>
      <c r="AI38">
        <f>IF(T_EMPLOYEES[[#This Row],[EMPLOYEE NUMBER]]="","",MATCH(T_EMPLOYEES[[#This Row],[DEPARTMENT]],L_DEPARTMENT,0))</f>
        <v/>
      </c>
      <c r="AJ38">
        <f>IF(T_EMPLOYEES[[#This Row],[EMPLOYEE NUMBER]]="","",MATCH(T_EMPLOYEES[[#This Row],[JOB TYPE]],L_JOBTYPE,0))</f>
        <v/>
      </c>
      <c r="AK38">
        <f>IF(T_EMPLOYEES[[#This Row],[EMPLOYEE NUMBER]]="","",MATCH(T_EMPLOYEES[[#This Row],[JOB CATEGORY]],L_JOBCATEGORY,0))</f>
        <v/>
      </c>
      <c r="AL38">
        <f>IF(T_EMPLOYEES[[#This Row],[EMPLOYEE NUMBER]]="","",MATCH(T_EMPLOYEES[[#This Row],[JOB LEVEL]],L_JOBLEVEL,0))</f>
        <v/>
      </c>
      <c r="AM38">
        <f>IF(T_EMPLOYEES[[#This Row],[EMPLOYEE NUMBER]]="","",MATCH(T_EMPLOYEES[[#This Row],[JOB TITLE]],L_JOBTITLE,0))</f>
        <v/>
      </c>
      <c r="AN38">
        <f>IF(T_EMPLOYEES[[#This Row],[EMPLOYEE NUMBER]]="","",MATCH(T_EMPLOYEES[[#This Row],[MANAGER]],L_EMPLABELS,0))</f>
        <v/>
      </c>
      <c r="AO38">
        <f>IF(T_EMPLOYEES[[#This Row],[EMPLOYEE NUMBER]]="","",IF(T_EMPLOYEES[[#This Row],[ERROR]]="",0,1))</f>
        <v/>
      </c>
      <c r="AP3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">
      <c r="A39" t="inlineStr">
        <is>
          <t>Mohammed</t>
        </is>
      </c>
      <c r="B39" t="inlineStr">
        <is>
          <t>Abdul Azeem</t>
        </is>
      </c>
      <c r="C39" t="n">
        <v>1030739</v>
      </c>
      <c r="D39" t="inlineStr">
        <is>
          <t>Abdul.Azeem@infinite.com</t>
        </is>
      </c>
      <c r="E39" s="26" t="n">
        <v>29042</v>
      </c>
      <c r="F39" s="26" t="n">
        <v>44860</v>
      </c>
      <c r="H39" t="inlineStr">
        <is>
          <t>Male</t>
        </is>
      </c>
      <c r="I39" t="inlineStr">
        <is>
          <t>Asian</t>
        </is>
      </c>
      <c r="J39" t="inlineStr">
        <is>
          <t>WEBSITE</t>
        </is>
      </c>
      <c r="K39" t="inlineStr">
        <is>
          <t>Bangalore</t>
        </is>
      </c>
      <c r="L39" s="27" t="inlineStr">
        <is>
          <t>IT</t>
        </is>
      </c>
      <c r="M39" t="inlineStr">
        <is>
          <t>Full-Time</t>
        </is>
      </c>
      <c r="N39" t="inlineStr">
        <is>
          <t>Technical Manager</t>
        </is>
      </c>
      <c r="O39" t="inlineStr">
        <is>
          <t>E6</t>
        </is>
      </c>
      <c r="P39" t="inlineStr">
        <is>
          <t>Technical Manager</t>
        </is>
      </c>
      <c r="Q39" t="inlineStr">
        <is>
          <t>Syed Atif Ali Syed Arshad Taher Subzwari (1024996)</t>
        </is>
      </c>
      <c r="R39" t="n">
        <v>7</v>
      </c>
      <c r="S39" s="1" t="n">
        <v>5000000</v>
      </c>
      <c r="T39" s="1">
        <f>ROUND(T_EMPLOYEES[[#This Row],[EMP_CTC1]]/12, 0)</f>
        <v/>
      </c>
      <c r="U39" s="1" t="n">
        <v>2300000</v>
      </c>
      <c r="V39" s="1" t="inlineStr">
        <is>
          <t>NH</t>
        </is>
      </c>
      <c r="W39" s="1" t="inlineStr">
        <is>
          <t>NH</t>
        </is>
      </c>
      <c r="X3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" t="n">
        <v>92000</v>
      </c>
      <c r="Z39" s="29">
        <f>(S39 - U39)/S39 * 100</f>
        <v/>
      </c>
      <c r="AA39">
        <f>IF(T_EMPLOYEES[[#This Row],[EMPLOYEE NUMBER]]="","",ROW(T_EMPLOYEES[[#This Row],[EMPLOYEE LABEL]])-ROW(T_EMPLOYEES[[#Headers],[EMPLOYEE LABEL]]))</f>
        <v/>
      </c>
      <c r="AB39">
        <f>IF(T_EMPLOYEES[[#This Row],[EMPLOYEE NUMBER]]="","",IF(COUNTIF(T_EMPLOYEES[EMPLOYEE NUMBER],T_EMPLOYEES[[#This Row],[EMPLOYEE NUMBER]])&gt;1,1,0))</f>
        <v/>
      </c>
      <c r="AC39">
        <f>IF(T_EMPLOYEES[[#This Row],[EMPLOYEE NUMBER]]="","",IF(AND(T_EMPLOYEES[[#This Row],[DATE OF BIRTH]]&gt;0,T_EMPLOYEES[[#This Row],[DATE OF BIRTH]]&lt;TODAY()),0,1))</f>
        <v/>
      </c>
      <c r="AD39">
        <f>IF(T_EMPLOYEES[[#This Row],[EMPLOYEE NUMBER]]="","",IF(AND(T_EMPLOYEES[[#This Row],[START DATE]]&gt;0,T_EMPLOYEES[[#This Row],[START DATE]]&lt;TODAY()+60),0,1))</f>
        <v/>
      </c>
      <c r="AE39">
        <f>IF(T_EMPLOYEES[[#This Row],[EMPLOYEE NUMBER]]="","",MATCH(T_EMPLOYEES[[#This Row],[GENDER]],L_GENDER,0))</f>
        <v/>
      </c>
      <c r="AF39">
        <f>IF(T_EMPLOYEES[[#This Row],[EMPLOYEE NUMBER]]="","",MATCH(T_EMPLOYEES[[#This Row],[HIRE SOURCE]],L_HIRESOURCE,0))</f>
        <v/>
      </c>
      <c r="AG39">
        <f>IF(T_EMPLOYEES[[#This Row],[EMPLOYEE NUMBER]]="","",MATCH(T_EMPLOYEES[[#This Row],[ETHNICITY]],L_ETHNICITY,0))</f>
        <v/>
      </c>
      <c r="AH39">
        <f>IF(T_EMPLOYEES[[#This Row],[EMPLOYEE NUMBER]]="","",MATCH(T_EMPLOYEES[[#This Row],[LOCATION]],L_LOCATION,0))</f>
        <v/>
      </c>
      <c r="AI39">
        <f>IF(T_EMPLOYEES[[#This Row],[EMPLOYEE NUMBER]]="","",MATCH(T_EMPLOYEES[[#This Row],[DEPARTMENT]],L_DEPARTMENT,0))</f>
        <v/>
      </c>
      <c r="AJ39">
        <f>IF(T_EMPLOYEES[[#This Row],[EMPLOYEE NUMBER]]="","",MATCH(T_EMPLOYEES[[#This Row],[JOB TYPE]],L_JOBTYPE,0))</f>
        <v/>
      </c>
      <c r="AK39">
        <f>IF(T_EMPLOYEES[[#This Row],[EMPLOYEE NUMBER]]="","",MATCH(T_EMPLOYEES[[#This Row],[JOB CATEGORY]],L_JOBCATEGORY,0))</f>
        <v/>
      </c>
      <c r="AL39">
        <f>IF(T_EMPLOYEES[[#This Row],[EMPLOYEE NUMBER]]="","",MATCH(T_EMPLOYEES[[#This Row],[JOB LEVEL]],L_JOBLEVEL,0))</f>
        <v/>
      </c>
      <c r="AM39">
        <f>IF(T_EMPLOYEES[[#This Row],[EMPLOYEE NUMBER]]="","",MATCH(T_EMPLOYEES[[#This Row],[JOB TITLE]],L_JOBTITLE,0))</f>
        <v/>
      </c>
      <c r="AN39">
        <f>IF(T_EMPLOYEES[[#This Row],[EMPLOYEE NUMBER]]="","",MATCH(T_EMPLOYEES[[#This Row],[MANAGER]],L_EMPLABELS,0))</f>
        <v/>
      </c>
      <c r="AO39">
        <f>IF(T_EMPLOYEES[[#This Row],[EMPLOYEE NUMBER]]="","",IF(T_EMPLOYEES[[#This Row],[ERROR]]="",0,1))</f>
        <v/>
      </c>
      <c r="AP3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">
      <c r="A40" t="inlineStr">
        <is>
          <t>Macherla</t>
        </is>
      </c>
      <c r="B40" t="inlineStr">
        <is>
          <t>Sandhya  Rani</t>
        </is>
      </c>
      <c r="C40" t="n">
        <v>1022410</v>
      </c>
      <c r="D40" t="inlineStr">
        <is>
          <t>Sandhya.Rani@infinite.com</t>
        </is>
      </c>
      <c r="E40" s="26" t="n">
        <v>29048</v>
      </c>
      <c r="F40" s="26" t="n">
        <v>43668</v>
      </c>
      <c r="H40" t="inlineStr">
        <is>
          <t>Female</t>
        </is>
      </c>
      <c r="I40" t="inlineStr">
        <is>
          <t>Asian</t>
        </is>
      </c>
      <c r="J40" t="inlineStr">
        <is>
          <t>WEBSITE</t>
        </is>
      </c>
      <c r="K40" t="inlineStr">
        <is>
          <t>Hyderabad</t>
        </is>
      </c>
      <c r="L40" s="27" t="inlineStr">
        <is>
          <t>IT</t>
        </is>
      </c>
      <c r="M40" t="inlineStr">
        <is>
          <t>Full-Time</t>
        </is>
      </c>
      <c r="N40" t="inlineStr">
        <is>
          <t>Technical Lead</t>
        </is>
      </c>
      <c r="O40" t="inlineStr">
        <is>
          <t>E4</t>
        </is>
      </c>
      <c r="P40" t="inlineStr">
        <is>
          <t>Technical Lead</t>
        </is>
      </c>
      <c r="Q40" t="inlineStr">
        <is>
          <t>Joel Clifton Dsouza (1012233)</t>
        </is>
      </c>
      <c r="R40" s="27" t="n">
        <v>5</v>
      </c>
      <c r="S40" s="1" t="n">
        <v>5000000</v>
      </c>
      <c r="T40" s="1">
        <f>ROUND(T_EMPLOYEES[[#This Row],[EMP_CTC1]]/12, 0)</f>
        <v/>
      </c>
      <c r="U40" s="1" t="n">
        <v>2300000</v>
      </c>
      <c r="V40" s="1" t="inlineStr">
        <is>
          <t>NH</t>
        </is>
      </c>
      <c r="W40" s="1" t="inlineStr">
        <is>
          <t>NH</t>
        </is>
      </c>
      <c r="X4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" t="n">
        <v>92000</v>
      </c>
      <c r="Z40" s="29">
        <f>(S40 - U40)/S40 * 100</f>
        <v/>
      </c>
      <c r="AA40">
        <f>IF(T_EMPLOYEES[[#This Row],[EMPLOYEE NUMBER]]="","",ROW(T_EMPLOYEES[[#This Row],[EMPLOYEE LABEL]])-ROW(T_EMPLOYEES[[#Headers],[EMPLOYEE LABEL]]))</f>
        <v/>
      </c>
      <c r="AB40">
        <f>IF(T_EMPLOYEES[[#This Row],[EMPLOYEE NUMBER]]="","",IF(COUNTIF(T_EMPLOYEES[EMPLOYEE NUMBER],T_EMPLOYEES[[#This Row],[EMPLOYEE NUMBER]])&gt;1,1,0))</f>
        <v/>
      </c>
      <c r="AC40">
        <f>IF(T_EMPLOYEES[[#This Row],[EMPLOYEE NUMBER]]="","",IF(AND(T_EMPLOYEES[[#This Row],[DATE OF BIRTH]]&gt;0,T_EMPLOYEES[[#This Row],[DATE OF BIRTH]]&lt;TODAY()),0,1))</f>
        <v/>
      </c>
      <c r="AD40">
        <f>IF(T_EMPLOYEES[[#This Row],[EMPLOYEE NUMBER]]="","",IF(AND(T_EMPLOYEES[[#This Row],[START DATE]]&gt;0,T_EMPLOYEES[[#This Row],[START DATE]]&lt;TODAY()+60),0,1))</f>
        <v/>
      </c>
      <c r="AE40">
        <f>IF(T_EMPLOYEES[[#This Row],[EMPLOYEE NUMBER]]="","",MATCH(T_EMPLOYEES[[#This Row],[GENDER]],L_GENDER,0))</f>
        <v/>
      </c>
      <c r="AF40">
        <f>IF(T_EMPLOYEES[[#This Row],[EMPLOYEE NUMBER]]="","",MATCH(T_EMPLOYEES[[#This Row],[HIRE SOURCE]],L_HIRESOURCE,0))</f>
        <v/>
      </c>
      <c r="AG40">
        <f>IF(T_EMPLOYEES[[#This Row],[EMPLOYEE NUMBER]]="","",MATCH(T_EMPLOYEES[[#This Row],[ETHNICITY]],L_ETHNICITY,0))</f>
        <v/>
      </c>
      <c r="AH40">
        <f>IF(T_EMPLOYEES[[#This Row],[EMPLOYEE NUMBER]]="","",MATCH(T_EMPLOYEES[[#This Row],[LOCATION]],L_LOCATION,0))</f>
        <v/>
      </c>
      <c r="AI40">
        <f>IF(T_EMPLOYEES[[#This Row],[EMPLOYEE NUMBER]]="","",MATCH(T_EMPLOYEES[[#This Row],[DEPARTMENT]],L_DEPARTMENT,0))</f>
        <v/>
      </c>
      <c r="AJ40">
        <f>IF(T_EMPLOYEES[[#This Row],[EMPLOYEE NUMBER]]="","",MATCH(T_EMPLOYEES[[#This Row],[JOB TYPE]],L_JOBTYPE,0))</f>
        <v/>
      </c>
      <c r="AK40">
        <f>IF(T_EMPLOYEES[[#This Row],[EMPLOYEE NUMBER]]="","",MATCH(T_EMPLOYEES[[#This Row],[JOB CATEGORY]],L_JOBCATEGORY,0))</f>
        <v/>
      </c>
      <c r="AL40">
        <f>IF(T_EMPLOYEES[[#This Row],[EMPLOYEE NUMBER]]="","",MATCH(T_EMPLOYEES[[#This Row],[JOB LEVEL]],L_JOBLEVEL,0))</f>
        <v/>
      </c>
      <c r="AM40">
        <f>IF(T_EMPLOYEES[[#This Row],[EMPLOYEE NUMBER]]="","",MATCH(T_EMPLOYEES[[#This Row],[JOB TITLE]],L_JOBTITLE,0))</f>
        <v/>
      </c>
      <c r="AN40">
        <f>IF(T_EMPLOYEES[[#This Row],[EMPLOYEE NUMBER]]="","",MATCH(T_EMPLOYEES[[#This Row],[MANAGER]],L_EMPLABELS,0))</f>
        <v/>
      </c>
      <c r="AO40">
        <f>IF(T_EMPLOYEES[[#This Row],[EMPLOYEE NUMBER]]="","",IF(T_EMPLOYEES[[#This Row],[ERROR]]="",0,1))</f>
        <v/>
      </c>
      <c r="AP4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">
      <c r="A41" t="inlineStr">
        <is>
          <t>Anupam</t>
        </is>
      </c>
      <c r="B41" t="inlineStr">
        <is>
          <t>Lal</t>
        </is>
      </c>
      <c r="C41" t="n">
        <v>1033431</v>
      </c>
      <c r="D41" t="inlineStr">
        <is>
          <t>Anupam.Lal@infinite.com</t>
        </is>
      </c>
      <c r="E41" s="26" t="n">
        <v>29068</v>
      </c>
      <c r="F41" s="26" t="n">
        <v>45168</v>
      </c>
      <c r="H41" t="inlineStr">
        <is>
          <t>Male</t>
        </is>
      </c>
      <c r="I41" t="inlineStr">
        <is>
          <t>Asian</t>
        </is>
      </c>
      <c r="J41" t="inlineStr">
        <is>
          <t>WEBSITE</t>
        </is>
      </c>
      <c r="K41" t="inlineStr">
        <is>
          <t>Hyderabad</t>
        </is>
      </c>
      <c r="L41" s="27" t="inlineStr">
        <is>
          <t>IT</t>
        </is>
      </c>
      <c r="M41" t="inlineStr">
        <is>
          <t>Full-Time</t>
        </is>
      </c>
      <c r="N41" t="inlineStr">
        <is>
          <t>Senior Lead Business Analyst</t>
        </is>
      </c>
      <c r="O41" t="inlineStr">
        <is>
          <t>E5</t>
        </is>
      </c>
      <c r="P41" t="inlineStr">
        <is>
          <t>Senior Lead Business Analyst</t>
        </is>
      </c>
      <c r="Q41" t="inlineStr">
        <is>
          <t>Avdhut Sunil Kavdikar (1032836)</t>
        </is>
      </c>
      <c r="R41" t="n">
        <v>7</v>
      </c>
      <c r="S41" s="1" t="n">
        <v>5000000</v>
      </c>
      <c r="T41" s="1">
        <f>ROUND(T_EMPLOYEES[[#This Row],[EMP_CTC1]]/12, 0)</f>
        <v/>
      </c>
      <c r="U41" s="1" t="n">
        <v>2300000</v>
      </c>
      <c r="V41" s="1" t="inlineStr">
        <is>
          <t>NH</t>
        </is>
      </c>
      <c r="W41" s="1" t="inlineStr">
        <is>
          <t>NH</t>
        </is>
      </c>
      <c r="X4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" t="n">
        <v>92000</v>
      </c>
      <c r="Z41" s="29">
        <f>(S41 - U41)/S41 * 100</f>
        <v/>
      </c>
      <c r="AA41">
        <f>IF(T_EMPLOYEES[[#This Row],[EMPLOYEE NUMBER]]="","",ROW(T_EMPLOYEES[[#This Row],[EMPLOYEE LABEL]])-ROW(T_EMPLOYEES[[#Headers],[EMPLOYEE LABEL]]))</f>
        <v/>
      </c>
      <c r="AB41">
        <f>IF(T_EMPLOYEES[[#This Row],[EMPLOYEE NUMBER]]="","",IF(COUNTIF(T_EMPLOYEES[EMPLOYEE NUMBER],T_EMPLOYEES[[#This Row],[EMPLOYEE NUMBER]])&gt;1,1,0))</f>
        <v/>
      </c>
      <c r="AC41">
        <f>IF(T_EMPLOYEES[[#This Row],[EMPLOYEE NUMBER]]="","",IF(AND(T_EMPLOYEES[[#This Row],[DATE OF BIRTH]]&gt;0,T_EMPLOYEES[[#This Row],[DATE OF BIRTH]]&lt;TODAY()),0,1))</f>
        <v/>
      </c>
      <c r="AD41">
        <f>IF(T_EMPLOYEES[[#This Row],[EMPLOYEE NUMBER]]="","",IF(AND(T_EMPLOYEES[[#This Row],[START DATE]]&gt;0,T_EMPLOYEES[[#This Row],[START DATE]]&lt;TODAY()+60),0,1))</f>
        <v/>
      </c>
      <c r="AE41">
        <f>IF(T_EMPLOYEES[[#This Row],[EMPLOYEE NUMBER]]="","",MATCH(T_EMPLOYEES[[#This Row],[GENDER]],L_GENDER,0))</f>
        <v/>
      </c>
      <c r="AF41">
        <f>IF(T_EMPLOYEES[[#This Row],[EMPLOYEE NUMBER]]="","",MATCH(T_EMPLOYEES[[#This Row],[HIRE SOURCE]],L_HIRESOURCE,0))</f>
        <v/>
      </c>
      <c r="AG41">
        <f>IF(T_EMPLOYEES[[#This Row],[EMPLOYEE NUMBER]]="","",MATCH(T_EMPLOYEES[[#This Row],[ETHNICITY]],L_ETHNICITY,0))</f>
        <v/>
      </c>
      <c r="AH41">
        <f>IF(T_EMPLOYEES[[#This Row],[EMPLOYEE NUMBER]]="","",MATCH(T_EMPLOYEES[[#This Row],[LOCATION]],L_LOCATION,0))</f>
        <v/>
      </c>
      <c r="AI41">
        <f>IF(T_EMPLOYEES[[#This Row],[EMPLOYEE NUMBER]]="","",MATCH(T_EMPLOYEES[[#This Row],[DEPARTMENT]],L_DEPARTMENT,0))</f>
        <v/>
      </c>
      <c r="AJ41">
        <f>IF(T_EMPLOYEES[[#This Row],[EMPLOYEE NUMBER]]="","",MATCH(T_EMPLOYEES[[#This Row],[JOB TYPE]],L_JOBTYPE,0))</f>
        <v/>
      </c>
      <c r="AK41">
        <f>IF(T_EMPLOYEES[[#This Row],[EMPLOYEE NUMBER]]="","",MATCH(T_EMPLOYEES[[#This Row],[JOB CATEGORY]],L_JOBCATEGORY,0))</f>
        <v/>
      </c>
      <c r="AL41">
        <f>IF(T_EMPLOYEES[[#This Row],[EMPLOYEE NUMBER]]="","",MATCH(T_EMPLOYEES[[#This Row],[JOB LEVEL]],L_JOBLEVEL,0))</f>
        <v/>
      </c>
      <c r="AM41">
        <f>IF(T_EMPLOYEES[[#This Row],[EMPLOYEE NUMBER]]="","",MATCH(T_EMPLOYEES[[#This Row],[JOB TITLE]],L_JOBTITLE,0))</f>
        <v/>
      </c>
      <c r="AN41">
        <f>IF(T_EMPLOYEES[[#This Row],[EMPLOYEE NUMBER]]="","",MATCH(T_EMPLOYEES[[#This Row],[MANAGER]],L_EMPLABELS,0))</f>
        <v/>
      </c>
      <c r="AO41">
        <f>IF(T_EMPLOYEES[[#This Row],[EMPLOYEE NUMBER]]="","",IF(T_EMPLOYEES[[#This Row],[ERROR]]="",0,1))</f>
        <v/>
      </c>
      <c r="AP4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">
      <c r="A42" t="inlineStr">
        <is>
          <t>Kalyana</t>
        </is>
      </c>
      <c r="B42" t="inlineStr">
        <is>
          <t>Raju C S</t>
        </is>
      </c>
      <c r="C42" t="n">
        <v>1003859</v>
      </c>
      <c r="D42" t="inlineStr">
        <is>
          <t>kalyanarajuc@infinite.com</t>
        </is>
      </c>
      <c r="E42" s="26" t="n">
        <v>29073</v>
      </c>
      <c r="F42" s="26" t="n">
        <v>39248</v>
      </c>
      <c r="G42" s="26" t="n">
        <v>44177</v>
      </c>
      <c r="H42" t="inlineStr">
        <is>
          <t>Male</t>
        </is>
      </c>
      <c r="I42" t="inlineStr">
        <is>
          <t>Asian</t>
        </is>
      </c>
      <c r="J42" t="inlineStr">
        <is>
          <t>WEBSITE</t>
        </is>
      </c>
      <c r="K42" t="inlineStr">
        <is>
          <t>Bangalore</t>
        </is>
      </c>
      <c r="L42" t="inlineStr">
        <is>
          <t>Infra</t>
        </is>
      </c>
      <c r="M42" t="inlineStr">
        <is>
          <t>Full-Time</t>
        </is>
      </c>
      <c r="N42" t="inlineStr">
        <is>
          <t>Senior Technical Lead</t>
        </is>
      </c>
      <c r="O42" t="inlineStr">
        <is>
          <t>E5</t>
        </is>
      </c>
      <c r="P42" t="inlineStr">
        <is>
          <t>Senior Technical Lead</t>
        </is>
      </c>
      <c r="Q42" t="inlineStr">
        <is>
          <t>K  Saikumar (1026864)</t>
        </is>
      </c>
      <c r="R42" s="27" t="n">
        <v>7</v>
      </c>
      <c r="S42" s="1" t="n">
        <v>5000000</v>
      </c>
      <c r="T42" s="1">
        <f>ROUND(T_EMPLOYEES[[#This Row],[EMP_CTC1]]/12, 0)</f>
        <v/>
      </c>
      <c r="U42" s="1" t="n">
        <v>2300000</v>
      </c>
      <c r="V42" s="1" t="inlineStr">
        <is>
          <t>NH</t>
        </is>
      </c>
      <c r="W42" s="1" t="inlineStr">
        <is>
          <t>NH</t>
        </is>
      </c>
      <c r="X4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" t="n">
        <v>92000</v>
      </c>
      <c r="Z42" s="29">
        <f>(S42 - U42)/S42 * 100</f>
        <v/>
      </c>
      <c r="AA42">
        <f>IF(T_EMPLOYEES[[#This Row],[EMPLOYEE NUMBER]]="","",ROW(T_EMPLOYEES[[#This Row],[EMPLOYEE LABEL]])-ROW(T_EMPLOYEES[[#Headers],[EMPLOYEE LABEL]]))</f>
        <v/>
      </c>
      <c r="AB42">
        <f>IF(T_EMPLOYEES[[#This Row],[EMPLOYEE NUMBER]]="","",IF(COUNTIF(T_EMPLOYEES[EMPLOYEE NUMBER],T_EMPLOYEES[[#This Row],[EMPLOYEE NUMBER]])&gt;1,1,0))</f>
        <v/>
      </c>
      <c r="AC42">
        <f>IF(T_EMPLOYEES[[#This Row],[EMPLOYEE NUMBER]]="","",IF(AND(T_EMPLOYEES[[#This Row],[DATE OF BIRTH]]&gt;0,T_EMPLOYEES[[#This Row],[DATE OF BIRTH]]&lt;TODAY()),0,1))</f>
        <v/>
      </c>
      <c r="AD42">
        <f>IF(T_EMPLOYEES[[#This Row],[EMPLOYEE NUMBER]]="","",IF(AND(T_EMPLOYEES[[#This Row],[START DATE]]&gt;0,T_EMPLOYEES[[#This Row],[START DATE]]&lt;TODAY()+60),0,1))</f>
        <v/>
      </c>
      <c r="AE42">
        <f>IF(T_EMPLOYEES[[#This Row],[EMPLOYEE NUMBER]]="","",MATCH(T_EMPLOYEES[[#This Row],[GENDER]],L_GENDER,0))</f>
        <v/>
      </c>
      <c r="AF42">
        <f>IF(T_EMPLOYEES[[#This Row],[EMPLOYEE NUMBER]]="","",MATCH(T_EMPLOYEES[[#This Row],[HIRE SOURCE]],L_HIRESOURCE,0))</f>
        <v/>
      </c>
      <c r="AG42">
        <f>IF(T_EMPLOYEES[[#This Row],[EMPLOYEE NUMBER]]="","",MATCH(T_EMPLOYEES[[#This Row],[ETHNICITY]],L_ETHNICITY,0))</f>
        <v/>
      </c>
      <c r="AH42">
        <f>IF(T_EMPLOYEES[[#This Row],[EMPLOYEE NUMBER]]="","",MATCH(T_EMPLOYEES[[#This Row],[LOCATION]],L_LOCATION,0))</f>
        <v/>
      </c>
      <c r="AI42">
        <f>IF(T_EMPLOYEES[[#This Row],[EMPLOYEE NUMBER]]="","",MATCH(T_EMPLOYEES[[#This Row],[DEPARTMENT]],L_DEPARTMENT,0))</f>
        <v/>
      </c>
      <c r="AJ42">
        <f>IF(T_EMPLOYEES[[#This Row],[EMPLOYEE NUMBER]]="","",MATCH(T_EMPLOYEES[[#This Row],[JOB TYPE]],L_JOBTYPE,0))</f>
        <v/>
      </c>
      <c r="AK42">
        <f>IF(T_EMPLOYEES[[#This Row],[EMPLOYEE NUMBER]]="","",MATCH(T_EMPLOYEES[[#This Row],[JOB CATEGORY]],L_JOBCATEGORY,0))</f>
        <v/>
      </c>
      <c r="AL42">
        <f>IF(T_EMPLOYEES[[#This Row],[EMPLOYEE NUMBER]]="","",MATCH(T_EMPLOYEES[[#This Row],[JOB LEVEL]],L_JOBLEVEL,0))</f>
        <v/>
      </c>
      <c r="AM42">
        <f>IF(T_EMPLOYEES[[#This Row],[EMPLOYEE NUMBER]]="","",MATCH(T_EMPLOYEES[[#This Row],[JOB TITLE]],L_JOBTITLE,0))</f>
        <v/>
      </c>
      <c r="AN42">
        <f>IF(T_EMPLOYEES[[#This Row],[EMPLOYEE NUMBER]]="","",MATCH(T_EMPLOYEES[[#This Row],[MANAGER]],L_EMPLABELS,0))</f>
        <v/>
      </c>
      <c r="AO42">
        <f>IF(T_EMPLOYEES[[#This Row],[EMPLOYEE NUMBER]]="","",IF(T_EMPLOYEES[[#This Row],[ERROR]]="",0,1))</f>
        <v/>
      </c>
      <c r="AP4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">
      <c r="A43" t="inlineStr">
        <is>
          <t>Ravi</t>
        </is>
      </c>
      <c r="B43" t="inlineStr">
        <is>
          <t>Kumar Muppana</t>
        </is>
      </c>
      <c r="C43" t="n">
        <v>1028537</v>
      </c>
      <c r="D43" t="inlineStr">
        <is>
          <t>Ravi.Muppana@infinite.com</t>
        </is>
      </c>
      <c r="E43" s="26" t="n">
        <v>29076</v>
      </c>
      <c r="F43" s="26" t="n">
        <v>44628</v>
      </c>
      <c r="H43" t="inlineStr">
        <is>
          <t>Male</t>
        </is>
      </c>
      <c r="I43" t="inlineStr">
        <is>
          <t>Asian</t>
        </is>
      </c>
      <c r="J43" t="inlineStr">
        <is>
          <t>WEBSITE</t>
        </is>
      </c>
      <c r="K43" t="inlineStr">
        <is>
          <t>Hyderabad</t>
        </is>
      </c>
      <c r="L43" s="27" t="inlineStr">
        <is>
          <t>IT</t>
        </is>
      </c>
      <c r="M43" t="inlineStr">
        <is>
          <t>Full-Time</t>
        </is>
      </c>
      <c r="N43" t="inlineStr">
        <is>
          <t>Senior Technical Lead</t>
        </is>
      </c>
      <c r="O43" t="inlineStr">
        <is>
          <t>E5</t>
        </is>
      </c>
      <c r="P43" t="inlineStr">
        <is>
          <t>Senior Technical Lead</t>
        </is>
      </c>
      <c r="Q43" t="inlineStr">
        <is>
          <t>Joel Clifton Dsouza (1012233)</t>
        </is>
      </c>
      <c r="R43" t="n">
        <v>7</v>
      </c>
      <c r="S43" s="1" t="n">
        <v>5000000</v>
      </c>
      <c r="T43" s="1">
        <f>ROUND(T_EMPLOYEES[[#This Row],[EMP_CTC1]]/12, 0)</f>
        <v/>
      </c>
      <c r="U43" s="1" t="n">
        <v>2300000</v>
      </c>
      <c r="V43" s="1" t="inlineStr">
        <is>
          <t>NH</t>
        </is>
      </c>
      <c r="W43" s="1" t="inlineStr">
        <is>
          <t>NH</t>
        </is>
      </c>
      <c r="X4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" t="n">
        <v>92000</v>
      </c>
      <c r="Z43" s="29">
        <f>(S43 - U43)/S43 * 100</f>
        <v/>
      </c>
      <c r="AA43">
        <f>IF(T_EMPLOYEES[[#This Row],[EMPLOYEE NUMBER]]="","",ROW(T_EMPLOYEES[[#This Row],[EMPLOYEE LABEL]])-ROW(T_EMPLOYEES[[#Headers],[EMPLOYEE LABEL]]))</f>
        <v/>
      </c>
      <c r="AB43">
        <f>IF(T_EMPLOYEES[[#This Row],[EMPLOYEE NUMBER]]="","",IF(COUNTIF(T_EMPLOYEES[EMPLOYEE NUMBER],T_EMPLOYEES[[#This Row],[EMPLOYEE NUMBER]])&gt;1,1,0))</f>
        <v/>
      </c>
      <c r="AC43">
        <f>IF(T_EMPLOYEES[[#This Row],[EMPLOYEE NUMBER]]="","",IF(AND(T_EMPLOYEES[[#This Row],[DATE OF BIRTH]]&gt;0,T_EMPLOYEES[[#This Row],[DATE OF BIRTH]]&lt;TODAY()),0,1))</f>
        <v/>
      </c>
      <c r="AD43">
        <f>IF(T_EMPLOYEES[[#This Row],[EMPLOYEE NUMBER]]="","",IF(AND(T_EMPLOYEES[[#This Row],[START DATE]]&gt;0,T_EMPLOYEES[[#This Row],[START DATE]]&lt;TODAY()+60),0,1))</f>
        <v/>
      </c>
      <c r="AE43">
        <f>IF(T_EMPLOYEES[[#This Row],[EMPLOYEE NUMBER]]="","",MATCH(T_EMPLOYEES[[#This Row],[GENDER]],L_GENDER,0))</f>
        <v/>
      </c>
      <c r="AF43">
        <f>IF(T_EMPLOYEES[[#This Row],[EMPLOYEE NUMBER]]="","",MATCH(T_EMPLOYEES[[#This Row],[HIRE SOURCE]],L_HIRESOURCE,0))</f>
        <v/>
      </c>
      <c r="AG43">
        <f>IF(T_EMPLOYEES[[#This Row],[EMPLOYEE NUMBER]]="","",MATCH(T_EMPLOYEES[[#This Row],[ETHNICITY]],L_ETHNICITY,0))</f>
        <v/>
      </c>
      <c r="AH43">
        <f>IF(T_EMPLOYEES[[#This Row],[EMPLOYEE NUMBER]]="","",MATCH(T_EMPLOYEES[[#This Row],[LOCATION]],L_LOCATION,0))</f>
        <v/>
      </c>
      <c r="AI43">
        <f>IF(T_EMPLOYEES[[#This Row],[EMPLOYEE NUMBER]]="","",MATCH(T_EMPLOYEES[[#This Row],[DEPARTMENT]],L_DEPARTMENT,0))</f>
        <v/>
      </c>
      <c r="AJ43">
        <f>IF(T_EMPLOYEES[[#This Row],[EMPLOYEE NUMBER]]="","",MATCH(T_EMPLOYEES[[#This Row],[JOB TYPE]],L_JOBTYPE,0))</f>
        <v/>
      </c>
      <c r="AK43">
        <f>IF(T_EMPLOYEES[[#This Row],[EMPLOYEE NUMBER]]="","",MATCH(T_EMPLOYEES[[#This Row],[JOB CATEGORY]],L_JOBCATEGORY,0))</f>
        <v/>
      </c>
      <c r="AL43">
        <f>IF(T_EMPLOYEES[[#This Row],[EMPLOYEE NUMBER]]="","",MATCH(T_EMPLOYEES[[#This Row],[JOB LEVEL]],L_JOBLEVEL,0))</f>
        <v/>
      </c>
      <c r="AM43">
        <f>IF(T_EMPLOYEES[[#This Row],[EMPLOYEE NUMBER]]="","",MATCH(T_EMPLOYEES[[#This Row],[JOB TITLE]],L_JOBTITLE,0))</f>
        <v/>
      </c>
      <c r="AN43">
        <f>IF(T_EMPLOYEES[[#This Row],[EMPLOYEE NUMBER]]="","",MATCH(T_EMPLOYEES[[#This Row],[MANAGER]],L_EMPLABELS,0))</f>
        <v/>
      </c>
      <c r="AO43">
        <f>IF(T_EMPLOYEES[[#This Row],[EMPLOYEE NUMBER]]="","",IF(T_EMPLOYEES[[#This Row],[ERROR]]="",0,1))</f>
        <v/>
      </c>
      <c r="AP4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">
      <c r="A44" t="inlineStr">
        <is>
          <t>Kalyan</t>
        </is>
      </c>
      <c r="B44" t="inlineStr">
        <is>
          <t>Krishna Kora</t>
        </is>
      </c>
      <c r="C44" t="n">
        <v>1033097</v>
      </c>
      <c r="D44" t="inlineStr">
        <is>
          <t>Kalyan.Krishna@infinite.com</t>
        </is>
      </c>
      <c r="E44" s="26" t="n">
        <v>29143</v>
      </c>
      <c r="F44" s="26" t="n">
        <v>45131</v>
      </c>
      <c r="H44" t="inlineStr">
        <is>
          <t>Male</t>
        </is>
      </c>
      <c r="I44" t="inlineStr">
        <is>
          <t>Asian</t>
        </is>
      </c>
      <c r="J44" t="inlineStr">
        <is>
          <t>WEBSITE</t>
        </is>
      </c>
      <c r="K44" t="inlineStr">
        <is>
          <t>Bangalore</t>
        </is>
      </c>
      <c r="L44" s="27" t="inlineStr">
        <is>
          <t>QA</t>
        </is>
      </c>
      <c r="M44" t="inlineStr">
        <is>
          <t>Full-Time</t>
        </is>
      </c>
      <c r="N44" t="inlineStr">
        <is>
          <t>Senior Software Test Engineer</t>
        </is>
      </c>
      <c r="O44" t="inlineStr">
        <is>
          <t>E3</t>
        </is>
      </c>
      <c r="P44" t="inlineStr">
        <is>
          <t>Senior Software Test Engineer</t>
        </is>
      </c>
      <c r="Q44" t="inlineStr">
        <is>
          <t>Siva Kumar  Shada (1000177)</t>
        </is>
      </c>
      <c r="R44" s="27" t="n">
        <v>3</v>
      </c>
      <c r="S44" s="1" t="n">
        <v>320000</v>
      </c>
      <c r="T44" s="1">
        <f>ROUND(T_EMPLOYEES[[#This Row],[EMP_CTC1]]/12, 0)</f>
        <v/>
      </c>
      <c r="U44" s="1" t="n">
        <v>72000</v>
      </c>
      <c r="V44" s="1" t="inlineStr">
        <is>
          <t>NH</t>
        </is>
      </c>
      <c r="W44" s="1" t="inlineStr">
        <is>
          <t>NH</t>
        </is>
      </c>
      <c r="X4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" t="n">
        <v>92000</v>
      </c>
      <c r="Z44" s="29">
        <f>(S44 - U44)/S44 * 100</f>
        <v/>
      </c>
      <c r="AA44">
        <f>IF(T_EMPLOYEES[[#This Row],[EMPLOYEE NUMBER]]="","",ROW(T_EMPLOYEES[[#This Row],[EMPLOYEE LABEL]])-ROW(T_EMPLOYEES[[#Headers],[EMPLOYEE LABEL]]))</f>
        <v/>
      </c>
      <c r="AB44">
        <f>IF(T_EMPLOYEES[[#This Row],[EMPLOYEE NUMBER]]="","",IF(COUNTIF(T_EMPLOYEES[EMPLOYEE NUMBER],T_EMPLOYEES[[#This Row],[EMPLOYEE NUMBER]])&gt;1,1,0))</f>
        <v/>
      </c>
      <c r="AC44">
        <f>IF(T_EMPLOYEES[[#This Row],[EMPLOYEE NUMBER]]="","",IF(AND(T_EMPLOYEES[[#This Row],[DATE OF BIRTH]]&gt;0,T_EMPLOYEES[[#This Row],[DATE OF BIRTH]]&lt;TODAY()),0,1))</f>
        <v/>
      </c>
      <c r="AD44">
        <f>IF(T_EMPLOYEES[[#This Row],[EMPLOYEE NUMBER]]="","",IF(AND(T_EMPLOYEES[[#This Row],[START DATE]]&gt;0,T_EMPLOYEES[[#This Row],[START DATE]]&lt;TODAY()+60),0,1))</f>
        <v/>
      </c>
      <c r="AE44">
        <f>IF(T_EMPLOYEES[[#This Row],[EMPLOYEE NUMBER]]="","",MATCH(T_EMPLOYEES[[#This Row],[GENDER]],L_GENDER,0))</f>
        <v/>
      </c>
      <c r="AF44">
        <f>IF(T_EMPLOYEES[[#This Row],[EMPLOYEE NUMBER]]="","",MATCH(T_EMPLOYEES[[#This Row],[HIRE SOURCE]],L_HIRESOURCE,0))</f>
        <v/>
      </c>
      <c r="AG44">
        <f>IF(T_EMPLOYEES[[#This Row],[EMPLOYEE NUMBER]]="","",MATCH(T_EMPLOYEES[[#This Row],[ETHNICITY]],L_ETHNICITY,0))</f>
        <v/>
      </c>
      <c r="AH44">
        <f>IF(T_EMPLOYEES[[#This Row],[EMPLOYEE NUMBER]]="","",MATCH(T_EMPLOYEES[[#This Row],[LOCATION]],L_LOCATION,0))</f>
        <v/>
      </c>
      <c r="AI44">
        <f>IF(T_EMPLOYEES[[#This Row],[EMPLOYEE NUMBER]]="","",MATCH(T_EMPLOYEES[[#This Row],[DEPARTMENT]],L_DEPARTMENT,0))</f>
        <v/>
      </c>
      <c r="AJ44">
        <f>IF(T_EMPLOYEES[[#This Row],[EMPLOYEE NUMBER]]="","",MATCH(T_EMPLOYEES[[#This Row],[JOB TYPE]],L_JOBTYPE,0))</f>
        <v/>
      </c>
      <c r="AK44">
        <f>IF(T_EMPLOYEES[[#This Row],[EMPLOYEE NUMBER]]="","",MATCH(T_EMPLOYEES[[#This Row],[JOB CATEGORY]],L_JOBCATEGORY,0))</f>
        <v/>
      </c>
      <c r="AL44">
        <f>IF(T_EMPLOYEES[[#This Row],[EMPLOYEE NUMBER]]="","",MATCH(T_EMPLOYEES[[#This Row],[JOB LEVEL]],L_JOBLEVEL,0))</f>
        <v/>
      </c>
      <c r="AM44">
        <f>IF(T_EMPLOYEES[[#This Row],[EMPLOYEE NUMBER]]="","",MATCH(T_EMPLOYEES[[#This Row],[JOB TITLE]],L_JOBTITLE,0))</f>
        <v/>
      </c>
      <c r="AN44">
        <f>IF(T_EMPLOYEES[[#This Row],[EMPLOYEE NUMBER]]="","",MATCH(T_EMPLOYEES[[#This Row],[MANAGER]],L_EMPLABELS,0))</f>
        <v/>
      </c>
      <c r="AO44">
        <f>IF(T_EMPLOYEES[[#This Row],[EMPLOYEE NUMBER]]="","",IF(T_EMPLOYEES[[#This Row],[ERROR]]="",0,1))</f>
        <v/>
      </c>
      <c r="AP4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">
      <c r="A45" t="inlineStr">
        <is>
          <t>Manjunath</t>
        </is>
      </c>
      <c r="B45" t="inlineStr">
        <is>
          <t>U M</t>
        </is>
      </c>
      <c r="C45" t="n">
        <v>1020723</v>
      </c>
      <c r="D45" t="inlineStr">
        <is>
          <t>Manjunath.Ulhas@infinite.com</t>
        </is>
      </c>
      <c r="E45" s="26" t="n">
        <v>29218</v>
      </c>
      <c r="F45" s="26" t="n">
        <v>43304</v>
      </c>
      <c r="G45" s="26" t="n">
        <v>44177</v>
      </c>
      <c r="H45" t="inlineStr">
        <is>
          <t>Male</t>
        </is>
      </c>
      <c r="I45" t="inlineStr">
        <is>
          <t>Asian</t>
        </is>
      </c>
      <c r="J45" t="inlineStr">
        <is>
          <t>WEBSITE</t>
        </is>
      </c>
      <c r="K45" t="inlineStr">
        <is>
          <t>Bangalore</t>
        </is>
      </c>
      <c r="L45" s="27" t="inlineStr">
        <is>
          <t>IT</t>
        </is>
      </c>
      <c r="M45" t="inlineStr">
        <is>
          <t>Full-Time</t>
        </is>
      </c>
      <c r="N45" t="inlineStr">
        <is>
          <t>Senior Technical Lead</t>
        </is>
      </c>
      <c r="O45" t="inlineStr">
        <is>
          <t>E5</t>
        </is>
      </c>
      <c r="P45" t="inlineStr">
        <is>
          <t>Senior Technical Lead</t>
        </is>
      </c>
      <c r="Q45" t="inlineStr">
        <is>
          <t>Richa Sharma (1031870)</t>
        </is>
      </c>
      <c r="R45" t="n">
        <v>7</v>
      </c>
      <c r="S45" s="1" t="n">
        <v>320000</v>
      </c>
      <c r="T45" s="1">
        <f>ROUND(T_EMPLOYEES[[#This Row],[EMP_CTC1]]/12, 0)</f>
        <v/>
      </c>
      <c r="U45" s="1" t="n">
        <v>72000</v>
      </c>
      <c r="V45" s="1" t="inlineStr">
        <is>
          <t>NH</t>
        </is>
      </c>
      <c r="W45" s="1" t="inlineStr">
        <is>
          <t>NH</t>
        </is>
      </c>
      <c r="X4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" t="n">
        <v>92000</v>
      </c>
      <c r="Z45" s="29">
        <f>(S45 - U45)/S45 * 100</f>
        <v/>
      </c>
      <c r="AA45">
        <f>IF(T_EMPLOYEES[[#This Row],[EMPLOYEE NUMBER]]="","",ROW(T_EMPLOYEES[[#This Row],[EMPLOYEE LABEL]])-ROW(T_EMPLOYEES[[#Headers],[EMPLOYEE LABEL]]))</f>
        <v/>
      </c>
      <c r="AB45">
        <f>IF(T_EMPLOYEES[[#This Row],[EMPLOYEE NUMBER]]="","",IF(COUNTIF(T_EMPLOYEES[EMPLOYEE NUMBER],T_EMPLOYEES[[#This Row],[EMPLOYEE NUMBER]])&gt;1,1,0))</f>
        <v/>
      </c>
      <c r="AC45">
        <f>IF(T_EMPLOYEES[[#This Row],[EMPLOYEE NUMBER]]="","",IF(AND(T_EMPLOYEES[[#This Row],[DATE OF BIRTH]]&gt;0,T_EMPLOYEES[[#This Row],[DATE OF BIRTH]]&lt;TODAY()),0,1))</f>
        <v/>
      </c>
      <c r="AD45">
        <f>IF(T_EMPLOYEES[[#This Row],[EMPLOYEE NUMBER]]="","",IF(AND(T_EMPLOYEES[[#This Row],[START DATE]]&gt;0,T_EMPLOYEES[[#This Row],[START DATE]]&lt;TODAY()+60),0,1))</f>
        <v/>
      </c>
      <c r="AE45">
        <f>IF(T_EMPLOYEES[[#This Row],[EMPLOYEE NUMBER]]="","",MATCH(T_EMPLOYEES[[#This Row],[GENDER]],L_GENDER,0))</f>
        <v/>
      </c>
      <c r="AF45">
        <f>IF(T_EMPLOYEES[[#This Row],[EMPLOYEE NUMBER]]="","",MATCH(T_EMPLOYEES[[#This Row],[HIRE SOURCE]],L_HIRESOURCE,0))</f>
        <v/>
      </c>
      <c r="AG45">
        <f>IF(T_EMPLOYEES[[#This Row],[EMPLOYEE NUMBER]]="","",MATCH(T_EMPLOYEES[[#This Row],[ETHNICITY]],L_ETHNICITY,0))</f>
        <v/>
      </c>
      <c r="AH45">
        <f>IF(T_EMPLOYEES[[#This Row],[EMPLOYEE NUMBER]]="","",MATCH(T_EMPLOYEES[[#This Row],[LOCATION]],L_LOCATION,0))</f>
        <v/>
      </c>
      <c r="AI45">
        <f>IF(T_EMPLOYEES[[#This Row],[EMPLOYEE NUMBER]]="","",MATCH(T_EMPLOYEES[[#This Row],[DEPARTMENT]],L_DEPARTMENT,0))</f>
        <v/>
      </c>
      <c r="AJ45">
        <f>IF(T_EMPLOYEES[[#This Row],[EMPLOYEE NUMBER]]="","",MATCH(T_EMPLOYEES[[#This Row],[JOB TYPE]],L_JOBTYPE,0))</f>
        <v/>
      </c>
      <c r="AK45">
        <f>IF(T_EMPLOYEES[[#This Row],[EMPLOYEE NUMBER]]="","",MATCH(T_EMPLOYEES[[#This Row],[JOB CATEGORY]],L_JOBCATEGORY,0))</f>
        <v/>
      </c>
      <c r="AL45">
        <f>IF(T_EMPLOYEES[[#This Row],[EMPLOYEE NUMBER]]="","",MATCH(T_EMPLOYEES[[#This Row],[JOB LEVEL]],L_JOBLEVEL,0))</f>
        <v/>
      </c>
      <c r="AM45">
        <f>IF(T_EMPLOYEES[[#This Row],[EMPLOYEE NUMBER]]="","",MATCH(T_EMPLOYEES[[#This Row],[JOB TITLE]],L_JOBTITLE,0))</f>
        <v/>
      </c>
      <c r="AN45">
        <f>IF(T_EMPLOYEES[[#This Row],[EMPLOYEE NUMBER]]="","",MATCH(T_EMPLOYEES[[#This Row],[MANAGER]],L_EMPLABELS,0))</f>
        <v/>
      </c>
      <c r="AO45">
        <f>IF(T_EMPLOYEES[[#This Row],[EMPLOYEE NUMBER]]="","",IF(T_EMPLOYEES[[#This Row],[ERROR]]="",0,1))</f>
        <v/>
      </c>
      <c r="AP4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">
      <c r="A46" t="inlineStr">
        <is>
          <t>Siddharth</t>
        </is>
      </c>
      <c r="B46" t="inlineStr">
        <is>
          <t>Kumar</t>
        </is>
      </c>
      <c r="C46" t="n">
        <v>1027551</v>
      </c>
      <c r="D46" t="inlineStr">
        <is>
          <t>Siddharthkumar.Subol@infinite.com</t>
        </is>
      </c>
      <c r="E46" s="26" t="n">
        <v>29281</v>
      </c>
      <c r="F46" s="26" t="n">
        <v>44536</v>
      </c>
      <c r="H46" t="inlineStr">
        <is>
          <t>Male</t>
        </is>
      </c>
      <c r="I46" t="inlineStr">
        <is>
          <t>Asian</t>
        </is>
      </c>
      <c r="J46" t="inlineStr">
        <is>
          <t>WEBSITE</t>
        </is>
      </c>
      <c r="K46" t="inlineStr">
        <is>
          <t>Hyderabad</t>
        </is>
      </c>
      <c r="L46" s="27" t="inlineStr">
        <is>
          <t>IT</t>
        </is>
      </c>
      <c r="M46" t="inlineStr">
        <is>
          <t>Full-Time</t>
        </is>
      </c>
      <c r="N46" t="inlineStr">
        <is>
          <t>Senior Project Manager</t>
        </is>
      </c>
      <c r="O46" t="inlineStr">
        <is>
          <t>E7</t>
        </is>
      </c>
      <c r="P46" t="inlineStr">
        <is>
          <t>Senior Project Manager</t>
        </is>
      </c>
      <c r="Q46" t="inlineStr">
        <is>
          <t>Purushotham Ayachetula (1022573)</t>
        </is>
      </c>
      <c r="R46" s="27" t="n"/>
      <c r="S46" s="1" t="n">
        <v>320000</v>
      </c>
      <c r="T46" s="1">
        <f>ROUND(T_EMPLOYEES[[#This Row],[EMP_CTC1]]/12, 0)</f>
        <v/>
      </c>
      <c r="U46" s="1" t="n">
        <v>72000</v>
      </c>
      <c r="V46" s="1" t="inlineStr">
        <is>
          <t>NH</t>
        </is>
      </c>
      <c r="W46" s="1" t="inlineStr">
        <is>
          <t>NH</t>
        </is>
      </c>
      <c r="X4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" t="n">
        <v>92000</v>
      </c>
      <c r="Z46" s="29">
        <f>(S46 - U46)/S46 * 100</f>
        <v/>
      </c>
      <c r="AA46">
        <f>IF(T_EMPLOYEES[[#This Row],[EMPLOYEE NUMBER]]="","",ROW(T_EMPLOYEES[[#This Row],[EMPLOYEE LABEL]])-ROW(T_EMPLOYEES[[#Headers],[EMPLOYEE LABEL]]))</f>
        <v/>
      </c>
      <c r="AB46">
        <f>IF(T_EMPLOYEES[[#This Row],[EMPLOYEE NUMBER]]="","",IF(COUNTIF(T_EMPLOYEES[EMPLOYEE NUMBER],T_EMPLOYEES[[#This Row],[EMPLOYEE NUMBER]])&gt;1,1,0))</f>
        <v/>
      </c>
      <c r="AC46">
        <f>IF(T_EMPLOYEES[[#This Row],[EMPLOYEE NUMBER]]="","",IF(AND(T_EMPLOYEES[[#This Row],[DATE OF BIRTH]]&gt;0,T_EMPLOYEES[[#This Row],[DATE OF BIRTH]]&lt;TODAY()),0,1))</f>
        <v/>
      </c>
      <c r="AD46">
        <f>IF(T_EMPLOYEES[[#This Row],[EMPLOYEE NUMBER]]="","",IF(AND(T_EMPLOYEES[[#This Row],[START DATE]]&gt;0,T_EMPLOYEES[[#This Row],[START DATE]]&lt;TODAY()+60),0,1))</f>
        <v/>
      </c>
      <c r="AE46">
        <f>IF(T_EMPLOYEES[[#This Row],[EMPLOYEE NUMBER]]="","",MATCH(T_EMPLOYEES[[#This Row],[GENDER]],L_GENDER,0))</f>
        <v/>
      </c>
      <c r="AF46">
        <f>IF(T_EMPLOYEES[[#This Row],[EMPLOYEE NUMBER]]="","",MATCH(T_EMPLOYEES[[#This Row],[HIRE SOURCE]],L_HIRESOURCE,0))</f>
        <v/>
      </c>
      <c r="AG46">
        <f>IF(T_EMPLOYEES[[#This Row],[EMPLOYEE NUMBER]]="","",MATCH(T_EMPLOYEES[[#This Row],[ETHNICITY]],L_ETHNICITY,0))</f>
        <v/>
      </c>
      <c r="AH46">
        <f>IF(T_EMPLOYEES[[#This Row],[EMPLOYEE NUMBER]]="","",MATCH(T_EMPLOYEES[[#This Row],[LOCATION]],L_LOCATION,0))</f>
        <v/>
      </c>
      <c r="AI46">
        <f>IF(T_EMPLOYEES[[#This Row],[EMPLOYEE NUMBER]]="","",MATCH(T_EMPLOYEES[[#This Row],[DEPARTMENT]],L_DEPARTMENT,0))</f>
        <v/>
      </c>
      <c r="AJ46">
        <f>IF(T_EMPLOYEES[[#This Row],[EMPLOYEE NUMBER]]="","",MATCH(T_EMPLOYEES[[#This Row],[JOB TYPE]],L_JOBTYPE,0))</f>
        <v/>
      </c>
      <c r="AK46">
        <f>IF(T_EMPLOYEES[[#This Row],[EMPLOYEE NUMBER]]="","",MATCH(T_EMPLOYEES[[#This Row],[JOB CATEGORY]],L_JOBCATEGORY,0))</f>
        <v/>
      </c>
      <c r="AL46">
        <f>IF(T_EMPLOYEES[[#This Row],[EMPLOYEE NUMBER]]="","",MATCH(T_EMPLOYEES[[#This Row],[JOB LEVEL]],L_JOBLEVEL,0))</f>
        <v/>
      </c>
      <c r="AM46">
        <f>IF(T_EMPLOYEES[[#This Row],[EMPLOYEE NUMBER]]="","",MATCH(T_EMPLOYEES[[#This Row],[JOB TITLE]],L_JOBTITLE,0))</f>
        <v/>
      </c>
      <c r="AN46">
        <f>IF(T_EMPLOYEES[[#This Row],[EMPLOYEE NUMBER]]="","",MATCH(T_EMPLOYEES[[#This Row],[MANAGER]],L_EMPLABELS,0))</f>
        <v/>
      </c>
      <c r="AO46">
        <f>IF(T_EMPLOYEES[[#This Row],[EMPLOYEE NUMBER]]="","",IF(T_EMPLOYEES[[#This Row],[ERROR]]="",0,1))</f>
        <v/>
      </c>
      <c r="AP4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">
      <c r="A47" t="inlineStr">
        <is>
          <t>Jithender</t>
        </is>
      </c>
      <c r="B47" t="inlineStr">
        <is>
          <t xml:space="preserve"> M</t>
        </is>
      </c>
      <c r="C47" t="n">
        <v>1033925</v>
      </c>
      <c r="D47" t="inlineStr">
        <is>
          <t>Jithender.Matla@infinite.com</t>
        </is>
      </c>
      <c r="E47" s="26" t="n">
        <v>29335</v>
      </c>
      <c r="F47" s="26" t="n">
        <v>45247</v>
      </c>
      <c r="H47" t="inlineStr">
        <is>
          <t>Male</t>
        </is>
      </c>
      <c r="I47" t="inlineStr">
        <is>
          <t>Asian</t>
        </is>
      </c>
      <c r="J47" t="inlineStr">
        <is>
          <t>WEBSITE</t>
        </is>
      </c>
      <c r="K47" t="inlineStr">
        <is>
          <t>Hyderabad</t>
        </is>
      </c>
      <c r="L47" s="27" t="inlineStr">
        <is>
          <t>Cognos</t>
        </is>
      </c>
      <c r="M47" t="inlineStr">
        <is>
          <t>Full-Time</t>
        </is>
      </c>
      <c r="N47" t="inlineStr">
        <is>
          <t>Technical Lead</t>
        </is>
      </c>
      <c r="O47" t="inlineStr">
        <is>
          <t>E4</t>
        </is>
      </c>
      <c r="P47" t="inlineStr">
        <is>
          <t>Technical Lead</t>
        </is>
      </c>
      <c r="Q47" t="inlineStr">
        <is>
          <t>Peernayakgari Irfan Basha (1017291)</t>
        </is>
      </c>
      <c r="R47" t="n">
        <v>5</v>
      </c>
      <c r="S47" s="1" t="n">
        <v>320000</v>
      </c>
      <c r="T47" s="1">
        <f>ROUND(T_EMPLOYEES[[#This Row],[EMP_CTC1]]/12, 0)</f>
        <v/>
      </c>
      <c r="U47" s="1" t="n">
        <v>72000</v>
      </c>
      <c r="V47" s="1" t="inlineStr">
        <is>
          <t>NH</t>
        </is>
      </c>
      <c r="W47" s="1" t="inlineStr">
        <is>
          <t>NH</t>
        </is>
      </c>
      <c r="X4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" t="n">
        <v>92000</v>
      </c>
      <c r="Z47" s="29">
        <f>(S47 - U47)/S47 * 100</f>
        <v/>
      </c>
      <c r="AA47">
        <f>IF(T_EMPLOYEES[[#This Row],[EMPLOYEE NUMBER]]="","",ROW(T_EMPLOYEES[[#This Row],[EMPLOYEE LABEL]])-ROW(T_EMPLOYEES[[#Headers],[EMPLOYEE LABEL]]))</f>
        <v/>
      </c>
      <c r="AB47">
        <f>IF(T_EMPLOYEES[[#This Row],[EMPLOYEE NUMBER]]="","",IF(COUNTIF(T_EMPLOYEES[EMPLOYEE NUMBER],T_EMPLOYEES[[#This Row],[EMPLOYEE NUMBER]])&gt;1,1,0))</f>
        <v/>
      </c>
      <c r="AC47">
        <f>IF(T_EMPLOYEES[[#This Row],[EMPLOYEE NUMBER]]="","",IF(AND(T_EMPLOYEES[[#This Row],[DATE OF BIRTH]]&gt;0,T_EMPLOYEES[[#This Row],[DATE OF BIRTH]]&lt;TODAY()),0,1))</f>
        <v/>
      </c>
      <c r="AD47">
        <f>IF(T_EMPLOYEES[[#This Row],[EMPLOYEE NUMBER]]="","",IF(AND(T_EMPLOYEES[[#This Row],[START DATE]]&gt;0,T_EMPLOYEES[[#This Row],[START DATE]]&lt;TODAY()+60),0,1))</f>
        <v/>
      </c>
      <c r="AE47">
        <f>IF(T_EMPLOYEES[[#This Row],[EMPLOYEE NUMBER]]="","",MATCH(T_EMPLOYEES[[#This Row],[GENDER]],L_GENDER,0))</f>
        <v/>
      </c>
      <c r="AF47">
        <f>IF(T_EMPLOYEES[[#This Row],[EMPLOYEE NUMBER]]="","",MATCH(T_EMPLOYEES[[#This Row],[HIRE SOURCE]],L_HIRESOURCE,0))</f>
        <v/>
      </c>
      <c r="AG47">
        <f>IF(T_EMPLOYEES[[#This Row],[EMPLOYEE NUMBER]]="","",MATCH(T_EMPLOYEES[[#This Row],[ETHNICITY]],L_ETHNICITY,0))</f>
        <v/>
      </c>
      <c r="AH47">
        <f>IF(T_EMPLOYEES[[#This Row],[EMPLOYEE NUMBER]]="","",MATCH(T_EMPLOYEES[[#This Row],[LOCATION]],L_LOCATION,0))</f>
        <v/>
      </c>
      <c r="AI47">
        <f>IF(T_EMPLOYEES[[#This Row],[EMPLOYEE NUMBER]]="","",MATCH(T_EMPLOYEES[[#This Row],[DEPARTMENT]],L_DEPARTMENT,0))</f>
        <v/>
      </c>
      <c r="AJ47">
        <f>IF(T_EMPLOYEES[[#This Row],[EMPLOYEE NUMBER]]="","",MATCH(T_EMPLOYEES[[#This Row],[JOB TYPE]],L_JOBTYPE,0))</f>
        <v/>
      </c>
      <c r="AK47">
        <f>IF(T_EMPLOYEES[[#This Row],[EMPLOYEE NUMBER]]="","",MATCH(T_EMPLOYEES[[#This Row],[JOB CATEGORY]],L_JOBCATEGORY,0))</f>
        <v/>
      </c>
      <c r="AL47">
        <f>IF(T_EMPLOYEES[[#This Row],[EMPLOYEE NUMBER]]="","",MATCH(T_EMPLOYEES[[#This Row],[JOB LEVEL]],L_JOBLEVEL,0))</f>
        <v/>
      </c>
      <c r="AM47">
        <f>IF(T_EMPLOYEES[[#This Row],[EMPLOYEE NUMBER]]="","",MATCH(T_EMPLOYEES[[#This Row],[JOB TITLE]],L_JOBTITLE,0))</f>
        <v/>
      </c>
      <c r="AN47">
        <f>IF(T_EMPLOYEES[[#This Row],[EMPLOYEE NUMBER]]="","",MATCH(T_EMPLOYEES[[#This Row],[MANAGER]],L_EMPLABELS,0))</f>
        <v/>
      </c>
      <c r="AO47">
        <f>IF(T_EMPLOYEES[[#This Row],[EMPLOYEE NUMBER]]="","",IF(T_EMPLOYEES[[#This Row],[ERROR]]="",0,1))</f>
        <v/>
      </c>
      <c r="AP4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">
      <c r="A48" t="inlineStr">
        <is>
          <t>Sathish</t>
        </is>
      </c>
      <c r="B48" t="inlineStr">
        <is>
          <t>Kappaganti</t>
        </is>
      </c>
      <c r="C48" t="n">
        <v>1026354</v>
      </c>
      <c r="D48" t="inlineStr">
        <is>
          <t>Sathish.Kappaganti@infinite.com</t>
        </is>
      </c>
      <c r="E48" s="26" t="n">
        <v>29347</v>
      </c>
      <c r="F48" s="26" t="n">
        <v>44445</v>
      </c>
      <c r="H48" t="inlineStr">
        <is>
          <t>Male</t>
        </is>
      </c>
      <c r="I48" t="inlineStr">
        <is>
          <t>Asian</t>
        </is>
      </c>
      <c r="J48" t="inlineStr">
        <is>
          <t>WEBSITE</t>
        </is>
      </c>
      <c r="K48" t="inlineStr">
        <is>
          <t>Hyderabad</t>
        </is>
      </c>
      <c r="L48" s="27" t="inlineStr">
        <is>
          <t>IT</t>
        </is>
      </c>
      <c r="M48" t="inlineStr">
        <is>
          <t>Full-Time</t>
        </is>
      </c>
      <c r="N48" t="inlineStr">
        <is>
          <t>Technical Lead</t>
        </is>
      </c>
      <c r="O48" t="inlineStr">
        <is>
          <t>E4</t>
        </is>
      </c>
      <c r="P48" t="inlineStr">
        <is>
          <t>Technical Lead</t>
        </is>
      </c>
      <c r="Q48" t="inlineStr">
        <is>
          <t>Siddharth Kumar (1027551)</t>
        </is>
      </c>
      <c r="R48" s="27" t="n">
        <v>5</v>
      </c>
      <c r="S48" s="1" t="n">
        <v>320000</v>
      </c>
      <c r="T48" s="1">
        <f>ROUND(T_EMPLOYEES[[#This Row],[EMP_CTC1]]/12, 0)</f>
        <v/>
      </c>
      <c r="U48" s="1" t="n">
        <v>72000</v>
      </c>
      <c r="V48" s="1" t="inlineStr">
        <is>
          <t>NH</t>
        </is>
      </c>
      <c r="W48" s="1" t="inlineStr">
        <is>
          <t>NH</t>
        </is>
      </c>
      <c r="X4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" t="n">
        <v>92000</v>
      </c>
      <c r="Z48" s="29">
        <f>(S48 - U48)/S48 * 100</f>
        <v/>
      </c>
      <c r="AA48">
        <f>IF(T_EMPLOYEES[[#This Row],[EMPLOYEE NUMBER]]="","",ROW(T_EMPLOYEES[[#This Row],[EMPLOYEE LABEL]])-ROW(T_EMPLOYEES[[#Headers],[EMPLOYEE LABEL]]))</f>
        <v/>
      </c>
      <c r="AB48">
        <f>IF(T_EMPLOYEES[[#This Row],[EMPLOYEE NUMBER]]="","",IF(COUNTIF(T_EMPLOYEES[EMPLOYEE NUMBER],T_EMPLOYEES[[#This Row],[EMPLOYEE NUMBER]])&gt;1,1,0))</f>
        <v/>
      </c>
      <c r="AC48">
        <f>IF(T_EMPLOYEES[[#This Row],[EMPLOYEE NUMBER]]="","",IF(AND(T_EMPLOYEES[[#This Row],[DATE OF BIRTH]]&gt;0,T_EMPLOYEES[[#This Row],[DATE OF BIRTH]]&lt;TODAY()),0,1))</f>
        <v/>
      </c>
      <c r="AD48">
        <f>IF(T_EMPLOYEES[[#This Row],[EMPLOYEE NUMBER]]="","",IF(AND(T_EMPLOYEES[[#This Row],[START DATE]]&gt;0,T_EMPLOYEES[[#This Row],[START DATE]]&lt;TODAY()+60),0,1))</f>
        <v/>
      </c>
      <c r="AE48">
        <f>IF(T_EMPLOYEES[[#This Row],[EMPLOYEE NUMBER]]="","",MATCH(T_EMPLOYEES[[#This Row],[GENDER]],L_GENDER,0))</f>
        <v/>
      </c>
      <c r="AF48">
        <f>IF(T_EMPLOYEES[[#This Row],[EMPLOYEE NUMBER]]="","",MATCH(T_EMPLOYEES[[#This Row],[HIRE SOURCE]],L_HIRESOURCE,0))</f>
        <v/>
      </c>
      <c r="AG48">
        <f>IF(T_EMPLOYEES[[#This Row],[EMPLOYEE NUMBER]]="","",MATCH(T_EMPLOYEES[[#This Row],[ETHNICITY]],L_ETHNICITY,0))</f>
        <v/>
      </c>
      <c r="AH48">
        <f>IF(T_EMPLOYEES[[#This Row],[EMPLOYEE NUMBER]]="","",MATCH(T_EMPLOYEES[[#This Row],[LOCATION]],L_LOCATION,0))</f>
        <v/>
      </c>
      <c r="AI48">
        <f>IF(T_EMPLOYEES[[#This Row],[EMPLOYEE NUMBER]]="","",MATCH(T_EMPLOYEES[[#This Row],[DEPARTMENT]],L_DEPARTMENT,0))</f>
        <v/>
      </c>
      <c r="AJ48">
        <f>IF(T_EMPLOYEES[[#This Row],[EMPLOYEE NUMBER]]="","",MATCH(T_EMPLOYEES[[#This Row],[JOB TYPE]],L_JOBTYPE,0))</f>
        <v/>
      </c>
      <c r="AK48">
        <f>IF(T_EMPLOYEES[[#This Row],[EMPLOYEE NUMBER]]="","",MATCH(T_EMPLOYEES[[#This Row],[JOB CATEGORY]],L_JOBCATEGORY,0))</f>
        <v/>
      </c>
      <c r="AL48">
        <f>IF(T_EMPLOYEES[[#This Row],[EMPLOYEE NUMBER]]="","",MATCH(T_EMPLOYEES[[#This Row],[JOB LEVEL]],L_JOBLEVEL,0))</f>
        <v/>
      </c>
      <c r="AM48">
        <f>IF(T_EMPLOYEES[[#This Row],[EMPLOYEE NUMBER]]="","",MATCH(T_EMPLOYEES[[#This Row],[JOB TITLE]],L_JOBTITLE,0))</f>
        <v/>
      </c>
      <c r="AN48">
        <f>IF(T_EMPLOYEES[[#This Row],[EMPLOYEE NUMBER]]="","",MATCH(T_EMPLOYEES[[#This Row],[MANAGER]],L_EMPLABELS,0))</f>
        <v/>
      </c>
      <c r="AO48">
        <f>IF(T_EMPLOYEES[[#This Row],[EMPLOYEE NUMBER]]="","",IF(T_EMPLOYEES[[#This Row],[ERROR]]="",0,1))</f>
        <v/>
      </c>
      <c r="AP4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8" t="inlineStr">
        <is>
          <t>Security</t>
        </is>
      </c>
    </row>
    <row r="49">
      <c r="A49" t="inlineStr">
        <is>
          <t>Mahesh</t>
        </is>
      </c>
      <c r="B49" t="inlineStr">
        <is>
          <t>M Mogali</t>
        </is>
      </c>
      <c r="C49" t="n">
        <v>1029023</v>
      </c>
      <c r="D49" t="inlineStr">
        <is>
          <t>maheshm@infinite.com</t>
        </is>
      </c>
      <c r="E49" s="26" t="n">
        <v>29364</v>
      </c>
      <c r="F49" s="26" t="n">
        <v>44692</v>
      </c>
      <c r="H49" t="inlineStr">
        <is>
          <t>Male</t>
        </is>
      </c>
      <c r="I49" t="inlineStr">
        <is>
          <t>Asian</t>
        </is>
      </c>
      <c r="J49" t="inlineStr">
        <is>
          <t>WEBSITE</t>
        </is>
      </c>
      <c r="K49" t="inlineStr">
        <is>
          <t>Hyderabad</t>
        </is>
      </c>
      <c r="L49" s="27" t="inlineStr">
        <is>
          <t>IT</t>
        </is>
      </c>
      <c r="M49" t="inlineStr">
        <is>
          <t>Full-Time</t>
        </is>
      </c>
      <c r="N49" t="inlineStr">
        <is>
          <t>Senior Technical Manager</t>
        </is>
      </c>
      <c r="O49" t="inlineStr">
        <is>
          <t>E7</t>
        </is>
      </c>
      <c r="P49" t="inlineStr">
        <is>
          <t>Senior Technical Manager</t>
        </is>
      </c>
      <c r="Q49" t="inlineStr">
        <is>
          <t>Radhakanta  Samantara (1010164)</t>
        </is>
      </c>
      <c r="S49" s="1" t="n">
        <v>320000</v>
      </c>
      <c r="T49" s="1">
        <f>ROUND(T_EMPLOYEES[[#This Row],[EMP_CTC1]]/12, 0)</f>
        <v/>
      </c>
      <c r="U49" s="1" t="n">
        <v>72000</v>
      </c>
      <c r="V49" s="1" t="inlineStr">
        <is>
          <t>NH</t>
        </is>
      </c>
      <c r="W49" s="1" t="inlineStr">
        <is>
          <t>NH</t>
        </is>
      </c>
      <c r="X4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" t="n">
        <v>92000</v>
      </c>
      <c r="Z49" s="29">
        <f>(S49 - U49)/S49 * 100</f>
        <v/>
      </c>
      <c r="AA49">
        <f>IF(T_EMPLOYEES[[#This Row],[EMPLOYEE NUMBER]]="","",ROW(T_EMPLOYEES[[#This Row],[EMPLOYEE LABEL]])-ROW(T_EMPLOYEES[[#Headers],[EMPLOYEE LABEL]]))</f>
        <v/>
      </c>
      <c r="AB49">
        <f>IF(T_EMPLOYEES[[#This Row],[EMPLOYEE NUMBER]]="","",IF(COUNTIF(T_EMPLOYEES[EMPLOYEE NUMBER],T_EMPLOYEES[[#This Row],[EMPLOYEE NUMBER]])&gt;1,1,0))</f>
        <v/>
      </c>
      <c r="AC49">
        <f>IF(T_EMPLOYEES[[#This Row],[EMPLOYEE NUMBER]]="","",IF(AND(T_EMPLOYEES[[#This Row],[DATE OF BIRTH]]&gt;0,T_EMPLOYEES[[#This Row],[DATE OF BIRTH]]&lt;TODAY()),0,1))</f>
        <v/>
      </c>
      <c r="AD49">
        <f>IF(T_EMPLOYEES[[#This Row],[EMPLOYEE NUMBER]]="","",IF(AND(T_EMPLOYEES[[#This Row],[START DATE]]&gt;0,T_EMPLOYEES[[#This Row],[START DATE]]&lt;TODAY()+60),0,1))</f>
        <v/>
      </c>
      <c r="AE49">
        <f>IF(T_EMPLOYEES[[#This Row],[EMPLOYEE NUMBER]]="","",MATCH(T_EMPLOYEES[[#This Row],[GENDER]],L_GENDER,0))</f>
        <v/>
      </c>
      <c r="AF49">
        <f>IF(T_EMPLOYEES[[#This Row],[EMPLOYEE NUMBER]]="","",MATCH(T_EMPLOYEES[[#This Row],[HIRE SOURCE]],L_HIRESOURCE,0))</f>
        <v/>
      </c>
      <c r="AG49">
        <f>IF(T_EMPLOYEES[[#This Row],[EMPLOYEE NUMBER]]="","",MATCH(T_EMPLOYEES[[#This Row],[ETHNICITY]],L_ETHNICITY,0))</f>
        <v/>
      </c>
      <c r="AH49">
        <f>IF(T_EMPLOYEES[[#This Row],[EMPLOYEE NUMBER]]="","",MATCH(T_EMPLOYEES[[#This Row],[LOCATION]],L_LOCATION,0))</f>
        <v/>
      </c>
      <c r="AI49">
        <f>IF(T_EMPLOYEES[[#This Row],[EMPLOYEE NUMBER]]="","",MATCH(T_EMPLOYEES[[#This Row],[DEPARTMENT]],L_DEPARTMENT,0))</f>
        <v/>
      </c>
      <c r="AJ49">
        <f>IF(T_EMPLOYEES[[#This Row],[EMPLOYEE NUMBER]]="","",MATCH(T_EMPLOYEES[[#This Row],[JOB TYPE]],L_JOBTYPE,0))</f>
        <v/>
      </c>
      <c r="AK49">
        <f>IF(T_EMPLOYEES[[#This Row],[EMPLOYEE NUMBER]]="","",MATCH(T_EMPLOYEES[[#This Row],[JOB CATEGORY]],L_JOBCATEGORY,0))</f>
        <v/>
      </c>
      <c r="AL49">
        <f>IF(T_EMPLOYEES[[#This Row],[EMPLOYEE NUMBER]]="","",MATCH(T_EMPLOYEES[[#This Row],[JOB LEVEL]],L_JOBLEVEL,0))</f>
        <v/>
      </c>
      <c r="AM49">
        <f>IF(T_EMPLOYEES[[#This Row],[EMPLOYEE NUMBER]]="","",MATCH(T_EMPLOYEES[[#This Row],[JOB TITLE]],L_JOBTITLE,0))</f>
        <v/>
      </c>
      <c r="AN49">
        <f>IF(T_EMPLOYEES[[#This Row],[EMPLOYEE NUMBER]]="","",MATCH(T_EMPLOYEES[[#This Row],[MANAGER]],L_EMPLABELS,0))</f>
        <v/>
      </c>
      <c r="AO49">
        <f>IF(T_EMPLOYEES[[#This Row],[EMPLOYEE NUMBER]]="","",IF(T_EMPLOYEES[[#This Row],[ERROR]]="",0,1))</f>
        <v/>
      </c>
      <c r="AP4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">
      <c r="A50" t="inlineStr">
        <is>
          <t>Senthilkumar</t>
        </is>
      </c>
      <c r="B50" t="inlineStr">
        <is>
          <t>T</t>
        </is>
      </c>
      <c r="C50" t="n">
        <v>1028583</v>
      </c>
      <c r="D50" t="inlineStr">
        <is>
          <t>Senthilkumar.Moorthy@infinite.com</t>
        </is>
      </c>
      <c r="E50" s="26" t="n">
        <v>29384</v>
      </c>
      <c r="F50" s="26" t="n">
        <v>44635</v>
      </c>
      <c r="H50" t="inlineStr">
        <is>
          <t>Male</t>
        </is>
      </c>
      <c r="I50" t="inlineStr">
        <is>
          <t>Asian</t>
        </is>
      </c>
      <c r="J50" t="inlineStr">
        <is>
          <t>WEBSITE</t>
        </is>
      </c>
      <c r="K50" t="inlineStr">
        <is>
          <t>Bangalore</t>
        </is>
      </c>
      <c r="L50" s="27" t="inlineStr">
        <is>
          <t>IT</t>
        </is>
      </c>
      <c r="M50" t="inlineStr">
        <is>
          <t>Full-Time</t>
        </is>
      </c>
      <c r="N50" t="inlineStr">
        <is>
          <t>Technical Lead</t>
        </is>
      </c>
      <c r="O50" t="inlineStr">
        <is>
          <t>E4</t>
        </is>
      </c>
      <c r="P50" t="inlineStr">
        <is>
          <t>Technical Lead</t>
        </is>
      </c>
      <c r="Q50" t="inlineStr">
        <is>
          <t>D N Rajesh (1028375)</t>
        </is>
      </c>
      <c r="R50" s="27" t="n">
        <v>5</v>
      </c>
      <c r="S50" s="1" t="n">
        <v>320000</v>
      </c>
      <c r="T50" s="1">
        <f>ROUND(T_EMPLOYEES[[#This Row],[EMP_CTC1]]/12, 0)</f>
        <v/>
      </c>
      <c r="U50" s="1" t="n">
        <v>72000</v>
      </c>
      <c r="V50" s="1" t="inlineStr">
        <is>
          <t>NH</t>
        </is>
      </c>
      <c r="W50" s="1" t="inlineStr">
        <is>
          <t>NH</t>
        </is>
      </c>
      <c r="X5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" t="n">
        <v>92000</v>
      </c>
      <c r="Z50" s="29">
        <f>(S50 - U50)/S50 * 100</f>
        <v/>
      </c>
      <c r="AA50">
        <f>IF(T_EMPLOYEES[[#This Row],[EMPLOYEE NUMBER]]="","",ROW(T_EMPLOYEES[[#This Row],[EMPLOYEE LABEL]])-ROW(T_EMPLOYEES[[#Headers],[EMPLOYEE LABEL]]))</f>
        <v/>
      </c>
      <c r="AB50">
        <f>IF(T_EMPLOYEES[[#This Row],[EMPLOYEE NUMBER]]="","",IF(COUNTIF(T_EMPLOYEES[EMPLOYEE NUMBER],T_EMPLOYEES[[#This Row],[EMPLOYEE NUMBER]])&gt;1,1,0))</f>
        <v/>
      </c>
      <c r="AC50">
        <f>IF(T_EMPLOYEES[[#This Row],[EMPLOYEE NUMBER]]="","",IF(AND(T_EMPLOYEES[[#This Row],[DATE OF BIRTH]]&gt;0,T_EMPLOYEES[[#This Row],[DATE OF BIRTH]]&lt;TODAY()),0,1))</f>
        <v/>
      </c>
      <c r="AD50">
        <f>IF(T_EMPLOYEES[[#This Row],[EMPLOYEE NUMBER]]="","",IF(AND(T_EMPLOYEES[[#This Row],[START DATE]]&gt;0,T_EMPLOYEES[[#This Row],[START DATE]]&lt;TODAY()+60),0,1))</f>
        <v/>
      </c>
      <c r="AE50">
        <f>IF(T_EMPLOYEES[[#This Row],[EMPLOYEE NUMBER]]="","",MATCH(T_EMPLOYEES[[#This Row],[GENDER]],L_GENDER,0))</f>
        <v/>
      </c>
      <c r="AF50">
        <f>IF(T_EMPLOYEES[[#This Row],[EMPLOYEE NUMBER]]="","",MATCH(T_EMPLOYEES[[#This Row],[HIRE SOURCE]],L_HIRESOURCE,0))</f>
        <v/>
      </c>
      <c r="AG50">
        <f>IF(T_EMPLOYEES[[#This Row],[EMPLOYEE NUMBER]]="","",MATCH(T_EMPLOYEES[[#This Row],[ETHNICITY]],L_ETHNICITY,0))</f>
        <v/>
      </c>
      <c r="AH50">
        <f>IF(T_EMPLOYEES[[#This Row],[EMPLOYEE NUMBER]]="","",MATCH(T_EMPLOYEES[[#This Row],[LOCATION]],L_LOCATION,0))</f>
        <v/>
      </c>
      <c r="AI50">
        <f>IF(T_EMPLOYEES[[#This Row],[EMPLOYEE NUMBER]]="","",MATCH(T_EMPLOYEES[[#This Row],[DEPARTMENT]],L_DEPARTMENT,0))</f>
        <v/>
      </c>
      <c r="AJ50">
        <f>IF(T_EMPLOYEES[[#This Row],[EMPLOYEE NUMBER]]="","",MATCH(T_EMPLOYEES[[#This Row],[JOB TYPE]],L_JOBTYPE,0))</f>
        <v/>
      </c>
      <c r="AK50">
        <f>IF(T_EMPLOYEES[[#This Row],[EMPLOYEE NUMBER]]="","",MATCH(T_EMPLOYEES[[#This Row],[JOB CATEGORY]],L_JOBCATEGORY,0))</f>
        <v/>
      </c>
      <c r="AL50">
        <f>IF(T_EMPLOYEES[[#This Row],[EMPLOYEE NUMBER]]="","",MATCH(T_EMPLOYEES[[#This Row],[JOB LEVEL]],L_JOBLEVEL,0))</f>
        <v/>
      </c>
      <c r="AM50">
        <f>IF(T_EMPLOYEES[[#This Row],[EMPLOYEE NUMBER]]="","",MATCH(T_EMPLOYEES[[#This Row],[JOB TITLE]],L_JOBTITLE,0))</f>
        <v/>
      </c>
      <c r="AN50">
        <f>IF(T_EMPLOYEES[[#This Row],[EMPLOYEE NUMBER]]="","",MATCH(T_EMPLOYEES[[#This Row],[MANAGER]],L_EMPLABELS,0))</f>
        <v/>
      </c>
      <c r="AO50">
        <f>IF(T_EMPLOYEES[[#This Row],[EMPLOYEE NUMBER]]="","",IF(T_EMPLOYEES[[#This Row],[ERROR]]="",0,1))</f>
        <v/>
      </c>
      <c r="AP5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">
      <c r="A51" t="inlineStr">
        <is>
          <t>K</t>
        </is>
      </c>
      <c r="B51" t="inlineStr">
        <is>
          <t xml:space="preserve"> Saikumar</t>
        </is>
      </c>
      <c r="C51" t="n">
        <v>1026864</v>
      </c>
      <c r="D51" t="inlineStr">
        <is>
          <t>Saikumar.Kantimahanthi@infinite.com</t>
        </is>
      </c>
      <c r="E51" s="26" t="n">
        <v>29424</v>
      </c>
      <c r="F51" s="26" t="n">
        <v>44482</v>
      </c>
      <c r="H51" t="inlineStr">
        <is>
          <t>Male</t>
        </is>
      </c>
      <c r="I51" t="inlineStr">
        <is>
          <t>Asian</t>
        </is>
      </c>
      <c r="J51" t="inlineStr">
        <is>
          <t>WEBSITE</t>
        </is>
      </c>
      <c r="K51" t="inlineStr">
        <is>
          <t>Bangalore</t>
        </is>
      </c>
      <c r="L51" s="27" t="inlineStr">
        <is>
          <t>IT</t>
        </is>
      </c>
      <c r="M51" t="inlineStr">
        <is>
          <t>Full-Time</t>
        </is>
      </c>
      <c r="N51" t="inlineStr">
        <is>
          <t>Technical Manager</t>
        </is>
      </c>
      <c r="O51" t="inlineStr">
        <is>
          <t>E6</t>
        </is>
      </c>
      <c r="P51" t="inlineStr">
        <is>
          <t>Technical Manager</t>
        </is>
      </c>
      <c r="Q51" t="inlineStr">
        <is>
          <t>Nagarajan K (1019672)</t>
        </is>
      </c>
      <c r="R51" t="n">
        <v>7</v>
      </c>
      <c r="S51" s="1" t="n">
        <v>320000</v>
      </c>
      <c r="T51" s="1">
        <f>ROUND(T_EMPLOYEES[[#This Row],[EMP_CTC1]]/12, 0)</f>
        <v/>
      </c>
      <c r="U51" s="1" t="n">
        <v>72000</v>
      </c>
      <c r="V51" s="1" t="inlineStr">
        <is>
          <t>NH</t>
        </is>
      </c>
      <c r="W51" s="1" t="inlineStr">
        <is>
          <t>NH</t>
        </is>
      </c>
      <c r="X5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" t="n">
        <v>92000</v>
      </c>
      <c r="Z51" s="29">
        <f>(S51 - U51)/S51 * 100</f>
        <v/>
      </c>
      <c r="AA51">
        <f>IF(T_EMPLOYEES[[#This Row],[EMPLOYEE NUMBER]]="","",ROW(T_EMPLOYEES[[#This Row],[EMPLOYEE LABEL]])-ROW(T_EMPLOYEES[[#Headers],[EMPLOYEE LABEL]]))</f>
        <v/>
      </c>
      <c r="AB51">
        <f>IF(T_EMPLOYEES[[#This Row],[EMPLOYEE NUMBER]]="","",IF(COUNTIF(T_EMPLOYEES[EMPLOYEE NUMBER],T_EMPLOYEES[[#This Row],[EMPLOYEE NUMBER]])&gt;1,1,0))</f>
        <v/>
      </c>
      <c r="AC51">
        <f>IF(T_EMPLOYEES[[#This Row],[EMPLOYEE NUMBER]]="","",IF(AND(T_EMPLOYEES[[#This Row],[DATE OF BIRTH]]&gt;0,T_EMPLOYEES[[#This Row],[DATE OF BIRTH]]&lt;TODAY()),0,1))</f>
        <v/>
      </c>
      <c r="AD51">
        <f>IF(T_EMPLOYEES[[#This Row],[EMPLOYEE NUMBER]]="","",IF(AND(T_EMPLOYEES[[#This Row],[START DATE]]&gt;0,T_EMPLOYEES[[#This Row],[START DATE]]&lt;TODAY()+60),0,1))</f>
        <v/>
      </c>
      <c r="AE51">
        <f>IF(T_EMPLOYEES[[#This Row],[EMPLOYEE NUMBER]]="","",MATCH(T_EMPLOYEES[[#This Row],[GENDER]],L_GENDER,0))</f>
        <v/>
      </c>
      <c r="AF51">
        <f>IF(T_EMPLOYEES[[#This Row],[EMPLOYEE NUMBER]]="","",MATCH(T_EMPLOYEES[[#This Row],[HIRE SOURCE]],L_HIRESOURCE,0))</f>
        <v/>
      </c>
      <c r="AG51">
        <f>IF(T_EMPLOYEES[[#This Row],[EMPLOYEE NUMBER]]="","",MATCH(T_EMPLOYEES[[#This Row],[ETHNICITY]],L_ETHNICITY,0))</f>
        <v/>
      </c>
      <c r="AH51">
        <f>IF(T_EMPLOYEES[[#This Row],[EMPLOYEE NUMBER]]="","",MATCH(T_EMPLOYEES[[#This Row],[LOCATION]],L_LOCATION,0))</f>
        <v/>
      </c>
      <c r="AI51">
        <f>IF(T_EMPLOYEES[[#This Row],[EMPLOYEE NUMBER]]="","",MATCH(T_EMPLOYEES[[#This Row],[DEPARTMENT]],L_DEPARTMENT,0))</f>
        <v/>
      </c>
      <c r="AJ51">
        <f>IF(T_EMPLOYEES[[#This Row],[EMPLOYEE NUMBER]]="","",MATCH(T_EMPLOYEES[[#This Row],[JOB TYPE]],L_JOBTYPE,0))</f>
        <v/>
      </c>
      <c r="AK51">
        <f>IF(T_EMPLOYEES[[#This Row],[EMPLOYEE NUMBER]]="","",MATCH(T_EMPLOYEES[[#This Row],[JOB CATEGORY]],L_JOBCATEGORY,0))</f>
        <v/>
      </c>
      <c r="AL51">
        <f>IF(T_EMPLOYEES[[#This Row],[EMPLOYEE NUMBER]]="","",MATCH(T_EMPLOYEES[[#This Row],[JOB LEVEL]],L_JOBLEVEL,0))</f>
        <v/>
      </c>
      <c r="AM51">
        <f>IF(T_EMPLOYEES[[#This Row],[EMPLOYEE NUMBER]]="","",MATCH(T_EMPLOYEES[[#This Row],[JOB TITLE]],L_JOBTITLE,0))</f>
        <v/>
      </c>
      <c r="AN51">
        <f>IF(T_EMPLOYEES[[#This Row],[EMPLOYEE NUMBER]]="","",MATCH(T_EMPLOYEES[[#This Row],[MANAGER]],L_EMPLABELS,0))</f>
        <v/>
      </c>
      <c r="AO51">
        <f>IF(T_EMPLOYEES[[#This Row],[EMPLOYEE NUMBER]]="","",IF(T_EMPLOYEES[[#This Row],[ERROR]]="",0,1))</f>
        <v/>
      </c>
      <c r="AP5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">
      <c r="A52" t="inlineStr">
        <is>
          <t>Nagarajan</t>
        </is>
      </c>
      <c r="B52" t="inlineStr">
        <is>
          <t>K</t>
        </is>
      </c>
      <c r="C52" t="n">
        <v>1019672</v>
      </c>
      <c r="D52" t="inlineStr">
        <is>
          <t>Nagarajan.Kochunni@infinite.com</t>
        </is>
      </c>
      <c r="E52" s="26" t="n">
        <v>29428</v>
      </c>
      <c r="F52" s="26" t="n">
        <v>42940</v>
      </c>
      <c r="H52" t="inlineStr">
        <is>
          <t>Male</t>
        </is>
      </c>
      <c r="I52" t="inlineStr">
        <is>
          <t>Asian</t>
        </is>
      </c>
      <c r="J52" t="inlineStr">
        <is>
          <t>WEBSITE</t>
        </is>
      </c>
      <c r="K52" t="inlineStr">
        <is>
          <t>Hyderabad</t>
        </is>
      </c>
      <c r="L52" s="27" t="inlineStr">
        <is>
          <t>IT</t>
        </is>
      </c>
      <c r="M52" t="inlineStr">
        <is>
          <t>Full-Time</t>
        </is>
      </c>
      <c r="N52" t="inlineStr">
        <is>
          <t>Assistant Vice President</t>
        </is>
      </c>
      <c r="O52" t="inlineStr">
        <is>
          <t>E9</t>
        </is>
      </c>
      <c r="P52" t="inlineStr">
        <is>
          <t>Assistant Vice President</t>
        </is>
      </c>
      <c r="Q52" t="inlineStr">
        <is>
          <t>Radhakanta  Samantara (1010164)</t>
        </is>
      </c>
      <c r="R52" s="27" t="n">
        <v>10</v>
      </c>
      <c r="S52" s="1" t="n">
        <v>320000</v>
      </c>
      <c r="T52" s="1">
        <f>ROUND(T_EMPLOYEES[[#This Row],[EMP_CTC1]]/12, 0)</f>
        <v/>
      </c>
      <c r="U52" s="1" t="n">
        <v>72000</v>
      </c>
      <c r="V52" s="1" t="inlineStr">
        <is>
          <t>NH</t>
        </is>
      </c>
      <c r="W52" s="1" t="inlineStr">
        <is>
          <t>NH</t>
        </is>
      </c>
      <c r="X5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" t="n">
        <v>92000</v>
      </c>
      <c r="Z52" s="29">
        <f>(S52 - U52)/S52 * 100</f>
        <v/>
      </c>
      <c r="AA52">
        <f>IF(T_EMPLOYEES[[#This Row],[EMPLOYEE NUMBER]]="","",ROW(T_EMPLOYEES[[#This Row],[EMPLOYEE LABEL]])-ROW(T_EMPLOYEES[[#Headers],[EMPLOYEE LABEL]]))</f>
        <v/>
      </c>
      <c r="AB52">
        <f>IF(T_EMPLOYEES[[#This Row],[EMPLOYEE NUMBER]]="","",IF(COUNTIF(T_EMPLOYEES[EMPLOYEE NUMBER],T_EMPLOYEES[[#This Row],[EMPLOYEE NUMBER]])&gt;1,1,0))</f>
        <v/>
      </c>
      <c r="AC52">
        <f>IF(T_EMPLOYEES[[#This Row],[EMPLOYEE NUMBER]]="","",IF(AND(T_EMPLOYEES[[#This Row],[DATE OF BIRTH]]&gt;0,T_EMPLOYEES[[#This Row],[DATE OF BIRTH]]&lt;TODAY()),0,1))</f>
        <v/>
      </c>
      <c r="AD52">
        <f>IF(T_EMPLOYEES[[#This Row],[EMPLOYEE NUMBER]]="","",IF(AND(T_EMPLOYEES[[#This Row],[START DATE]]&gt;0,T_EMPLOYEES[[#This Row],[START DATE]]&lt;TODAY()+60),0,1))</f>
        <v/>
      </c>
      <c r="AE52">
        <f>IF(T_EMPLOYEES[[#This Row],[EMPLOYEE NUMBER]]="","",MATCH(T_EMPLOYEES[[#This Row],[GENDER]],L_GENDER,0))</f>
        <v/>
      </c>
      <c r="AF52">
        <f>IF(T_EMPLOYEES[[#This Row],[EMPLOYEE NUMBER]]="","",MATCH(T_EMPLOYEES[[#This Row],[HIRE SOURCE]],L_HIRESOURCE,0))</f>
        <v/>
      </c>
      <c r="AG52">
        <f>IF(T_EMPLOYEES[[#This Row],[EMPLOYEE NUMBER]]="","",MATCH(T_EMPLOYEES[[#This Row],[ETHNICITY]],L_ETHNICITY,0))</f>
        <v/>
      </c>
      <c r="AH52">
        <f>IF(T_EMPLOYEES[[#This Row],[EMPLOYEE NUMBER]]="","",MATCH(T_EMPLOYEES[[#This Row],[LOCATION]],L_LOCATION,0))</f>
        <v/>
      </c>
      <c r="AI52">
        <f>IF(T_EMPLOYEES[[#This Row],[EMPLOYEE NUMBER]]="","",MATCH(T_EMPLOYEES[[#This Row],[DEPARTMENT]],L_DEPARTMENT,0))</f>
        <v/>
      </c>
      <c r="AJ52">
        <f>IF(T_EMPLOYEES[[#This Row],[EMPLOYEE NUMBER]]="","",MATCH(T_EMPLOYEES[[#This Row],[JOB TYPE]],L_JOBTYPE,0))</f>
        <v/>
      </c>
      <c r="AK52">
        <f>IF(T_EMPLOYEES[[#This Row],[EMPLOYEE NUMBER]]="","",MATCH(T_EMPLOYEES[[#This Row],[JOB CATEGORY]],L_JOBCATEGORY,0))</f>
        <v/>
      </c>
      <c r="AL52">
        <f>IF(T_EMPLOYEES[[#This Row],[EMPLOYEE NUMBER]]="","",MATCH(T_EMPLOYEES[[#This Row],[JOB LEVEL]],L_JOBLEVEL,0))</f>
        <v/>
      </c>
      <c r="AM52">
        <f>IF(T_EMPLOYEES[[#This Row],[EMPLOYEE NUMBER]]="","",MATCH(T_EMPLOYEES[[#This Row],[JOB TITLE]],L_JOBTITLE,0))</f>
        <v/>
      </c>
      <c r="AN52">
        <f>IF(T_EMPLOYEES[[#This Row],[EMPLOYEE NUMBER]]="","",MATCH(T_EMPLOYEES[[#This Row],[MANAGER]],L_EMPLABELS,0))</f>
        <v/>
      </c>
      <c r="AO52">
        <f>IF(T_EMPLOYEES[[#This Row],[EMPLOYEE NUMBER]]="","",IF(T_EMPLOYEES[[#This Row],[ERROR]]="",0,1))</f>
        <v/>
      </c>
      <c r="AP5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">
      <c r="A53" t="inlineStr">
        <is>
          <t>Sunduru</t>
        </is>
      </c>
      <c r="B53" t="inlineStr">
        <is>
          <t>Arun  Jayant</t>
        </is>
      </c>
      <c r="C53" t="n">
        <v>1031825</v>
      </c>
      <c r="D53" t="inlineStr">
        <is>
          <t>Arun.Jayant@infinite.com</t>
        </is>
      </c>
      <c r="E53" s="26" t="n">
        <v>29452</v>
      </c>
      <c r="F53" s="26" t="n">
        <v>44909</v>
      </c>
      <c r="H53" t="inlineStr">
        <is>
          <t>Male</t>
        </is>
      </c>
      <c r="I53" t="inlineStr">
        <is>
          <t>Asian</t>
        </is>
      </c>
      <c r="J53" t="inlineStr">
        <is>
          <t>WEBSITE</t>
        </is>
      </c>
      <c r="K53" t="inlineStr">
        <is>
          <t>Bangalore</t>
        </is>
      </c>
      <c r="L53" s="27" t="inlineStr">
        <is>
          <t>IT</t>
        </is>
      </c>
      <c r="M53" t="inlineStr">
        <is>
          <t>Full-Time</t>
        </is>
      </c>
      <c r="N53" t="inlineStr">
        <is>
          <t>Senior Project Lead</t>
        </is>
      </c>
      <c r="O53" t="inlineStr">
        <is>
          <t>E5</t>
        </is>
      </c>
      <c r="P53" t="inlineStr">
        <is>
          <t>Senior Project Lead</t>
        </is>
      </c>
      <c r="Q53" t="inlineStr">
        <is>
          <t>Syed Atif Ali Syed Arshad Taher Subzwari (1024996)</t>
        </is>
      </c>
      <c r="R53" t="n">
        <v>7</v>
      </c>
      <c r="S53" s="1" t="n">
        <v>320000</v>
      </c>
      <c r="T53" s="1">
        <f>ROUND(T_EMPLOYEES[[#This Row],[EMP_CTC1]]/12, 0)</f>
        <v/>
      </c>
      <c r="U53" s="1" t="n">
        <v>72000</v>
      </c>
      <c r="V53" s="1" t="inlineStr">
        <is>
          <t>NH</t>
        </is>
      </c>
      <c r="W53" s="1" t="inlineStr">
        <is>
          <t>NH</t>
        </is>
      </c>
      <c r="X5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" t="n">
        <v>92000</v>
      </c>
      <c r="Z53" s="29">
        <f>(S53 - U53)/S53 * 100</f>
        <v/>
      </c>
      <c r="AA53">
        <f>IF(T_EMPLOYEES[[#This Row],[EMPLOYEE NUMBER]]="","",ROW(T_EMPLOYEES[[#This Row],[EMPLOYEE LABEL]])-ROW(T_EMPLOYEES[[#Headers],[EMPLOYEE LABEL]]))</f>
        <v/>
      </c>
      <c r="AB53">
        <f>IF(T_EMPLOYEES[[#This Row],[EMPLOYEE NUMBER]]="","",IF(COUNTIF(T_EMPLOYEES[EMPLOYEE NUMBER],T_EMPLOYEES[[#This Row],[EMPLOYEE NUMBER]])&gt;1,1,0))</f>
        <v/>
      </c>
      <c r="AC53">
        <f>IF(T_EMPLOYEES[[#This Row],[EMPLOYEE NUMBER]]="","",IF(AND(T_EMPLOYEES[[#This Row],[DATE OF BIRTH]]&gt;0,T_EMPLOYEES[[#This Row],[DATE OF BIRTH]]&lt;TODAY()),0,1))</f>
        <v/>
      </c>
      <c r="AD53">
        <f>IF(T_EMPLOYEES[[#This Row],[EMPLOYEE NUMBER]]="","",IF(AND(T_EMPLOYEES[[#This Row],[START DATE]]&gt;0,T_EMPLOYEES[[#This Row],[START DATE]]&lt;TODAY()+60),0,1))</f>
        <v/>
      </c>
      <c r="AE53">
        <f>IF(T_EMPLOYEES[[#This Row],[EMPLOYEE NUMBER]]="","",MATCH(T_EMPLOYEES[[#This Row],[GENDER]],L_GENDER,0))</f>
        <v/>
      </c>
      <c r="AF53">
        <f>IF(T_EMPLOYEES[[#This Row],[EMPLOYEE NUMBER]]="","",MATCH(T_EMPLOYEES[[#This Row],[HIRE SOURCE]],L_HIRESOURCE,0))</f>
        <v/>
      </c>
      <c r="AG53">
        <f>IF(T_EMPLOYEES[[#This Row],[EMPLOYEE NUMBER]]="","",MATCH(T_EMPLOYEES[[#This Row],[ETHNICITY]],L_ETHNICITY,0))</f>
        <v/>
      </c>
      <c r="AH53">
        <f>IF(T_EMPLOYEES[[#This Row],[EMPLOYEE NUMBER]]="","",MATCH(T_EMPLOYEES[[#This Row],[LOCATION]],L_LOCATION,0))</f>
        <v/>
      </c>
      <c r="AI53">
        <f>IF(T_EMPLOYEES[[#This Row],[EMPLOYEE NUMBER]]="","",MATCH(T_EMPLOYEES[[#This Row],[DEPARTMENT]],L_DEPARTMENT,0))</f>
        <v/>
      </c>
      <c r="AJ53">
        <f>IF(T_EMPLOYEES[[#This Row],[EMPLOYEE NUMBER]]="","",MATCH(T_EMPLOYEES[[#This Row],[JOB TYPE]],L_JOBTYPE,0))</f>
        <v/>
      </c>
      <c r="AK53">
        <f>IF(T_EMPLOYEES[[#This Row],[EMPLOYEE NUMBER]]="","",MATCH(T_EMPLOYEES[[#This Row],[JOB CATEGORY]],L_JOBCATEGORY,0))</f>
        <v/>
      </c>
      <c r="AL53">
        <f>IF(T_EMPLOYEES[[#This Row],[EMPLOYEE NUMBER]]="","",MATCH(T_EMPLOYEES[[#This Row],[JOB LEVEL]],L_JOBLEVEL,0))</f>
        <v/>
      </c>
      <c r="AM53">
        <f>IF(T_EMPLOYEES[[#This Row],[EMPLOYEE NUMBER]]="","",MATCH(T_EMPLOYEES[[#This Row],[JOB TITLE]],L_JOBTITLE,0))</f>
        <v/>
      </c>
      <c r="AN53">
        <f>IF(T_EMPLOYEES[[#This Row],[EMPLOYEE NUMBER]]="","",MATCH(T_EMPLOYEES[[#This Row],[MANAGER]],L_EMPLABELS,0))</f>
        <v/>
      </c>
      <c r="AO53">
        <f>IF(T_EMPLOYEES[[#This Row],[EMPLOYEE NUMBER]]="","",IF(T_EMPLOYEES[[#This Row],[ERROR]]="",0,1))</f>
        <v/>
      </c>
      <c r="AP5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">
      <c r="A54" t="inlineStr">
        <is>
          <t>Rajinikanth</t>
        </is>
      </c>
      <c r="B54" t="inlineStr">
        <is>
          <t>.</t>
        </is>
      </c>
      <c r="C54" t="n">
        <v>1018271</v>
      </c>
      <c r="D54" t="inlineStr">
        <is>
          <t>Rajinikanth.Srinivasan@infinite.com</t>
        </is>
      </c>
      <c r="E54" s="26" t="n">
        <v>29476</v>
      </c>
      <c r="F54" s="26" t="n">
        <v>42494</v>
      </c>
      <c r="G54" s="26" t="n">
        <v>44177</v>
      </c>
      <c r="H54" t="inlineStr">
        <is>
          <t>Male</t>
        </is>
      </c>
      <c r="I54" t="inlineStr">
        <is>
          <t>Asian</t>
        </is>
      </c>
      <c r="J54" t="inlineStr">
        <is>
          <t>WEBSITE</t>
        </is>
      </c>
      <c r="K54" t="inlineStr">
        <is>
          <t>Bangalore</t>
        </is>
      </c>
      <c r="L54" s="27" t="inlineStr">
        <is>
          <t>IT</t>
        </is>
      </c>
      <c r="M54" t="inlineStr">
        <is>
          <t>Full-Time</t>
        </is>
      </c>
      <c r="N54" t="inlineStr">
        <is>
          <t>Senior Technical Lead</t>
        </is>
      </c>
      <c r="O54" t="inlineStr">
        <is>
          <t>E5</t>
        </is>
      </c>
      <c r="P54" t="inlineStr">
        <is>
          <t>Senior Technical Lead</t>
        </is>
      </c>
      <c r="Q54" t="inlineStr">
        <is>
          <t>Unnikrishnan Chellappan C (1025919)</t>
        </is>
      </c>
      <c r="R54" s="27" t="n">
        <v>7</v>
      </c>
      <c r="S54" s="1" t="n">
        <v>320000</v>
      </c>
      <c r="T54" s="1">
        <f>ROUND(T_EMPLOYEES[[#This Row],[EMP_CTC1]]/12, 0)</f>
        <v/>
      </c>
      <c r="U54" s="1" t="n">
        <v>72000</v>
      </c>
      <c r="V54" s="1" t="inlineStr">
        <is>
          <t>NH</t>
        </is>
      </c>
      <c r="W54" s="1" t="inlineStr">
        <is>
          <t>NH</t>
        </is>
      </c>
      <c r="X5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" t="n">
        <v>92000</v>
      </c>
      <c r="Z54" s="29">
        <f>(S54 - U54)/S54 * 100</f>
        <v/>
      </c>
      <c r="AA54">
        <f>IF(T_EMPLOYEES[[#This Row],[EMPLOYEE NUMBER]]="","",ROW(T_EMPLOYEES[[#This Row],[EMPLOYEE LABEL]])-ROW(T_EMPLOYEES[[#Headers],[EMPLOYEE LABEL]]))</f>
        <v/>
      </c>
      <c r="AB54">
        <f>IF(T_EMPLOYEES[[#This Row],[EMPLOYEE NUMBER]]="","",IF(COUNTIF(T_EMPLOYEES[EMPLOYEE NUMBER],T_EMPLOYEES[[#This Row],[EMPLOYEE NUMBER]])&gt;1,1,0))</f>
        <v/>
      </c>
      <c r="AC54">
        <f>IF(T_EMPLOYEES[[#This Row],[EMPLOYEE NUMBER]]="","",IF(AND(T_EMPLOYEES[[#This Row],[DATE OF BIRTH]]&gt;0,T_EMPLOYEES[[#This Row],[DATE OF BIRTH]]&lt;TODAY()),0,1))</f>
        <v/>
      </c>
      <c r="AD54">
        <f>IF(T_EMPLOYEES[[#This Row],[EMPLOYEE NUMBER]]="","",IF(AND(T_EMPLOYEES[[#This Row],[START DATE]]&gt;0,T_EMPLOYEES[[#This Row],[START DATE]]&lt;TODAY()+60),0,1))</f>
        <v/>
      </c>
      <c r="AE54">
        <f>IF(T_EMPLOYEES[[#This Row],[EMPLOYEE NUMBER]]="","",MATCH(T_EMPLOYEES[[#This Row],[GENDER]],L_GENDER,0))</f>
        <v/>
      </c>
      <c r="AF54">
        <f>IF(T_EMPLOYEES[[#This Row],[EMPLOYEE NUMBER]]="","",MATCH(T_EMPLOYEES[[#This Row],[HIRE SOURCE]],L_HIRESOURCE,0))</f>
        <v/>
      </c>
      <c r="AG54">
        <f>IF(T_EMPLOYEES[[#This Row],[EMPLOYEE NUMBER]]="","",MATCH(T_EMPLOYEES[[#This Row],[ETHNICITY]],L_ETHNICITY,0))</f>
        <v/>
      </c>
      <c r="AH54">
        <f>IF(T_EMPLOYEES[[#This Row],[EMPLOYEE NUMBER]]="","",MATCH(T_EMPLOYEES[[#This Row],[LOCATION]],L_LOCATION,0))</f>
        <v/>
      </c>
      <c r="AI54">
        <f>IF(T_EMPLOYEES[[#This Row],[EMPLOYEE NUMBER]]="","",MATCH(T_EMPLOYEES[[#This Row],[DEPARTMENT]],L_DEPARTMENT,0))</f>
        <v/>
      </c>
      <c r="AJ54">
        <f>IF(T_EMPLOYEES[[#This Row],[EMPLOYEE NUMBER]]="","",MATCH(T_EMPLOYEES[[#This Row],[JOB TYPE]],L_JOBTYPE,0))</f>
        <v/>
      </c>
      <c r="AK54">
        <f>IF(T_EMPLOYEES[[#This Row],[EMPLOYEE NUMBER]]="","",MATCH(T_EMPLOYEES[[#This Row],[JOB CATEGORY]],L_JOBCATEGORY,0))</f>
        <v/>
      </c>
      <c r="AL54">
        <f>IF(T_EMPLOYEES[[#This Row],[EMPLOYEE NUMBER]]="","",MATCH(T_EMPLOYEES[[#This Row],[JOB LEVEL]],L_JOBLEVEL,0))</f>
        <v/>
      </c>
      <c r="AM54">
        <f>IF(T_EMPLOYEES[[#This Row],[EMPLOYEE NUMBER]]="","",MATCH(T_EMPLOYEES[[#This Row],[JOB TITLE]],L_JOBTITLE,0))</f>
        <v/>
      </c>
      <c r="AN54">
        <f>IF(T_EMPLOYEES[[#This Row],[EMPLOYEE NUMBER]]="","",MATCH(T_EMPLOYEES[[#This Row],[MANAGER]],L_EMPLABELS,0))</f>
        <v/>
      </c>
      <c r="AO54">
        <f>IF(T_EMPLOYEES[[#This Row],[EMPLOYEE NUMBER]]="","",IF(T_EMPLOYEES[[#This Row],[ERROR]]="",0,1))</f>
        <v/>
      </c>
      <c r="AP5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">
      <c r="A55" t="inlineStr">
        <is>
          <t>Prabhakar</t>
        </is>
      </c>
      <c r="B55" t="inlineStr">
        <is>
          <t>Janardhanam</t>
        </is>
      </c>
      <c r="C55" t="n">
        <v>1031867</v>
      </c>
      <c r="D55" t="inlineStr">
        <is>
          <t>Prabhakar.Janardhanam@infinite.com</t>
        </is>
      </c>
      <c r="E55" s="26" t="n">
        <v>29501</v>
      </c>
      <c r="F55" s="26" t="n">
        <v>44914</v>
      </c>
      <c r="H55" t="inlineStr">
        <is>
          <t>Male</t>
        </is>
      </c>
      <c r="I55" t="inlineStr">
        <is>
          <t>Asian</t>
        </is>
      </c>
      <c r="J55" t="inlineStr">
        <is>
          <t>WEBSITE</t>
        </is>
      </c>
      <c r="K55" t="inlineStr">
        <is>
          <t>Hyderabad</t>
        </is>
      </c>
      <c r="L55" s="27" t="inlineStr">
        <is>
          <t>IT</t>
        </is>
      </c>
      <c r="M55" t="inlineStr">
        <is>
          <t>Full-Time</t>
        </is>
      </c>
      <c r="N55" t="inlineStr">
        <is>
          <t>Technical Manager</t>
        </is>
      </c>
      <c r="O55" t="inlineStr">
        <is>
          <t>E6</t>
        </is>
      </c>
      <c r="P55" t="inlineStr">
        <is>
          <t>Technical Manager</t>
        </is>
      </c>
      <c r="Q55" t="inlineStr">
        <is>
          <t>Srisha N (1031856)</t>
        </is>
      </c>
      <c r="R55" t="n">
        <v>7</v>
      </c>
      <c r="S55" s="1" t="n">
        <v>320000</v>
      </c>
      <c r="T55" s="1">
        <f>ROUND(T_EMPLOYEES[[#This Row],[EMP_CTC1]]/12, 0)</f>
        <v/>
      </c>
      <c r="U55" s="1" t="n">
        <v>72000</v>
      </c>
      <c r="V55" s="1" t="inlineStr">
        <is>
          <t>NH</t>
        </is>
      </c>
      <c r="W55" s="1" t="inlineStr">
        <is>
          <t>NH</t>
        </is>
      </c>
      <c r="X5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" t="n">
        <v>92000</v>
      </c>
      <c r="Z55" s="29">
        <f>(S55 - U55)/S55 * 100</f>
        <v/>
      </c>
      <c r="AA55">
        <f>IF(T_EMPLOYEES[[#This Row],[EMPLOYEE NUMBER]]="","",ROW(T_EMPLOYEES[[#This Row],[EMPLOYEE LABEL]])-ROW(T_EMPLOYEES[[#Headers],[EMPLOYEE LABEL]]))</f>
        <v/>
      </c>
      <c r="AB55">
        <f>IF(T_EMPLOYEES[[#This Row],[EMPLOYEE NUMBER]]="","",IF(COUNTIF(T_EMPLOYEES[EMPLOYEE NUMBER],T_EMPLOYEES[[#This Row],[EMPLOYEE NUMBER]])&gt;1,1,0))</f>
        <v/>
      </c>
      <c r="AC55">
        <f>IF(T_EMPLOYEES[[#This Row],[EMPLOYEE NUMBER]]="","",IF(AND(T_EMPLOYEES[[#This Row],[DATE OF BIRTH]]&gt;0,T_EMPLOYEES[[#This Row],[DATE OF BIRTH]]&lt;TODAY()),0,1))</f>
        <v/>
      </c>
      <c r="AD55">
        <f>IF(T_EMPLOYEES[[#This Row],[EMPLOYEE NUMBER]]="","",IF(AND(T_EMPLOYEES[[#This Row],[START DATE]]&gt;0,T_EMPLOYEES[[#This Row],[START DATE]]&lt;TODAY()+60),0,1))</f>
        <v/>
      </c>
      <c r="AE55">
        <f>IF(T_EMPLOYEES[[#This Row],[EMPLOYEE NUMBER]]="","",MATCH(T_EMPLOYEES[[#This Row],[GENDER]],L_GENDER,0))</f>
        <v/>
      </c>
      <c r="AF55">
        <f>IF(T_EMPLOYEES[[#This Row],[EMPLOYEE NUMBER]]="","",MATCH(T_EMPLOYEES[[#This Row],[HIRE SOURCE]],L_HIRESOURCE,0))</f>
        <v/>
      </c>
      <c r="AG55">
        <f>IF(T_EMPLOYEES[[#This Row],[EMPLOYEE NUMBER]]="","",MATCH(T_EMPLOYEES[[#This Row],[ETHNICITY]],L_ETHNICITY,0))</f>
        <v/>
      </c>
      <c r="AH55">
        <f>IF(T_EMPLOYEES[[#This Row],[EMPLOYEE NUMBER]]="","",MATCH(T_EMPLOYEES[[#This Row],[LOCATION]],L_LOCATION,0))</f>
        <v/>
      </c>
      <c r="AI55">
        <f>IF(T_EMPLOYEES[[#This Row],[EMPLOYEE NUMBER]]="","",MATCH(T_EMPLOYEES[[#This Row],[DEPARTMENT]],L_DEPARTMENT,0))</f>
        <v/>
      </c>
      <c r="AJ55">
        <f>IF(T_EMPLOYEES[[#This Row],[EMPLOYEE NUMBER]]="","",MATCH(T_EMPLOYEES[[#This Row],[JOB TYPE]],L_JOBTYPE,0))</f>
        <v/>
      </c>
      <c r="AK55">
        <f>IF(T_EMPLOYEES[[#This Row],[EMPLOYEE NUMBER]]="","",MATCH(T_EMPLOYEES[[#This Row],[JOB CATEGORY]],L_JOBCATEGORY,0))</f>
        <v/>
      </c>
      <c r="AL55">
        <f>IF(T_EMPLOYEES[[#This Row],[EMPLOYEE NUMBER]]="","",MATCH(T_EMPLOYEES[[#This Row],[JOB LEVEL]],L_JOBLEVEL,0))</f>
        <v/>
      </c>
      <c r="AM55">
        <f>IF(T_EMPLOYEES[[#This Row],[EMPLOYEE NUMBER]]="","",MATCH(T_EMPLOYEES[[#This Row],[JOB TITLE]],L_JOBTITLE,0))</f>
        <v/>
      </c>
      <c r="AN55">
        <f>IF(T_EMPLOYEES[[#This Row],[EMPLOYEE NUMBER]]="","",MATCH(T_EMPLOYEES[[#This Row],[MANAGER]],L_EMPLABELS,0))</f>
        <v/>
      </c>
      <c r="AO55">
        <f>IF(T_EMPLOYEES[[#This Row],[EMPLOYEE NUMBER]]="","",IF(T_EMPLOYEES[[#This Row],[ERROR]]="",0,1))</f>
        <v/>
      </c>
      <c r="AP5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">
      <c r="A56" t="inlineStr">
        <is>
          <t>Nafisa</t>
        </is>
      </c>
      <c r="B56" t="inlineStr">
        <is>
          <t>Parveen</t>
        </is>
      </c>
      <c r="C56" t="n">
        <v>1025532</v>
      </c>
      <c r="D56" t="inlineStr">
        <is>
          <t>Nafisa.Parveen@infinite.com</t>
        </is>
      </c>
      <c r="E56" s="26" t="n">
        <v>29699</v>
      </c>
      <c r="F56" s="26" t="n">
        <v>44361</v>
      </c>
      <c r="H56" t="inlineStr">
        <is>
          <t>Female</t>
        </is>
      </c>
      <c r="I56" t="inlineStr">
        <is>
          <t>Asian</t>
        </is>
      </c>
      <c r="J56" t="inlineStr">
        <is>
          <t>WEBSITE</t>
        </is>
      </c>
      <c r="K56" t="inlineStr">
        <is>
          <t>Bangalore</t>
        </is>
      </c>
      <c r="L56" s="27" t="inlineStr">
        <is>
          <t>IT</t>
        </is>
      </c>
      <c r="M56" t="inlineStr">
        <is>
          <t>Full-Time</t>
        </is>
      </c>
      <c r="N56" t="inlineStr">
        <is>
          <t>Senior Technical Writer</t>
        </is>
      </c>
      <c r="O56" t="inlineStr">
        <is>
          <t>E3</t>
        </is>
      </c>
      <c r="P56" t="inlineStr">
        <is>
          <t>Senior Technical Writer</t>
        </is>
      </c>
      <c r="Q56" t="inlineStr">
        <is>
          <t>Nagarajan K (1019672)</t>
        </is>
      </c>
      <c r="R56" s="27" t="n">
        <v>3</v>
      </c>
      <c r="S56" s="1" t="n">
        <v>320000</v>
      </c>
      <c r="T56" s="1">
        <f>ROUND(T_EMPLOYEES[[#This Row],[EMP_CTC1]]/12, 0)</f>
        <v/>
      </c>
      <c r="U56" s="1" t="n">
        <v>72000</v>
      </c>
      <c r="V56" s="1" t="inlineStr">
        <is>
          <t>NH</t>
        </is>
      </c>
      <c r="W56" s="1" t="inlineStr">
        <is>
          <t>NH</t>
        </is>
      </c>
      <c r="X5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" t="n">
        <v>92000</v>
      </c>
      <c r="Z56" s="29">
        <f>(S56 - U56)/S56 * 100</f>
        <v/>
      </c>
      <c r="AA56">
        <f>IF(T_EMPLOYEES[[#This Row],[EMPLOYEE NUMBER]]="","",ROW(T_EMPLOYEES[[#This Row],[EMPLOYEE LABEL]])-ROW(T_EMPLOYEES[[#Headers],[EMPLOYEE LABEL]]))</f>
        <v/>
      </c>
      <c r="AB56">
        <f>IF(T_EMPLOYEES[[#This Row],[EMPLOYEE NUMBER]]="","",IF(COUNTIF(T_EMPLOYEES[EMPLOYEE NUMBER],T_EMPLOYEES[[#This Row],[EMPLOYEE NUMBER]])&gt;1,1,0))</f>
        <v/>
      </c>
      <c r="AC56">
        <f>IF(T_EMPLOYEES[[#This Row],[EMPLOYEE NUMBER]]="","",IF(AND(T_EMPLOYEES[[#This Row],[DATE OF BIRTH]]&gt;0,T_EMPLOYEES[[#This Row],[DATE OF BIRTH]]&lt;TODAY()),0,1))</f>
        <v/>
      </c>
      <c r="AD56">
        <f>IF(T_EMPLOYEES[[#This Row],[EMPLOYEE NUMBER]]="","",IF(AND(T_EMPLOYEES[[#This Row],[START DATE]]&gt;0,T_EMPLOYEES[[#This Row],[START DATE]]&lt;TODAY()+60),0,1))</f>
        <v/>
      </c>
      <c r="AE56">
        <f>IF(T_EMPLOYEES[[#This Row],[EMPLOYEE NUMBER]]="","",MATCH(T_EMPLOYEES[[#This Row],[GENDER]],L_GENDER,0))</f>
        <v/>
      </c>
      <c r="AF56">
        <f>IF(T_EMPLOYEES[[#This Row],[EMPLOYEE NUMBER]]="","",MATCH(T_EMPLOYEES[[#This Row],[HIRE SOURCE]],L_HIRESOURCE,0))</f>
        <v/>
      </c>
      <c r="AG56">
        <f>IF(T_EMPLOYEES[[#This Row],[EMPLOYEE NUMBER]]="","",MATCH(T_EMPLOYEES[[#This Row],[ETHNICITY]],L_ETHNICITY,0))</f>
        <v/>
      </c>
      <c r="AH56">
        <f>IF(T_EMPLOYEES[[#This Row],[EMPLOYEE NUMBER]]="","",MATCH(T_EMPLOYEES[[#This Row],[LOCATION]],L_LOCATION,0))</f>
        <v/>
      </c>
      <c r="AI56">
        <f>IF(T_EMPLOYEES[[#This Row],[EMPLOYEE NUMBER]]="","",MATCH(T_EMPLOYEES[[#This Row],[DEPARTMENT]],L_DEPARTMENT,0))</f>
        <v/>
      </c>
      <c r="AJ56">
        <f>IF(T_EMPLOYEES[[#This Row],[EMPLOYEE NUMBER]]="","",MATCH(T_EMPLOYEES[[#This Row],[JOB TYPE]],L_JOBTYPE,0))</f>
        <v/>
      </c>
      <c r="AK56">
        <f>IF(T_EMPLOYEES[[#This Row],[EMPLOYEE NUMBER]]="","",MATCH(T_EMPLOYEES[[#This Row],[JOB CATEGORY]],L_JOBCATEGORY,0))</f>
        <v/>
      </c>
      <c r="AL56">
        <f>IF(T_EMPLOYEES[[#This Row],[EMPLOYEE NUMBER]]="","",MATCH(T_EMPLOYEES[[#This Row],[JOB LEVEL]],L_JOBLEVEL,0))</f>
        <v/>
      </c>
      <c r="AM56">
        <f>IF(T_EMPLOYEES[[#This Row],[EMPLOYEE NUMBER]]="","",MATCH(T_EMPLOYEES[[#This Row],[JOB TITLE]],L_JOBTITLE,0))</f>
        <v/>
      </c>
      <c r="AN56">
        <f>IF(T_EMPLOYEES[[#This Row],[EMPLOYEE NUMBER]]="","",MATCH(T_EMPLOYEES[[#This Row],[MANAGER]],L_EMPLABELS,0))</f>
        <v/>
      </c>
      <c r="AO56">
        <f>IF(T_EMPLOYEES[[#This Row],[EMPLOYEE NUMBER]]="","",IF(T_EMPLOYEES[[#This Row],[ERROR]]="",0,1))</f>
        <v/>
      </c>
      <c r="AP5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">
      <c r="A57" t="inlineStr">
        <is>
          <t>Praveen</t>
        </is>
      </c>
      <c r="B57" t="inlineStr">
        <is>
          <t>Kumar  Narayana</t>
        </is>
      </c>
      <c r="C57" t="n">
        <v>1019295</v>
      </c>
      <c r="D57" t="inlineStr">
        <is>
          <t>Praveen.Narayana@infinite.com</t>
        </is>
      </c>
      <c r="E57" s="26" t="n">
        <v>29705</v>
      </c>
      <c r="F57" s="26" t="n">
        <v>42824</v>
      </c>
      <c r="H57" t="inlineStr">
        <is>
          <t>Male</t>
        </is>
      </c>
      <c r="I57" t="inlineStr">
        <is>
          <t>Asian</t>
        </is>
      </c>
      <c r="J57" t="inlineStr">
        <is>
          <t>WEBSITE</t>
        </is>
      </c>
      <c r="K57" t="inlineStr">
        <is>
          <t>Bangalore</t>
        </is>
      </c>
      <c r="L57" s="27" t="inlineStr">
        <is>
          <t>IT</t>
        </is>
      </c>
      <c r="M57" t="inlineStr">
        <is>
          <t>Full-Time</t>
        </is>
      </c>
      <c r="N57" t="inlineStr">
        <is>
          <t>Project Manager</t>
        </is>
      </c>
      <c r="O57" t="inlineStr">
        <is>
          <t>E6</t>
        </is>
      </c>
      <c r="P57" t="inlineStr">
        <is>
          <t>Project Manager</t>
        </is>
      </c>
      <c r="Q57" t="inlineStr">
        <is>
          <t>Talluri  Mangarao (1004641)</t>
        </is>
      </c>
      <c r="R57" t="n">
        <v>7</v>
      </c>
      <c r="S57" s="1" t="n">
        <v>320000</v>
      </c>
      <c r="T57" s="1">
        <f>ROUND(T_EMPLOYEES[[#This Row],[EMP_CTC1]]/12, 0)</f>
        <v/>
      </c>
      <c r="U57" s="1" t="n">
        <v>72000</v>
      </c>
      <c r="V57" s="1" t="inlineStr">
        <is>
          <t>NH</t>
        </is>
      </c>
      <c r="W57" s="1" t="inlineStr">
        <is>
          <t>NH</t>
        </is>
      </c>
      <c r="X5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" t="n">
        <v>92000</v>
      </c>
      <c r="Z57" s="29">
        <f>(S57 - U57)/S57 * 100</f>
        <v/>
      </c>
      <c r="AA57">
        <f>IF(T_EMPLOYEES[[#This Row],[EMPLOYEE NUMBER]]="","",ROW(T_EMPLOYEES[[#This Row],[EMPLOYEE LABEL]])-ROW(T_EMPLOYEES[[#Headers],[EMPLOYEE LABEL]]))</f>
        <v/>
      </c>
      <c r="AB57">
        <f>IF(T_EMPLOYEES[[#This Row],[EMPLOYEE NUMBER]]="","",IF(COUNTIF(T_EMPLOYEES[EMPLOYEE NUMBER],T_EMPLOYEES[[#This Row],[EMPLOYEE NUMBER]])&gt;1,1,0))</f>
        <v/>
      </c>
      <c r="AC57">
        <f>IF(T_EMPLOYEES[[#This Row],[EMPLOYEE NUMBER]]="","",IF(AND(T_EMPLOYEES[[#This Row],[DATE OF BIRTH]]&gt;0,T_EMPLOYEES[[#This Row],[DATE OF BIRTH]]&lt;TODAY()),0,1))</f>
        <v/>
      </c>
      <c r="AD57">
        <f>IF(T_EMPLOYEES[[#This Row],[EMPLOYEE NUMBER]]="","",IF(AND(T_EMPLOYEES[[#This Row],[START DATE]]&gt;0,T_EMPLOYEES[[#This Row],[START DATE]]&lt;TODAY()+60),0,1))</f>
        <v/>
      </c>
      <c r="AE57">
        <f>IF(T_EMPLOYEES[[#This Row],[EMPLOYEE NUMBER]]="","",MATCH(T_EMPLOYEES[[#This Row],[GENDER]],L_GENDER,0))</f>
        <v/>
      </c>
      <c r="AF57">
        <f>IF(T_EMPLOYEES[[#This Row],[EMPLOYEE NUMBER]]="","",MATCH(T_EMPLOYEES[[#This Row],[HIRE SOURCE]],L_HIRESOURCE,0))</f>
        <v/>
      </c>
      <c r="AG57">
        <f>IF(T_EMPLOYEES[[#This Row],[EMPLOYEE NUMBER]]="","",MATCH(T_EMPLOYEES[[#This Row],[ETHNICITY]],L_ETHNICITY,0))</f>
        <v/>
      </c>
      <c r="AH57">
        <f>IF(T_EMPLOYEES[[#This Row],[EMPLOYEE NUMBER]]="","",MATCH(T_EMPLOYEES[[#This Row],[LOCATION]],L_LOCATION,0))</f>
        <v/>
      </c>
      <c r="AI57">
        <f>IF(T_EMPLOYEES[[#This Row],[EMPLOYEE NUMBER]]="","",MATCH(T_EMPLOYEES[[#This Row],[DEPARTMENT]],L_DEPARTMENT,0))</f>
        <v/>
      </c>
      <c r="AJ57">
        <f>IF(T_EMPLOYEES[[#This Row],[EMPLOYEE NUMBER]]="","",MATCH(T_EMPLOYEES[[#This Row],[JOB TYPE]],L_JOBTYPE,0))</f>
        <v/>
      </c>
      <c r="AK57">
        <f>IF(T_EMPLOYEES[[#This Row],[EMPLOYEE NUMBER]]="","",MATCH(T_EMPLOYEES[[#This Row],[JOB CATEGORY]],L_JOBCATEGORY,0))</f>
        <v/>
      </c>
      <c r="AL57">
        <f>IF(T_EMPLOYEES[[#This Row],[EMPLOYEE NUMBER]]="","",MATCH(T_EMPLOYEES[[#This Row],[JOB LEVEL]],L_JOBLEVEL,0))</f>
        <v/>
      </c>
      <c r="AM57">
        <f>IF(T_EMPLOYEES[[#This Row],[EMPLOYEE NUMBER]]="","",MATCH(T_EMPLOYEES[[#This Row],[JOB TITLE]],L_JOBTITLE,0))</f>
        <v/>
      </c>
      <c r="AN57">
        <f>IF(T_EMPLOYEES[[#This Row],[EMPLOYEE NUMBER]]="","",MATCH(T_EMPLOYEES[[#This Row],[MANAGER]],L_EMPLABELS,0))</f>
        <v/>
      </c>
      <c r="AO57">
        <f>IF(T_EMPLOYEES[[#This Row],[EMPLOYEE NUMBER]]="","",IF(T_EMPLOYEES[[#This Row],[ERROR]]="",0,1))</f>
        <v/>
      </c>
      <c r="AP5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">
      <c r="A58" t="inlineStr">
        <is>
          <t>Rajnish</t>
        </is>
      </c>
      <c r="B58" t="inlineStr">
        <is>
          <t>Kumar</t>
        </is>
      </c>
      <c r="C58" t="n">
        <v>1008177</v>
      </c>
      <c r="D58" t="inlineStr">
        <is>
          <t>Rajnish.Kumar@infinite.com</t>
        </is>
      </c>
      <c r="E58" s="26" t="n">
        <v>29727</v>
      </c>
      <c r="F58" s="26" t="n">
        <v>40492</v>
      </c>
      <c r="G58" s="26" t="n">
        <v>44177</v>
      </c>
      <c r="H58" t="inlineStr">
        <is>
          <t>Male</t>
        </is>
      </c>
      <c r="I58" t="inlineStr">
        <is>
          <t>Asian</t>
        </is>
      </c>
      <c r="J58" t="inlineStr">
        <is>
          <t>WEBSITE</t>
        </is>
      </c>
      <c r="K58" t="inlineStr">
        <is>
          <t>Bangalore</t>
        </is>
      </c>
      <c r="L58" t="inlineStr">
        <is>
          <t>Infra</t>
        </is>
      </c>
      <c r="M58" t="inlineStr">
        <is>
          <t>Full-Time</t>
        </is>
      </c>
      <c r="N58" t="inlineStr">
        <is>
          <t>Senior Technical Lead</t>
        </is>
      </c>
      <c r="O58" t="inlineStr">
        <is>
          <t>E5</t>
        </is>
      </c>
      <c r="P58" t="inlineStr">
        <is>
          <t>Senior Technical Lead</t>
        </is>
      </c>
      <c r="Q58" t="inlineStr">
        <is>
          <t>K  Saikumar (1026864)</t>
        </is>
      </c>
      <c r="R58" s="27" t="n">
        <v>7</v>
      </c>
      <c r="S58" s="1" t="n">
        <v>320000</v>
      </c>
      <c r="T58" s="1">
        <f>ROUND(T_EMPLOYEES[[#This Row],[EMP_CTC1]]/12, 0)</f>
        <v/>
      </c>
      <c r="U58" s="1" t="n">
        <v>72000</v>
      </c>
      <c r="V58" s="1" t="inlineStr">
        <is>
          <t>NH</t>
        </is>
      </c>
      <c r="W58" s="1" t="inlineStr">
        <is>
          <t>NH</t>
        </is>
      </c>
      <c r="X5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" t="n">
        <v>92000</v>
      </c>
      <c r="Z58" s="29">
        <f>(S58 - U58)/S58 * 100</f>
        <v/>
      </c>
      <c r="AA58">
        <f>IF(T_EMPLOYEES[[#This Row],[EMPLOYEE NUMBER]]="","",ROW(T_EMPLOYEES[[#This Row],[EMPLOYEE LABEL]])-ROW(T_EMPLOYEES[[#Headers],[EMPLOYEE LABEL]]))</f>
        <v/>
      </c>
      <c r="AB58">
        <f>IF(T_EMPLOYEES[[#This Row],[EMPLOYEE NUMBER]]="","",IF(COUNTIF(T_EMPLOYEES[EMPLOYEE NUMBER],T_EMPLOYEES[[#This Row],[EMPLOYEE NUMBER]])&gt;1,1,0))</f>
        <v/>
      </c>
      <c r="AC58">
        <f>IF(T_EMPLOYEES[[#This Row],[EMPLOYEE NUMBER]]="","",IF(AND(T_EMPLOYEES[[#This Row],[DATE OF BIRTH]]&gt;0,T_EMPLOYEES[[#This Row],[DATE OF BIRTH]]&lt;TODAY()),0,1))</f>
        <v/>
      </c>
      <c r="AD58">
        <f>IF(T_EMPLOYEES[[#This Row],[EMPLOYEE NUMBER]]="","",IF(AND(T_EMPLOYEES[[#This Row],[START DATE]]&gt;0,T_EMPLOYEES[[#This Row],[START DATE]]&lt;TODAY()+60),0,1))</f>
        <v/>
      </c>
      <c r="AE58">
        <f>IF(T_EMPLOYEES[[#This Row],[EMPLOYEE NUMBER]]="","",MATCH(T_EMPLOYEES[[#This Row],[GENDER]],L_GENDER,0))</f>
        <v/>
      </c>
      <c r="AF58">
        <f>IF(T_EMPLOYEES[[#This Row],[EMPLOYEE NUMBER]]="","",MATCH(T_EMPLOYEES[[#This Row],[HIRE SOURCE]],L_HIRESOURCE,0))</f>
        <v/>
      </c>
      <c r="AG58">
        <f>IF(T_EMPLOYEES[[#This Row],[EMPLOYEE NUMBER]]="","",MATCH(T_EMPLOYEES[[#This Row],[ETHNICITY]],L_ETHNICITY,0))</f>
        <v/>
      </c>
      <c r="AH58">
        <f>IF(T_EMPLOYEES[[#This Row],[EMPLOYEE NUMBER]]="","",MATCH(T_EMPLOYEES[[#This Row],[LOCATION]],L_LOCATION,0))</f>
        <v/>
      </c>
      <c r="AI58">
        <f>IF(T_EMPLOYEES[[#This Row],[EMPLOYEE NUMBER]]="","",MATCH(T_EMPLOYEES[[#This Row],[DEPARTMENT]],L_DEPARTMENT,0))</f>
        <v/>
      </c>
      <c r="AJ58">
        <f>IF(T_EMPLOYEES[[#This Row],[EMPLOYEE NUMBER]]="","",MATCH(T_EMPLOYEES[[#This Row],[JOB TYPE]],L_JOBTYPE,0))</f>
        <v/>
      </c>
      <c r="AK58">
        <f>IF(T_EMPLOYEES[[#This Row],[EMPLOYEE NUMBER]]="","",MATCH(T_EMPLOYEES[[#This Row],[JOB CATEGORY]],L_JOBCATEGORY,0))</f>
        <v/>
      </c>
      <c r="AL58">
        <f>IF(T_EMPLOYEES[[#This Row],[EMPLOYEE NUMBER]]="","",MATCH(T_EMPLOYEES[[#This Row],[JOB LEVEL]],L_JOBLEVEL,0))</f>
        <v/>
      </c>
      <c r="AM58">
        <f>IF(T_EMPLOYEES[[#This Row],[EMPLOYEE NUMBER]]="","",MATCH(T_EMPLOYEES[[#This Row],[JOB TITLE]],L_JOBTITLE,0))</f>
        <v/>
      </c>
      <c r="AN58">
        <f>IF(T_EMPLOYEES[[#This Row],[EMPLOYEE NUMBER]]="","",MATCH(T_EMPLOYEES[[#This Row],[MANAGER]],L_EMPLABELS,0))</f>
        <v/>
      </c>
      <c r="AO58">
        <f>IF(T_EMPLOYEES[[#This Row],[EMPLOYEE NUMBER]]="","",IF(T_EMPLOYEES[[#This Row],[ERROR]]="",0,1))</f>
        <v/>
      </c>
      <c r="AP5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">
      <c r="A59" t="inlineStr">
        <is>
          <t>Kishore</t>
        </is>
      </c>
      <c r="B59" t="inlineStr">
        <is>
          <t>Kumar N</t>
        </is>
      </c>
      <c r="C59" t="n">
        <v>1019765</v>
      </c>
      <c r="D59" t="inlineStr">
        <is>
          <t>Kishore.Nagarajan@infinite.com</t>
        </is>
      </c>
      <c r="E59" s="26" t="n">
        <v>29759</v>
      </c>
      <c r="F59" s="26" t="n">
        <v>42977</v>
      </c>
      <c r="H59" t="inlineStr">
        <is>
          <t>Male</t>
        </is>
      </c>
      <c r="I59" t="inlineStr">
        <is>
          <t>Asian</t>
        </is>
      </c>
      <c r="J59" t="inlineStr">
        <is>
          <t>WEBSITE</t>
        </is>
      </c>
      <c r="K59" t="inlineStr">
        <is>
          <t>Chennai</t>
        </is>
      </c>
      <c r="L59" s="27" t="inlineStr">
        <is>
          <t>IT</t>
        </is>
      </c>
      <c r="M59" t="inlineStr">
        <is>
          <t>Full-Time</t>
        </is>
      </c>
      <c r="N59" t="inlineStr">
        <is>
          <t>Senior Technical Manager</t>
        </is>
      </c>
      <c r="O59" t="inlineStr">
        <is>
          <t>E7</t>
        </is>
      </c>
      <c r="P59" t="inlineStr">
        <is>
          <t>Senior Technical Manager</t>
        </is>
      </c>
      <c r="Q59" t="inlineStr">
        <is>
          <t>Radhakanta  Samantara (1010164)</t>
        </is>
      </c>
      <c r="S59" s="1" t="n">
        <v>320000</v>
      </c>
      <c r="T59" s="1">
        <f>ROUND(T_EMPLOYEES[[#This Row],[EMP_CTC1]]/12, 0)</f>
        <v/>
      </c>
      <c r="U59" s="1" t="n">
        <v>72000</v>
      </c>
      <c r="V59" s="1" t="inlineStr">
        <is>
          <t>NH</t>
        </is>
      </c>
      <c r="W59" s="1" t="inlineStr">
        <is>
          <t>NH</t>
        </is>
      </c>
      <c r="X5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9" t="n">
        <v>92000</v>
      </c>
      <c r="Z59" s="29">
        <f>(S59 - U59)/S59 * 100</f>
        <v/>
      </c>
      <c r="AA59">
        <f>IF(T_EMPLOYEES[[#This Row],[EMPLOYEE NUMBER]]="","",ROW(T_EMPLOYEES[[#This Row],[EMPLOYEE LABEL]])-ROW(T_EMPLOYEES[[#Headers],[EMPLOYEE LABEL]]))</f>
        <v/>
      </c>
      <c r="AB59">
        <f>IF(T_EMPLOYEES[[#This Row],[EMPLOYEE NUMBER]]="","",IF(COUNTIF(T_EMPLOYEES[EMPLOYEE NUMBER],T_EMPLOYEES[[#This Row],[EMPLOYEE NUMBER]])&gt;1,1,0))</f>
        <v/>
      </c>
      <c r="AC59">
        <f>IF(T_EMPLOYEES[[#This Row],[EMPLOYEE NUMBER]]="","",IF(AND(T_EMPLOYEES[[#This Row],[DATE OF BIRTH]]&gt;0,T_EMPLOYEES[[#This Row],[DATE OF BIRTH]]&lt;TODAY()),0,1))</f>
        <v/>
      </c>
      <c r="AD59">
        <f>IF(T_EMPLOYEES[[#This Row],[EMPLOYEE NUMBER]]="","",IF(AND(T_EMPLOYEES[[#This Row],[START DATE]]&gt;0,T_EMPLOYEES[[#This Row],[START DATE]]&lt;TODAY()+60),0,1))</f>
        <v/>
      </c>
      <c r="AE59">
        <f>IF(T_EMPLOYEES[[#This Row],[EMPLOYEE NUMBER]]="","",MATCH(T_EMPLOYEES[[#This Row],[GENDER]],L_GENDER,0))</f>
        <v/>
      </c>
      <c r="AF59">
        <f>IF(T_EMPLOYEES[[#This Row],[EMPLOYEE NUMBER]]="","",MATCH(T_EMPLOYEES[[#This Row],[HIRE SOURCE]],L_HIRESOURCE,0))</f>
        <v/>
      </c>
      <c r="AG59">
        <f>IF(T_EMPLOYEES[[#This Row],[EMPLOYEE NUMBER]]="","",MATCH(T_EMPLOYEES[[#This Row],[ETHNICITY]],L_ETHNICITY,0))</f>
        <v/>
      </c>
      <c r="AH59">
        <f>IF(T_EMPLOYEES[[#This Row],[EMPLOYEE NUMBER]]="","",MATCH(T_EMPLOYEES[[#This Row],[LOCATION]],L_LOCATION,0))</f>
        <v/>
      </c>
      <c r="AI59">
        <f>IF(T_EMPLOYEES[[#This Row],[EMPLOYEE NUMBER]]="","",MATCH(T_EMPLOYEES[[#This Row],[DEPARTMENT]],L_DEPARTMENT,0))</f>
        <v/>
      </c>
      <c r="AJ59">
        <f>IF(T_EMPLOYEES[[#This Row],[EMPLOYEE NUMBER]]="","",MATCH(T_EMPLOYEES[[#This Row],[JOB TYPE]],L_JOBTYPE,0))</f>
        <v/>
      </c>
      <c r="AK59">
        <f>IF(T_EMPLOYEES[[#This Row],[EMPLOYEE NUMBER]]="","",MATCH(T_EMPLOYEES[[#This Row],[JOB CATEGORY]],L_JOBCATEGORY,0))</f>
        <v/>
      </c>
      <c r="AL59">
        <f>IF(T_EMPLOYEES[[#This Row],[EMPLOYEE NUMBER]]="","",MATCH(T_EMPLOYEES[[#This Row],[JOB LEVEL]],L_JOBLEVEL,0))</f>
        <v/>
      </c>
      <c r="AM59">
        <f>IF(T_EMPLOYEES[[#This Row],[EMPLOYEE NUMBER]]="","",MATCH(T_EMPLOYEES[[#This Row],[JOB TITLE]],L_JOBTITLE,0))</f>
        <v/>
      </c>
      <c r="AN59">
        <f>IF(T_EMPLOYEES[[#This Row],[EMPLOYEE NUMBER]]="","",MATCH(T_EMPLOYEES[[#This Row],[MANAGER]],L_EMPLABELS,0))</f>
        <v/>
      </c>
      <c r="AO59">
        <f>IF(T_EMPLOYEES[[#This Row],[EMPLOYEE NUMBER]]="","",IF(T_EMPLOYEES[[#This Row],[ERROR]]="",0,1))</f>
        <v/>
      </c>
      <c r="AP5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0">
      <c r="A60" t="inlineStr">
        <is>
          <t>Anil</t>
        </is>
      </c>
      <c r="B60" t="inlineStr">
        <is>
          <t>Kumar Khamari</t>
        </is>
      </c>
      <c r="C60" t="n">
        <v>1013201</v>
      </c>
      <c r="D60" t="inlineStr">
        <is>
          <t>kanil@infinite.com</t>
        </is>
      </c>
      <c r="E60" s="26" t="n">
        <v>29785</v>
      </c>
      <c r="F60" s="26" t="n">
        <v>41428</v>
      </c>
      <c r="H60" t="inlineStr">
        <is>
          <t>Male</t>
        </is>
      </c>
      <c r="I60" t="inlineStr">
        <is>
          <t>Asian</t>
        </is>
      </c>
      <c r="J60" t="inlineStr">
        <is>
          <t>WEBSITE</t>
        </is>
      </c>
      <c r="K60" t="inlineStr">
        <is>
          <t>Bangalore</t>
        </is>
      </c>
      <c r="L60" s="27" t="inlineStr">
        <is>
          <t>IT</t>
        </is>
      </c>
      <c r="M60" t="inlineStr">
        <is>
          <t>Full-Time</t>
        </is>
      </c>
      <c r="N60" t="inlineStr">
        <is>
          <t>Senior Technical Manager</t>
        </is>
      </c>
      <c r="O60" t="inlineStr">
        <is>
          <t>E7</t>
        </is>
      </c>
      <c r="P60" t="inlineStr">
        <is>
          <t>Senior Technical Manager</t>
        </is>
      </c>
      <c r="Q60" t="inlineStr">
        <is>
          <t>Radhakanta  Samantara (1010164)</t>
        </is>
      </c>
      <c r="R60" s="27" t="n"/>
      <c r="S60" s="1" t="n">
        <v>320000</v>
      </c>
      <c r="T60" s="1">
        <f>ROUND(T_EMPLOYEES[[#This Row],[EMP_CTC1]]/12, 0)</f>
        <v/>
      </c>
      <c r="U60" s="1" t="n">
        <v>72000</v>
      </c>
      <c r="V60" s="1" t="inlineStr">
        <is>
          <t>NH</t>
        </is>
      </c>
      <c r="W60" s="1" t="inlineStr">
        <is>
          <t>NH</t>
        </is>
      </c>
      <c r="X6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0" t="n">
        <v>92000</v>
      </c>
      <c r="Z60" s="29">
        <f>(S60 - U60)/S60 * 100</f>
        <v/>
      </c>
      <c r="AA60">
        <f>IF(T_EMPLOYEES[[#This Row],[EMPLOYEE NUMBER]]="","",ROW(T_EMPLOYEES[[#This Row],[EMPLOYEE LABEL]])-ROW(T_EMPLOYEES[[#Headers],[EMPLOYEE LABEL]]))</f>
        <v/>
      </c>
      <c r="AB60">
        <f>IF(T_EMPLOYEES[[#This Row],[EMPLOYEE NUMBER]]="","",IF(COUNTIF(T_EMPLOYEES[EMPLOYEE NUMBER],T_EMPLOYEES[[#This Row],[EMPLOYEE NUMBER]])&gt;1,1,0))</f>
        <v/>
      </c>
      <c r="AC60">
        <f>IF(T_EMPLOYEES[[#This Row],[EMPLOYEE NUMBER]]="","",IF(AND(T_EMPLOYEES[[#This Row],[DATE OF BIRTH]]&gt;0,T_EMPLOYEES[[#This Row],[DATE OF BIRTH]]&lt;TODAY()),0,1))</f>
        <v/>
      </c>
      <c r="AD60">
        <f>IF(T_EMPLOYEES[[#This Row],[EMPLOYEE NUMBER]]="","",IF(AND(T_EMPLOYEES[[#This Row],[START DATE]]&gt;0,T_EMPLOYEES[[#This Row],[START DATE]]&lt;TODAY()+60),0,1))</f>
        <v/>
      </c>
      <c r="AE60">
        <f>IF(T_EMPLOYEES[[#This Row],[EMPLOYEE NUMBER]]="","",MATCH(T_EMPLOYEES[[#This Row],[GENDER]],L_GENDER,0))</f>
        <v/>
      </c>
      <c r="AF60">
        <f>IF(T_EMPLOYEES[[#This Row],[EMPLOYEE NUMBER]]="","",MATCH(T_EMPLOYEES[[#This Row],[HIRE SOURCE]],L_HIRESOURCE,0))</f>
        <v/>
      </c>
      <c r="AG60">
        <f>IF(T_EMPLOYEES[[#This Row],[EMPLOYEE NUMBER]]="","",MATCH(T_EMPLOYEES[[#This Row],[ETHNICITY]],L_ETHNICITY,0))</f>
        <v/>
      </c>
      <c r="AH60">
        <f>IF(T_EMPLOYEES[[#This Row],[EMPLOYEE NUMBER]]="","",MATCH(T_EMPLOYEES[[#This Row],[LOCATION]],L_LOCATION,0))</f>
        <v/>
      </c>
      <c r="AI60">
        <f>IF(T_EMPLOYEES[[#This Row],[EMPLOYEE NUMBER]]="","",MATCH(T_EMPLOYEES[[#This Row],[DEPARTMENT]],L_DEPARTMENT,0))</f>
        <v/>
      </c>
      <c r="AJ60">
        <f>IF(T_EMPLOYEES[[#This Row],[EMPLOYEE NUMBER]]="","",MATCH(T_EMPLOYEES[[#This Row],[JOB TYPE]],L_JOBTYPE,0))</f>
        <v/>
      </c>
      <c r="AK60">
        <f>IF(T_EMPLOYEES[[#This Row],[EMPLOYEE NUMBER]]="","",MATCH(T_EMPLOYEES[[#This Row],[JOB CATEGORY]],L_JOBCATEGORY,0))</f>
        <v/>
      </c>
      <c r="AL60">
        <f>IF(T_EMPLOYEES[[#This Row],[EMPLOYEE NUMBER]]="","",MATCH(T_EMPLOYEES[[#This Row],[JOB LEVEL]],L_JOBLEVEL,0))</f>
        <v/>
      </c>
      <c r="AM60">
        <f>IF(T_EMPLOYEES[[#This Row],[EMPLOYEE NUMBER]]="","",MATCH(T_EMPLOYEES[[#This Row],[JOB TITLE]],L_JOBTITLE,0))</f>
        <v/>
      </c>
      <c r="AN60">
        <f>IF(T_EMPLOYEES[[#This Row],[EMPLOYEE NUMBER]]="","",MATCH(T_EMPLOYEES[[#This Row],[MANAGER]],L_EMPLABELS,0))</f>
        <v/>
      </c>
      <c r="AO60">
        <f>IF(T_EMPLOYEES[[#This Row],[EMPLOYEE NUMBER]]="","",IF(T_EMPLOYEES[[#This Row],[ERROR]]="",0,1))</f>
        <v/>
      </c>
      <c r="AP6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1">
      <c r="A61" t="inlineStr">
        <is>
          <t>Korivolla</t>
        </is>
      </c>
      <c r="B61" t="inlineStr">
        <is>
          <t>Umamahesh</t>
        </is>
      </c>
      <c r="C61" t="n">
        <v>1032896</v>
      </c>
      <c r="D61" t="inlineStr">
        <is>
          <t>Umamahesh.Korivolla@infinite.com</t>
        </is>
      </c>
      <c r="E61" s="26" t="n">
        <v>29885</v>
      </c>
      <c r="F61" s="26" t="n">
        <v>45082</v>
      </c>
      <c r="H61" t="inlineStr">
        <is>
          <t>Male</t>
        </is>
      </c>
      <c r="I61" t="inlineStr">
        <is>
          <t>Asian</t>
        </is>
      </c>
      <c r="J61" t="inlineStr">
        <is>
          <t>WEBSITE</t>
        </is>
      </c>
      <c r="K61" t="inlineStr">
        <is>
          <t>Bangalore</t>
        </is>
      </c>
      <c r="L61" s="27" t="inlineStr">
        <is>
          <t>IT</t>
        </is>
      </c>
      <c r="M61" t="inlineStr">
        <is>
          <t>Full-Time</t>
        </is>
      </c>
      <c r="N61" t="inlineStr">
        <is>
          <t>Senior Project Manager</t>
        </is>
      </c>
      <c r="O61" t="inlineStr">
        <is>
          <t>E7</t>
        </is>
      </c>
      <c r="P61" t="inlineStr">
        <is>
          <t>Senior Project Manager</t>
        </is>
      </c>
      <c r="Q61" t="inlineStr">
        <is>
          <t>Purushotham Ayachetula (1022573)</t>
        </is>
      </c>
      <c r="S61" s="1" t="n">
        <v>320000</v>
      </c>
      <c r="T61" s="1">
        <f>ROUND(T_EMPLOYEES[[#This Row],[EMP_CTC1]]/12, 0)</f>
        <v/>
      </c>
      <c r="U61" s="1" t="n">
        <v>72000</v>
      </c>
      <c r="V61" s="1" t="inlineStr">
        <is>
          <t>NH</t>
        </is>
      </c>
      <c r="W61" s="1" t="inlineStr">
        <is>
          <t>NH</t>
        </is>
      </c>
      <c r="X6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1" t="n">
        <v>92000</v>
      </c>
      <c r="Z61" s="29">
        <f>(S61 - U61)/S61 * 100</f>
        <v/>
      </c>
      <c r="AA61">
        <f>IF(T_EMPLOYEES[[#This Row],[EMPLOYEE NUMBER]]="","",ROW(T_EMPLOYEES[[#This Row],[EMPLOYEE LABEL]])-ROW(T_EMPLOYEES[[#Headers],[EMPLOYEE LABEL]]))</f>
        <v/>
      </c>
      <c r="AB61">
        <f>IF(T_EMPLOYEES[[#This Row],[EMPLOYEE NUMBER]]="","",IF(COUNTIF(T_EMPLOYEES[EMPLOYEE NUMBER],T_EMPLOYEES[[#This Row],[EMPLOYEE NUMBER]])&gt;1,1,0))</f>
        <v/>
      </c>
      <c r="AC61">
        <f>IF(T_EMPLOYEES[[#This Row],[EMPLOYEE NUMBER]]="","",IF(AND(T_EMPLOYEES[[#This Row],[DATE OF BIRTH]]&gt;0,T_EMPLOYEES[[#This Row],[DATE OF BIRTH]]&lt;TODAY()),0,1))</f>
        <v/>
      </c>
      <c r="AD61">
        <f>IF(T_EMPLOYEES[[#This Row],[EMPLOYEE NUMBER]]="","",IF(AND(T_EMPLOYEES[[#This Row],[START DATE]]&gt;0,T_EMPLOYEES[[#This Row],[START DATE]]&lt;TODAY()+60),0,1))</f>
        <v/>
      </c>
      <c r="AE61">
        <f>IF(T_EMPLOYEES[[#This Row],[EMPLOYEE NUMBER]]="","",MATCH(T_EMPLOYEES[[#This Row],[GENDER]],L_GENDER,0))</f>
        <v/>
      </c>
      <c r="AF61">
        <f>IF(T_EMPLOYEES[[#This Row],[EMPLOYEE NUMBER]]="","",MATCH(T_EMPLOYEES[[#This Row],[HIRE SOURCE]],L_HIRESOURCE,0))</f>
        <v/>
      </c>
      <c r="AG61">
        <f>IF(T_EMPLOYEES[[#This Row],[EMPLOYEE NUMBER]]="","",MATCH(T_EMPLOYEES[[#This Row],[ETHNICITY]],L_ETHNICITY,0))</f>
        <v/>
      </c>
      <c r="AH61">
        <f>IF(T_EMPLOYEES[[#This Row],[EMPLOYEE NUMBER]]="","",MATCH(T_EMPLOYEES[[#This Row],[LOCATION]],L_LOCATION,0))</f>
        <v/>
      </c>
      <c r="AI61">
        <f>IF(T_EMPLOYEES[[#This Row],[EMPLOYEE NUMBER]]="","",MATCH(T_EMPLOYEES[[#This Row],[DEPARTMENT]],L_DEPARTMENT,0))</f>
        <v/>
      </c>
      <c r="AJ61">
        <f>IF(T_EMPLOYEES[[#This Row],[EMPLOYEE NUMBER]]="","",MATCH(T_EMPLOYEES[[#This Row],[JOB TYPE]],L_JOBTYPE,0))</f>
        <v/>
      </c>
      <c r="AK61">
        <f>IF(T_EMPLOYEES[[#This Row],[EMPLOYEE NUMBER]]="","",MATCH(T_EMPLOYEES[[#This Row],[JOB CATEGORY]],L_JOBCATEGORY,0))</f>
        <v/>
      </c>
      <c r="AL61">
        <f>IF(T_EMPLOYEES[[#This Row],[EMPLOYEE NUMBER]]="","",MATCH(T_EMPLOYEES[[#This Row],[JOB LEVEL]],L_JOBLEVEL,0))</f>
        <v/>
      </c>
      <c r="AM61">
        <f>IF(T_EMPLOYEES[[#This Row],[EMPLOYEE NUMBER]]="","",MATCH(T_EMPLOYEES[[#This Row],[JOB TITLE]],L_JOBTITLE,0))</f>
        <v/>
      </c>
      <c r="AN61">
        <f>IF(T_EMPLOYEES[[#This Row],[EMPLOYEE NUMBER]]="","",MATCH(T_EMPLOYEES[[#This Row],[MANAGER]],L_EMPLABELS,0))</f>
        <v/>
      </c>
      <c r="AO61">
        <f>IF(T_EMPLOYEES[[#This Row],[EMPLOYEE NUMBER]]="","",IF(T_EMPLOYEES[[#This Row],[ERROR]]="",0,1))</f>
        <v/>
      </c>
      <c r="AP6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2">
      <c r="A62" t="inlineStr">
        <is>
          <t>Arnav</t>
        </is>
      </c>
      <c r="B62" t="inlineStr">
        <is>
          <t xml:space="preserve"> Chattopadhyay</t>
        </is>
      </c>
      <c r="C62" t="n">
        <v>1025126</v>
      </c>
      <c r="D62" t="inlineStr">
        <is>
          <t>Arnav.Chattopadhyay@infinite.com</t>
        </is>
      </c>
      <c r="E62" s="26" t="n">
        <v>29921</v>
      </c>
      <c r="F62" s="26" t="n">
        <v>44312</v>
      </c>
      <c r="H62" t="inlineStr">
        <is>
          <t>Male</t>
        </is>
      </c>
      <c r="I62" t="inlineStr">
        <is>
          <t>Asian</t>
        </is>
      </c>
      <c r="J62" t="inlineStr">
        <is>
          <t>WEBSITE</t>
        </is>
      </c>
      <c r="K62" t="inlineStr">
        <is>
          <t>Bangalore</t>
        </is>
      </c>
      <c r="L62" s="27" t="inlineStr">
        <is>
          <t>IT</t>
        </is>
      </c>
      <c r="M62" t="inlineStr">
        <is>
          <t>Full-Time</t>
        </is>
      </c>
      <c r="N62" t="inlineStr">
        <is>
          <t>Technical Manager</t>
        </is>
      </c>
      <c r="O62" t="inlineStr">
        <is>
          <t>E6</t>
        </is>
      </c>
      <c r="P62" t="inlineStr">
        <is>
          <t>Technical Manager</t>
        </is>
      </c>
      <c r="Q62" t="inlineStr">
        <is>
          <t>Syed Atif Ali Syed Arshad Taher Subzwari (1024996)</t>
        </is>
      </c>
      <c r="R62" s="27" t="n">
        <v>7</v>
      </c>
      <c r="S62" s="1" t="n">
        <v>320000</v>
      </c>
      <c r="T62" s="1">
        <f>ROUND(T_EMPLOYEES[[#This Row],[EMP_CTC1]]/12, 0)</f>
        <v/>
      </c>
      <c r="U62" s="1" t="n">
        <v>72000</v>
      </c>
      <c r="V62" s="1" t="inlineStr">
        <is>
          <t>NH</t>
        </is>
      </c>
      <c r="W62" s="1" t="inlineStr">
        <is>
          <t>NH</t>
        </is>
      </c>
      <c r="X6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2" t="n">
        <v>92000</v>
      </c>
      <c r="Z62" s="29">
        <f>(S62 - U62)/S62 * 100</f>
        <v/>
      </c>
      <c r="AA62">
        <f>IF(T_EMPLOYEES[[#This Row],[EMPLOYEE NUMBER]]="","",ROW(T_EMPLOYEES[[#This Row],[EMPLOYEE LABEL]])-ROW(T_EMPLOYEES[[#Headers],[EMPLOYEE LABEL]]))</f>
        <v/>
      </c>
      <c r="AB62">
        <f>IF(T_EMPLOYEES[[#This Row],[EMPLOYEE NUMBER]]="","",IF(COUNTIF(T_EMPLOYEES[EMPLOYEE NUMBER],T_EMPLOYEES[[#This Row],[EMPLOYEE NUMBER]])&gt;1,1,0))</f>
        <v/>
      </c>
      <c r="AC62">
        <f>IF(T_EMPLOYEES[[#This Row],[EMPLOYEE NUMBER]]="","",IF(AND(T_EMPLOYEES[[#This Row],[DATE OF BIRTH]]&gt;0,T_EMPLOYEES[[#This Row],[DATE OF BIRTH]]&lt;TODAY()),0,1))</f>
        <v/>
      </c>
      <c r="AD62">
        <f>IF(T_EMPLOYEES[[#This Row],[EMPLOYEE NUMBER]]="","",IF(AND(T_EMPLOYEES[[#This Row],[START DATE]]&gt;0,T_EMPLOYEES[[#This Row],[START DATE]]&lt;TODAY()+60),0,1))</f>
        <v/>
      </c>
      <c r="AE62">
        <f>IF(T_EMPLOYEES[[#This Row],[EMPLOYEE NUMBER]]="","",MATCH(T_EMPLOYEES[[#This Row],[GENDER]],L_GENDER,0))</f>
        <v/>
      </c>
      <c r="AF62">
        <f>IF(T_EMPLOYEES[[#This Row],[EMPLOYEE NUMBER]]="","",MATCH(T_EMPLOYEES[[#This Row],[HIRE SOURCE]],L_HIRESOURCE,0))</f>
        <v/>
      </c>
      <c r="AG62">
        <f>IF(T_EMPLOYEES[[#This Row],[EMPLOYEE NUMBER]]="","",MATCH(T_EMPLOYEES[[#This Row],[ETHNICITY]],L_ETHNICITY,0))</f>
        <v/>
      </c>
      <c r="AH62">
        <f>IF(T_EMPLOYEES[[#This Row],[EMPLOYEE NUMBER]]="","",MATCH(T_EMPLOYEES[[#This Row],[LOCATION]],L_LOCATION,0))</f>
        <v/>
      </c>
      <c r="AI62">
        <f>IF(T_EMPLOYEES[[#This Row],[EMPLOYEE NUMBER]]="","",MATCH(T_EMPLOYEES[[#This Row],[DEPARTMENT]],L_DEPARTMENT,0))</f>
        <v/>
      </c>
      <c r="AJ62">
        <f>IF(T_EMPLOYEES[[#This Row],[EMPLOYEE NUMBER]]="","",MATCH(T_EMPLOYEES[[#This Row],[JOB TYPE]],L_JOBTYPE,0))</f>
        <v/>
      </c>
      <c r="AK62">
        <f>IF(T_EMPLOYEES[[#This Row],[EMPLOYEE NUMBER]]="","",MATCH(T_EMPLOYEES[[#This Row],[JOB CATEGORY]],L_JOBCATEGORY,0))</f>
        <v/>
      </c>
      <c r="AL62">
        <f>IF(T_EMPLOYEES[[#This Row],[EMPLOYEE NUMBER]]="","",MATCH(T_EMPLOYEES[[#This Row],[JOB LEVEL]],L_JOBLEVEL,0))</f>
        <v/>
      </c>
      <c r="AM62">
        <f>IF(T_EMPLOYEES[[#This Row],[EMPLOYEE NUMBER]]="","",MATCH(T_EMPLOYEES[[#This Row],[JOB TITLE]],L_JOBTITLE,0))</f>
        <v/>
      </c>
      <c r="AN62">
        <f>IF(T_EMPLOYEES[[#This Row],[EMPLOYEE NUMBER]]="","",MATCH(T_EMPLOYEES[[#This Row],[MANAGER]],L_EMPLABELS,0))</f>
        <v/>
      </c>
      <c r="AO62">
        <f>IF(T_EMPLOYEES[[#This Row],[EMPLOYEE NUMBER]]="","",IF(T_EMPLOYEES[[#This Row],[ERROR]]="",0,1))</f>
        <v/>
      </c>
      <c r="AP6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3">
      <c r="A63" t="inlineStr">
        <is>
          <t>Syed</t>
        </is>
      </c>
      <c r="B63" t="inlineStr">
        <is>
          <t>Atif Ali Syed Arshad Taher Subzwari</t>
        </is>
      </c>
      <c r="C63" t="n">
        <v>1024996</v>
      </c>
      <c r="D63" t="inlineStr">
        <is>
          <t>Atif.Subzwari@infinite.com</t>
        </is>
      </c>
      <c r="E63" s="26" t="n">
        <v>30057</v>
      </c>
      <c r="F63" s="26" t="n">
        <v>44293</v>
      </c>
      <c r="H63" t="inlineStr">
        <is>
          <t>Male</t>
        </is>
      </c>
      <c r="I63" t="inlineStr">
        <is>
          <t>Asian</t>
        </is>
      </c>
      <c r="J63" t="inlineStr">
        <is>
          <t>WEBSITE</t>
        </is>
      </c>
      <c r="K63" t="inlineStr">
        <is>
          <t>Bangalore</t>
        </is>
      </c>
      <c r="L63" s="27" t="inlineStr">
        <is>
          <t>IT</t>
        </is>
      </c>
      <c r="M63" t="inlineStr">
        <is>
          <t>Full-Time</t>
        </is>
      </c>
      <c r="N63" t="inlineStr">
        <is>
          <t>Program Manager</t>
        </is>
      </c>
      <c r="O63" t="inlineStr">
        <is>
          <t>E7</t>
        </is>
      </c>
      <c r="P63" t="inlineStr">
        <is>
          <t>Program Manager</t>
        </is>
      </c>
      <c r="Q63" t="inlineStr">
        <is>
          <t>Vijaykrishnan  Ragavan (1013703)</t>
        </is>
      </c>
      <c r="S63" s="1" t="n">
        <v>320000</v>
      </c>
      <c r="T63" s="1">
        <f>ROUND(T_EMPLOYEES[[#This Row],[EMP_CTC1]]/12, 0)</f>
        <v/>
      </c>
      <c r="U63" s="1" t="n">
        <v>72000</v>
      </c>
      <c r="V63" s="1" t="inlineStr">
        <is>
          <t>NH</t>
        </is>
      </c>
      <c r="W63" s="1" t="inlineStr">
        <is>
          <t>NH</t>
        </is>
      </c>
      <c r="X6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3" t="n">
        <v>92000</v>
      </c>
      <c r="Z63" s="29">
        <f>(S63 - U63)/S63 * 100</f>
        <v/>
      </c>
      <c r="AA63">
        <f>IF(T_EMPLOYEES[[#This Row],[EMPLOYEE NUMBER]]="","",ROW(T_EMPLOYEES[[#This Row],[EMPLOYEE LABEL]])-ROW(T_EMPLOYEES[[#Headers],[EMPLOYEE LABEL]]))</f>
        <v/>
      </c>
      <c r="AB63">
        <f>IF(T_EMPLOYEES[[#This Row],[EMPLOYEE NUMBER]]="","",IF(COUNTIF(T_EMPLOYEES[EMPLOYEE NUMBER],T_EMPLOYEES[[#This Row],[EMPLOYEE NUMBER]])&gt;1,1,0))</f>
        <v/>
      </c>
      <c r="AC63">
        <f>IF(T_EMPLOYEES[[#This Row],[EMPLOYEE NUMBER]]="","",IF(AND(T_EMPLOYEES[[#This Row],[DATE OF BIRTH]]&gt;0,T_EMPLOYEES[[#This Row],[DATE OF BIRTH]]&lt;TODAY()),0,1))</f>
        <v/>
      </c>
      <c r="AD63">
        <f>IF(T_EMPLOYEES[[#This Row],[EMPLOYEE NUMBER]]="","",IF(AND(T_EMPLOYEES[[#This Row],[START DATE]]&gt;0,T_EMPLOYEES[[#This Row],[START DATE]]&lt;TODAY()+60),0,1))</f>
        <v/>
      </c>
      <c r="AE63">
        <f>IF(T_EMPLOYEES[[#This Row],[EMPLOYEE NUMBER]]="","",MATCH(T_EMPLOYEES[[#This Row],[GENDER]],L_GENDER,0))</f>
        <v/>
      </c>
      <c r="AF63">
        <f>IF(T_EMPLOYEES[[#This Row],[EMPLOYEE NUMBER]]="","",MATCH(T_EMPLOYEES[[#This Row],[HIRE SOURCE]],L_HIRESOURCE,0))</f>
        <v/>
      </c>
      <c r="AG63">
        <f>IF(T_EMPLOYEES[[#This Row],[EMPLOYEE NUMBER]]="","",MATCH(T_EMPLOYEES[[#This Row],[ETHNICITY]],L_ETHNICITY,0))</f>
        <v/>
      </c>
      <c r="AH63">
        <f>IF(T_EMPLOYEES[[#This Row],[EMPLOYEE NUMBER]]="","",MATCH(T_EMPLOYEES[[#This Row],[LOCATION]],L_LOCATION,0))</f>
        <v/>
      </c>
      <c r="AI63">
        <f>IF(T_EMPLOYEES[[#This Row],[EMPLOYEE NUMBER]]="","",MATCH(T_EMPLOYEES[[#This Row],[DEPARTMENT]],L_DEPARTMENT,0))</f>
        <v/>
      </c>
      <c r="AJ63">
        <f>IF(T_EMPLOYEES[[#This Row],[EMPLOYEE NUMBER]]="","",MATCH(T_EMPLOYEES[[#This Row],[JOB TYPE]],L_JOBTYPE,0))</f>
        <v/>
      </c>
      <c r="AK63">
        <f>IF(T_EMPLOYEES[[#This Row],[EMPLOYEE NUMBER]]="","",MATCH(T_EMPLOYEES[[#This Row],[JOB CATEGORY]],L_JOBCATEGORY,0))</f>
        <v/>
      </c>
      <c r="AL63">
        <f>IF(T_EMPLOYEES[[#This Row],[EMPLOYEE NUMBER]]="","",MATCH(T_EMPLOYEES[[#This Row],[JOB LEVEL]],L_JOBLEVEL,0))</f>
        <v/>
      </c>
      <c r="AM63">
        <f>IF(T_EMPLOYEES[[#This Row],[EMPLOYEE NUMBER]]="","",MATCH(T_EMPLOYEES[[#This Row],[JOB TITLE]],L_JOBTITLE,0))</f>
        <v/>
      </c>
      <c r="AN63">
        <f>IF(T_EMPLOYEES[[#This Row],[EMPLOYEE NUMBER]]="","",MATCH(T_EMPLOYEES[[#This Row],[MANAGER]],L_EMPLABELS,0))</f>
        <v/>
      </c>
      <c r="AO63">
        <f>IF(T_EMPLOYEES[[#This Row],[EMPLOYEE NUMBER]]="","",IF(T_EMPLOYEES[[#This Row],[ERROR]]="",0,1))</f>
        <v/>
      </c>
      <c r="AP6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4">
      <c r="A64" t="inlineStr">
        <is>
          <t>Ashish</t>
        </is>
      </c>
      <c r="B64" t="inlineStr">
        <is>
          <t>Kumar Sharma</t>
        </is>
      </c>
      <c r="C64" t="n">
        <v>1027666</v>
      </c>
      <c r="D64" t="inlineStr">
        <is>
          <t>Ashish.Sharma@infinite.com</t>
        </is>
      </c>
      <c r="E64" s="26" t="n">
        <v>30076</v>
      </c>
      <c r="F64" s="26" t="n">
        <v>44545</v>
      </c>
      <c r="H64" t="inlineStr">
        <is>
          <t>Male</t>
        </is>
      </c>
      <c r="I64" t="inlineStr">
        <is>
          <t>Asian</t>
        </is>
      </c>
      <c r="J64" t="inlineStr">
        <is>
          <t>WEBSITE</t>
        </is>
      </c>
      <c r="K64" t="inlineStr">
        <is>
          <t>Bangalore</t>
        </is>
      </c>
      <c r="L64" s="27" t="inlineStr">
        <is>
          <t>IT</t>
        </is>
      </c>
      <c r="M64" t="inlineStr">
        <is>
          <t>Full-Time</t>
        </is>
      </c>
      <c r="N64" t="inlineStr">
        <is>
          <t>Technical Lead</t>
        </is>
      </c>
      <c r="O64" t="inlineStr">
        <is>
          <t>E4</t>
        </is>
      </c>
      <c r="P64" t="inlineStr">
        <is>
          <t>Technical Lead</t>
        </is>
      </c>
      <c r="Q64" t="inlineStr">
        <is>
          <t>Richa Sharma (1031870)</t>
        </is>
      </c>
      <c r="R64" s="27" t="n">
        <v>5</v>
      </c>
      <c r="S64" s="1" t="n">
        <v>320000</v>
      </c>
      <c r="T64" s="1">
        <f>ROUND(T_EMPLOYEES[[#This Row],[EMP_CTC1]]/12, 0)</f>
        <v/>
      </c>
      <c r="U64" s="1" t="n">
        <v>72000</v>
      </c>
      <c r="V64" s="1" t="inlineStr">
        <is>
          <t>NH</t>
        </is>
      </c>
      <c r="W64" s="1" t="inlineStr">
        <is>
          <t>NH</t>
        </is>
      </c>
      <c r="X6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4" t="n">
        <v>92000</v>
      </c>
      <c r="Z64" s="29">
        <f>(S64 - U64)/S64 * 100</f>
        <v/>
      </c>
      <c r="AA64">
        <f>IF(T_EMPLOYEES[[#This Row],[EMPLOYEE NUMBER]]="","",ROW(T_EMPLOYEES[[#This Row],[EMPLOYEE LABEL]])-ROW(T_EMPLOYEES[[#Headers],[EMPLOYEE LABEL]]))</f>
        <v/>
      </c>
      <c r="AB64">
        <f>IF(T_EMPLOYEES[[#This Row],[EMPLOYEE NUMBER]]="","",IF(COUNTIF(T_EMPLOYEES[EMPLOYEE NUMBER],T_EMPLOYEES[[#This Row],[EMPLOYEE NUMBER]])&gt;1,1,0))</f>
        <v/>
      </c>
      <c r="AC64">
        <f>IF(T_EMPLOYEES[[#This Row],[EMPLOYEE NUMBER]]="","",IF(AND(T_EMPLOYEES[[#This Row],[DATE OF BIRTH]]&gt;0,T_EMPLOYEES[[#This Row],[DATE OF BIRTH]]&lt;TODAY()),0,1))</f>
        <v/>
      </c>
      <c r="AD64">
        <f>IF(T_EMPLOYEES[[#This Row],[EMPLOYEE NUMBER]]="","",IF(AND(T_EMPLOYEES[[#This Row],[START DATE]]&gt;0,T_EMPLOYEES[[#This Row],[START DATE]]&lt;TODAY()+60),0,1))</f>
        <v/>
      </c>
      <c r="AE64">
        <f>IF(T_EMPLOYEES[[#This Row],[EMPLOYEE NUMBER]]="","",MATCH(T_EMPLOYEES[[#This Row],[GENDER]],L_GENDER,0))</f>
        <v/>
      </c>
      <c r="AF64">
        <f>IF(T_EMPLOYEES[[#This Row],[EMPLOYEE NUMBER]]="","",MATCH(T_EMPLOYEES[[#This Row],[HIRE SOURCE]],L_HIRESOURCE,0))</f>
        <v/>
      </c>
      <c r="AG64">
        <f>IF(T_EMPLOYEES[[#This Row],[EMPLOYEE NUMBER]]="","",MATCH(T_EMPLOYEES[[#This Row],[ETHNICITY]],L_ETHNICITY,0))</f>
        <v/>
      </c>
      <c r="AH64">
        <f>IF(T_EMPLOYEES[[#This Row],[EMPLOYEE NUMBER]]="","",MATCH(T_EMPLOYEES[[#This Row],[LOCATION]],L_LOCATION,0))</f>
        <v/>
      </c>
      <c r="AI64">
        <f>IF(T_EMPLOYEES[[#This Row],[EMPLOYEE NUMBER]]="","",MATCH(T_EMPLOYEES[[#This Row],[DEPARTMENT]],L_DEPARTMENT,0))</f>
        <v/>
      </c>
      <c r="AJ64">
        <f>IF(T_EMPLOYEES[[#This Row],[EMPLOYEE NUMBER]]="","",MATCH(T_EMPLOYEES[[#This Row],[JOB TYPE]],L_JOBTYPE,0))</f>
        <v/>
      </c>
      <c r="AK64">
        <f>IF(T_EMPLOYEES[[#This Row],[EMPLOYEE NUMBER]]="","",MATCH(T_EMPLOYEES[[#This Row],[JOB CATEGORY]],L_JOBCATEGORY,0))</f>
        <v/>
      </c>
      <c r="AL64">
        <f>IF(T_EMPLOYEES[[#This Row],[EMPLOYEE NUMBER]]="","",MATCH(T_EMPLOYEES[[#This Row],[JOB LEVEL]],L_JOBLEVEL,0))</f>
        <v/>
      </c>
      <c r="AM64">
        <f>IF(T_EMPLOYEES[[#This Row],[EMPLOYEE NUMBER]]="","",MATCH(T_EMPLOYEES[[#This Row],[JOB TITLE]],L_JOBTITLE,0))</f>
        <v/>
      </c>
      <c r="AN64">
        <f>IF(T_EMPLOYEES[[#This Row],[EMPLOYEE NUMBER]]="","",MATCH(T_EMPLOYEES[[#This Row],[MANAGER]],L_EMPLABELS,0))</f>
        <v/>
      </c>
      <c r="AO64">
        <f>IF(T_EMPLOYEES[[#This Row],[EMPLOYEE NUMBER]]="","",IF(T_EMPLOYEES[[#This Row],[ERROR]]="",0,1))</f>
        <v/>
      </c>
      <c r="AP6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5">
      <c r="A65" t="inlineStr">
        <is>
          <t>Santhosh</t>
        </is>
      </c>
      <c r="B65" t="inlineStr">
        <is>
          <t>B K</t>
        </is>
      </c>
      <c r="C65" t="n">
        <v>1025129</v>
      </c>
      <c r="D65" t="inlineStr">
        <is>
          <t>Santhosh.Krishnegowda@infinite.com</t>
        </is>
      </c>
      <c r="E65" s="26" t="n">
        <v>30107</v>
      </c>
      <c r="F65" s="26" t="n">
        <v>44312</v>
      </c>
      <c r="H65" t="inlineStr">
        <is>
          <t>Male</t>
        </is>
      </c>
      <c r="I65" t="inlineStr">
        <is>
          <t>Asian</t>
        </is>
      </c>
      <c r="J65" t="inlineStr">
        <is>
          <t>WEBSITE</t>
        </is>
      </c>
      <c r="K65" t="inlineStr">
        <is>
          <t>Bangalore</t>
        </is>
      </c>
      <c r="L65" s="27" t="inlineStr">
        <is>
          <t>IT</t>
        </is>
      </c>
      <c r="M65" t="inlineStr">
        <is>
          <t>Full-Time</t>
        </is>
      </c>
      <c r="N65" t="inlineStr">
        <is>
          <t>Senior Project Manager</t>
        </is>
      </c>
      <c r="O65" t="inlineStr">
        <is>
          <t>E7</t>
        </is>
      </c>
      <c r="P65" t="inlineStr">
        <is>
          <t>Senior Project Manager</t>
        </is>
      </c>
      <c r="Q65" t="inlineStr">
        <is>
          <t>Purushotham Ayachetula (1022573)</t>
        </is>
      </c>
      <c r="S65" s="1" t="n">
        <v>320000</v>
      </c>
      <c r="T65" s="1">
        <f>ROUND(T_EMPLOYEES[[#This Row],[EMP_CTC1]]/12, 0)</f>
        <v/>
      </c>
      <c r="U65" s="1" t="n">
        <v>72000</v>
      </c>
      <c r="V65" s="1" t="inlineStr">
        <is>
          <t>NH</t>
        </is>
      </c>
      <c r="W65" s="1" t="inlineStr">
        <is>
          <t>NH</t>
        </is>
      </c>
      <c r="X6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5" t="n">
        <v>92000</v>
      </c>
      <c r="Z65" s="29">
        <f>(S65 - U65)/S65 * 100</f>
        <v/>
      </c>
      <c r="AA65">
        <f>IF(T_EMPLOYEES[[#This Row],[EMPLOYEE NUMBER]]="","",ROW(T_EMPLOYEES[[#This Row],[EMPLOYEE LABEL]])-ROW(T_EMPLOYEES[[#Headers],[EMPLOYEE LABEL]]))</f>
        <v/>
      </c>
      <c r="AB65">
        <f>IF(T_EMPLOYEES[[#This Row],[EMPLOYEE NUMBER]]="","",IF(COUNTIF(T_EMPLOYEES[EMPLOYEE NUMBER],T_EMPLOYEES[[#This Row],[EMPLOYEE NUMBER]])&gt;1,1,0))</f>
        <v/>
      </c>
      <c r="AC65">
        <f>IF(T_EMPLOYEES[[#This Row],[EMPLOYEE NUMBER]]="","",IF(AND(T_EMPLOYEES[[#This Row],[DATE OF BIRTH]]&gt;0,T_EMPLOYEES[[#This Row],[DATE OF BIRTH]]&lt;TODAY()),0,1))</f>
        <v/>
      </c>
      <c r="AD65">
        <f>IF(T_EMPLOYEES[[#This Row],[EMPLOYEE NUMBER]]="","",IF(AND(T_EMPLOYEES[[#This Row],[START DATE]]&gt;0,T_EMPLOYEES[[#This Row],[START DATE]]&lt;TODAY()+60),0,1))</f>
        <v/>
      </c>
      <c r="AE65">
        <f>IF(T_EMPLOYEES[[#This Row],[EMPLOYEE NUMBER]]="","",MATCH(T_EMPLOYEES[[#This Row],[GENDER]],L_GENDER,0))</f>
        <v/>
      </c>
      <c r="AF65">
        <f>IF(T_EMPLOYEES[[#This Row],[EMPLOYEE NUMBER]]="","",MATCH(T_EMPLOYEES[[#This Row],[HIRE SOURCE]],L_HIRESOURCE,0))</f>
        <v/>
      </c>
      <c r="AG65">
        <f>IF(T_EMPLOYEES[[#This Row],[EMPLOYEE NUMBER]]="","",MATCH(T_EMPLOYEES[[#This Row],[ETHNICITY]],L_ETHNICITY,0))</f>
        <v/>
      </c>
      <c r="AH65">
        <f>IF(T_EMPLOYEES[[#This Row],[EMPLOYEE NUMBER]]="","",MATCH(T_EMPLOYEES[[#This Row],[LOCATION]],L_LOCATION,0))</f>
        <v/>
      </c>
      <c r="AI65">
        <f>IF(T_EMPLOYEES[[#This Row],[EMPLOYEE NUMBER]]="","",MATCH(T_EMPLOYEES[[#This Row],[DEPARTMENT]],L_DEPARTMENT,0))</f>
        <v/>
      </c>
      <c r="AJ65">
        <f>IF(T_EMPLOYEES[[#This Row],[EMPLOYEE NUMBER]]="","",MATCH(T_EMPLOYEES[[#This Row],[JOB TYPE]],L_JOBTYPE,0))</f>
        <v/>
      </c>
      <c r="AK65">
        <f>IF(T_EMPLOYEES[[#This Row],[EMPLOYEE NUMBER]]="","",MATCH(T_EMPLOYEES[[#This Row],[JOB CATEGORY]],L_JOBCATEGORY,0))</f>
        <v/>
      </c>
      <c r="AL65">
        <f>IF(T_EMPLOYEES[[#This Row],[EMPLOYEE NUMBER]]="","",MATCH(T_EMPLOYEES[[#This Row],[JOB LEVEL]],L_JOBLEVEL,0))</f>
        <v/>
      </c>
      <c r="AM65">
        <f>IF(T_EMPLOYEES[[#This Row],[EMPLOYEE NUMBER]]="","",MATCH(T_EMPLOYEES[[#This Row],[JOB TITLE]],L_JOBTITLE,0))</f>
        <v/>
      </c>
      <c r="AN65">
        <f>IF(T_EMPLOYEES[[#This Row],[EMPLOYEE NUMBER]]="","",MATCH(T_EMPLOYEES[[#This Row],[MANAGER]],L_EMPLABELS,0))</f>
        <v/>
      </c>
      <c r="AO65">
        <f>IF(T_EMPLOYEES[[#This Row],[EMPLOYEE NUMBER]]="","",IF(T_EMPLOYEES[[#This Row],[ERROR]]="",0,1))</f>
        <v/>
      </c>
      <c r="AP6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6">
      <c r="A66" t="inlineStr">
        <is>
          <t>Elango</t>
        </is>
      </c>
      <c r="B66" t="inlineStr">
        <is>
          <t xml:space="preserve"> S</t>
        </is>
      </c>
      <c r="C66" t="n">
        <v>1025395</v>
      </c>
      <c r="D66" t="inlineStr">
        <is>
          <t>Elango.Selvaraj@infinite.com</t>
        </is>
      </c>
      <c r="E66" s="26" t="n">
        <v>30123</v>
      </c>
      <c r="F66" s="26" t="n">
        <v>44347</v>
      </c>
      <c r="H66" t="inlineStr">
        <is>
          <t>Male</t>
        </is>
      </c>
      <c r="I66" t="inlineStr">
        <is>
          <t>Asian</t>
        </is>
      </c>
      <c r="J66" t="inlineStr">
        <is>
          <t>WEBSITE</t>
        </is>
      </c>
      <c r="K66" t="inlineStr">
        <is>
          <t>Hyderabad</t>
        </is>
      </c>
      <c r="L66" s="27" t="inlineStr">
        <is>
          <t>IT</t>
        </is>
      </c>
      <c r="M66" t="inlineStr">
        <is>
          <t>Full-Time</t>
        </is>
      </c>
      <c r="N66" t="inlineStr">
        <is>
          <t>Senior Technical Lead</t>
        </is>
      </c>
      <c r="O66" t="inlineStr">
        <is>
          <t>E5</t>
        </is>
      </c>
      <c r="P66" t="inlineStr">
        <is>
          <t>Senior Technical Lead</t>
        </is>
      </c>
      <c r="Q66" t="inlineStr">
        <is>
          <t>Santhosh B K (1025129)</t>
        </is>
      </c>
      <c r="R66" s="27" t="n">
        <v>7</v>
      </c>
      <c r="S66" s="1" t="n">
        <v>320000</v>
      </c>
      <c r="T66" s="1">
        <f>ROUND(T_EMPLOYEES[[#This Row],[EMP_CTC1]]/12, 0)</f>
        <v/>
      </c>
      <c r="U66" s="1" t="n">
        <v>72000</v>
      </c>
      <c r="V66" s="1" t="inlineStr">
        <is>
          <t>NH</t>
        </is>
      </c>
      <c r="W66" s="1" t="inlineStr">
        <is>
          <t>NH</t>
        </is>
      </c>
      <c r="X6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6" t="n">
        <v>92000</v>
      </c>
      <c r="Z66" s="29">
        <f>(S66 - U66)/S66 * 100</f>
        <v/>
      </c>
      <c r="AA66">
        <f>IF(T_EMPLOYEES[[#This Row],[EMPLOYEE NUMBER]]="","",ROW(T_EMPLOYEES[[#This Row],[EMPLOYEE LABEL]])-ROW(T_EMPLOYEES[[#Headers],[EMPLOYEE LABEL]]))</f>
        <v/>
      </c>
      <c r="AB66">
        <f>IF(T_EMPLOYEES[[#This Row],[EMPLOYEE NUMBER]]="","",IF(COUNTIF(T_EMPLOYEES[EMPLOYEE NUMBER],T_EMPLOYEES[[#This Row],[EMPLOYEE NUMBER]])&gt;1,1,0))</f>
        <v/>
      </c>
      <c r="AC66">
        <f>IF(T_EMPLOYEES[[#This Row],[EMPLOYEE NUMBER]]="","",IF(AND(T_EMPLOYEES[[#This Row],[DATE OF BIRTH]]&gt;0,T_EMPLOYEES[[#This Row],[DATE OF BIRTH]]&lt;TODAY()),0,1))</f>
        <v/>
      </c>
      <c r="AD66">
        <f>IF(T_EMPLOYEES[[#This Row],[EMPLOYEE NUMBER]]="","",IF(AND(T_EMPLOYEES[[#This Row],[START DATE]]&gt;0,T_EMPLOYEES[[#This Row],[START DATE]]&lt;TODAY()+60),0,1))</f>
        <v/>
      </c>
      <c r="AE66">
        <f>IF(T_EMPLOYEES[[#This Row],[EMPLOYEE NUMBER]]="","",MATCH(T_EMPLOYEES[[#This Row],[GENDER]],L_GENDER,0))</f>
        <v/>
      </c>
      <c r="AF66">
        <f>IF(T_EMPLOYEES[[#This Row],[EMPLOYEE NUMBER]]="","",MATCH(T_EMPLOYEES[[#This Row],[HIRE SOURCE]],L_HIRESOURCE,0))</f>
        <v/>
      </c>
      <c r="AG66">
        <f>IF(T_EMPLOYEES[[#This Row],[EMPLOYEE NUMBER]]="","",MATCH(T_EMPLOYEES[[#This Row],[ETHNICITY]],L_ETHNICITY,0))</f>
        <v/>
      </c>
      <c r="AH66">
        <f>IF(T_EMPLOYEES[[#This Row],[EMPLOYEE NUMBER]]="","",MATCH(T_EMPLOYEES[[#This Row],[LOCATION]],L_LOCATION,0))</f>
        <v/>
      </c>
      <c r="AI66">
        <f>IF(T_EMPLOYEES[[#This Row],[EMPLOYEE NUMBER]]="","",MATCH(T_EMPLOYEES[[#This Row],[DEPARTMENT]],L_DEPARTMENT,0))</f>
        <v/>
      </c>
      <c r="AJ66">
        <f>IF(T_EMPLOYEES[[#This Row],[EMPLOYEE NUMBER]]="","",MATCH(T_EMPLOYEES[[#This Row],[JOB TYPE]],L_JOBTYPE,0))</f>
        <v/>
      </c>
      <c r="AK66">
        <f>IF(T_EMPLOYEES[[#This Row],[EMPLOYEE NUMBER]]="","",MATCH(T_EMPLOYEES[[#This Row],[JOB CATEGORY]],L_JOBCATEGORY,0))</f>
        <v/>
      </c>
      <c r="AL66">
        <f>IF(T_EMPLOYEES[[#This Row],[EMPLOYEE NUMBER]]="","",MATCH(T_EMPLOYEES[[#This Row],[JOB LEVEL]],L_JOBLEVEL,0))</f>
        <v/>
      </c>
      <c r="AM66">
        <f>IF(T_EMPLOYEES[[#This Row],[EMPLOYEE NUMBER]]="","",MATCH(T_EMPLOYEES[[#This Row],[JOB TITLE]],L_JOBTITLE,0))</f>
        <v/>
      </c>
      <c r="AN66">
        <f>IF(T_EMPLOYEES[[#This Row],[EMPLOYEE NUMBER]]="","",MATCH(T_EMPLOYEES[[#This Row],[MANAGER]],L_EMPLABELS,0))</f>
        <v/>
      </c>
      <c r="AO66">
        <f>IF(T_EMPLOYEES[[#This Row],[EMPLOYEE NUMBER]]="","",IF(T_EMPLOYEES[[#This Row],[ERROR]]="",0,1))</f>
        <v/>
      </c>
      <c r="AP6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7">
      <c r="A67" t="inlineStr">
        <is>
          <t>Srisha</t>
        </is>
      </c>
      <c r="B67" t="inlineStr">
        <is>
          <t>N</t>
        </is>
      </c>
      <c r="C67" t="n">
        <v>1031856</v>
      </c>
      <c r="D67" t="inlineStr">
        <is>
          <t>Srisha.Nagaraja@infinite.com</t>
        </is>
      </c>
      <c r="E67" s="26" t="n">
        <v>30141</v>
      </c>
      <c r="F67" s="26" t="n">
        <v>44914</v>
      </c>
      <c r="H67" t="inlineStr">
        <is>
          <t>Male</t>
        </is>
      </c>
      <c r="I67" t="inlineStr">
        <is>
          <t>Asian</t>
        </is>
      </c>
      <c r="J67" t="inlineStr">
        <is>
          <t>WEBSITE</t>
        </is>
      </c>
      <c r="K67" t="inlineStr">
        <is>
          <t>Bangalore</t>
        </is>
      </c>
      <c r="L67" s="27" t="inlineStr">
        <is>
          <t>IT</t>
        </is>
      </c>
      <c r="M67" t="inlineStr">
        <is>
          <t>Full-Time</t>
        </is>
      </c>
      <c r="N67" t="inlineStr">
        <is>
          <t>Assistant Vice President</t>
        </is>
      </c>
      <c r="O67" t="inlineStr">
        <is>
          <t>E9</t>
        </is>
      </c>
      <c r="P67" t="inlineStr">
        <is>
          <t>Assistant Vice President</t>
        </is>
      </c>
      <c r="Q67" t="inlineStr">
        <is>
          <t>Nagarajan K (1019672)</t>
        </is>
      </c>
      <c r="R67" t="n">
        <v>12</v>
      </c>
      <c r="S67" s="1" t="n">
        <v>320000</v>
      </c>
      <c r="T67" s="1">
        <f>ROUND(T_EMPLOYEES[[#This Row],[EMP_CTC1]]/12, 0)</f>
        <v/>
      </c>
      <c r="U67" s="1" t="n">
        <v>72000</v>
      </c>
      <c r="V67" s="1" t="inlineStr">
        <is>
          <t>NH</t>
        </is>
      </c>
      <c r="W67" s="1" t="inlineStr">
        <is>
          <t>NH</t>
        </is>
      </c>
      <c r="X6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7" t="n">
        <v>92000</v>
      </c>
      <c r="Z67" s="29">
        <f>(S67 - U67)/S67 * 100</f>
        <v/>
      </c>
      <c r="AA67">
        <f>IF(T_EMPLOYEES[[#This Row],[EMPLOYEE NUMBER]]="","",ROW(T_EMPLOYEES[[#This Row],[EMPLOYEE LABEL]])-ROW(T_EMPLOYEES[[#Headers],[EMPLOYEE LABEL]]))</f>
        <v/>
      </c>
      <c r="AB67">
        <f>IF(T_EMPLOYEES[[#This Row],[EMPLOYEE NUMBER]]="","",IF(COUNTIF(T_EMPLOYEES[EMPLOYEE NUMBER],T_EMPLOYEES[[#This Row],[EMPLOYEE NUMBER]])&gt;1,1,0))</f>
        <v/>
      </c>
      <c r="AC67">
        <f>IF(T_EMPLOYEES[[#This Row],[EMPLOYEE NUMBER]]="","",IF(AND(T_EMPLOYEES[[#This Row],[DATE OF BIRTH]]&gt;0,T_EMPLOYEES[[#This Row],[DATE OF BIRTH]]&lt;TODAY()),0,1))</f>
        <v/>
      </c>
      <c r="AD67">
        <f>IF(T_EMPLOYEES[[#This Row],[EMPLOYEE NUMBER]]="","",IF(AND(T_EMPLOYEES[[#This Row],[START DATE]]&gt;0,T_EMPLOYEES[[#This Row],[START DATE]]&lt;TODAY()+60),0,1))</f>
        <v/>
      </c>
      <c r="AE67">
        <f>IF(T_EMPLOYEES[[#This Row],[EMPLOYEE NUMBER]]="","",MATCH(T_EMPLOYEES[[#This Row],[GENDER]],L_GENDER,0))</f>
        <v/>
      </c>
      <c r="AF67">
        <f>IF(T_EMPLOYEES[[#This Row],[EMPLOYEE NUMBER]]="","",MATCH(T_EMPLOYEES[[#This Row],[HIRE SOURCE]],L_HIRESOURCE,0))</f>
        <v/>
      </c>
      <c r="AG67">
        <f>IF(T_EMPLOYEES[[#This Row],[EMPLOYEE NUMBER]]="","",MATCH(T_EMPLOYEES[[#This Row],[ETHNICITY]],L_ETHNICITY,0))</f>
        <v/>
      </c>
      <c r="AH67">
        <f>IF(T_EMPLOYEES[[#This Row],[EMPLOYEE NUMBER]]="","",MATCH(T_EMPLOYEES[[#This Row],[LOCATION]],L_LOCATION,0))</f>
        <v/>
      </c>
      <c r="AI67">
        <f>IF(T_EMPLOYEES[[#This Row],[EMPLOYEE NUMBER]]="","",MATCH(T_EMPLOYEES[[#This Row],[DEPARTMENT]],L_DEPARTMENT,0))</f>
        <v/>
      </c>
      <c r="AJ67">
        <f>IF(T_EMPLOYEES[[#This Row],[EMPLOYEE NUMBER]]="","",MATCH(T_EMPLOYEES[[#This Row],[JOB TYPE]],L_JOBTYPE,0))</f>
        <v/>
      </c>
      <c r="AK67">
        <f>IF(T_EMPLOYEES[[#This Row],[EMPLOYEE NUMBER]]="","",MATCH(T_EMPLOYEES[[#This Row],[JOB CATEGORY]],L_JOBCATEGORY,0))</f>
        <v/>
      </c>
      <c r="AL67">
        <f>IF(T_EMPLOYEES[[#This Row],[EMPLOYEE NUMBER]]="","",MATCH(T_EMPLOYEES[[#This Row],[JOB LEVEL]],L_JOBLEVEL,0))</f>
        <v/>
      </c>
      <c r="AM67">
        <f>IF(T_EMPLOYEES[[#This Row],[EMPLOYEE NUMBER]]="","",MATCH(T_EMPLOYEES[[#This Row],[JOB TITLE]],L_JOBTITLE,0))</f>
        <v/>
      </c>
      <c r="AN67">
        <f>IF(T_EMPLOYEES[[#This Row],[EMPLOYEE NUMBER]]="","",MATCH(T_EMPLOYEES[[#This Row],[MANAGER]],L_EMPLABELS,0))</f>
        <v/>
      </c>
      <c r="AO67">
        <f>IF(T_EMPLOYEES[[#This Row],[EMPLOYEE NUMBER]]="","",IF(T_EMPLOYEES[[#This Row],[ERROR]]="",0,1))</f>
        <v/>
      </c>
      <c r="AP6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8">
      <c r="A68" t="inlineStr">
        <is>
          <t>Soumyakeshava</t>
        </is>
      </c>
      <c r="C68" t="n">
        <v>1025421</v>
      </c>
      <c r="D68" t="inlineStr">
        <is>
          <t>Soumyakeshava.Channakeshava@infinite.com</t>
        </is>
      </c>
      <c r="E68" s="26" t="n">
        <v>30152</v>
      </c>
      <c r="F68" s="26" t="n">
        <v>44349</v>
      </c>
      <c r="H68" t="inlineStr">
        <is>
          <t>Male</t>
        </is>
      </c>
      <c r="I68" t="inlineStr">
        <is>
          <t>Asian</t>
        </is>
      </c>
      <c r="J68" t="inlineStr">
        <is>
          <t>WEBSITE</t>
        </is>
      </c>
      <c r="K68" t="inlineStr">
        <is>
          <t>Bangalore</t>
        </is>
      </c>
      <c r="L68" s="27" t="inlineStr">
        <is>
          <t>IT</t>
        </is>
      </c>
      <c r="M68" t="inlineStr">
        <is>
          <t>Full-Time</t>
        </is>
      </c>
      <c r="N68" t="inlineStr">
        <is>
          <t>Technical Manager</t>
        </is>
      </c>
      <c r="O68" t="inlineStr">
        <is>
          <t>E6</t>
        </is>
      </c>
      <c r="P68" t="inlineStr">
        <is>
          <t>Technical Manager</t>
        </is>
      </c>
      <c r="Q68" t="inlineStr">
        <is>
          <t>Radhakanta  Samantara (1010164)</t>
        </is>
      </c>
      <c r="R68" s="27" t="n">
        <v>7</v>
      </c>
      <c r="S68" s="1" t="n">
        <v>320000</v>
      </c>
      <c r="T68" s="1">
        <f>ROUND(T_EMPLOYEES[[#This Row],[EMP_CTC1]]/12, 0)</f>
        <v/>
      </c>
      <c r="U68" s="1" t="n">
        <v>72000</v>
      </c>
      <c r="V68" s="1" t="inlineStr">
        <is>
          <t>NH</t>
        </is>
      </c>
      <c r="W68" s="1" t="inlineStr">
        <is>
          <t>NH</t>
        </is>
      </c>
      <c r="X6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8" t="n">
        <v>92000</v>
      </c>
      <c r="Z68" s="29">
        <f>(S68 - U68)/S68 * 100</f>
        <v/>
      </c>
      <c r="AA68">
        <f>IF(T_EMPLOYEES[[#This Row],[EMPLOYEE NUMBER]]="","",ROW(T_EMPLOYEES[[#This Row],[EMPLOYEE LABEL]])-ROW(T_EMPLOYEES[[#Headers],[EMPLOYEE LABEL]]))</f>
        <v/>
      </c>
      <c r="AB68">
        <f>IF(T_EMPLOYEES[[#This Row],[EMPLOYEE NUMBER]]="","",IF(COUNTIF(T_EMPLOYEES[EMPLOYEE NUMBER],T_EMPLOYEES[[#This Row],[EMPLOYEE NUMBER]])&gt;1,1,0))</f>
        <v/>
      </c>
      <c r="AC68">
        <f>IF(T_EMPLOYEES[[#This Row],[EMPLOYEE NUMBER]]="","",IF(AND(T_EMPLOYEES[[#This Row],[DATE OF BIRTH]]&gt;0,T_EMPLOYEES[[#This Row],[DATE OF BIRTH]]&lt;TODAY()),0,1))</f>
        <v/>
      </c>
      <c r="AD68">
        <f>IF(T_EMPLOYEES[[#This Row],[EMPLOYEE NUMBER]]="","",IF(AND(T_EMPLOYEES[[#This Row],[START DATE]]&gt;0,T_EMPLOYEES[[#This Row],[START DATE]]&lt;TODAY()+60),0,1))</f>
        <v/>
      </c>
      <c r="AE68">
        <f>IF(T_EMPLOYEES[[#This Row],[EMPLOYEE NUMBER]]="","",MATCH(T_EMPLOYEES[[#This Row],[GENDER]],L_GENDER,0))</f>
        <v/>
      </c>
      <c r="AF68">
        <f>IF(T_EMPLOYEES[[#This Row],[EMPLOYEE NUMBER]]="","",MATCH(T_EMPLOYEES[[#This Row],[HIRE SOURCE]],L_HIRESOURCE,0))</f>
        <v/>
      </c>
      <c r="AG68">
        <f>IF(T_EMPLOYEES[[#This Row],[EMPLOYEE NUMBER]]="","",MATCH(T_EMPLOYEES[[#This Row],[ETHNICITY]],L_ETHNICITY,0))</f>
        <v/>
      </c>
      <c r="AH68">
        <f>IF(T_EMPLOYEES[[#This Row],[EMPLOYEE NUMBER]]="","",MATCH(T_EMPLOYEES[[#This Row],[LOCATION]],L_LOCATION,0))</f>
        <v/>
      </c>
      <c r="AI68">
        <f>IF(T_EMPLOYEES[[#This Row],[EMPLOYEE NUMBER]]="","",MATCH(T_EMPLOYEES[[#This Row],[DEPARTMENT]],L_DEPARTMENT,0))</f>
        <v/>
      </c>
      <c r="AJ68">
        <f>IF(T_EMPLOYEES[[#This Row],[EMPLOYEE NUMBER]]="","",MATCH(T_EMPLOYEES[[#This Row],[JOB TYPE]],L_JOBTYPE,0))</f>
        <v/>
      </c>
      <c r="AK68">
        <f>IF(T_EMPLOYEES[[#This Row],[EMPLOYEE NUMBER]]="","",MATCH(T_EMPLOYEES[[#This Row],[JOB CATEGORY]],L_JOBCATEGORY,0))</f>
        <v/>
      </c>
      <c r="AL68">
        <f>IF(T_EMPLOYEES[[#This Row],[EMPLOYEE NUMBER]]="","",MATCH(T_EMPLOYEES[[#This Row],[JOB LEVEL]],L_JOBLEVEL,0))</f>
        <v/>
      </c>
      <c r="AM68">
        <f>IF(T_EMPLOYEES[[#This Row],[EMPLOYEE NUMBER]]="","",MATCH(T_EMPLOYEES[[#This Row],[JOB TITLE]],L_JOBTITLE,0))</f>
        <v/>
      </c>
      <c r="AN68">
        <f>IF(T_EMPLOYEES[[#This Row],[EMPLOYEE NUMBER]]="","",MATCH(T_EMPLOYEES[[#This Row],[MANAGER]],L_EMPLABELS,0))</f>
        <v/>
      </c>
      <c r="AO68">
        <f>IF(T_EMPLOYEES[[#This Row],[EMPLOYEE NUMBER]]="","",IF(T_EMPLOYEES[[#This Row],[ERROR]]="",0,1))</f>
        <v/>
      </c>
      <c r="AP6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69">
      <c r="A69" t="inlineStr">
        <is>
          <t>Shashirekha</t>
        </is>
      </c>
      <c r="B69" t="inlineStr">
        <is>
          <t xml:space="preserve"> M</t>
        </is>
      </c>
      <c r="C69" t="n">
        <v>1017141</v>
      </c>
      <c r="D69" t="inlineStr">
        <is>
          <t>Shashirekha.Murugan@infinite.com</t>
        </is>
      </c>
      <c r="E69" s="26" t="n">
        <v>30154</v>
      </c>
      <c r="F69" s="26" t="n">
        <v>42145</v>
      </c>
      <c r="H69" t="inlineStr">
        <is>
          <t>Female</t>
        </is>
      </c>
      <c r="I69" t="inlineStr">
        <is>
          <t>Asian</t>
        </is>
      </c>
      <c r="J69" t="inlineStr">
        <is>
          <t>WEBSITE</t>
        </is>
      </c>
      <c r="K69" t="inlineStr">
        <is>
          <t>Hyderabad</t>
        </is>
      </c>
      <c r="L69" s="27" t="inlineStr">
        <is>
          <t>IT</t>
        </is>
      </c>
      <c r="M69" t="inlineStr">
        <is>
          <t>Full-Time</t>
        </is>
      </c>
      <c r="N69" t="inlineStr">
        <is>
          <t>Senior Test Lead</t>
        </is>
      </c>
      <c r="O69" t="inlineStr">
        <is>
          <t>E5</t>
        </is>
      </c>
      <c r="P69" t="inlineStr">
        <is>
          <t>Senior Test Lead</t>
        </is>
      </c>
      <c r="Q69" t="inlineStr">
        <is>
          <t>Talluri  Mangarao (1004641)</t>
        </is>
      </c>
      <c r="R69" t="n">
        <v>7</v>
      </c>
      <c r="S69" s="1" t="n">
        <v>320000</v>
      </c>
      <c r="T69" s="1">
        <f>ROUND(T_EMPLOYEES[[#This Row],[EMP_CTC1]]/12, 0)</f>
        <v/>
      </c>
      <c r="U69" s="1" t="n">
        <v>72000</v>
      </c>
      <c r="V69" s="1" t="inlineStr">
        <is>
          <t>NH</t>
        </is>
      </c>
      <c r="W69" s="1" t="inlineStr">
        <is>
          <t>NH</t>
        </is>
      </c>
      <c r="X6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69" t="n">
        <v>92000</v>
      </c>
      <c r="Z69" s="29">
        <f>(S69 - U69)/S69 * 100</f>
        <v/>
      </c>
      <c r="AA69">
        <f>IF(T_EMPLOYEES[[#This Row],[EMPLOYEE NUMBER]]="","",ROW(T_EMPLOYEES[[#This Row],[EMPLOYEE LABEL]])-ROW(T_EMPLOYEES[[#Headers],[EMPLOYEE LABEL]]))</f>
        <v/>
      </c>
      <c r="AB69">
        <f>IF(T_EMPLOYEES[[#This Row],[EMPLOYEE NUMBER]]="","",IF(COUNTIF(T_EMPLOYEES[EMPLOYEE NUMBER],T_EMPLOYEES[[#This Row],[EMPLOYEE NUMBER]])&gt;1,1,0))</f>
        <v/>
      </c>
      <c r="AC69">
        <f>IF(T_EMPLOYEES[[#This Row],[EMPLOYEE NUMBER]]="","",IF(AND(T_EMPLOYEES[[#This Row],[DATE OF BIRTH]]&gt;0,T_EMPLOYEES[[#This Row],[DATE OF BIRTH]]&lt;TODAY()),0,1))</f>
        <v/>
      </c>
      <c r="AD69">
        <f>IF(T_EMPLOYEES[[#This Row],[EMPLOYEE NUMBER]]="","",IF(AND(T_EMPLOYEES[[#This Row],[START DATE]]&gt;0,T_EMPLOYEES[[#This Row],[START DATE]]&lt;TODAY()+60),0,1))</f>
        <v/>
      </c>
      <c r="AE69">
        <f>IF(T_EMPLOYEES[[#This Row],[EMPLOYEE NUMBER]]="","",MATCH(T_EMPLOYEES[[#This Row],[GENDER]],L_GENDER,0))</f>
        <v/>
      </c>
      <c r="AF69">
        <f>IF(T_EMPLOYEES[[#This Row],[EMPLOYEE NUMBER]]="","",MATCH(T_EMPLOYEES[[#This Row],[HIRE SOURCE]],L_HIRESOURCE,0))</f>
        <v/>
      </c>
      <c r="AG69">
        <f>IF(T_EMPLOYEES[[#This Row],[EMPLOYEE NUMBER]]="","",MATCH(T_EMPLOYEES[[#This Row],[ETHNICITY]],L_ETHNICITY,0))</f>
        <v/>
      </c>
      <c r="AH69">
        <f>IF(T_EMPLOYEES[[#This Row],[EMPLOYEE NUMBER]]="","",MATCH(T_EMPLOYEES[[#This Row],[LOCATION]],L_LOCATION,0))</f>
        <v/>
      </c>
      <c r="AI69">
        <f>IF(T_EMPLOYEES[[#This Row],[EMPLOYEE NUMBER]]="","",MATCH(T_EMPLOYEES[[#This Row],[DEPARTMENT]],L_DEPARTMENT,0))</f>
        <v/>
      </c>
      <c r="AJ69">
        <f>IF(T_EMPLOYEES[[#This Row],[EMPLOYEE NUMBER]]="","",MATCH(T_EMPLOYEES[[#This Row],[JOB TYPE]],L_JOBTYPE,0))</f>
        <v/>
      </c>
      <c r="AK69">
        <f>IF(T_EMPLOYEES[[#This Row],[EMPLOYEE NUMBER]]="","",MATCH(T_EMPLOYEES[[#This Row],[JOB CATEGORY]],L_JOBCATEGORY,0))</f>
        <v/>
      </c>
      <c r="AL69">
        <f>IF(T_EMPLOYEES[[#This Row],[EMPLOYEE NUMBER]]="","",MATCH(T_EMPLOYEES[[#This Row],[JOB LEVEL]],L_JOBLEVEL,0))</f>
        <v/>
      </c>
      <c r="AM69">
        <f>IF(T_EMPLOYEES[[#This Row],[EMPLOYEE NUMBER]]="","",MATCH(T_EMPLOYEES[[#This Row],[JOB TITLE]],L_JOBTITLE,0))</f>
        <v/>
      </c>
      <c r="AN69">
        <f>IF(T_EMPLOYEES[[#This Row],[EMPLOYEE NUMBER]]="","",MATCH(T_EMPLOYEES[[#This Row],[MANAGER]],L_EMPLABELS,0))</f>
        <v/>
      </c>
      <c r="AO69">
        <f>IF(T_EMPLOYEES[[#This Row],[EMPLOYEE NUMBER]]="","",IF(T_EMPLOYEES[[#This Row],[ERROR]]="",0,1))</f>
        <v/>
      </c>
      <c r="AP6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0">
      <c r="A70" t="inlineStr">
        <is>
          <t>Sowjanya</t>
        </is>
      </c>
      <c r="B70" t="inlineStr">
        <is>
          <t>S</t>
        </is>
      </c>
      <c r="C70" t="n">
        <v>1027866</v>
      </c>
      <c r="D70" t="inlineStr">
        <is>
          <t>Sowjanya.Suryadevara@infinite.com</t>
        </is>
      </c>
      <c r="E70" s="26" t="n">
        <v>30175</v>
      </c>
      <c r="F70" s="26" t="n">
        <v>44564</v>
      </c>
      <c r="H70" t="inlineStr">
        <is>
          <t>Female</t>
        </is>
      </c>
      <c r="I70" t="inlineStr">
        <is>
          <t>Asian</t>
        </is>
      </c>
      <c r="J70" t="inlineStr">
        <is>
          <t>WEBSITE</t>
        </is>
      </c>
      <c r="K70" t="inlineStr">
        <is>
          <t>Bangalore</t>
        </is>
      </c>
      <c r="L70" s="27" t="inlineStr">
        <is>
          <t>IT</t>
        </is>
      </c>
      <c r="M70" t="inlineStr">
        <is>
          <t>Full-Time</t>
        </is>
      </c>
      <c r="N70" t="inlineStr">
        <is>
          <t>Senior Software Test Engineer</t>
        </is>
      </c>
      <c r="O70" t="inlineStr">
        <is>
          <t>E3</t>
        </is>
      </c>
      <c r="P70" t="inlineStr">
        <is>
          <t>Senior Software Test Engineer</t>
        </is>
      </c>
      <c r="Q70" t="inlineStr">
        <is>
          <t>Someshwara Prabhu Nanje Gowda (1021418)</t>
        </is>
      </c>
      <c r="R70" s="27" t="n">
        <v>3</v>
      </c>
      <c r="S70" s="1" t="n">
        <v>320000</v>
      </c>
      <c r="T70" s="1">
        <f>ROUND(T_EMPLOYEES[[#This Row],[EMP_CTC1]]/12, 0)</f>
        <v/>
      </c>
      <c r="U70" s="1" t="n">
        <v>72000</v>
      </c>
      <c r="V70" s="1" t="inlineStr">
        <is>
          <t>NH</t>
        </is>
      </c>
      <c r="W70" s="1" t="inlineStr">
        <is>
          <t>NH</t>
        </is>
      </c>
      <c r="X7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0" t="n">
        <v>92000</v>
      </c>
      <c r="Z70" s="29">
        <f>(S70 - U70)/S70 * 100</f>
        <v/>
      </c>
      <c r="AA70">
        <f>IF(T_EMPLOYEES[[#This Row],[EMPLOYEE NUMBER]]="","",ROW(T_EMPLOYEES[[#This Row],[EMPLOYEE LABEL]])-ROW(T_EMPLOYEES[[#Headers],[EMPLOYEE LABEL]]))</f>
        <v/>
      </c>
      <c r="AB70">
        <f>IF(T_EMPLOYEES[[#This Row],[EMPLOYEE NUMBER]]="","",IF(COUNTIF(T_EMPLOYEES[EMPLOYEE NUMBER],T_EMPLOYEES[[#This Row],[EMPLOYEE NUMBER]])&gt;1,1,0))</f>
        <v/>
      </c>
      <c r="AC70">
        <f>IF(T_EMPLOYEES[[#This Row],[EMPLOYEE NUMBER]]="","",IF(AND(T_EMPLOYEES[[#This Row],[DATE OF BIRTH]]&gt;0,T_EMPLOYEES[[#This Row],[DATE OF BIRTH]]&lt;TODAY()),0,1))</f>
        <v/>
      </c>
      <c r="AD70">
        <f>IF(T_EMPLOYEES[[#This Row],[EMPLOYEE NUMBER]]="","",IF(AND(T_EMPLOYEES[[#This Row],[START DATE]]&gt;0,T_EMPLOYEES[[#This Row],[START DATE]]&lt;TODAY()+60),0,1))</f>
        <v/>
      </c>
      <c r="AE70">
        <f>IF(T_EMPLOYEES[[#This Row],[EMPLOYEE NUMBER]]="","",MATCH(T_EMPLOYEES[[#This Row],[GENDER]],L_GENDER,0))</f>
        <v/>
      </c>
      <c r="AF70">
        <f>IF(T_EMPLOYEES[[#This Row],[EMPLOYEE NUMBER]]="","",MATCH(T_EMPLOYEES[[#This Row],[HIRE SOURCE]],L_HIRESOURCE,0))</f>
        <v/>
      </c>
      <c r="AG70">
        <f>IF(T_EMPLOYEES[[#This Row],[EMPLOYEE NUMBER]]="","",MATCH(T_EMPLOYEES[[#This Row],[ETHNICITY]],L_ETHNICITY,0))</f>
        <v/>
      </c>
      <c r="AH70">
        <f>IF(T_EMPLOYEES[[#This Row],[EMPLOYEE NUMBER]]="","",MATCH(T_EMPLOYEES[[#This Row],[LOCATION]],L_LOCATION,0))</f>
        <v/>
      </c>
      <c r="AI70">
        <f>IF(T_EMPLOYEES[[#This Row],[EMPLOYEE NUMBER]]="","",MATCH(T_EMPLOYEES[[#This Row],[DEPARTMENT]],L_DEPARTMENT,0))</f>
        <v/>
      </c>
      <c r="AJ70">
        <f>IF(T_EMPLOYEES[[#This Row],[EMPLOYEE NUMBER]]="","",MATCH(T_EMPLOYEES[[#This Row],[JOB TYPE]],L_JOBTYPE,0))</f>
        <v/>
      </c>
      <c r="AK70">
        <f>IF(T_EMPLOYEES[[#This Row],[EMPLOYEE NUMBER]]="","",MATCH(T_EMPLOYEES[[#This Row],[JOB CATEGORY]],L_JOBCATEGORY,0))</f>
        <v/>
      </c>
      <c r="AL70">
        <f>IF(T_EMPLOYEES[[#This Row],[EMPLOYEE NUMBER]]="","",MATCH(T_EMPLOYEES[[#This Row],[JOB LEVEL]],L_JOBLEVEL,0))</f>
        <v/>
      </c>
      <c r="AM70">
        <f>IF(T_EMPLOYEES[[#This Row],[EMPLOYEE NUMBER]]="","",MATCH(T_EMPLOYEES[[#This Row],[JOB TITLE]],L_JOBTITLE,0))</f>
        <v/>
      </c>
      <c r="AN70">
        <f>IF(T_EMPLOYEES[[#This Row],[EMPLOYEE NUMBER]]="","",MATCH(T_EMPLOYEES[[#This Row],[MANAGER]],L_EMPLABELS,0))</f>
        <v/>
      </c>
      <c r="AO70">
        <f>IF(T_EMPLOYEES[[#This Row],[EMPLOYEE NUMBER]]="","",IF(T_EMPLOYEES[[#This Row],[ERROR]]="",0,1))</f>
        <v/>
      </c>
      <c r="AP7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1">
      <c r="A71" t="inlineStr">
        <is>
          <t>Talluri</t>
        </is>
      </c>
      <c r="B71" t="inlineStr">
        <is>
          <t xml:space="preserve"> Mangarao</t>
        </is>
      </c>
      <c r="C71" t="n">
        <v>1004641</v>
      </c>
      <c r="D71" t="inlineStr">
        <is>
          <t>mangaraot@infinite.com</t>
        </is>
      </c>
      <c r="E71" s="26" t="n">
        <v>30182</v>
      </c>
      <c r="F71" s="26" t="n">
        <v>39751</v>
      </c>
      <c r="H71" t="inlineStr">
        <is>
          <t>Male</t>
        </is>
      </c>
      <c r="I71" t="inlineStr">
        <is>
          <t>Asian</t>
        </is>
      </c>
      <c r="J71" t="inlineStr">
        <is>
          <t>WEBSITE</t>
        </is>
      </c>
      <c r="K71" t="inlineStr">
        <is>
          <t>Hyderabad</t>
        </is>
      </c>
      <c r="L71" s="27" t="inlineStr">
        <is>
          <t>IT</t>
        </is>
      </c>
      <c r="M71" t="inlineStr">
        <is>
          <t>Full-Time</t>
        </is>
      </c>
      <c r="N71" t="inlineStr">
        <is>
          <t>Program Manager</t>
        </is>
      </c>
      <c r="O71" t="inlineStr">
        <is>
          <t>E7</t>
        </is>
      </c>
      <c r="P71" t="inlineStr">
        <is>
          <t>Program Manager</t>
        </is>
      </c>
      <c r="Q71" t="inlineStr">
        <is>
          <t>Radhakanta  Samantara (1010164)</t>
        </is>
      </c>
      <c r="S71" s="1" t="n">
        <v>320000</v>
      </c>
      <c r="T71" s="1">
        <f>ROUND(T_EMPLOYEES[[#This Row],[EMP_CTC1]]/12, 0)</f>
        <v/>
      </c>
      <c r="U71" s="1" t="n">
        <v>72000</v>
      </c>
      <c r="V71" s="1" t="inlineStr">
        <is>
          <t>NH</t>
        </is>
      </c>
      <c r="W71" s="1" t="inlineStr">
        <is>
          <t>NH</t>
        </is>
      </c>
      <c r="X7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1" t="n">
        <v>92000</v>
      </c>
      <c r="Z71" s="29">
        <f>(S71 - U71)/S71 * 100</f>
        <v/>
      </c>
      <c r="AA71">
        <f>IF(T_EMPLOYEES[[#This Row],[EMPLOYEE NUMBER]]="","",ROW(T_EMPLOYEES[[#This Row],[EMPLOYEE LABEL]])-ROW(T_EMPLOYEES[[#Headers],[EMPLOYEE LABEL]]))</f>
        <v/>
      </c>
      <c r="AB71">
        <f>IF(T_EMPLOYEES[[#This Row],[EMPLOYEE NUMBER]]="","",IF(COUNTIF(T_EMPLOYEES[EMPLOYEE NUMBER],T_EMPLOYEES[[#This Row],[EMPLOYEE NUMBER]])&gt;1,1,0))</f>
        <v/>
      </c>
      <c r="AC71">
        <f>IF(T_EMPLOYEES[[#This Row],[EMPLOYEE NUMBER]]="","",IF(AND(T_EMPLOYEES[[#This Row],[DATE OF BIRTH]]&gt;0,T_EMPLOYEES[[#This Row],[DATE OF BIRTH]]&lt;TODAY()),0,1))</f>
        <v/>
      </c>
      <c r="AD71">
        <f>IF(T_EMPLOYEES[[#This Row],[EMPLOYEE NUMBER]]="","",IF(AND(T_EMPLOYEES[[#This Row],[START DATE]]&gt;0,T_EMPLOYEES[[#This Row],[START DATE]]&lt;TODAY()+60),0,1))</f>
        <v/>
      </c>
      <c r="AE71">
        <f>IF(T_EMPLOYEES[[#This Row],[EMPLOYEE NUMBER]]="","",MATCH(T_EMPLOYEES[[#This Row],[GENDER]],L_GENDER,0))</f>
        <v/>
      </c>
      <c r="AF71">
        <f>IF(T_EMPLOYEES[[#This Row],[EMPLOYEE NUMBER]]="","",MATCH(T_EMPLOYEES[[#This Row],[HIRE SOURCE]],L_HIRESOURCE,0))</f>
        <v/>
      </c>
      <c r="AG71">
        <f>IF(T_EMPLOYEES[[#This Row],[EMPLOYEE NUMBER]]="","",MATCH(T_EMPLOYEES[[#This Row],[ETHNICITY]],L_ETHNICITY,0))</f>
        <v/>
      </c>
      <c r="AH71">
        <f>IF(T_EMPLOYEES[[#This Row],[EMPLOYEE NUMBER]]="","",MATCH(T_EMPLOYEES[[#This Row],[LOCATION]],L_LOCATION,0))</f>
        <v/>
      </c>
      <c r="AI71">
        <f>IF(T_EMPLOYEES[[#This Row],[EMPLOYEE NUMBER]]="","",MATCH(T_EMPLOYEES[[#This Row],[DEPARTMENT]],L_DEPARTMENT,0))</f>
        <v/>
      </c>
      <c r="AJ71">
        <f>IF(T_EMPLOYEES[[#This Row],[EMPLOYEE NUMBER]]="","",MATCH(T_EMPLOYEES[[#This Row],[JOB TYPE]],L_JOBTYPE,0))</f>
        <v/>
      </c>
      <c r="AK71">
        <f>IF(T_EMPLOYEES[[#This Row],[EMPLOYEE NUMBER]]="","",MATCH(T_EMPLOYEES[[#This Row],[JOB CATEGORY]],L_JOBCATEGORY,0))</f>
        <v/>
      </c>
      <c r="AL71">
        <f>IF(T_EMPLOYEES[[#This Row],[EMPLOYEE NUMBER]]="","",MATCH(T_EMPLOYEES[[#This Row],[JOB LEVEL]],L_JOBLEVEL,0))</f>
        <v/>
      </c>
      <c r="AM71">
        <f>IF(T_EMPLOYEES[[#This Row],[EMPLOYEE NUMBER]]="","",MATCH(T_EMPLOYEES[[#This Row],[JOB TITLE]],L_JOBTITLE,0))</f>
        <v/>
      </c>
      <c r="AN71">
        <f>IF(T_EMPLOYEES[[#This Row],[EMPLOYEE NUMBER]]="","",MATCH(T_EMPLOYEES[[#This Row],[MANAGER]],L_EMPLABELS,0))</f>
        <v/>
      </c>
      <c r="AO71">
        <f>IF(T_EMPLOYEES[[#This Row],[EMPLOYEE NUMBER]]="","",IF(T_EMPLOYEES[[#This Row],[ERROR]]="",0,1))</f>
        <v/>
      </c>
      <c r="AP7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2">
      <c r="A72" t="inlineStr">
        <is>
          <t>Sreekanth</t>
        </is>
      </c>
      <c r="B72" t="inlineStr">
        <is>
          <t xml:space="preserve"> Pulumati</t>
        </is>
      </c>
      <c r="C72" t="n">
        <v>1022868</v>
      </c>
      <c r="D72" t="inlineStr">
        <is>
          <t>Sreekanth.Pulumati@infinite.com</t>
        </is>
      </c>
      <c r="E72" s="26" t="n">
        <v>30197</v>
      </c>
      <c r="F72" s="26" t="n">
        <v>43794</v>
      </c>
      <c r="G72" s="26" t="n">
        <v>43824</v>
      </c>
      <c r="H72" t="inlineStr">
        <is>
          <t>Male</t>
        </is>
      </c>
      <c r="I72" t="inlineStr">
        <is>
          <t>Asian</t>
        </is>
      </c>
      <c r="J72" t="inlineStr">
        <is>
          <t>WEBSITE</t>
        </is>
      </c>
      <c r="K72" t="inlineStr">
        <is>
          <t>Hyderabad</t>
        </is>
      </c>
      <c r="L72" s="27" t="inlineStr">
        <is>
          <t>IT</t>
        </is>
      </c>
      <c r="M72" t="inlineStr">
        <is>
          <t>Full-Time</t>
        </is>
      </c>
      <c r="N72" t="inlineStr">
        <is>
          <t>Senior Project Manager</t>
        </is>
      </c>
      <c r="O72" t="inlineStr">
        <is>
          <t>E7</t>
        </is>
      </c>
      <c r="P72" t="inlineStr">
        <is>
          <t>Senior Project Manager</t>
        </is>
      </c>
      <c r="Q72" t="inlineStr">
        <is>
          <t>Talluri  Mangarao (1004641)</t>
        </is>
      </c>
      <c r="R72" s="27" t="n"/>
      <c r="S72" s="1" t="n">
        <v>320000</v>
      </c>
      <c r="T72" s="1">
        <f>ROUND(T_EMPLOYEES[[#This Row],[EMP_CTC1]]/12, 0)</f>
        <v/>
      </c>
      <c r="U72" s="1" t="n">
        <v>72000</v>
      </c>
      <c r="V72" s="1" t="inlineStr">
        <is>
          <t>NH</t>
        </is>
      </c>
      <c r="W72" s="1" t="inlineStr">
        <is>
          <t>NH</t>
        </is>
      </c>
      <c r="X7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2" t="n">
        <v>92000</v>
      </c>
      <c r="Z72" s="29">
        <f>(S72 - U72)/S72 * 100</f>
        <v/>
      </c>
      <c r="AA72">
        <f>IF(T_EMPLOYEES[[#This Row],[EMPLOYEE NUMBER]]="","",ROW(T_EMPLOYEES[[#This Row],[EMPLOYEE LABEL]])-ROW(T_EMPLOYEES[[#Headers],[EMPLOYEE LABEL]]))</f>
        <v/>
      </c>
      <c r="AB72">
        <f>IF(T_EMPLOYEES[[#This Row],[EMPLOYEE NUMBER]]="","",IF(COUNTIF(T_EMPLOYEES[EMPLOYEE NUMBER],T_EMPLOYEES[[#This Row],[EMPLOYEE NUMBER]])&gt;1,1,0))</f>
        <v/>
      </c>
      <c r="AC72">
        <f>IF(T_EMPLOYEES[[#This Row],[EMPLOYEE NUMBER]]="","",IF(AND(T_EMPLOYEES[[#This Row],[DATE OF BIRTH]]&gt;0,T_EMPLOYEES[[#This Row],[DATE OF BIRTH]]&lt;TODAY()),0,1))</f>
        <v/>
      </c>
      <c r="AD72">
        <f>IF(T_EMPLOYEES[[#This Row],[EMPLOYEE NUMBER]]="","",IF(AND(T_EMPLOYEES[[#This Row],[START DATE]]&gt;0,T_EMPLOYEES[[#This Row],[START DATE]]&lt;TODAY()+60),0,1))</f>
        <v/>
      </c>
      <c r="AE72">
        <f>IF(T_EMPLOYEES[[#This Row],[EMPLOYEE NUMBER]]="","",MATCH(T_EMPLOYEES[[#This Row],[GENDER]],L_GENDER,0))</f>
        <v/>
      </c>
      <c r="AF72">
        <f>IF(T_EMPLOYEES[[#This Row],[EMPLOYEE NUMBER]]="","",MATCH(T_EMPLOYEES[[#This Row],[HIRE SOURCE]],L_HIRESOURCE,0))</f>
        <v/>
      </c>
      <c r="AG72">
        <f>IF(T_EMPLOYEES[[#This Row],[EMPLOYEE NUMBER]]="","",MATCH(T_EMPLOYEES[[#This Row],[ETHNICITY]],L_ETHNICITY,0))</f>
        <v/>
      </c>
      <c r="AH72">
        <f>IF(T_EMPLOYEES[[#This Row],[EMPLOYEE NUMBER]]="","",MATCH(T_EMPLOYEES[[#This Row],[LOCATION]],L_LOCATION,0))</f>
        <v/>
      </c>
      <c r="AI72">
        <f>IF(T_EMPLOYEES[[#This Row],[EMPLOYEE NUMBER]]="","",MATCH(T_EMPLOYEES[[#This Row],[DEPARTMENT]],L_DEPARTMENT,0))</f>
        <v/>
      </c>
      <c r="AJ72">
        <f>IF(T_EMPLOYEES[[#This Row],[EMPLOYEE NUMBER]]="","",MATCH(T_EMPLOYEES[[#This Row],[JOB TYPE]],L_JOBTYPE,0))</f>
        <v/>
      </c>
      <c r="AK72">
        <f>IF(T_EMPLOYEES[[#This Row],[EMPLOYEE NUMBER]]="","",MATCH(T_EMPLOYEES[[#This Row],[JOB CATEGORY]],L_JOBCATEGORY,0))</f>
        <v/>
      </c>
      <c r="AL72">
        <f>IF(T_EMPLOYEES[[#This Row],[EMPLOYEE NUMBER]]="","",MATCH(T_EMPLOYEES[[#This Row],[JOB LEVEL]],L_JOBLEVEL,0))</f>
        <v/>
      </c>
      <c r="AM72">
        <f>IF(T_EMPLOYEES[[#This Row],[EMPLOYEE NUMBER]]="","",MATCH(T_EMPLOYEES[[#This Row],[JOB TITLE]],L_JOBTITLE,0))</f>
        <v/>
      </c>
      <c r="AN72">
        <f>IF(T_EMPLOYEES[[#This Row],[EMPLOYEE NUMBER]]="","",MATCH(T_EMPLOYEES[[#This Row],[MANAGER]],L_EMPLABELS,0))</f>
        <v/>
      </c>
      <c r="AO72">
        <f>IF(T_EMPLOYEES[[#This Row],[EMPLOYEE NUMBER]]="","",IF(T_EMPLOYEES[[#This Row],[ERROR]]="",0,1))</f>
        <v/>
      </c>
      <c r="AP7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3">
      <c r="A73" t="inlineStr">
        <is>
          <t>N</t>
        </is>
      </c>
      <c r="B73" t="inlineStr">
        <is>
          <t>P LakshmiNarayana</t>
        </is>
      </c>
      <c r="C73" t="n">
        <v>1032377</v>
      </c>
      <c r="D73" t="inlineStr">
        <is>
          <t>Lakshmi.Narayan@infinite.com</t>
        </is>
      </c>
      <c r="E73" s="26" t="n">
        <v>30201</v>
      </c>
      <c r="F73" s="26" t="n">
        <v>44995</v>
      </c>
      <c r="H73" t="inlineStr">
        <is>
          <t>Male</t>
        </is>
      </c>
      <c r="I73" t="inlineStr">
        <is>
          <t>Asian</t>
        </is>
      </c>
      <c r="J73" t="inlineStr">
        <is>
          <t>WEBSITE</t>
        </is>
      </c>
      <c r="K73" t="inlineStr">
        <is>
          <t>Hyderabad</t>
        </is>
      </c>
      <c r="L73" s="27" t="inlineStr">
        <is>
          <t>IT</t>
        </is>
      </c>
      <c r="M73" t="inlineStr">
        <is>
          <t>Full-Time</t>
        </is>
      </c>
      <c r="N73" t="inlineStr">
        <is>
          <t>Technical Lead</t>
        </is>
      </c>
      <c r="O73" t="inlineStr">
        <is>
          <t>E4</t>
        </is>
      </c>
      <c r="P73" t="inlineStr">
        <is>
          <t>Technical Lead</t>
        </is>
      </c>
      <c r="Q73" t="inlineStr">
        <is>
          <t>Prabhakar Janardhanam (1031867)</t>
        </is>
      </c>
      <c r="R73" t="n">
        <v>5</v>
      </c>
      <c r="S73" s="1" t="n">
        <v>320000</v>
      </c>
      <c r="T73" s="1">
        <f>ROUND(T_EMPLOYEES[[#This Row],[EMP_CTC1]]/12, 0)</f>
        <v/>
      </c>
      <c r="U73" s="1" t="n">
        <v>72000</v>
      </c>
      <c r="V73" s="1" t="inlineStr">
        <is>
          <t>NH</t>
        </is>
      </c>
      <c r="W73" s="1" t="inlineStr">
        <is>
          <t>NH</t>
        </is>
      </c>
      <c r="X7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3" t="n">
        <v>92000</v>
      </c>
      <c r="Z73" s="29">
        <f>(S73 - U73)/S73 * 100</f>
        <v/>
      </c>
      <c r="AA73">
        <f>IF(T_EMPLOYEES[[#This Row],[EMPLOYEE NUMBER]]="","",ROW(T_EMPLOYEES[[#This Row],[EMPLOYEE LABEL]])-ROW(T_EMPLOYEES[[#Headers],[EMPLOYEE LABEL]]))</f>
        <v/>
      </c>
      <c r="AB73">
        <f>IF(T_EMPLOYEES[[#This Row],[EMPLOYEE NUMBER]]="","",IF(COUNTIF(T_EMPLOYEES[EMPLOYEE NUMBER],T_EMPLOYEES[[#This Row],[EMPLOYEE NUMBER]])&gt;1,1,0))</f>
        <v/>
      </c>
      <c r="AC73">
        <f>IF(T_EMPLOYEES[[#This Row],[EMPLOYEE NUMBER]]="","",IF(AND(T_EMPLOYEES[[#This Row],[DATE OF BIRTH]]&gt;0,T_EMPLOYEES[[#This Row],[DATE OF BIRTH]]&lt;TODAY()),0,1))</f>
        <v/>
      </c>
      <c r="AD73">
        <f>IF(T_EMPLOYEES[[#This Row],[EMPLOYEE NUMBER]]="","",IF(AND(T_EMPLOYEES[[#This Row],[START DATE]]&gt;0,T_EMPLOYEES[[#This Row],[START DATE]]&lt;TODAY()+60),0,1))</f>
        <v/>
      </c>
      <c r="AE73">
        <f>IF(T_EMPLOYEES[[#This Row],[EMPLOYEE NUMBER]]="","",MATCH(T_EMPLOYEES[[#This Row],[GENDER]],L_GENDER,0))</f>
        <v/>
      </c>
      <c r="AF73">
        <f>IF(T_EMPLOYEES[[#This Row],[EMPLOYEE NUMBER]]="","",MATCH(T_EMPLOYEES[[#This Row],[HIRE SOURCE]],L_HIRESOURCE,0))</f>
        <v/>
      </c>
      <c r="AG73">
        <f>IF(T_EMPLOYEES[[#This Row],[EMPLOYEE NUMBER]]="","",MATCH(T_EMPLOYEES[[#This Row],[ETHNICITY]],L_ETHNICITY,0))</f>
        <v/>
      </c>
      <c r="AH73">
        <f>IF(T_EMPLOYEES[[#This Row],[EMPLOYEE NUMBER]]="","",MATCH(T_EMPLOYEES[[#This Row],[LOCATION]],L_LOCATION,0))</f>
        <v/>
      </c>
      <c r="AI73">
        <f>IF(T_EMPLOYEES[[#This Row],[EMPLOYEE NUMBER]]="","",MATCH(T_EMPLOYEES[[#This Row],[DEPARTMENT]],L_DEPARTMENT,0))</f>
        <v/>
      </c>
      <c r="AJ73">
        <f>IF(T_EMPLOYEES[[#This Row],[EMPLOYEE NUMBER]]="","",MATCH(T_EMPLOYEES[[#This Row],[JOB TYPE]],L_JOBTYPE,0))</f>
        <v/>
      </c>
      <c r="AK73">
        <f>IF(T_EMPLOYEES[[#This Row],[EMPLOYEE NUMBER]]="","",MATCH(T_EMPLOYEES[[#This Row],[JOB CATEGORY]],L_JOBCATEGORY,0))</f>
        <v/>
      </c>
      <c r="AL73">
        <f>IF(T_EMPLOYEES[[#This Row],[EMPLOYEE NUMBER]]="","",MATCH(T_EMPLOYEES[[#This Row],[JOB LEVEL]],L_JOBLEVEL,0))</f>
        <v/>
      </c>
      <c r="AM73">
        <f>IF(T_EMPLOYEES[[#This Row],[EMPLOYEE NUMBER]]="","",MATCH(T_EMPLOYEES[[#This Row],[JOB TITLE]],L_JOBTITLE,0))</f>
        <v/>
      </c>
      <c r="AN73">
        <f>IF(T_EMPLOYEES[[#This Row],[EMPLOYEE NUMBER]]="","",MATCH(T_EMPLOYEES[[#This Row],[MANAGER]],L_EMPLABELS,0))</f>
        <v/>
      </c>
      <c r="AO73">
        <f>IF(T_EMPLOYEES[[#This Row],[EMPLOYEE NUMBER]]="","",IF(T_EMPLOYEES[[#This Row],[ERROR]]="",0,1))</f>
        <v/>
      </c>
      <c r="AP7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4">
      <c r="A74" t="inlineStr">
        <is>
          <t>Syed</t>
        </is>
      </c>
      <c r="B74" t="inlineStr">
        <is>
          <t>Mahammed Shamshuddin</t>
        </is>
      </c>
      <c r="C74" t="n">
        <v>1024396</v>
      </c>
      <c r="D74" t="inlineStr">
        <is>
          <t>Syed.Mahammed@infinite.com</t>
        </is>
      </c>
      <c r="E74" s="26" t="n">
        <v>30233</v>
      </c>
      <c r="F74" s="26" t="n">
        <v>44223</v>
      </c>
      <c r="H74" t="inlineStr">
        <is>
          <t>Male</t>
        </is>
      </c>
      <c r="I74" t="inlineStr">
        <is>
          <t>Asian</t>
        </is>
      </c>
      <c r="J74" t="inlineStr">
        <is>
          <t>WEBSITE</t>
        </is>
      </c>
      <c r="K74" t="inlineStr">
        <is>
          <t>Hyderabad</t>
        </is>
      </c>
      <c r="L74" s="27" t="inlineStr">
        <is>
          <t>IT</t>
        </is>
      </c>
      <c r="M74" t="inlineStr">
        <is>
          <t>Full-Time</t>
        </is>
      </c>
      <c r="N74" t="inlineStr">
        <is>
          <t>Technical Lead</t>
        </is>
      </c>
      <c r="O74" t="inlineStr">
        <is>
          <t>E4</t>
        </is>
      </c>
      <c r="P74" t="inlineStr">
        <is>
          <t>Technical Lead</t>
        </is>
      </c>
      <c r="Q74" t="inlineStr">
        <is>
          <t>D N Rajesh (1028375)</t>
        </is>
      </c>
      <c r="R74" s="27" t="n">
        <v>5</v>
      </c>
      <c r="S74" s="1" t="n">
        <v>320000</v>
      </c>
      <c r="T74" s="1">
        <f>ROUND(T_EMPLOYEES[[#This Row],[EMP_CTC1]]/12, 0)</f>
        <v/>
      </c>
      <c r="U74" s="1" t="n">
        <v>72000</v>
      </c>
      <c r="V74" s="1" t="inlineStr">
        <is>
          <t>NH</t>
        </is>
      </c>
      <c r="W74" s="1" t="inlineStr">
        <is>
          <t>NH</t>
        </is>
      </c>
      <c r="X7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4" t="n">
        <v>92000</v>
      </c>
      <c r="Z74" s="29">
        <f>(S74 - U74)/S74 * 100</f>
        <v/>
      </c>
      <c r="AA74">
        <f>IF(T_EMPLOYEES[[#This Row],[EMPLOYEE NUMBER]]="","",ROW(T_EMPLOYEES[[#This Row],[EMPLOYEE LABEL]])-ROW(T_EMPLOYEES[[#Headers],[EMPLOYEE LABEL]]))</f>
        <v/>
      </c>
      <c r="AB74">
        <f>IF(T_EMPLOYEES[[#This Row],[EMPLOYEE NUMBER]]="","",IF(COUNTIF(T_EMPLOYEES[EMPLOYEE NUMBER],T_EMPLOYEES[[#This Row],[EMPLOYEE NUMBER]])&gt;1,1,0))</f>
        <v/>
      </c>
      <c r="AC74">
        <f>IF(T_EMPLOYEES[[#This Row],[EMPLOYEE NUMBER]]="","",IF(AND(T_EMPLOYEES[[#This Row],[DATE OF BIRTH]]&gt;0,T_EMPLOYEES[[#This Row],[DATE OF BIRTH]]&lt;TODAY()),0,1))</f>
        <v/>
      </c>
      <c r="AD74">
        <f>IF(T_EMPLOYEES[[#This Row],[EMPLOYEE NUMBER]]="","",IF(AND(T_EMPLOYEES[[#This Row],[START DATE]]&gt;0,T_EMPLOYEES[[#This Row],[START DATE]]&lt;TODAY()+60),0,1))</f>
        <v/>
      </c>
      <c r="AE74">
        <f>IF(T_EMPLOYEES[[#This Row],[EMPLOYEE NUMBER]]="","",MATCH(T_EMPLOYEES[[#This Row],[GENDER]],L_GENDER,0))</f>
        <v/>
      </c>
      <c r="AF74">
        <f>IF(T_EMPLOYEES[[#This Row],[EMPLOYEE NUMBER]]="","",MATCH(T_EMPLOYEES[[#This Row],[HIRE SOURCE]],L_HIRESOURCE,0))</f>
        <v/>
      </c>
      <c r="AG74">
        <f>IF(T_EMPLOYEES[[#This Row],[EMPLOYEE NUMBER]]="","",MATCH(T_EMPLOYEES[[#This Row],[ETHNICITY]],L_ETHNICITY,0))</f>
        <v/>
      </c>
      <c r="AH74">
        <f>IF(T_EMPLOYEES[[#This Row],[EMPLOYEE NUMBER]]="","",MATCH(T_EMPLOYEES[[#This Row],[LOCATION]],L_LOCATION,0))</f>
        <v/>
      </c>
      <c r="AI74">
        <f>IF(T_EMPLOYEES[[#This Row],[EMPLOYEE NUMBER]]="","",MATCH(T_EMPLOYEES[[#This Row],[DEPARTMENT]],L_DEPARTMENT,0))</f>
        <v/>
      </c>
      <c r="AJ74">
        <f>IF(T_EMPLOYEES[[#This Row],[EMPLOYEE NUMBER]]="","",MATCH(T_EMPLOYEES[[#This Row],[JOB TYPE]],L_JOBTYPE,0))</f>
        <v/>
      </c>
      <c r="AK74">
        <f>IF(T_EMPLOYEES[[#This Row],[EMPLOYEE NUMBER]]="","",MATCH(T_EMPLOYEES[[#This Row],[JOB CATEGORY]],L_JOBCATEGORY,0))</f>
        <v/>
      </c>
      <c r="AL74">
        <f>IF(T_EMPLOYEES[[#This Row],[EMPLOYEE NUMBER]]="","",MATCH(T_EMPLOYEES[[#This Row],[JOB LEVEL]],L_JOBLEVEL,0))</f>
        <v/>
      </c>
      <c r="AM74">
        <f>IF(T_EMPLOYEES[[#This Row],[EMPLOYEE NUMBER]]="","",MATCH(T_EMPLOYEES[[#This Row],[JOB TITLE]],L_JOBTITLE,0))</f>
        <v/>
      </c>
      <c r="AN74">
        <f>IF(T_EMPLOYEES[[#This Row],[EMPLOYEE NUMBER]]="","",MATCH(T_EMPLOYEES[[#This Row],[MANAGER]],L_EMPLABELS,0))</f>
        <v/>
      </c>
      <c r="AO74">
        <f>IF(T_EMPLOYEES[[#This Row],[EMPLOYEE NUMBER]]="","",IF(T_EMPLOYEES[[#This Row],[ERROR]]="",0,1))</f>
        <v/>
      </c>
      <c r="AP7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5">
      <c r="A75" t="inlineStr">
        <is>
          <t>Tabasum</t>
        </is>
      </c>
      <c r="B75" t="inlineStr">
        <is>
          <t>Ara Begum</t>
        </is>
      </c>
      <c r="C75" t="n">
        <v>1027391</v>
      </c>
      <c r="D75" t="inlineStr">
        <is>
          <t>Tabasum.Begum@infinite.com</t>
        </is>
      </c>
      <c r="E75" s="26" t="n">
        <v>30274</v>
      </c>
      <c r="F75" s="26" t="n">
        <v>44529</v>
      </c>
      <c r="H75" t="inlineStr">
        <is>
          <t>Female</t>
        </is>
      </c>
      <c r="I75" t="inlineStr">
        <is>
          <t>Asian</t>
        </is>
      </c>
      <c r="J75" t="inlineStr">
        <is>
          <t>WEBSITE</t>
        </is>
      </c>
      <c r="K75" t="inlineStr">
        <is>
          <t>Hyderabad</t>
        </is>
      </c>
      <c r="L75" s="27" t="inlineStr">
        <is>
          <t>IT</t>
        </is>
      </c>
      <c r="M75" t="inlineStr">
        <is>
          <t>Full-Time</t>
        </is>
      </c>
      <c r="N75" t="inlineStr">
        <is>
          <t>Technical Lead</t>
        </is>
      </c>
      <c r="O75" t="inlineStr">
        <is>
          <t>E4</t>
        </is>
      </c>
      <c r="P75" t="inlineStr">
        <is>
          <t>Technical Lead</t>
        </is>
      </c>
      <c r="Q75" t="inlineStr">
        <is>
          <t>T  Muthukumar (1022795)</t>
        </is>
      </c>
      <c r="R75" t="n">
        <v>5</v>
      </c>
      <c r="S75" s="1" t="n">
        <v>320000</v>
      </c>
      <c r="T75" s="1">
        <f>ROUND(T_EMPLOYEES[[#This Row],[EMP_CTC1]]/12, 0)</f>
        <v/>
      </c>
      <c r="U75" s="1" t="n">
        <v>72000</v>
      </c>
      <c r="V75" s="1" t="inlineStr">
        <is>
          <t>NH</t>
        </is>
      </c>
      <c r="W75" s="1" t="inlineStr">
        <is>
          <t>NH Projects</t>
        </is>
      </c>
      <c r="X7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5" t="n">
        <v>60000</v>
      </c>
      <c r="Z75" s="29">
        <f>(S75 - U75)/S75 * 100</f>
        <v/>
      </c>
      <c r="AA75">
        <f>IF(T_EMPLOYEES[[#This Row],[EMPLOYEE NUMBER]]="","",ROW(T_EMPLOYEES[[#This Row],[EMPLOYEE LABEL]])-ROW(T_EMPLOYEES[[#Headers],[EMPLOYEE LABEL]]))</f>
        <v/>
      </c>
      <c r="AB75">
        <f>IF(T_EMPLOYEES[[#This Row],[EMPLOYEE NUMBER]]="","",IF(COUNTIF(T_EMPLOYEES[EMPLOYEE NUMBER],T_EMPLOYEES[[#This Row],[EMPLOYEE NUMBER]])&gt;1,1,0))</f>
        <v/>
      </c>
      <c r="AC75">
        <f>IF(T_EMPLOYEES[[#This Row],[EMPLOYEE NUMBER]]="","",IF(AND(T_EMPLOYEES[[#This Row],[DATE OF BIRTH]]&gt;0,T_EMPLOYEES[[#This Row],[DATE OF BIRTH]]&lt;TODAY()),0,1))</f>
        <v/>
      </c>
      <c r="AD75">
        <f>IF(T_EMPLOYEES[[#This Row],[EMPLOYEE NUMBER]]="","",IF(AND(T_EMPLOYEES[[#This Row],[START DATE]]&gt;0,T_EMPLOYEES[[#This Row],[START DATE]]&lt;TODAY()+60),0,1))</f>
        <v/>
      </c>
      <c r="AE75">
        <f>IF(T_EMPLOYEES[[#This Row],[EMPLOYEE NUMBER]]="","",MATCH(T_EMPLOYEES[[#This Row],[GENDER]],L_GENDER,0))</f>
        <v/>
      </c>
      <c r="AF75">
        <f>IF(T_EMPLOYEES[[#This Row],[EMPLOYEE NUMBER]]="","",MATCH(T_EMPLOYEES[[#This Row],[HIRE SOURCE]],L_HIRESOURCE,0))</f>
        <v/>
      </c>
      <c r="AG75">
        <f>IF(T_EMPLOYEES[[#This Row],[EMPLOYEE NUMBER]]="","",MATCH(T_EMPLOYEES[[#This Row],[ETHNICITY]],L_ETHNICITY,0))</f>
        <v/>
      </c>
      <c r="AH75">
        <f>IF(T_EMPLOYEES[[#This Row],[EMPLOYEE NUMBER]]="","",MATCH(T_EMPLOYEES[[#This Row],[LOCATION]],L_LOCATION,0))</f>
        <v/>
      </c>
      <c r="AI75">
        <f>IF(T_EMPLOYEES[[#This Row],[EMPLOYEE NUMBER]]="","",MATCH(T_EMPLOYEES[[#This Row],[DEPARTMENT]],L_DEPARTMENT,0))</f>
        <v/>
      </c>
      <c r="AJ75">
        <f>IF(T_EMPLOYEES[[#This Row],[EMPLOYEE NUMBER]]="","",MATCH(T_EMPLOYEES[[#This Row],[JOB TYPE]],L_JOBTYPE,0))</f>
        <v/>
      </c>
      <c r="AK75">
        <f>IF(T_EMPLOYEES[[#This Row],[EMPLOYEE NUMBER]]="","",MATCH(T_EMPLOYEES[[#This Row],[JOB CATEGORY]],L_JOBCATEGORY,0))</f>
        <v/>
      </c>
      <c r="AL75">
        <f>IF(T_EMPLOYEES[[#This Row],[EMPLOYEE NUMBER]]="","",MATCH(T_EMPLOYEES[[#This Row],[JOB LEVEL]],L_JOBLEVEL,0))</f>
        <v/>
      </c>
      <c r="AM75">
        <f>IF(T_EMPLOYEES[[#This Row],[EMPLOYEE NUMBER]]="","",MATCH(T_EMPLOYEES[[#This Row],[JOB TITLE]],L_JOBTITLE,0))</f>
        <v/>
      </c>
      <c r="AN75">
        <f>IF(T_EMPLOYEES[[#This Row],[EMPLOYEE NUMBER]]="","",MATCH(T_EMPLOYEES[[#This Row],[MANAGER]],L_EMPLABELS,0))</f>
        <v/>
      </c>
      <c r="AO75">
        <f>IF(T_EMPLOYEES[[#This Row],[EMPLOYEE NUMBER]]="","",IF(T_EMPLOYEES[[#This Row],[ERROR]]="",0,1))</f>
        <v/>
      </c>
      <c r="AP7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6">
      <c r="A76" t="inlineStr">
        <is>
          <t>Ashwin</t>
        </is>
      </c>
      <c r="B76" t="inlineStr">
        <is>
          <t xml:space="preserve"> Bhaskaran</t>
        </is>
      </c>
      <c r="C76" t="n">
        <v>1018072</v>
      </c>
      <c r="D76" t="inlineStr">
        <is>
          <t>Ashwin.Bhaskaran@infinite.com</t>
        </is>
      </c>
      <c r="E76" s="26" t="n">
        <v>30300</v>
      </c>
      <c r="F76" s="26" t="n">
        <v>42429</v>
      </c>
      <c r="G76" s="26" t="n">
        <v>44177</v>
      </c>
      <c r="H76" t="inlineStr">
        <is>
          <t>Male</t>
        </is>
      </c>
      <c r="I76" t="inlineStr">
        <is>
          <t>Asian</t>
        </is>
      </c>
      <c r="J76" t="inlineStr">
        <is>
          <t>WEBSITE</t>
        </is>
      </c>
      <c r="K76" t="inlineStr">
        <is>
          <t>Hyderabad</t>
        </is>
      </c>
      <c r="L76" s="27" t="inlineStr">
        <is>
          <t>IT</t>
        </is>
      </c>
      <c r="M76" t="inlineStr">
        <is>
          <t>Full-Time</t>
        </is>
      </c>
      <c r="N76" t="inlineStr">
        <is>
          <t>Senior Lead Business Analyst</t>
        </is>
      </c>
      <c r="O76" t="inlineStr">
        <is>
          <t>E5</t>
        </is>
      </c>
      <c r="P76" t="inlineStr">
        <is>
          <t>Senior Lead Business Analyst</t>
        </is>
      </c>
      <c r="Q76" t="inlineStr">
        <is>
          <t>Siddharth Kumar (1027551)</t>
        </is>
      </c>
      <c r="R76" s="27" t="n">
        <v>7</v>
      </c>
      <c r="S76" s="1" t="n">
        <v>320000</v>
      </c>
      <c r="T76" s="1">
        <f>ROUND(T_EMPLOYEES[[#This Row],[EMP_CTC1]]/12, 0)</f>
        <v/>
      </c>
      <c r="U76" s="1" t="n">
        <v>72000</v>
      </c>
      <c r="V76" s="1" t="inlineStr">
        <is>
          <t>NH</t>
        </is>
      </c>
      <c r="W76" s="1" t="inlineStr">
        <is>
          <t>NH</t>
        </is>
      </c>
      <c r="X7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6" t="n">
        <v>60000</v>
      </c>
      <c r="Z76" s="29">
        <f>(S76 - U76)/S76 * 100</f>
        <v/>
      </c>
      <c r="AA76">
        <f>IF(T_EMPLOYEES[[#This Row],[EMPLOYEE NUMBER]]="","",ROW(T_EMPLOYEES[[#This Row],[EMPLOYEE LABEL]])-ROW(T_EMPLOYEES[[#Headers],[EMPLOYEE LABEL]]))</f>
        <v/>
      </c>
      <c r="AB76">
        <f>IF(T_EMPLOYEES[[#This Row],[EMPLOYEE NUMBER]]="","",IF(COUNTIF(T_EMPLOYEES[EMPLOYEE NUMBER],T_EMPLOYEES[[#This Row],[EMPLOYEE NUMBER]])&gt;1,1,0))</f>
        <v/>
      </c>
      <c r="AC76">
        <f>IF(T_EMPLOYEES[[#This Row],[EMPLOYEE NUMBER]]="","",IF(AND(T_EMPLOYEES[[#This Row],[DATE OF BIRTH]]&gt;0,T_EMPLOYEES[[#This Row],[DATE OF BIRTH]]&lt;TODAY()),0,1))</f>
        <v/>
      </c>
      <c r="AD76">
        <f>IF(T_EMPLOYEES[[#This Row],[EMPLOYEE NUMBER]]="","",IF(AND(T_EMPLOYEES[[#This Row],[START DATE]]&gt;0,T_EMPLOYEES[[#This Row],[START DATE]]&lt;TODAY()+60),0,1))</f>
        <v/>
      </c>
      <c r="AE76">
        <f>IF(T_EMPLOYEES[[#This Row],[EMPLOYEE NUMBER]]="","",MATCH(T_EMPLOYEES[[#This Row],[GENDER]],L_GENDER,0))</f>
        <v/>
      </c>
      <c r="AF76">
        <f>IF(T_EMPLOYEES[[#This Row],[EMPLOYEE NUMBER]]="","",MATCH(T_EMPLOYEES[[#This Row],[HIRE SOURCE]],L_HIRESOURCE,0))</f>
        <v/>
      </c>
      <c r="AG76">
        <f>IF(T_EMPLOYEES[[#This Row],[EMPLOYEE NUMBER]]="","",MATCH(T_EMPLOYEES[[#This Row],[ETHNICITY]],L_ETHNICITY,0))</f>
        <v/>
      </c>
      <c r="AH76">
        <f>IF(T_EMPLOYEES[[#This Row],[EMPLOYEE NUMBER]]="","",MATCH(T_EMPLOYEES[[#This Row],[LOCATION]],L_LOCATION,0))</f>
        <v/>
      </c>
      <c r="AI76">
        <f>IF(T_EMPLOYEES[[#This Row],[EMPLOYEE NUMBER]]="","",MATCH(T_EMPLOYEES[[#This Row],[DEPARTMENT]],L_DEPARTMENT,0))</f>
        <v/>
      </c>
      <c r="AJ76">
        <f>IF(T_EMPLOYEES[[#This Row],[EMPLOYEE NUMBER]]="","",MATCH(T_EMPLOYEES[[#This Row],[JOB TYPE]],L_JOBTYPE,0))</f>
        <v/>
      </c>
      <c r="AK76">
        <f>IF(T_EMPLOYEES[[#This Row],[EMPLOYEE NUMBER]]="","",MATCH(T_EMPLOYEES[[#This Row],[JOB CATEGORY]],L_JOBCATEGORY,0))</f>
        <v/>
      </c>
      <c r="AL76">
        <f>IF(T_EMPLOYEES[[#This Row],[EMPLOYEE NUMBER]]="","",MATCH(T_EMPLOYEES[[#This Row],[JOB LEVEL]],L_JOBLEVEL,0))</f>
        <v/>
      </c>
      <c r="AM76">
        <f>IF(T_EMPLOYEES[[#This Row],[EMPLOYEE NUMBER]]="","",MATCH(T_EMPLOYEES[[#This Row],[JOB TITLE]],L_JOBTITLE,0))</f>
        <v/>
      </c>
      <c r="AN76">
        <f>IF(T_EMPLOYEES[[#This Row],[EMPLOYEE NUMBER]]="","",MATCH(T_EMPLOYEES[[#This Row],[MANAGER]],L_EMPLABELS,0))</f>
        <v/>
      </c>
      <c r="AO76">
        <f>IF(T_EMPLOYEES[[#This Row],[EMPLOYEE NUMBER]]="","",IF(T_EMPLOYEES[[#This Row],[ERROR]]="",0,1))</f>
        <v/>
      </c>
      <c r="AP7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7">
      <c r="A77" t="inlineStr">
        <is>
          <t>Bharani</t>
        </is>
      </c>
      <c r="B77" t="inlineStr">
        <is>
          <t xml:space="preserve"> Kanthan K</t>
        </is>
      </c>
      <c r="C77" t="n">
        <v>1024491</v>
      </c>
      <c r="D77" t="inlineStr">
        <is>
          <t>Bharani.Kanthan@infinite.com</t>
        </is>
      </c>
      <c r="E77" s="26" t="n">
        <v>30366</v>
      </c>
      <c r="F77" s="26" t="n">
        <v>44237</v>
      </c>
      <c r="H77" t="inlineStr">
        <is>
          <t>Male</t>
        </is>
      </c>
      <c r="I77" t="inlineStr">
        <is>
          <t>Asian</t>
        </is>
      </c>
      <c r="J77" t="inlineStr">
        <is>
          <t>WEBSITE</t>
        </is>
      </c>
      <c r="K77" t="inlineStr">
        <is>
          <t>Chennai</t>
        </is>
      </c>
      <c r="L77" s="27" t="inlineStr">
        <is>
          <t>IT</t>
        </is>
      </c>
      <c r="M77" t="inlineStr">
        <is>
          <t>Full-Time</t>
        </is>
      </c>
      <c r="N77" t="inlineStr">
        <is>
          <t>Assistant Manager</t>
        </is>
      </c>
      <c r="O77" t="inlineStr">
        <is>
          <t>E4</t>
        </is>
      </c>
      <c r="P77" t="inlineStr">
        <is>
          <t>Assistant Manager</t>
        </is>
      </c>
      <c r="Q77" t="inlineStr">
        <is>
          <t>Radhakanta  Samantara (1010164)</t>
        </is>
      </c>
      <c r="R77" t="n">
        <v>5</v>
      </c>
      <c r="S77" s="1" t="n">
        <v>320000</v>
      </c>
      <c r="T77" s="1">
        <f>ROUND(T_EMPLOYEES[[#This Row],[EMP_CTC1]]/12, 0)</f>
        <v/>
      </c>
      <c r="U77" s="1" t="n">
        <v>72000</v>
      </c>
      <c r="V77" s="1" t="inlineStr">
        <is>
          <t>NH</t>
        </is>
      </c>
      <c r="W77" s="1" t="inlineStr">
        <is>
          <t>NH</t>
        </is>
      </c>
      <c r="X7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7" t="n">
        <v>60000</v>
      </c>
      <c r="Z77" s="29">
        <f>(S77 - U77)/S77 * 100</f>
        <v/>
      </c>
      <c r="AA77">
        <f>IF(T_EMPLOYEES[[#This Row],[EMPLOYEE NUMBER]]="","",ROW(T_EMPLOYEES[[#This Row],[EMPLOYEE LABEL]])-ROW(T_EMPLOYEES[[#Headers],[EMPLOYEE LABEL]]))</f>
        <v/>
      </c>
      <c r="AB77">
        <f>IF(T_EMPLOYEES[[#This Row],[EMPLOYEE NUMBER]]="","",IF(COUNTIF(T_EMPLOYEES[EMPLOYEE NUMBER],T_EMPLOYEES[[#This Row],[EMPLOYEE NUMBER]])&gt;1,1,0))</f>
        <v/>
      </c>
      <c r="AC77">
        <f>IF(T_EMPLOYEES[[#This Row],[EMPLOYEE NUMBER]]="","",IF(AND(T_EMPLOYEES[[#This Row],[DATE OF BIRTH]]&gt;0,T_EMPLOYEES[[#This Row],[DATE OF BIRTH]]&lt;TODAY()),0,1))</f>
        <v/>
      </c>
      <c r="AD77">
        <f>IF(T_EMPLOYEES[[#This Row],[EMPLOYEE NUMBER]]="","",IF(AND(T_EMPLOYEES[[#This Row],[START DATE]]&gt;0,T_EMPLOYEES[[#This Row],[START DATE]]&lt;TODAY()+60),0,1))</f>
        <v/>
      </c>
      <c r="AE77">
        <f>IF(T_EMPLOYEES[[#This Row],[EMPLOYEE NUMBER]]="","",MATCH(T_EMPLOYEES[[#This Row],[GENDER]],L_GENDER,0))</f>
        <v/>
      </c>
      <c r="AF77">
        <f>IF(T_EMPLOYEES[[#This Row],[EMPLOYEE NUMBER]]="","",MATCH(T_EMPLOYEES[[#This Row],[HIRE SOURCE]],L_HIRESOURCE,0))</f>
        <v/>
      </c>
      <c r="AG77">
        <f>IF(T_EMPLOYEES[[#This Row],[EMPLOYEE NUMBER]]="","",MATCH(T_EMPLOYEES[[#This Row],[ETHNICITY]],L_ETHNICITY,0))</f>
        <v/>
      </c>
      <c r="AH77">
        <f>IF(T_EMPLOYEES[[#This Row],[EMPLOYEE NUMBER]]="","",MATCH(T_EMPLOYEES[[#This Row],[LOCATION]],L_LOCATION,0))</f>
        <v/>
      </c>
      <c r="AI77">
        <f>IF(T_EMPLOYEES[[#This Row],[EMPLOYEE NUMBER]]="","",MATCH(T_EMPLOYEES[[#This Row],[DEPARTMENT]],L_DEPARTMENT,0))</f>
        <v/>
      </c>
      <c r="AJ77">
        <f>IF(T_EMPLOYEES[[#This Row],[EMPLOYEE NUMBER]]="","",MATCH(T_EMPLOYEES[[#This Row],[JOB TYPE]],L_JOBTYPE,0))</f>
        <v/>
      </c>
      <c r="AK77">
        <f>IF(T_EMPLOYEES[[#This Row],[EMPLOYEE NUMBER]]="","",MATCH(T_EMPLOYEES[[#This Row],[JOB CATEGORY]],L_JOBCATEGORY,0))</f>
        <v/>
      </c>
      <c r="AL77">
        <f>IF(T_EMPLOYEES[[#This Row],[EMPLOYEE NUMBER]]="","",MATCH(T_EMPLOYEES[[#This Row],[JOB LEVEL]],L_JOBLEVEL,0))</f>
        <v/>
      </c>
      <c r="AM77">
        <f>IF(T_EMPLOYEES[[#This Row],[EMPLOYEE NUMBER]]="","",MATCH(T_EMPLOYEES[[#This Row],[JOB TITLE]],L_JOBTITLE,0))</f>
        <v/>
      </c>
      <c r="AN77">
        <f>IF(T_EMPLOYEES[[#This Row],[EMPLOYEE NUMBER]]="","",MATCH(T_EMPLOYEES[[#This Row],[MANAGER]],L_EMPLABELS,0))</f>
        <v/>
      </c>
      <c r="AO77">
        <f>IF(T_EMPLOYEES[[#This Row],[EMPLOYEE NUMBER]]="","",IF(T_EMPLOYEES[[#This Row],[ERROR]]="",0,1))</f>
        <v/>
      </c>
      <c r="AP7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8">
      <c r="A78" t="inlineStr">
        <is>
          <t>Jantikar</t>
        </is>
      </c>
      <c r="B78" t="inlineStr">
        <is>
          <t>Ganesh</t>
        </is>
      </c>
      <c r="C78" t="n">
        <v>1029038</v>
      </c>
      <c r="D78" t="inlineStr">
        <is>
          <t>Jantikar.Ganesh@infinite.com</t>
        </is>
      </c>
      <c r="E78" s="26" t="n">
        <v>30377</v>
      </c>
      <c r="F78" s="26" t="n">
        <v>44692</v>
      </c>
      <c r="H78" t="inlineStr">
        <is>
          <t>Male</t>
        </is>
      </c>
      <c r="I78" t="inlineStr">
        <is>
          <t>Asian</t>
        </is>
      </c>
      <c r="J78" t="inlineStr">
        <is>
          <t>WEBSITE</t>
        </is>
      </c>
      <c r="K78" t="inlineStr">
        <is>
          <t>Hyderabad</t>
        </is>
      </c>
      <c r="L78" s="27" t="inlineStr">
        <is>
          <t>IT</t>
        </is>
      </c>
      <c r="M78" t="inlineStr">
        <is>
          <t>Full-Time</t>
        </is>
      </c>
      <c r="N78" t="inlineStr">
        <is>
          <t>Technical Manager</t>
        </is>
      </c>
      <c r="O78" t="inlineStr">
        <is>
          <t>E6</t>
        </is>
      </c>
      <c r="P78" t="inlineStr">
        <is>
          <t>Technical Manager</t>
        </is>
      </c>
      <c r="Q78" t="inlineStr">
        <is>
          <t>Siddharth Kumar (1027551)</t>
        </is>
      </c>
      <c r="R78" s="27" t="n">
        <v>7</v>
      </c>
      <c r="S78" s="1" t="n">
        <v>320000</v>
      </c>
      <c r="T78" s="1">
        <f>ROUND(T_EMPLOYEES[[#This Row],[EMP_CTC1]]/12, 0)</f>
        <v/>
      </c>
      <c r="U78" s="1" t="n">
        <v>72000</v>
      </c>
      <c r="V78" s="1" t="inlineStr">
        <is>
          <t>NH</t>
        </is>
      </c>
      <c r="W78" s="1" t="inlineStr">
        <is>
          <t>NH</t>
        </is>
      </c>
      <c r="X7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8" t="n">
        <v>60000</v>
      </c>
      <c r="Z78" s="29">
        <f>(S78 - U78)/S78 * 100</f>
        <v/>
      </c>
      <c r="AA78">
        <f>IF(T_EMPLOYEES[[#This Row],[EMPLOYEE NUMBER]]="","",ROW(T_EMPLOYEES[[#This Row],[EMPLOYEE LABEL]])-ROW(T_EMPLOYEES[[#Headers],[EMPLOYEE LABEL]]))</f>
        <v/>
      </c>
      <c r="AB78">
        <f>IF(T_EMPLOYEES[[#This Row],[EMPLOYEE NUMBER]]="","",IF(COUNTIF(T_EMPLOYEES[EMPLOYEE NUMBER],T_EMPLOYEES[[#This Row],[EMPLOYEE NUMBER]])&gt;1,1,0))</f>
        <v/>
      </c>
      <c r="AC78">
        <f>IF(T_EMPLOYEES[[#This Row],[EMPLOYEE NUMBER]]="","",IF(AND(T_EMPLOYEES[[#This Row],[DATE OF BIRTH]]&gt;0,T_EMPLOYEES[[#This Row],[DATE OF BIRTH]]&lt;TODAY()),0,1))</f>
        <v/>
      </c>
      <c r="AD78">
        <f>IF(T_EMPLOYEES[[#This Row],[EMPLOYEE NUMBER]]="","",IF(AND(T_EMPLOYEES[[#This Row],[START DATE]]&gt;0,T_EMPLOYEES[[#This Row],[START DATE]]&lt;TODAY()+60),0,1))</f>
        <v/>
      </c>
      <c r="AE78">
        <f>IF(T_EMPLOYEES[[#This Row],[EMPLOYEE NUMBER]]="","",MATCH(T_EMPLOYEES[[#This Row],[GENDER]],L_GENDER,0))</f>
        <v/>
      </c>
      <c r="AF78">
        <f>IF(T_EMPLOYEES[[#This Row],[EMPLOYEE NUMBER]]="","",MATCH(T_EMPLOYEES[[#This Row],[HIRE SOURCE]],L_HIRESOURCE,0))</f>
        <v/>
      </c>
      <c r="AG78">
        <f>IF(T_EMPLOYEES[[#This Row],[EMPLOYEE NUMBER]]="","",MATCH(T_EMPLOYEES[[#This Row],[ETHNICITY]],L_ETHNICITY,0))</f>
        <v/>
      </c>
      <c r="AH78">
        <f>IF(T_EMPLOYEES[[#This Row],[EMPLOYEE NUMBER]]="","",MATCH(T_EMPLOYEES[[#This Row],[LOCATION]],L_LOCATION,0))</f>
        <v/>
      </c>
      <c r="AI78">
        <f>IF(T_EMPLOYEES[[#This Row],[EMPLOYEE NUMBER]]="","",MATCH(T_EMPLOYEES[[#This Row],[DEPARTMENT]],L_DEPARTMENT,0))</f>
        <v/>
      </c>
      <c r="AJ78">
        <f>IF(T_EMPLOYEES[[#This Row],[EMPLOYEE NUMBER]]="","",MATCH(T_EMPLOYEES[[#This Row],[JOB TYPE]],L_JOBTYPE,0))</f>
        <v/>
      </c>
      <c r="AK78">
        <f>IF(T_EMPLOYEES[[#This Row],[EMPLOYEE NUMBER]]="","",MATCH(T_EMPLOYEES[[#This Row],[JOB CATEGORY]],L_JOBCATEGORY,0))</f>
        <v/>
      </c>
      <c r="AL78">
        <f>IF(T_EMPLOYEES[[#This Row],[EMPLOYEE NUMBER]]="","",MATCH(T_EMPLOYEES[[#This Row],[JOB LEVEL]],L_JOBLEVEL,0))</f>
        <v/>
      </c>
      <c r="AM78">
        <f>IF(T_EMPLOYEES[[#This Row],[EMPLOYEE NUMBER]]="","",MATCH(T_EMPLOYEES[[#This Row],[JOB TITLE]],L_JOBTITLE,0))</f>
        <v/>
      </c>
      <c r="AN78">
        <f>IF(T_EMPLOYEES[[#This Row],[EMPLOYEE NUMBER]]="","",MATCH(T_EMPLOYEES[[#This Row],[MANAGER]],L_EMPLABELS,0))</f>
        <v/>
      </c>
      <c r="AO78">
        <f>IF(T_EMPLOYEES[[#This Row],[EMPLOYEE NUMBER]]="","",IF(T_EMPLOYEES[[#This Row],[ERROR]]="",0,1))</f>
        <v/>
      </c>
      <c r="AP7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79">
      <c r="A79" t="inlineStr">
        <is>
          <t>Sunitha</t>
        </is>
      </c>
      <c r="B79" t="inlineStr">
        <is>
          <t>Panguluri</t>
        </is>
      </c>
      <c r="C79" t="n">
        <v>1031865</v>
      </c>
      <c r="D79" t="inlineStr">
        <is>
          <t>Sunitha.Panguluri@infinite.com</t>
        </is>
      </c>
      <c r="E79" s="26" t="n">
        <v>30384</v>
      </c>
      <c r="F79" s="26" t="n">
        <v>44914</v>
      </c>
      <c r="H79" t="inlineStr">
        <is>
          <t>Female</t>
        </is>
      </c>
      <c r="I79" t="inlineStr">
        <is>
          <t>Asian</t>
        </is>
      </c>
      <c r="J79" t="inlineStr">
        <is>
          <t>WEBSITE</t>
        </is>
      </c>
      <c r="K79" t="inlineStr">
        <is>
          <t>Hyderabad</t>
        </is>
      </c>
      <c r="L79" s="27" t="inlineStr">
        <is>
          <t>IT</t>
        </is>
      </c>
      <c r="M79" t="inlineStr">
        <is>
          <t>Full-Time</t>
        </is>
      </c>
      <c r="N79" t="inlineStr">
        <is>
          <t>Technical Manager</t>
        </is>
      </c>
      <c r="O79" t="inlineStr">
        <is>
          <t>E6</t>
        </is>
      </c>
      <c r="P79" t="inlineStr">
        <is>
          <t>Technical Manager</t>
        </is>
      </c>
      <c r="Q79" t="inlineStr">
        <is>
          <t>Srisha N (1031856)</t>
        </is>
      </c>
      <c r="R79" t="n">
        <v>7</v>
      </c>
      <c r="S79" s="1" t="n">
        <v>320000</v>
      </c>
      <c r="T79" s="1">
        <f>ROUND(T_EMPLOYEES[[#This Row],[EMP_CTC1]]/12, 0)</f>
        <v/>
      </c>
      <c r="U79" s="1" t="n">
        <v>72000</v>
      </c>
      <c r="V79" s="1" t="inlineStr">
        <is>
          <t>NH</t>
        </is>
      </c>
      <c r="W79" s="1" t="inlineStr">
        <is>
          <t>NH</t>
        </is>
      </c>
      <c r="X7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79" t="n">
        <v>60000</v>
      </c>
      <c r="Z79" s="29">
        <f>(S79 - U79)/S79 * 100</f>
        <v/>
      </c>
      <c r="AA79">
        <f>IF(T_EMPLOYEES[[#This Row],[EMPLOYEE NUMBER]]="","",ROW(T_EMPLOYEES[[#This Row],[EMPLOYEE LABEL]])-ROW(T_EMPLOYEES[[#Headers],[EMPLOYEE LABEL]]))</f>
        <v/>
      </c>
      <c r="AB79">
        <f>IF(T_EMPLOYEES[[#This Row],[EMPLOYEE NUMBER]]="","",IF(COUNTIF(T_EMPLOYEES[EMPLOYEE NUMBER],T_EMPLOYEES[[#This Row],[EMPLOYEE NUMBER]])&gt;1,1,0))</f>
        <v/>
      </c>
      <c r="AC79">
        <f>IF(T_EMPLOYEES[[#This Row],[EMPLOYEE NUMBER]]="","",IF(AND(T_EMPLOYEES[[#This Row],[DATE OF BIRTH]]&gt;0,T_EMPLOYEES[[#This Row],[DATE OF BIRTH]]&lt;TODAY()),0,1))</f>
        <v/>
      </c>
      <c r="AD79">
        <f>IF(T_EMPLOYEES[[#This Row],[EMPLOYEE NUMBER]]="","",IF(AND(T_EMPLOYEES[[#This Row],[START DATE]]&gt;0,T_EMPLOYEES[[#This Row],[START DATE]]&lt;TODAY()+60),0,1))</f>
        <v/>
      </c>
      <c r="AE79">
        <f>IF(T_EMPLOYEES[[#This Row],[EMPLOYEE NUMBER]]="","",MATCH(T_EMPLOYEES[[#This Row],[GENDER]],L_GENDER,0))</f>
        <v/>
      </c>
      <c r="AF79">
        <f>IF(T_EMPLOYEES[[#This Row],[EMPLOYEE NUMBER]]="","",MATCH(T_EMPLOYEES[[#This Row],[HIRE SOURCE]],L_HIRESOURCE,0))</f>
        <v/>
      </c>
      <c r="AG79">
        <f>IF(T_EMPLOYEES[[#This Row],[EMPLOYEE NUMBER]]="","",MATCH(T_EMPLOYEES[[#This Row],[ETHNICITY]],L_ETHNICITY,0))</f>
        <v/>
      </c>
      <c r="AH79">
        <f>IF(T_EMPLOYEES[[#This Row],[EMPLOYEE NUMBER]]="","",MATCH(T_EMPLOYEES[[#This Row],[LOCATION]],L_LOCATION,0))</f>
        <v/>
      </c>
      <c r="AI79">
        <f>IF(T_EMPLOYEES[[#This Row],[EMPLOYEE NUMBER]]="","",MATCH(T_EMPLOYEES[[#This Row],[DEPARTMENT]],L_DEPARTMENT,0))</f>
        <v/>
      </c>
      <c r="AJ79">
        <f>IF(T_EMPLOYEES[[#This Row],[EMPLOYEE NUMBER]]="","",MATCH(T_EMPLOYEES[[#This Row],[JOB TYPE]],L_JOBTYPE,0))</f>
        <v/>
      </c>
      <c r="AK79">
        <f>IF(T_EMPLOYEES[[#This Row],[EMPLOYEE NUMBER]]="","",MATCH(T_EMPLOYEES[[#This Row],[JOB CATEGORY]],L_JOBCATEGORY,0))</f>
        <v/>
      </c>
      <c r="AL79">
        <f>IF(T_EMPLOYEES[[#This Row],[EMPLOYEE NUMBER]]="","",MATCH(T_EMPLOYEES[[#This Row],[JOB LEVEL]],L_JOBLEVEL,0))</f>
        <v/>
      </c>
      <c r="AM79">
        <f>IF(T_EMPLOYEES[[#This Row],[EMPLOYEE NUMBER]]="","",MATCH(T_EMPLOYEES[[#This Row],[JOB TITLE]],L_JOBTITLE,0))</f>
        <v/>
      </c>
      <c r="AN79">
        <f>IF(T_EMPLOYEES[[#This Row],[EMPLOYEE NUMBER]]="","",MATCH(T_EMPLOYEES[[#This Row],[MANAGER]],L_EMPLABELS,0))</f>
        <v/>
      </c>
      <c r="AO79">
        <f>IF(T_EMPLOYEES[[#This Row],[EMPLOYEE NUMBER]]="","",IF(T_EMPLOYEES[[#This Row],[ERROR]]="",0,1))</f>
        <v/>
      </c>
      <c r="AP7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0">
      <c r="A80" t="inlineStr">
        <is>
          <t>Anumita</t>
        </is>
      </c>
      <c r="B80" t="inlineStr">
        <is>
          <t>Deb</t>
        </is>
      </c>
      <c r="C80" t="n">
        <v>1031846</v>
      </c>
      <c r="D80" t="inlineStr">
        <is>
          <t>Anumita.Deb@infinite.com</t>
        </is>
      </c>
      <c r="E80" s="26" t="n">
        <v>30400</v>
      </c>
      <c r="F80" s="26" t="n">
        <v>44914</v>
      </c>
      <c r="H80" t="inlineStr">
        <is>
          <t>Female</t>
        </is>
      </c>
      <c r="I80" t="inlineStr">
        <is>
          <t>Asian</t>
        </is>
      </c>
      <c r="J80" t="inlineStr">
        <is>
          <t>WEBSITE</t>
        </is>
      </c>
      <c r="K80" t="inlineStr">
        <is>
          <t>Bangalore</t>
        </is>
      </c>
      <c r="L80" s="27" t="inlineStr">
        <is>
          <t>IT</t>
        </is>
      </c>
      <c r="M80" t="inlineStr">
        <is>
          <t>Full-Time</t>
        </is>
      </c>
      <c r="N80" t="inlineStr">
        <is>
          <t>Senior Test Lead</t>
        </is>
      </c>
      <c r="O80" t="inlineStr">
        <is>
          <t>E5</t>
        </is>
      </c>
      <c r="P80" t="inlineStr">
        <is>
          <t>Senior Test Lead</t>
        </is>
      </c>
      <c r="Q80" t="inlineStr">
        <is>
          <t>Numan Sharieff (1031852)</t>
        </is>
      </c>
      <c r="R80" s="27" t="n">
        <v>7</v>
      </c>
      <c r="S80" s="1" t="n">
        <v>320000</v>
      </c>
      <c r="T80" s="1">
        <f>ROUND(T_EMPLOYEES[[#This Row],[EMP_CTC1]]/12, 0)</f>
        <v/>
      </c>
      <c r="U80" s="1" t="n">
        <v>72000</v>
      </c>
      <c r="V80" s="1" t="inlineStr">
        <is>
          <t>NH</t>
        </is>
      </c>
      <c r="W80" s="1" t="inlineStr">
        <is>
          <t>NH</t>
        </is>
      </c>
      <c r="X8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0" t="n">
        <v>60000</v>
      </c>
      <c r="Z80" s="29">
        <f>(S80 - U80)/S80 * 100</f>
        <v/>
      </c>
      <c r="AA80">
        <f>IF(T_EMPLOYEES[[#This Row],[EMPLOYEE NUMBER]]="","",ROW(T_EMPLOYEES[[#This Row],[EMPLOYEE LABEL]])-ROW(T_EMPLOYEES[[#Headers],[EMPLOYEE LABEL]]))</f>
        <v/>
      </c>
      <c r="AB80">
        <f>IF(T_EMPLOYEES[[#This Row],[EMPLOYEE NUMBER]]="","",IF(COUNTIF(T_EMPLOYEES[EMPLOYEE NUMBER],T_EMPLOYEES[[#This Row],[EMPLOYEE NUMBER]])&gt;1,1,0))</f>
        <v/>
      </c>
      <c r="AC80">
        <f>IF(T_EMPLOYEES[[#This Row],[EMPLOYEE NUMBER]]="","",IF(AND(T_EMPLOYEES[[#This Row],[DATE OF BIRTH]]&gt;0,T_EMPLOYEES[[#This Row],[DATE OF BIRTH]]&lt;TODAY()),0,1))</f>
        <v/>
      </c>
      <c r="AD80">
        <f>IF(T_EMPLOYEES[[#This Row],[EMPLOYEE NUMBER]]="","",IF(AND(T_EMPLOYEES[[#This Row],[START DATE]]&gt;0,T_EMPLOYEES[[#This Row],[START DATE]]&lt;TODAY()+60),0,1))</f>
        <v/>
      </c>
      <c r="AE80">
        <f>IF(T_EMPLOYEES[[#This Row],[EMPLOYEE NUMBER]]="","",MATCH(T_EMPLOYEES[[#This Row],[GENDER]],L_GENDER,0))</f>
        <v/>
      </c>
      <c r="AF80">
        <f>IF(T_EMPLOYEES[[#This Row],[EMPLOYEE NUMBER]]="","",MATCH(T_EMPLOYEES[[#This Row],[HIRE SOURCE]],L_HIRESOURCE,0))</f>
        <v/>
      </c>
      <c r="AG80">
        <f>IF(T_EMPLOYEES[[#This Row],[EMPLOYEE NUMBER]]="","",MATCH(T_EMPLOYEES[[#This Row],[ETHNICITY]],L_ETHNICITY,0))</f>
        <v/>
      </c>
      <c r="AH80">
        <f>IF(T_EMPLOYEES[[#This Row],[EMPLOYEE NUMBER]]="","",MATCH(T_EMPLOYEES[[#This Row],[LOCATION]],L_LOCATION,0))</f>
        <v/>
      </c>
      <c r="AI80">
        <f>IF(T_EMPLOYEES[[#This Row],[EMPLOYEE NUMBER]]="","",MATCH(T_EMPLOYEES[[#This Row],[DEPARTMENT]],L_DEPARTMENT,0))</f>
        <v/>
      </c>
      <c r="AJ80">
        <f>IF(T_EMPLOYEES[[#This Row],[EMPLOYEE NUMBER]]="","",MATCH(T_EMPLOYEES[[#This Row],[JOB TYPE]],L_JOBTYPE,0))</f>
        <v/>
      </c>
      <c r="AK80">
        <f>IF(T_EMPLOYEES[[#This Row],[EMPLOYEE NUMBER]]="","",MATCH(T_EMPLOYEES[[#This Row],[JOB CATEGORY]],L_JOBCATEGORY,0))</f>
        <v/>
      </c>
      <c r="AL80">
        <f>IF(T_EMPLOYEES[[#This Row],[EMPLOYEE NUMBER]]="","",MATCH(T_EMPLOYEES[[#This Row],[JOB LEVEL]],L_JOBLEVEL,0))</f>
        <v/>
      </c>
      <c r="AM80">
        <f>IF(T_EMPLOYEES[[#This Row],[EMPLOYEE NUMBER]]="","",MATCH(T_EMPLOYEES[[#This Row],[JOB TITLE]],L_JOBTITLE,0))</f>
        <v/>
      </c>
      <c r="AN80">
        <f>IF(T_EMPLOYEES[[#This Row],[EMPLOYEE NUMBER]]="","",MATCH(T_EMPLOYEES[[#This Row],[MANAGER]],L_EMPLABELS,0))</f>
        <v/>
      </c>
      <c r="AO80">
        <f>IF(T_EMPLOYEES[[#This Row],[EMPLOYEE NUMBER]]="","",IF(T_EMPLOYEES[[#This Row],[ERROR]]="",0,1))</f>
        <v/>
      </c>
      <c r="AP8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1">
      <c r="A81" t="inlineStr">
        <is>
          <t>Veena</t>
        </is>
      </c>
      <c r="B81" t="inlineStr">
        <is>
          <t>C M</t>
        </is>
      </c>
      <c r="C81" t="n">
        <v>1033432</v>
      </c>
      <c r="D81" t="inlineStr">
        <is>
          <t>Veena.Mangotekar@infinite.com</t>
        </is>
      </c>
      <c r="E81" s="26" t="n">
        <v>30410</v>
      </c>
      <c r="F81" s="26" t="n">
        <v>45168</v>
      </c>
      <c r="H81" t="inlineStr">
        <is>
          <t>Female</t>
        </is>
      </c>
      <c r="I81" t="inlineStr">
        <is>
          <t>Asian</t>
        </is>
      </c>
      <c r="J81" t="inlineStr">
        <is>
          <t>WEBSITE</t>
        </is>
      </c>
      <c r="K81" t="inlineStr">
        <is>
          <t>Bangalore</t>
        </is>
      </c>
      <c r="L81" s="27" t="inlineStr">
        <is>
          <t>IT</t>
        </is>
      </c>
      <c r="M81" t="inlineStr">
        <is>
          <t>Full-Time</t>
        </is>
      </c>
      <c r="N81" t="inlineStr">
        <is>
          <t>Senior Lead Business Analyst</t>
        </is>
      </c>
      <c r="O81" t="inlineStr">
        <is>
          <t>E5</t>
        </is>
      </c>
      <c r="P81" t="inlineStr">
        <is>
          <t>Senior Lead Business Analyst</t>
        </is>
      </c>
      <c r="Q81" t="inlineStr">
        <is>
          <t>Avdhut Sunil Kavdikar (1032836)</t>
        </is>
      </c>
      <c r="R81" t="n">
        <v>7</v>
      </c>
      <c r="S81" s="1" t="n">
        <v>320000</v>
      </c>
      <c r="T81" s="1">
        <f>ROUND(T_EMPLOYEES[[#This Row],[EMP_CTC1]]/12, 0)</f>
        <v/>
      </c>
      <c r="U81" s="1" t="n">
        <v>72000</v>
      </c>
      <c r="V81" s="1" t="inlineStr">
        <is>
          <t>NH</t>
        </is>
      </c>
      <c r="W81" s="1" t="inlineStr">
        <is>
          <t>NH</t>
        </is>
      </c>
      <c r="X8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1" t="n">
        <v>60000</v>
      </c>
      <c r="Z81" s="29">
        <f>(S81 - U81)/S81 * 100</f>
        <v/>
      </c>
      <c r="AA81">
        <f>IF(T_EMPLOYEES[[#This Row],[EMPLOYEE NUMBER]]="","",ROW(T_EMPLOYEES[[#This Row],[EMPLOYEE LABEL]])-ROW(T_EMPLOYEES[[#Headers],[EMPLOYEE LABEL]]))</f>
        <v/>
      </c>
      <c r="AB81">
        <f>IF(T_EMPLOYEES[[#This Row],[EMPLOYEE NUMBER]]="","",IF(COUNTIF(T_EMPLOYEES[EMPLOYEE NUMBER],T_EMPLOYEES[[#This Row],[EMPLOYEE NUMBER]])&gt;1,1,0))</f>
        <v/>
      </c>
      <c r="AC81">
        <f>IF(T_EMPLOYEES[[#This Row],[EMPLOYEE NUMBER]]="","",IF(AND(T_EMPLOYEES[[#This Row],[DATE OF BIRTH]]&gt;0,T_EMPLOYEES[[#This Row],[DATE OF BIRTH]]&lt;TODAY()),0,1))</f>
        <v/>
      </c>
      <c r="AD81">
        <f>IF(T_EMPLOYEES[[#This Row],[EMPLOYEE NUMBER]]="","",IF(AND(T_EMPLOYEES[[#This Row],[START DATE]]&gt;0,T_EMPLOYEES[[#This Row],[START DATE]]&lt;TODAY()+60),0,1))</f>
        <v/>
      </c>
      <c r="AE81">
        <f>IF(T_EMPLOYEES[[#This Row],[EMPLOYEE NUMBER]]="","",MATCH(T_EMPLOYEES[[#This Row],[GENDER]],L_GENDER,0))</f>
        <v/>
      </c>
      <c r="AF81">
        <f>IF(T_EMPLOYEES[[#This Row],[EMPLOYEE NUMBER]]="","",MATCH(T_EMPLOYEES[[#This Row],[HIRE SOURCE]],L_HIRESOURCE,0))</f>
        <v/>
      </c>
      <c r="AG81">
        <f>IF(T_EMPLOYEES[[#This Row],[EMPLOYEE NUMBER]]="","",MATCH(T_EMPLOYEES[[#This Row],[ETHNICITY]],L_ETHNICITY,0))</f>
        <v/>
      </c>
      <c r="AH81">
        <f>IF(T_EMPLOYEES[[#This Row],[EMPLOYEE NUMBER]]="","",MATCH(T_EMPLOYEES[[#This Row],[LOCATION]],L_LOCATION,0))</f>
        <v/>
      </c>
      <c r="AI81">
        <f>IF(T_EMPLOYEES[[#This Row],[EMPLOYEE NUMBER]]="","",MATCH(T_EMPLOYEES[[#This Row],[DEPARTMENT]],L_DEPARTMENT,0))</f>
        <v/>
      </c>
      <c r="AJ81">
        <f>IF(T_EMPLOYEES[[#This Row],[EMPLOYEE NUMBER]]="","",MATCH(T_EMPLOYEES[[#This Row],[JOB TYPE]],L_JOBTYPE,0))</f>
        <v/>
      </c>
      <c r="AK81">
        <f>IF(T_EMPLOYEES[[#This Row],[EMPLOYEE NUMBER]]="","",MATCH(T_EMPLOYEES[[#This Row],[JOB CATEGORY]],L_JOBCATEGORY,0))</f>
        <v/>
      </c>
      <c r="AL81">
        <f>IF(T_EMPLOYEES[[#This Row],[EMPLOYEE NUMBER]]="","",MATCH(T_EMPLOYEES[[#This Row],[JOB LEVEL]],L_JOBLEVEL,0))</f>
        <v/>
      </c>
      <c r="AM81">
        <f>IF(T_EMPLOYEES[[#This Row],[EMPLOYEE NUMBER]]="","",MATCH(T_EMPLOYEES[[#This Row],[JOB TITLE]],L_JOBTITLE,0))</f>
        <v/>
      </c>
      <c r="AN81">
        <f>IF(T_EMPLOYEES[[#This Row],[EMPLOYEE NUMBER]]="","",MATCH(T_EMPLOYEES[[#This Row],[MANAGER]],L_EMPLABELS,0))</f>
        <v/>
      </c>
      <c r="AO81">
        <f>IF(T_EMPLOYEES[[#This Row],[EMPLOYEE NUMBER]]="","",IF(T_EMPLOYEES[[#This Row],[ERROR]]="",0,1))</f>
        <v/>
      </c>
      <c r="AP8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2">
      <c r="A82" t="inlineStr">
        <is>
          <t>Ramya</t>
        </is>
      </c>
      <c r="B82" t="inlineStr">
        <is>
          <t xml:space="preserve"> Kande</t>
        </is>
      </c>
      <c r="C82" t="n">
        <v>1020173</v>
      </c>
      <c r="D82" t="inlineStr">
        <is>
          <t>Ramya.Kande@infinite.com</t>
        </is>
      </c>
      <c r="E82" s="26" t="n">
        <v>30463</v>
      </c>
      <c r="F82" s="26" t="n">
        <v>43122</v>
      </c>
      <c r="H82" t="inlineStr">
        <is>
          <t>Female</t>
        </is>
      </c>
      <c r="I82" t="inlineStr">
        <is>
          <t>Asian</t>
        </is>
      </c>
      <c r="J82" t="inlineStr">
        <is>
          <t>WEBSITE</t>
        </is>
      </c>
      <c r="K82" t="inlineStr">
        <is>
          <t>Hyderabad</t>
        </is>
      </c>
      <c r="L82" s="27" t="inlineStr">
        <is>
          <t>IT</t>
        </is>
      </c>
      <c r="M82" t="inlineStr">
        <is>
          <t>Full-Time</t>
        </is>
      </c>
      <c r="N82" t="inlineStr">
        <is>
          <t>Senior Technical Lead</t>
        </is>
      </c>
      <c r="O82" t="inlineStr">
        <is>
          <t>E5</t>
        </is>
      </c>
      <c r="P82" t="inlineStr">
        <is>
          <t>Senior Technical Lead</t>
        </is>
      </c>
      <c r="Q82" t="inlineStr">
        <is>
          <t>Unnikrishnan Chellappan C (1025919)</t>
        </is>
      </c>
      <c r="R82" s="27" t="n">
        <v>7</v>
      </c>
      <c r="S82" s="1" t="n">
        <v>320000</v>
      </c>
      <c r="T82" s="1">
        <f>ROUND(T_EMPLOYEES[[#This Row],[EMP_CTC1]]/12, 0)</f>
        <v/>
      </c>
      <c r="U82" s="1" t="n">
        <v>72000</v>
      </c>
      <c r="V82" s="1" t="inlineStr">
        <is>
          <t>NH</t>
        </is>
      </c>
      <c r="W82" s="1" t="inlineStr">
        <is>
          <t>NH</t>
        </is>
      </c>
      <c r="X8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2" t="n">
        <v>60000</v>
      </c>
      <c r="Z82" s="29">
        <f>(S82 - U82)/S82 * 100</f>
        <v/>
      </c>
      <c r="AA82">
        <f>IF(T_EMPLOYEES[[#This Row],[EMPLOYEE NUMBER]]="","",ROW(T_EMPLOYEES[[#This Row],[EMPLOYEE LABEL]])-ROW(T_EMPLOYEES[[#Headers],[EMPLOYEE LABEL]]))</f>
        <v/>
      </c>
      <c r="AB82">
        <f>IF(T_EMPLOYEES[[#This Row],[EMPLOYEE NUMBER]]="","",IF(COUNTIF(T_EMPLOYEES[EMPLOYEE NUMBER],T_EMPLOYEES[[#This Row],[EMPLOYEE NUMBER]])&gt;1,1,0))</f>
        <v/>
      </c>
      <c r="AC82">
        <f>IF(T_EMPLOYEES[[#This Row],[EMPLOYEE NUMBER]]="","",IF(AND(T_EMPLOYEES[[#This Row],[DATE OF BIRTH]]&gt;0,T_EMPLOYEES[[#This Row],[DATE OF BIRTH]]&lt;TODAY()),0,1))</f>
        <v/>
      </c>
      <c r="AD82">
        <f>IF(T_EMPLOYEES[[#This Row],[EMPLOYEE NUMBER]]="","",IF(AND(T_EMPLOYEES[[#This Row],[START DATE]]&gt;0,T_EMPLOYEES[[#This Row],[START DATE]]&lt;TODAY()+60),0,1))</f>
        <v/>
      </c>
      <c r="AE82">
        <f>IF(T_EMPLOYEES[[#This Row],[EMPLOYEE NUMBER]]="","",MATCH(T_EMPLOYEES[[#This Row],[GENDER]],L_GENDER,0))</f>
        <v/>
      </c>
      <c r="AF82">
        <f>IF(T_EMPLOYEES[[#This Row],[EMPLOYEE NUMBER]]="","",MATCH(T_EMPLOYEES[[#This Row],[HIRE SOURCE]],L_HIRESOURCE,0))</f>
        <v/>
      </c>
      <c r="AG82">
        <f>IF(T_EMPLOYEES[[#This Row],[EMPLOYEE NUMBER]]="","",MATCH(T_EMPLOYEES[[#This Row],[ETHNICITY]],L_ETHNICITY,0))</f>
        <v/>
      </c>
      <c r="AH82">
        <f>IF(T_EMPLOYEES[[#This Row],[EMPLOYEE NUMBER]]="","",MATCH(T_EMPLOYEES[[#This Row],[LOCATION]],L_LOCATION,0))</f>
        <v/>
      </c>
      <c r="AI82">
        <f>IF(T_EMPLOYEES[[#This Row],[EMPLOYEE NUMBER]]="","",MATCH(T_EMPLOYEES[[#This Row],[DEPARTMENT]],L_DEPARTMENT,0))</f>
        <v/>
      </c>
      <c r="AJ82">
        <f>IF(T_EMPLOYEES[[#This Row],[EMPLOYEE NUMBER]]="","",MATCH(T_EMPLOYEES[[#This Row],[JOB TYPE]],L_JOBTYPE,0))</f>
        <v/>
      </c>
      <c r="AK82">
        <f>IF(T_EMPLOYEES[[#This Row],[EMPLOYEE NUMBER]]="","",MATCH(T_EMPLOYEES[[#This Row],[JOB CATEGORY]],L_JOBCATEGORY,0))</f>
        <v/>
      </c>
      <c r="AL82">
        <f>IF(T_EMPLOYEES[[#This Row],[EMPLOYEE NUMBER]]="","",MATCH(T_EMPLOYEES[[#This Row],[JOB LEVEL]],L_JOBLEVEL,0))</f>
        <v/>
      </c>
      <c r="AM82">
        <f>IF(T_EMPLOYEES[[#This Row],[EMPLOYEE NUMBER]]="","",MATCH(T_EMPLOYEES[[#This Row],[JOB TITLE]],L_JOBTITLE,0))</f>
        <v/>
      </c>
      <c r="AN82">
        <f>IF(T_EMPLOYEES[[#This Row],[EMPLOYEE NUMBER]]="","",MATCH(T_EMPLOYEES[[#This Row],[MANAGER]],L_EMPLABELS,0))</f>
        <v/>
      </c>
      <c r="AO82">
        <f>IF(T_EMPLOYEES[[#This Row],[EMPLOYEE NUMBER]]="","",IF(T_EMPLOYEES[[#This Row],[ERROR]]="",0,1))</f>
        <v/>
      </c>
      <c r="AP8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3">
      <c r="A83" t="inlineStr">
        <is>
          <t>Vishal</t>
        </is>
      </c>
      <c r="B83" t="inlineStr">
        <is>
          <t>Ravindra Sabnis</t>
        </is>
      </c>
      <c r="C83" t="n">
        <v>1028539</v>
      </c>
      <c r="D83" t="inlineStr">
        <is>
          <t>Vishal.Sabnis@infinite.com</t>
        </is>
      </c>
      <c r="E83" s="26" t="n">
        <v>30483</v>
      </c>
      <c r="F83" s="26" t="n">
        <v>44628</v>
      </c>
      <c r="H83" t="inlineStr">
        <is>
          <t>Male</t>
        </is>
      </c>
      <c r="I83" t="inlineStr">
        <is>
          <t>Asian</t>
        </is>
      </c>
      <c r="J83" t="inlineStr">
        <is>
          <t>WEBSITE</t>
        </is>
      </c>
      <c r="K83" t="inlineStr">
        <is>
          <t>Bangalore</t>
        </is>
      </c>
      <c r="L83" s="27" t="inlineStr">
        <is>
          <t>IT</t>
        </is>
      </c>
      <c r="M83" t="inlineStr">
        <is>
          <t>Full-Time</t>
        </is>
      </c>
      <c r="N83" t="inlineStr">
        <is>
          <t>Senior Technical Lead</t>
        </is>
      </c>
      <c r="O83" t="inlineStr">
        <is>
          <t>E5</t>
        </is>
      </c>
      <c r="P83" t="inlineStr">
        <is>
          <t>Senior Technical Lead</t>
        </is>
      </c>
      <c r="Q83" t="inlineStr">
        <is>
          <t>Unnikrishnan Chellappan C (1025919)</t>
        </is>
      </c>
      <c r="R83" t="n">
        <v>7</v>
      </c>
      <c r="S83" s="1" t="n">
        <v>320000</v>
      </c>
      <c r="T83" s="1">
        <f>ROUND(T_EMPLOYEES[[#This Row],[EMP_CTC1]]/12, 0)</f>
        <v/>
      </c>
      <c r="U83" s="1" t="n">
        <v>72000</v>
      </c>
      <c r="V83" s="1" t="inlineStr">
        <is>
          <t>NH</t>
        </is>
      </c>
      <c r="W83" s="1" t="inlineStr">
        <is>
          <t>NH</t>
        </is>
      </c>
      <c r="X8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3" t="n">
        <v>60000</v>
      </c>
      <c r="Z83" s="29">
        <f>(S83 - U83)/S83 * 100</f>
        <v/>
      </c>
      <c r="AA83">
        <f>IF(T_EMPLOYEES[[#This Row],[EMPLOYEE NUMBER]]="","",ROW(T_EMPLOYEES[[#This Row],[EMPLOYEE LABEL]])-ROW(T_EMPLOYEES[[#Headers],[EMPLOYEE LABEL]]))</f>
        <v/>
      </c>
      <c r="AB83">
        <f>IF(T_EMPLOYEES[[#This Row],[EMPLOYEE NUMBER]]="","",IF(COUNTIF(T_EMPLOYEES[EMPLOYEE NUMBER],T_EMPLOYEES[[#This Row],[EMPLOYEE NUMBER]])&gt;1,1,0))</f>
        <v/>
      </c>
      <c r="AC83">
        <f>IF(T_EMPLOYEES[[#This Row],[EMPLOYEE NUMBER]]="","",IF(AND(T_EMPLOYEES[[#This Row],[DATE OF BIRTH]]&gt;0,T_EMPLOYEES[[#This Row],[DATE OF BIRTH]]&lt;TODAY()),0,1))</f>
        <v/>
      </c>
      <c r="AD83">
        <f>IF(T_EMPLOYEES[[#This Row],[EMPLOYEE NUMBER]]="","",IF(AND(T_EMPLOYEES[[#This Row],[START DATE]]&gt;0,T_EMPLOYEES[[#This Row],[START DATE]]&lt;TODAY()+60),0,1))</f>
        <v/>
      </c>
      <c r="AE83">
        <f>IF(T_EMPLOYEES[[#This Row],[EMPLOYEE NUMBER]]="","",MATCH(T_EMPLOYEES[[#This Row],[GENDER]],L_GENDER,0))</f>
        <v/>
      </c>
      <c r="AF83">
        <f>IF(T_EMPLOYEES[[#This Row],[EMPLOYEE NUMBER]]="","",MATCH(T_EMPLOYEES[[#This Row],[HIRE SOURCE]],L_HIRESOURCE,0))</f>
        <v/>
      </c>
      <c r="AG83">
        <f>IF(T_EMPLOYEES[[#This Row],[EMPLOYEE NUMBER]]="","",MATCH(T_EMPLOYEES[[#This Row],[ETHNICITY]],L_ETHNICITY,0))</f>
        <v/>
      </c>
      <c r="AH83">
        <f>IF(T_EMPLOYEES[[#This Row],[EMPLOYEE NUMBER]]="","",MATCH(T_EMPLOYEES[[#This Row],[LOCATION]],L_LOCATION,0))</f>
        <v/>
      </c>
      <c r="AI83">
        <f>IF(T_EMPLOYEES[[#This Row],[EMPLOYEE NUMBER]]="","",MATCH(T_EMPLOYEES[[#This Row],[DEPARTMENT]],L_DEPARTMENT,0))</f>
        <v/>
      </c>
      <c r="AJ83">
        <f>IF(T_EMPLOYEES[[#This Row],[EMPLOYEE NUMBER]]="","",MATCH(T_EMPLOYEES[[#This Row],[JOB TYPE]],L_JOBTYPE,0))</f>
        <v/>
      </c>
      <c r="AK83">
        <f>IF(T_EMPLOYEES[[#This Row],[EMPLOYEE NUMBER]]="","",MATCH(T_EMPLOYEES[[#This Row],[JOB CATEGORY]],L_JOBCATEGORY,0))</f>
        <v/>
      </c>
      <c r="AL83">
        <f>IF(T_EMPLOYEES[[#This Row],[EMPLOYEE NUMBER]]="","",MATCH(T_EMPLOYEES[[#This Row],[JOB LEVEL]],L_JOBLEVEL,0))</f>
        <v/>
      </c>
      <c r="AM83">
        <f>IF(T_EMPLOYEES[[#This Row],[EMPLOYEE NUMBER]]="","",MATCH(T_EMPLOYEES[[#This Row],[JOB TITLE]],L_JOBTITLE,0))</f>
        <v/>
      </c>
      <c r="AN83">
        <f>IF(T_EMPLOYEES[[#This Row],[EMPLOYEE NUMBER]]="","",MATCH(T_EMPLOYEES[[#This Row],[MANAGER]],L_EMPLABELS,0))</f>
        <v/>
      </c>
      <c r="AO83">
        <f>IF(T_EMPLOYEES[[#This Row],[EMPLOYEE NUMBER]]="","",IF(T_EMPLOYEES[[#This Row],[ERROR]]="",0,1))</f>
        <v/>
      </c>
      <c r="AP8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4">
      <c r="A84" t="inlineStr">
        <is>
          <t>Somnath</t>
        </is>
      </c>
      <c r="B84" t="inlineStr">
        <is>
          <t>K</t>
        </is>
      </c>
      <c r="C84" t="n">
        <v>1029717</v>
      </c>
      <c r="D84" t="inlineStr">
        <is>
          <t>Somnath.Kalirajan@infinite.com</t>
        </is>
      </c>
      <c r="E84" s="26" t="n">
        <v>30498</v>
      </c>
      <c r="F84" s="26" t="n">
        <v>44776</v>
      </c>
      <c r="H84" t="inlineStr">
        <is>
          <t>Male</t>
        </is>
      </c>
      <c r="I84" t="inlineStr">
        <is>
          <t>Asian</t>
        </is>
      </c>
      <c r="J84" t="inlineStr">
        <is>
          <t>WEBSITE</t>
        </is>
      </c>
      <c r="K84" t="inlineStr">
        <is>
          <t>Bangalore</t>
        </is>
      </c>
      <c r="L84" s="27" t="inlineStr">
        <is>
          <t>IT</t>
        </is>
      </c>
      <c r="M84" t="inlineStr">
        <is>
          <t>Full-Time</t>
        </is>
      </c>
      <c r="N84" t="inlineStr">
        <is>
          <t>Senior Technical Architect</t>
        </is>
      </c>
      <c r="O84" t="inlineStr">
        <is>
          <t>E7</t>
        </is>
      </c>
      <c r="P84" t="inlineStr">
        <is>
          <t>Senior Technical Architect</t>
        </is>
      </c>
      <c r="Q84" t="inlineStr">
        <is>
          <t>Vijaykrishnan  Ragavan (1013703)</t>
        </is>
      </c>
      <c r="R84" s="27" t="n"/>
      <c r="S84" s="1" t="n">
        <v>320000</v>
      </c>
      <c r="T84" s="1">
        <f>ROUND(T_EMPLOYEES[[#This Row],[EMP_CTC1]]/12, 0)</f>
        <v/>
      </c>
      <c r="U84" s="1" t="n">
        <v>72000</v>
      </c>
      <c r="V84" s="1" t="inlineStr">
        <is>
          <t>NH</t>
        </is>
      </c>
      <c r="W84" s="1" t="inlineStr">
        <is>
          <t>NH</t>
        </is>
      </c>
      <c r="X8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4" t="n">
        <v>60000</v>
      </c>
      <c r="Z84" s="29">
        <f>(S84 - U84)/S84 * 100</f>
        <v/>
      </c>
      <c r="AA84">
        <f>IF(T_EMPLOYEES[[#This Row],[EMPLOYEE NUMBER]]="","",ROW(T_EMPLOYEES[[#This Row],[EMPLOYEE LABEL]])-ROW(T_EMPLOYEES[[#Headers],[EMPLOYEE LABEL]]))</f>
        <v/>
      </c>
      <c r="AB84">
        <f>IF(T_EMPLOYEES[[#This Row],[EMPLOYEE NUMBER]]="","",IF(COUNTIF(T_EMPLOYEES[EMPLOYEE NUMBER],T_EMPLOYEES[[#This Row],[EMPLOYEE NUMBER]])&gt;1,1,0))</f>
        <v/>
      </c>
      <c r="AC84">
        <f>IF(T_EMPLOYEES[[#This Row],[EMPLOYEE NUMBER]]="","",IF(AND(T_EMPLOYEES[[#This Row],[DATE OF BIRTH]]&gt;0,T_EMPLOYEES[[#This Row],[DATE OF BIRTH]]&lt;TODAY()),0,1))</f>
        <v/>
      </c>
      <c r="AD84">
        <f>IF(T_EMPLOYEES[[#This Row],[EMPLOYEE NUMBER]]="","",IF(AND(T_EMPLOYEES[[#This Row],[START DATE]]&gt;0,T_EMPLOYEES[[#This Row],[START DATE]]&lt;TODAY()+60),0,1))</f>
        <v/>
      </c>
      <c r="AE84">
        <f>IF(T_EMPLOYEES[[#This Row],[EMPLOYEE NUMBER]]="","",MATCH(T_EMPLOYEES[[#This Row],[GENDER]],L_GENDER,0))</f>
        <v/>
      </c>
      <c r="AF84">
        <f>IF(T_EMPLOYEES[[#This Row],[EMPLOYEE NUMBER]]="","",MATCH(T_EMPLOYEES[[#This Row],[HIRE SOURCE]],L_HIRESOURCE,0))</f>
        <v/>
      </c>
      <c r="AG84">
        <f>IF(T_EMPLOYEES[[#This Row],[EMPLOYEE NUMBER]]="","",MATCH(T_EMPLOYEES[[#This Row],[ETHNICITY]],L_ETHNICITY,0))</f>
        <v/>
      </c>
      <c r="AH84">
        <f>IF(T_EMPLOYEES[[#This Row],[EMPLOYEE NUMBER]]="","",MATCH(T_EMPLOYEES[[#This Row],[LOCATION]],L_LOCATION,0))</f>
        <v/>
      </c>
      <c r="AI84">
        <f>IF(T_EMPLOYEES[[#This Row],[EMPLOYEE NUMBER]]="","",MATCH(T_EMPLOYEES[[#This Row],[DEPARTMENT]],L_DEPARTMENT,0))</f>
        <v/>
      </c>
      <c r="AJ84">
        <f>IF(T_EMPLOYEES[[#This Row],[EMPLOYEE NUMBER]]="","",MATCH(T_EMPLOYEES[[#This Row],[JOB TYPE]],L_JOBTYPE,0))</f>
        <v/>
      </c>
      <c r="AK84">
        <f>IF(T_EMPLOYEES[[#This Row],[EMPLOYEE NUMBER]]="","",MATCH(T_EMPLOYEES[[#This Row],[JOB CATEGORY]],L_JOBCATEGORY,0))</f>
        <v/>
      </c>
      <c r="AL84">
        <f>IF(T_EMPLOYEES[[#This Row],[EMPLOYEE NUMBER]]="","",MATCH(T_EMPLOYEES[[#This Row],[JOB LEVEL]],L_JOBLEVEL,0))</f>
        <v/>
      </c>
      <c r="AM84">
        <f>IF(T_EMPLOYEES[[#This Row],[EMPLOYEE NUMBER]]="","",MATCH(T_EMPLOYEES[[#This Row],[JOB TITLE]],L_JOBTITLE,0))</f>
        <v/>
      </c>
      <c r="AN84">
        <f>IF(T_EMPLOYEES[[#This Row],[EMPLOYEE NUMBER]]="","",MATCH(T_EMPLOYEES[[#This Row],[MANAGER]],L_EMPLABELS,0))</f>
        <v/>
      </c>
      <c r="AO84">
        <f>IF(T_EMPLOYEES[[#This Row],[EMPLOYEE NUMBER]]="","",IF(T_EMPLOYEES[[#This Row],[ERROR]]="",0,1))</f>
        <v/>
      </c>
      <c r="AP8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5">
      <c r="A85" t="inlineStr">
        <is>
          <t>V</t>
        </is>
      </c>
      <c r="B85" t="inlineStr">
        <is>
          <t>V N Pavankrishnamantada</t>
        </is>
      </c>
      <c r="C85" t="n">
        <v>1023397</v>
      </c>
      <c r="D85" t="inlineStr">
        <is>
          <t>Pavan.Mantada@infinite.com</t>
        </is>
      </c>
      <c r="E85" s="26" t="n">
        <v>30558</v>
      </c>
      <c r="F85" s="26" t="n">
        <v>44006</v>
      </c>
      <c r="H85" t="inlineStr">
        <is>
          <t>Male</t>
        </is>
      </c>
      <c r="I85" t="inlineStr">
        <is>
          <t>Asian</t>
        </is>
      </c>
      <c r="J85" t="inlineStr">
        <is>
          <t>WEBSITE</t>
        </is>
      </c>
      <c r="K85" t="inlineStr">
        <is>
          <t>Bangalore</t>
        </is>
      </c>
      <c r="L85" s="27" t="inlineStr">
        <is>
          <t>IT</t>
        </is>
      </c>
      <c r="M85" t="inlineStr">
        <is>
          <t>Full-Time</t>
        </is>
      </c>
      <c r="N85" t="inlineStr">
        <is>
          <t>Technical Lead</t>
        </is>
      </c>
      <c r="O85" t="inlineStr">
        <is>
          <t>E4</t>
        </is>
      </c>
      <c r="P85" t="inlineStr">
        <is>
          <t>Technical Lead</t>
        </is>
      </c>
      <c r="Q85" t="inlineStr">
        <is>
          <t>Siddharth Kumar (1027551)</t>
        </is>
      </c>
      <c r="R85" t="n">
        <v>5</v>
      </c>
      <c r="S85" s="1" t="n">
        <v>320000</v>
      </c>
      <c r="T85" s="1">
        <f>ROUND(T_EMPLOYEES[[#This Row],[EMP_CTC1]]/12, 0)</f>
        <v/>
      </c>
      <c r="U85" s="1" t="n">
        <v>72000</v>
      </c>
      <c r="V85" s="1" t="inlineStr">
        <is>
          <t>NH</t>
        </is>
      </c>
      <c r="W85" s="1" t="inlineStr">
        <is>
          <t>NH</t>
        </is>
      </c>
      <c r="X8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5" t="n">
        <v>60000</v>
      </c>
      <c r="Z85" s="29">
        <f>(S85 - U85)/S85 * 100</f>
        <v/>
      </c>
      <c r="AA85">
        <f>IF(T_EMPLOYEES[[#This Row],[EMPLOYEE NUMBER]]="","",ROW(T_EMPLOYEES[[#This Row],[EMPLOYEE LABEL]])-ROW(T_EMPLOYEES[[#Headers],[EMPLOYEE LABEL]]))</f>
        <v/>
      </c>
      <c r="AB85">
        <f>IF(T_EMPLOYEES[[#This Row],[EMPLOYEE NUMBER]]="","",IF(COUNTIF(T_EMPLOYEES[EMPLOYEE NUMBER],T_EMPLOYEES[[#This Row],[EMPLOYEE NUMBER]])&gt;1,1,0))</f>
        <v/>
      </c>
      <c r="AC85">
        <f>IF(T_EMPLOYEES[[#This Row],[EMPLOYEE NUMBER]]="","",IF(AND(T_EMPLOYEES[[#This Row],[DATE OF BIRTH]]&gt;0,T_EMPLOYEES[[#This Row],[DATE OF BIRTH]]&lt;TODAY()),0,1))</f>
        <v/>
      </c>
      <c r="AD85">
        <f>IF(T_EMPLOYEES[[#This Row],[EMPLOYEE NUMBER]]="","",IF(AND(T_EMPLOYEES[[#This Row],[START DATE]]&gt;0,T_EMPLOYEES[[#This Row],[START DATE]]&lt;TODAY()+60),0,1))</f>
        <v/>
      </c>
      <c r="AE85">
        <f>IF(T_EMPLOYEES[[#This Row],[EMPLOYEE NUMBER]]="","",MATCH(T_EMPLOYEES[[#This Row],[GENDER]],L_GENDER,0))</f>
        <v/>
      </c>
      <c r="AF85">
        <f>IF(T_EMPLOYEES[[#This Row],[EMPLOYEE NUMBER]]="","",MATCH(T_EMPLOYEES[[#This Row],[HIRE SOURCE]],L_HIRESOURCE,0))</f>
        <v/>
      </c>
      <c r="AG85">
        <f>IF(T_EMPLOYEES[[#This Row],[EMPLOYEE NUMBER]]="","",MATCH(T_EMPLOYEES[[#This Row],[ETHNICITY]],L_ETHNICITY,0))</f>
        <v/>
      </c>
      <c r="AH85">
        <f>IF(T_EMPLOYEES[[#This Row],[EMPLOYEE NUMBER]]="","",MATCH(T_EMPLOYEES[[#This Row],[LOCATION]],L_LOCATION,0))</f>
        <v/>
      </c>
      <c r="AI85">
        <f>IF(T_EMPLOYEES[[#This Row],[EMPLOYEE NUMBER]]="","",MATCH(T_EMPLOYEES[[#This Row],[DEPARTMENT]],L_DEPARTMENT,0))</f>
        <v/>
      </c>
      <c r="AJ85">
        <f>IF(T_EMPLOYEES[[#This Row],[EMPLOYEE NUMBER]]="","",MATCH(T_EMPLOYEES[[#This Row],[JOB TYPE]],L_JOBTYPE,0))</f>
        <v/>
      </c>
      <c r="AK85">
        <f>IF(T_EMPLOYEES[[#This Row],[EMPLOYEE NUMBER]]="","",MATCH(T_EMPLOYEES[[#This Row],[JOB CATEGORY]],L_JOBCATEGORY,0))</f>
        <v/>
      </c>
      <c r="AL85">
        <f>IF(T_EMPLOYEES[[#This Row],[EMPLOYEE NUMBER]]="","",MATCH(T_EMPLOYEES[[#This Row],[JOB LEVEL]],L_JOBLEVEL,0))</f>
        <v/>
      </c>
      <c r="AM85">
        <f>IF(T_EMPLOYEES[[#This Row],[EMPLOYEE NUMBER]]="","",MATCH(T_EMPLOYEES[[#This Row],[JOB TITLE]],L_JOBTITLE,0))</f>
        <v/>
      </c>
      <c r="AN85">
        <f>IF(T_EMPLOYEES[[#This Row],[EMPLOYEE NUMBER]]="","",MATCH(T_EMPLOYEES[[#This Row],[MANAGER]],L_EMPLABELS,0))</f>
        <v/>
      </c>
      <c r="AO85">
        <f>IF(T_EMPLOYEES[[#This Row],[EMPLOYEE NUMBER]]="","",IF(T_EMPLOYEES[[#This Row],[ERROR]]="",0,1))</f>
        <v/>
      </c>
      <c r="AP8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6">
      <c r="A86" t="inlineStr">
        <is>
          <t>Numan</t>
        </is>
      </c>
      <c r="B86" t="inlineStr">
        <is>
          <t>Sharieff</t>
        </is>
      </c>
      <c r="C86" t="n">
        <v>1031852</v>
      </c>
      <c r="D86" t="inlineStr">
        <is>
          <t>Numan.Sharieff@infinite.com</t>
        </is>
      </c>
      <c r="E86" s="26" t="n">
        <v>30564</v>
      </c>
      <c r="F86" s="26" t="n">
        <v>44914</v>
      </c>
      <c r="H86" t="inlineStr">
        <is>
          <t>Male</t>
        </is>
      </c>
      <c r="I86" t="inlineStr">
        <is>
          <t>Asian</t>
        </is>
      </c>
      <c r="J86" t="inlineStr">
        <is>
          <t>WEBSITE</t>
        </is>
      </c>
      <c r="K86" t="inlineStr">
        <is>
          <t>Bangalore</t>
        </is>
      </c>
      <c r="L86" s="27" t="inlineStr">
        <is>
          <t>IT</t>
        </is>
      </c>
      <c r="M86" t="inlineStr">
        <is>
          <t>Full-Time</t>
        </is>
      </c>
      <c r="N86" t="inlineStr">
        <is>
          <t>Senior Technical Manager</t>
        </is>
      </c>
      <c r="O86" t="inlineStr">
        <is>
          <t>E7</t>
        </is>
      </c>
      <c r="P86" t="inlineStr">
        <is>
          <t>Senior Technical Manager</t>
        </is>
      </c>
      <c r="Q86" t="inlineStr">
        <is>
          <t>Srisha N (1031856)</t>
        </is>
      </c>
      <c r="R86" s="27" t="n"/>
      <c r="S86" s="1" t="n">
        <v>320000</v>
      </c>
      <c r="T86" s="1">
        <f>ROUND(T_EMPLOYEES[[#This Row],[EMP_CTC1]]/12, 0)</f>
        <v/>
      </c>
      <c r="U86" s="1" t="n">
        <v>72000</v>
      </c>
      <c r="V86" s="1" t="inlineStr">
        <is>
          <t>NH</t>
        </is>
      </c>
      <c r="W86" s="1" t="inlineStr">
        <is>
          <t>NH</t>
        </is>
      </c>
      <c r="X8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6" t="n">
        <v>60000</v>
      </c>
      <c r="Z86" s="29">
        <f>(S86 - U86)/S86 * 100</f>
        <v/>
      </c>
      <c r="AA86">
        <f>IF(T_EMPLOYEES[[#This Row],[EMPLOYEE NUMBER]]="","",ROW(T_EMPLOYEES[[#This Row],[EMPLOYEE LABEL]])-ROW(T_EMPLOYEES[[#Headers],[EMPLOYEE LABEL]]))</f>
        <v/>
      </c>
      <c r="AB86">
        <f>IF(T_EMPLOYEES[[#This Row],[EMPLOYEE NUMBER]]="","",IF(COUNTIF(T_EMPLOYEES[EMPLOYEE NUMBER],T_EMPLOYEES[[#This Row],[EMPLOYEE NUMBER]])&gt;1,1,0))</f>
        <v/>
      </c>
      <c r="AC86">
        <f>IF(T_EMPLOYEES[[#This Row],[EMPLOYEE NUMBER]]="","",IF(AND(T_EMPLOYEES[[#This Row],[DATE OF BIRTH]]&gt;0,T_EMPLOYEES[[#This Row],[DATE OF BIRTH]]&lt;TODAY()),0,1))</f>
        <v/>
      </c>
      <c r="AD86">
        <f>IF(T_EMPLOYEES[[#This Row],[EMPLOYEE NUMBER]]="","",IF(AND(T_EMPLOYEES[[#This Row],[START DATE]]&gt;0,T_EMPLOYEES[[#This Row],[START DATE]]&lt;TODAY()+60),0,1))</f>
        <v/>
      </c>
      <c r="AE86">
        <f>IF(T_EMPLOYEES[[#This Row],[EMPLOYEE NUMBER]]="","",MATCH(T_EMPLOYEES[[#This Row],[GENDER]],L_GENDER,0))</f>
        <v/>
      </c>
      <c r="AF86">
        <f>IF(T_EMPLOYEES[[#This Row],[EMPLOYEE NUMBER]]="","",MATCH(T_EMPLOYEES[[#This Row],[HIRE SOURCE]],L_HIRESOURCE,0))</f>
        <v/>
      </c>
      <c r="AG86">
        <f>IF(T_EMPLOYEES[[#This Row],[EMPLOYEE NUMBER]]="","",MATCH(T_EMPLOYEES[[#This Row],[ETHNICITY]],L_ETHNICITY,0))</f>
        <v/>
      </c>
      <c r="AH86">
        <f>IF(T_EMPLOYEES[[#This Row],[EMPLOYEE NUMBER]]="","",MATCH(T_EMPLOYEES[[#This Row],[LOCATION]],L_LOCATION,0))</f>
        <v/>
      </c>
      <c r="AI86">
        <f>IF(T_EMPLOYEES[[#This Row],[EMPLOYEE NUMBER]]="","",MATCH(T_EMPLOYEES[[#This Row],[DEPARTMENT]],L_DEPARTMENT,0))</f>
        <v/>
      </c>
      <c r="AJ86">
        <f>IF(T_EMPLOYEES[[#This Row],[EMPLOYEE NUMBER]]="","",MATCH(T_EMPLOYEES[[#This Row],[JOB TYPE]],L_JOBTYPE,0))</f>
        <v/>
      </c>
      <c r="AK86">
        <f>IF(T_EMPLOYEES[[#This Row],[EMPLOYEE NUMBER]]="","",MATCH(T_EMPLOYEES[[#This Row],[JOB CATEGORY]],L_JOBCATEGORY,0))</f>
        <v/>
      </c>
      <c r="AL86">
        <f>IF(T_EMPLOYEES[[#This Row],[EMPLOYEE NUMBER]]="","",MATCH(T_EMPLOYEES[[#This Row],[JOB LEVEL]],L_JOBLEVEL,0))</f>
        <v/>
      </c>
      <c r="AM86">
        <f>IF(T_EMPLOYEES[[#This Row],[EMPLOYEE NUMBER]]="","",MATCH(T_EMPLOYEES[[#This Row],[JOB TITLE]],L_JOBTITLE,0))</f>
        <v/>
      </c>
      <c r="AN86">
        <f>IF(T_EMPLOYEES[[#This Row],[EMPLOYEE NUMBER]]="","",MATCH(T_EMPLOYEES[[#This Row],[MANAGER]],L_EMPLABELS,0))</f>
        <v/>
      </c>
      <c r="AO86">
        <f>IF(T_EMPLOYEES[[#This Row],[EMPLOYEE NUMBER]]="","",IF(T_EMPLOYEES[[#This Row],[ERROR]]="",0,1))</f>
        <v/>
      </c>
      <c r="AP8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7">
      <c r="A87" t="inlineStr">
        <is>
          <t>Archana</t>
        </is>
      </c>
      <c r="B87" t="inlineStr">
        <is>
          <t xml:space="preserve"> R P</t>
        </is>
      </c>
      <c r="C87" t="n">
        <v>1031768</v>
      </c>
      <c r="D87" t="inlineStr">
        <is>
          <t>Archana.Ponraj@infinite.com</t>
        </is>
      </c>
      <c r="E87" s="26" t="n">
        <v>31267</v>
      </c>
      <c r="F87" s="26" t="n">
        <v>44902</v>
      </c>
      <c r="H87" t="inlineStr">
        <is>
          <t>Female</t>
        </is>
      </c>
      <c r="I87" t="inlineStr">
        <is>
          <t>Asian</t>
        </is>
      </c>
      <c r="J87" t="inlineStr">
        <is>
          <t>WEBSITE</t>
        </is>
      </c>
      <c r="K87" t="inlineStr">
        <is>
          <t>Bangalore</t>
        </is>
      </c>
      <c r="L87" s="27" t="inlineStr">
        <is>
          <t>Informatica</t>
        </is>
      </c>
      <c r="M87" t="inlineStr">
        <is>
          <t>Full-Time</t>
        </is>
      </c>
      <c r="N87" t="inlineStr">
        <is>
          <t>Senior Technical Lead</t>
        </is>
      </c>
      <c r="O87" t="inlineStr">
        <is>
          <t>E5</t>
        </is>
      </c>
      <c r="P87" t="inlineStr">
        <is>
          <t>Senior Technical Lead</t>
        </is>
      </c>
      <c r="Q87" t="inlineStr">
        <is>
          <t>Kishore Kumar N (1019765)</t>
        </is>
      </c>
      <c r="R87" t="n">
        <v>7</v>
      </c>
      <c r="S87" s="1" t="n">
        <v>320000</v>
      </c>
      <c r="T87" s="1">
        <f>ROUND(T_EMPLOYEES[[#This Row],[EMP_CTC1]]/12, 0)</f>
        <v/>
      </c>
      <c r="U87" s="1" t="n">
        <v>72000</v>
      </c>
      <c r="V87" s="1" t="inlineStr">
        <is>
          <t>NH</t>
        </is>
      </c>
      <c r="W87" s="1" t="inlineStr">
        <is>
          <t>NH</t>
        </is>
      </c>
      <c r="X8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7" t="n">
        <v>60000</v>
      </c>
      <c r="Z87" s="29">
        <f>(S87 - U87)/S87 * 100</f>
        <v/>
      </c>
      <c r="AA87">
        <f>IF(T_EMPLOYEES[[#This Row],[EMPLOYEE NUMBER]]="","",ROW(T_EMPLOYEES[[#This Row],[EMPLOYEE LABEL]])-ROW(T_EMPLOYEES[[#Headers],[EMPLOYEE LABEL]]))</f>
        <v/>
      </c>
      <c r="AB87">
        <f>IF(T_EMPLOYEES[[#This Row],[EMPLOYEE NUMBER]]="","",IF(COUNTIF(T_EMPLOYEES[EMPLOYEE NUMBER],T_EMPLOYEES[[#This Row],[EMPLOYEE NUMBER]])&gt;1,1,0))</f>
        <v/>
      </c>
      <c r="AC87">
        <f>IF(T_EMPLOYEES[[#This Row],[EMPLOYEE NUMBER]]="","",IF(AND(T_EMPLOYEES[[#This Row],[DATE OF BIRTH]]&gt;0,T_EMPLOYEES[[#This Row],[DATE OF BIRTH]]&lt;TODAY()),0,1))</f>
        <v/>
      </c>
      <c r="AD87">
        <f>IF(T_EMPLOYEES[[#This Row],[EMPLOYEE NUMBER]]="","",IF(AND(T_EMPLOYEES[[#This Row],[START DATE]]&gt;0,T_EMPLOYEES[[#This Row],[START DATE]]&lt;TODAY()+60),0,1))</f>
        <v/>
      </c>
      <c r="AE87">
        <f>IF(T_EMPLOYEES[[#This Row],[EMPLOYEE NUMBER]]="","",MATCH(T_EMPLOYEES[[#This Row],[GENDER]],L_GENDER,0))</f>
        <v/>
      </c>
      <c r="AF87">
        <f>IF(T_EMPLOYEES[[#This Row],[EMPLOYEE NUMBER]]="","",MATCH(T_EMPLOYEES[[#This Row],[HIRE SOURCE]],L_HIRESOURCE,0))</f>
        <v/>
      </c>
      <c r="AG87">
        <f>IF(T_EMPLOYEES[[#This Row],[EMPLOYEE NUMBER]]="","",MATCH(T_EMPLOYEES[[#This Row],[ETHNICITY]],L_ETHNICITY,0))</f>
        <v/>
      </c>
      <c r="AH87">
        <f>IF(T_EMPLOYEES[[#This Row],[EMPLOYEE NUMBER]]="","",MATCH(T_EMPLOYEES[[#This Row],[LOCATION]],L_LOCATION,0))</f>
        <v/>
      </c>
      <c r="AI87">
        <f>IF(T_EMPLOYEES[[#This Row],[EMPLOYEE NUMBER]]="","",MATCH(T_EMPLOYEES[[#This Row],[DEPARTMENT]],L_DEPARTMENT,0))</f>
        <v/>
      </c>
      <c r="AJ87">
        <f>IF(T_EMPLOYEES[[#This Row],[EMPLOYEE NUMBER]]="","",MATCH(T_EMPLOYEES[[#This Row],[JOB TYPE]],L_JOBTYPE,0))</f>
        <v/>
      </c>
      <c r="AK87">
        <f>IF(T_EMPLOYEES[[#This Row],[EMPLOYEE NUMBER]]="","",MATCH(T_EMPLOYEES[[#This Row],[JOB CATEGORY]],L_JOBCATEGORY,0))</f>
        <v/>
      </c>
      <c r="AL87">
        <f>IF(T_EMPLOYEES[[#This Row],[EMPLOYEE NUMBER]]="","",MATCH(T_EMPLOYEES[[#This Row],[JOB LEVEL]],L_JOBLEVEL,0))</f>
        <v/>
      </c>
      <c r="AM87">
        <f>IF(T_EMPLOYEES[[#This Row],[EMPLOYEE NUMBER]]="","",MATCH(T_EMPLOYEES[[#This Row],[JOB TITLE]],L_JOBTITLE,0))</f>
        <v/>
      </c>
      <c r="AN87">
        <f>IF(T_EMPLOYEES[[#This Row],[EMPLOYEE NUMBER]]="","",MATCH(T_EMPLOYEES[[#This Row],[MANAGER]],L_EMPLABELS,0))</f>
        <v/>
      </c>
      <c r="AO87">
        <f>IF(T_EMPLOYEES[[#This Row],[EMPLOYEE NUMBER]]="","",IF(T_EMPLOYEES[[#This Row],[ERROR]]="",0,1))</f>
        <v/>
      </c>
      <c r="AP8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8">
      <c r="A88" t="inlineStr">
        <is>
          <t>Karthigaselvi</t>
        </is>
      </c>
      <c r="B88" t="inlineStr">
        <is>
          <t xml:space="preserve"> Sivanantham</t>
        </is>
      </c>
      <c r="C88" t="n">
        <v>1029362</v>
      </c>
      <c r="D88" t="inlineStr">
        <is>
          <t>Karthigaselvi.Sivanantham@infinite.com</t>
        </is>
      </c>
      <c r="E88" s="26" t="n">
        <v>30664</v>
      </c>
      <c r="F88" s="26" t="n">
        <v>44735</v>
      </c>
      <c r="H88" t="inlineStr">
        <is>
          <t>Female</t>
        </is>
      </c>
      <c r="I88" t="inlineStr">
        <is>
          <t>Asian</t>
        </is>
      </c>
      <c r="J88" t="inlineStr">
        <is>
          <t>WEBSITE</t>
        </is>
      </c>
      <c r="K88" t="inlineStr">
        <is>
          <t>Hyderabad</t>
        </is>
      </c>
      <c r="L88" s="27" t="inlineStr">
        <is>
          <t>IT</t>
        </is>
      </c>
      <c r="M88" t="inlineStr">
        <is>
          <t>Full-Time</t>
        </is>
      </c>
      <c r="N88" t="inlineStr">
        <is>
          <t>Senior Technical Lead</t>
        </is>
      </c>
      <c r="O88" t="inlineStr">
        <is>
          <t>E5</t>
        </is>
      </c>
      <c r="P88" t="inlineStr">
        <is>
          <t>Senior Technical Lead</t>
        </is>
      </c>
      <c r="Q88" t="inlineStr">
        <is>
          <t>Srinivas Rao Vemana (1028538)</t>
        </is>
      </c>
      <c r="R88" s="27" t="n">
        <v>7</v>
      </c>
      <c r="S88" s="1" t="n">
        <v>320000</v>
      </c>
      <c r="T88" s="1">
        <f>ROUND(T_EMPLOYEES[[#This Row],[EMP_CTC1]]/12, 0)</f>
        <v/>
      </c>
      <c r="U88" s="1" t="n">
        <v>72000</v>
      </c>
      <c r="V88" s="1" t="inlineStr">
        <is>
          <t>NH</t>
        </is>
      </c>
      <c r="W88" s="1" t="inlineStr">
        <is>
          <t>NH</t>
        </is>
      </c>
      <c r="X8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8" t="n">
        <v>60000</v>
      </c>
      <c r="Z88" s="29">
        <f>(S88 - U88)/S88 * 100</f>
        <v/>
      </c>
      <c r="AA88">
        <f>IF(T_EMPLOYEES[[#This Row],[EMPLOYEE NUMBER]]="","",ROW(T_EMPLOYEES[[#This Row],[EMPLOYEE LABEL]])-ROW(T_EMPLOYEES[[#Headers],[EMPLOYEE LABEL]]))</f>
        <v/>
      </c>
      <c r="AB88">
        <f>IF(T_EMPLOYEES[[#This Row],[EMPLOYEE NUMBER]]="","",IF(COUNTIF(T_EMPLOYEES[EMPLOYEE NUMBER],T_EMPLOYEES[[#This Row],[EMPLOYEE NUMBER]])&gt;1,1,0))</f>
        <v/>
      </c>
      <c r="AC88">
        <f>IF(T_EMPLOYEES[[#This Row],[EMPLOYEE NUMBER]]="","",IF(AND(T_EMPLOYEES[[#This Row],[DATE OF BIRTH]]&gt;0,T_EMPLOYEES[[#This Row],[DATE OF BIRTH]]&lt;TODAY()),0,1))</f>
        <v/>
      </c>
      <c r="AD88">
        <f>IF(T_EMPLOYEES[[#This Row],[EMPLOYEE NUMBER]]="","",IF(AND(T_EMPLOYEES[[#This Row],[START DATE]]&gt;0,T_EMPLOYEES[[#This Row],[START DATE]]&lt;TODAY()+60),0,1))</f>
        <v/>
      </c>
      <c r="AE88">
        <f>IF(T_EMPLOYEES[[#This Row],[EMPLOYEE NUMBER]]="","",MATCH(T_EMPLOYEES[[#This Row],[GENDER]],L_GENDER,0))</f>
        <v/>
      </c>
      <c r="AF88">
        <f>IF(T_EMPLOYEES[[#This Row],[EMPLOYEE NUMBER]]="","",MATCH(T_EMPLOYEES[[#This Row],[HIRE SOURCE]],L_HIRESOURCE,0))</f>
        <v/>
      </c>
      <c r="AG88">
        <f>IF(T_EMPLOYEES[[#This Row],[EMPLOYEE NUMBER]]="","",MATCH(T_EMPLOYEES[[#This Row],[ETHNICITY]],L_ETHNICITY,0))</f>
        <v/>
      </c>
      <c r="AH88">
        <f>IF(T_EMPLOYEES[[#This Row],[EMPLOYEE NUMBER]]="","",MATCH(T_EMPLOYEES[[#This Row],[LOCATION]],L_LOCATION,0))</f>
        <v/>
      </c>
      <c r="AI88">
        <f>IF(T_EMPLOYEES[[#This Row],[EMPLOYEE NUMBER]]="","",MATCH(T_EMPLOYEES[[#This Row],[DEPARTMENT]],L_DEPARTMENT,0))</f>
        <v/>
      </c>
      <c r="AJ88">
        <f>IF(T_EMPLOYEES[[#This Row],[EMPLOYEE NUMBER]]="","",MATCH(T_EMPLOYEES[[#This Row],[JOB TYPE]],L_JOBTYPE,0))</f>
        <v/>
      </c>
      <c r="AK88">
        <f>IF(T_EMPLOYEES[[#This Row],[EMPLOYEE NUMBER]]="","",MATCH(T_EMPLOYEES[[#This Row],[JOB CATEGORY]],L_JOBCATEGORY,0))</f>
        <v/>
      </c>
      <c r="AL88">
        <f>IF(T_EMPLOYEES[[#This Row],[EMPLOYEE NUMBER]]="","",MATCH(T_EMPLOYEES[[#This Row],[JOB LEVEL]],L_JOBLEVEL,0))</f>
        <v/>
      </c>
      <c r="AM88">
        <f>IF(T_EMPLOYEES[[#This Row],[EMPLOYEE NUMBER]]="","",MATCH(T_EMPLOYEES[[#This Row],[JOB TITLE]],L_JOBTITLE,0))</f>
        <v/>
      </c>
      <c r="AN88">
        <f>IF(T_EMPLOYEES[[#This Row],[EMPLOYEE NUMBER]]="","",MATCH(T_EMPLOYEES[[#This Row],[MANAGER]],L_EMPLABELS,0))</f>
        <v/>
      </c>
      <c r="AO88">
        <f>IF(T_EMPLOYEES[[#This Row],[EMPLOYEE NUMBER]]="","",IF(T_EMPLOYEES[[#This Row],[ERROR]]="",0,1))</f>
        <v/>
      </c>
      <c r="AP8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89">
      <c r="A89" t="inlineStr">
        <is>
          <t>Vijaykrishnan</t>
        </is>
      </c>
      <c r="B89" t="inlineStr">
        <is>
          <t xml:space="preserve"> Ragavan</t>
        </is>
      </c>
      <c r="C89" t="n">
        <v>1013703</v>
      </c>
      <c r="D89" t="inlineStr">
        <is>
          <t>vijaykrishnan@infinite.com</t>
        </is>
      </c>
      <c r="E89" s="26" t="n">
        <v>30731</v>
      </c>
      <c r="F89" s="26" t="n">
        <v>41548</v>
      </c>
      <c r="H89" t="inlineStr">
        <is>
          <t>Male</t>
        </is>
      </c>
      <c r="I89" t="inlineStr">
        <is>
          <t>Asian</t>
        </is>
      </c>
      <c r="J89" t="inlineStr">
        <is>
          <t>WEBSITE</t>
        </is>
      </c>
      <c r="K89" t="inlineStr">
        <is>
          <t>Bangalore</t>
        </is>
      </c>
      <c r="L89" s="27" t="inlineStr">
        <is>
          <t>IT</t>
        </is>
      </c>
      <c r="M89" t="inlineStr">
        <is>
          <t>Full-Time</t>
        </is>
      </c>
      <c r="N89" t="inlineStr">
        <is>
          <t>Vice President</t>
        </is>
      </c>
      <c r="O89" t="inlineStr">
        <is>
          <t>E10</t>
        </is>
      </c>
      <c r="P89" t="inlineStr">
        <is>
          <t>Vice President</t>
        </is>
      </c>
      <c r="Q89" t="inlineStr">
        <is>
          <t>Radhakanta  Samantara (1010164)</t>
        </is>
      </c>
      <c r="R89" t="n">
        <v>21</v>
      </c>
      <c r="S89" s="1" t="n">
        <v>320000</v>
      </c>
      <c r="T89" s="1">
        <f>ROUND(T_EMPLOYEES[[#This Row],[EMP_CTC1]]/12, 0)</f>
        <v/>
      </c>
      <c r="U89" s="1" t="n">
        <v>72000</v>
      </c>
      <c r="V89" s="1" t="inlineStr">
        <is>
          <t>NH</t>
        </is>
      </c>
      <c r="W89" s="1" t="inlineStr">
        <is>
          <t>NH</t>
        </is>
      </c>
      <c r="X8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89" t="n">
        <v>60000</v>
      </c>
      <c r="Z89" s="29">
        <f>(S89 - U89)/S89 * 100</f>
        <v/>
      </c>
      <c r="AA89">
        <f>IF(T_EMPLOYEES[[#This Row],[EMPLOYEE NUMBER]]="","",ROW(T_EMPLOYEES[[#This Row],[EMPLOYEE LABEL]])-ROW(T_EMPLOYEES[[#Headers],[EMPLOYEE LABEL]]))</f>
        <v/>
      </c>
      <c r="AB89">
        <f>IF(T_EMPLOYEES[[#This Row],[EMPLOYEE NUMBER]]="","",IF(COUNTIF(T_EMPLOYEES[EMPLOYEE NUMBER],T_EMPLOYEES[[#This Row],[EMPLOYEE NUMBER]])&gt;1,1,0))</f>
        <v/>
      </c>
      <c r="AC89">
        <f>IF(T_EMPLOYEES[[#This Row],[EMPLOYEE NUMBER]]="","",IF(AND(T_EMPLOYEES[[#This Row],[DATE OF BIRTH]]&gt;0,T_EMPLOYEES[[#This Row],[DATE OF BIRTH]]&lt;TODAY()),0,1))</f>
        <v/>
      </c>
      <c r="AD89">
        <f>IF(T_EMPLOYEES[[#This Row],[EMPLOYEE NUMBER]]="","",IF(AND(T_EMPLOYEES[[#This Row],[START DATE]]&gt;0,T_EMPLOYEES[[#This Row],[START DATE]]&lt;TODAY()+60),0,1))</f>
        <v/>
      </c>
      <c r="AE89">
        <f>IF(T_EMPLOYEES[[#This Row],[EMPLOYEE NUMBER]]="","",MATCH(T_EMPLOYEES[[#This Row],[GENDER]],L_GENDER,0))</f>
        <v/>
      </c>
      <c r="AF89">
        <f>IF(T_EMPLOYEES[[#This Row],[EMPLOYEE NUMBER]]="","",MATCH(T_EMPLOYEES[[#This Row],[HIRE SOURCE]],L_HIRESOURCE,0))</f>
        <v/>
      </c>
      <c r="AG89">
        <f>IF(T_EMPLOYEES[[#This Row],[EMPLOYEE NUMBER]]="","",MATCH(T_EMPLOYEES[[#This Row],[ETHNICITY]],L_ETHNICITY,0))</f>
        <v/>
      </c>
      <c r="AH89">
        <f>IF(T_EMPLOYEES[[#This Row],[EMPLOYEE NUMBER]]="","",MATCH(T_EMPLOYEES[[#This Row],[LOCATION]],L_LOCATION,0))</f>
        <v/>
      </c>
      <c r="AI89">
        <f>IF(T_EMPLOYEES[[#This Row],[EMPLOYEE NUMBER]]="","",MATCH(T_EMPLOYEES[[#This Row],[DEPARTMENT]],L_DEPARTMENT,0))</f>
        <v/>
      </c>
      <c r="AJ89">
        <f>IF(T_EMPLOYEES[[#This Row],[EMPLOYEE NUMBER]]="","",MATCH(T_EMPLOYEES[[#This Row],[JOB TYPE]],L_JOBTYPE,0))</f>
        <v/>
      </c>
      <c r="AK89">
        <f>IF(T_EMPLOYEES[[#This Row],[EMPLOYEE NUMBER]]="","",MATCH(T_EMPLOYEES[[#This Row],[JOB CATEGORY]],L_JOBCATEGORY,0))</f>
        <v/>
      </c>
      <c r="AL89">
        <f>IF(T_EMPLOYEES[[#This Row],[EMPLOYEE NUMBER]]="","",MATCH(T_EMPLOYEES[[#This Row],[JOB LEVEL]],L_JOBLEVEL,0))</f>
        <v/>
      </c>
      <c r="AM89">
        <f>IF(T_EMPLOYEES[[#This Row],[EMPLOYEE NUMBER]]="","",MATCH(T_EMPLOYEES[[#This Row],[JOB TITLE]],L_JOBTITLE,0))</f>
        <v/>
      </c>
      <c r="AN89">
        <f>IF(T_EMPLOYEES[[#This Row],[EMPLOYEE NUMBER]]="","",MATCH(T_EMPLOYEES[[#This Row],[MANAGER]],L_EMPLABELS,0))</f>
        <v/>
      </c>
      <c r="AO89">
        <f>IF(T_EMPLOYEES[[#This Row],[EMPLOYEE NUMBER]]="","",IF(T_EMPLOYEES[[#This Row],[ERROR]]="",0,1))</f>
        <v/>
      </c>
      <c r="AP8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0">
      <c r="A90" t="inlineStr">
        <is>
          <t>T</t>
        </is>
      </c>
      <c r="B90" t="inlineStr">
        <is>
          <t xml:space="preserve"> Muthukumar</t>
        </is>
      </c>
      <c r="C90" t="n">
        <v>1022795</v>
      </c>
      <c r="D90" t="inlineStr">
        <is>
          <t>Muthukumar.Thangamuthu@infinite.com</t>
        </is>
      </c>
      <c r="E90" s="26" t="n">
        <v>30759</v>
      </c>
      <c r="F90" s="26" t="n">
        <v>43773</v>
      </c>
      <c r="H90" t="inlineStr">
        <is>
          <t>Male</t>
        </is>
      </c>
      <c r="I90" t="inlineStr">
        <is>
          <t>Asian</t>
        </is>
      </c>
      <c r="J90" t="inlineStr">
        <is>
          <t>WEBSITE</t>
        </is>
      </c>
      <c r="K90" t="inlineStr">
        <is>
          <t>Bangalore</t>
        </is>
      </c>
      <c r="L90" s="27" t="inlineStr">
        <is>
          <t>IT</t>
        </is>
      </c>
      <c r="M90" t="inlineStr">
        <is>
          <t>Full-Time</t>
        </is>
      </c>
      <c r="N90" t="inlineStr">
        <is>
          <t>Project Manager</t>
        </is>
      </c>
      <c r="O90" t="inlineStr">
        <is>
          <t>E6</t>
        </is>
      </c>
      <c r="P90" t="inlineStr">
        <is>
          <t>Project Manager</t>
        </is>
      </c>
      <c r="Q90" t="inlineStr">
        <is>
          <t>Radhakanta  Samantara (1010164)</t>
        </is>
      </c>
      <c r="R90" s="27" t="n">
        <v>7</v>
      </c>
      <c r="S90" s="1" t="n">
        <v>320000</v>
      </c>
      <c r="T90" s="1">
        <f>ROUND(T_EMPLOYEES[[#This Row],[EMP_CTC1]]/12, 0)</f>
        <v/>
      </c>
      <c r="U90" s="1" t="n">
        <v>72000</v>
      </c>
      <c r="V90" s="1" t="inlineStr">
        <is>
          <t>NH</t>
        </is>
      </c>
      <c r="W90" s="1" t="inlineStr">
        <is>
          <t>NH</t>
        </is>
      </c>
      <c r="X9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0" t="n">
        <v>60000</v>
      </c>
      <c r="Z90" s="29">
        <f>(S90 - U90)/S90 * 100</f>
        <v/>
      </c>
      <c r="AA90">
        <f>IF(T_EMPLOYEES[[#This Row],[EMPLOYEE NUMBER]]="","",ROW(T_EMPLOYEES[[#This Row],[EMPLOYEE LABEL]])-ROW(T_EMPLOYEES[[#Headers],[EMPLOYEE LABEL]]))</f>
        <v/>
      </c>
      <c r="AB90">
        <f>IF(T_EMPLOYEES[[#This Row],[EMPLOYEE NUMBER]]="","",IF(COUNTIF(T_EMPLOYEES[EMPLOYEE NUMBER],T_EMPLOYEES[[#This Row],[EMPLOYEE NUMBER]])&gt;1,1,0))</f>
        <v/>
      </c>
      <c r="AC90">
        <f>IF(T_EMPLOYEES[[#This Row],[EMPLOYEE NUMBER]]="","",IF(AND(T_EMPLOYEES[[#This Row],[DATE OF BIRTH]]&gt;0,T_EMPLOYEES[[#This Row],[DATE OF BIRTH]]&lt;TODAY()),0,1))</f>
        <v/>
      </c>
      <c r="AD90">
        <f>IF(T_EMPLOYEES[[#This Row],[EMPLOYEE NUMBER]]="","",IF(AND(T_EMPLOYEES[[#This Row],[START DATE]]&gt;0,T_EMPLOYEES[[#This Row],[START DATE]]&lt;TODAY()+60),0,1))</f>
        <v/>
      </c>
      <c r="AE90">
        <f>IF(T_EMPLOYEES[[#This Row],[EMPLOYEE NUMBER]]="","",MATCH(T_EMPLOYEES[[#This Row],[GENDER]],L_GENDER,0))</f>
        <v/>
      </c>
      <c r="AF90">
        <f>IF(T_EMPLOYEES[[#This Row],[EMPLOYEE NUMBER]]="","",MATCH(T_EMPLOYEES[[#This Row],[HIRE SOURCE]],L_HIRESOURCE,0))</f>
        <v/>
      </c>
      <c r="AG90">
        <f>IF(T_EMPLOYEES[[#This Row],[EMPLOYEE NUMBER]]="","",MATCH(T_EMPLOYEES[[#This Row],[ETHNICITY]],L_ETHNICITY,0))</f>
        <v/>
      </c>
      <c r="AH90">
        <f>IF(T_EMPLOYEES[[#This Row],[EMPLOYEE NUMBER]]="","",MATCH(T_EMPLOYEES[[#This Row],[LOCATION]],L_LOCATION,0))</f>
        <v/>
      </c>
      <c r="AI90">
        <f>IF(T_EMPLOYEES[[#This Row],[EMPLOYEE NUMBER]]="","",MATCH(T_EMPLOYEES[[#This Row],[DEPARTMENT]],L_DEPARTMENT,0))</f>
        <v/>
      </c>
      <c r="AJ90">
        <f>IF(T_EMPLOYEES[[#This Row],[EMPLOYEE NUMBER]]="","",MATCH(T_EMPLOYEES[[#This Row],[JOB TYPE]],L_JOBTYPE,0))</f>
        <v/>
      </c>
      <c r="AK90">
        <f>IF(T_EMPLOYEES[[#This Row],[EMPLOYEE NUMBER]]="","",MATCH(T_EMPLOYEES[[#This Row],[JOB CATEGORY]],L_JOBCATEGORY,0))</f>
        <v/>
      </c>
      <c r="AL90">
        <f>IF(T_EMPLOYEES[[#This Row],[EMPLOYEE NUMBER]]="","",MATCH(T_EMPLOYEES[[#This Row],[JOB LEVEL]],L_JOBLEVEL,0))</f>
        <v/>
      </c>
      <c r="AM90">
        <f>IF(T_EMPLOYEES[[#This Row],[EMPLOYEE NUMBER]]="","",MATCH(T_EMPLOYEES[[#This Row],[JOB TITLE]],L_JOBTITLE,0))</f>
        <v/>
      </c>
      <c r="AN90">
        <f>IF(T_EMPLOYEES[[#This Row],[EMPLOYEE NUMBER]]="","",MATCH(T_EMPLOYEES[[#This Row],[MANAGER]],L_EMPLABELS,0))</f>
        <v/>
      </c>
      <c r="AO90">
        <f>IF(T_EMPLOYEES[[#This Row],[EMPLOYEE NUMBER]]="","",IF(T_EMPLOYEES[[#This Row],[ERROR]]="",0,1))</f>
        <v/>
      </c>
      <c r="AP9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1">
      <c r="A91" t="inlineStr">
        <is>
          <t>Saravanakumar</t>
        </is>
      </c>
      <c r="B91" t="inlineStr">
        <is>
          <t>K</t>
        </is>
      </c>
      <c r="C91" t="n">
        <v>1027682</v>
      </c>
      <c r="D91" t="inlineStr">
        <is>
          <t>Saravanakumar.Kuzhanthaivel@infinite.com</t>
        </is>
      </c>
      <c r="E91" s="26" t="n">
        <v>30819</v>
      </c>
      <c r="F91" s="26" t="n">
        <v>44547</v>
      </c>
      <c r="H91" t="inlineStr">
        <is>
          <t>Male</t>
        </is>
      </c>
      <c r="I91" t="inlineStr">
        <is>
          <t>Asian</t>
        </is>
      </c>
      <c r="J91" t="inlineStr">
        <is>
          <t>WEBSITE</t>
        </is>
      </c>
      <c r="K91" t="inlineStr">
        <is>
          <t>Bangalore</t>
        </is>
      </c>
      <c r="L91" s="27" t="inlineStr">
        <is>
          <t>Infra</t>
        </is>
      </c>
      <c r="M91" t="inlineStr">
        <is>
          <t>Full-Time</t>
        </is>
      </c>
      <c r="N91" t="inlineStr">
        <is>
          <t>Technical Lead</t>
        </is>
      </c>
      <c r="O91" t="inlineStr">
        <is>
          <t>E4</t>
        </is>
      </c>
      <c r="P91" t="inlineStr">
        <is>
          <t>Technical Lead</t>
        </is>
      </c>
      <c r="Q91" t="inlineStr">
        <is>
          <t>K  Saikumar (1026864)</t>
        </is>
      </c>
      <c r="R91" t="n">
        <v>5</v>
      </c>
      <c r="S91" s="1" t="n">
        <v>320000</v>
      </c>
      <c r="T91" s="1">
        <f>ROUND(T_EMPLOYEES[[#This Row],[EMP_CTC1]]/12, 0)</f>
        <v/>
      </c>
      <c r="U91" s="1" t="n">
        <v>72000</v>
      </c>
      <c r="V91" s="1" t="inlineStr">
        <is>
          <t>NH</t>
        </is>
      </c>
      <c r="W91" s="1" t="inlineStr">
        <is>
          <t>NH</t>
        </is>
      </c>
      <c r="X9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1" t="n">
        <v>60000</v>
      </c>
      <c r="Z91" s="29">
        <f>(S91 - U91)/S91 * 100</f>
        <v/>
      </c>
      <c r="AA91">
        <f>IF(T_EMPLOYEES[[#This Row],[EMPLOYEE NUMBER]]="","",ROW(T_EMPLOYEES[[#This Row],[EMPLOYEE LABEL]])-ROW(T_EMPLOYEES[[#Headers],[EMPLOYEE LABEL]]))</f>
        <v/>
      </c>
      <c r="AB91">
        <f>IF(T_EMPLOYEES[[#This Row],[EMPLOYEE NUMBER]]="","",IF(COUNTIF(T_EMPLOYEES[EMPLOYEE NUMBER],T_EMPLOYEES[[#This Row],[EMPLOYEE NUMBER]])&gt;1,1,0))</f>
        <v/>
      </c>
      <c r="AC91">
        <f>IF(T_EMPLOYEES[[#This Row],[EMPLOYEE NUMBER]]="","",IF(AND(T_EMPLOYEES[[#This Row],[DATE OF BIRTH]]&gt;0,T_EMPLOYEES[[#This Row],[DATE OF BIRTH]]&lt;TODAY()),0,1))</f>
        <v/>
      </c>
      <c r="AD91">
        <f>IF(T_EMPLOYEES[[#This Row],[EMPLOYEE NUMBER]]="","",IF(AND(T_EMPLOYEES[[#This Row],[START DATE]]&gt;0,T_EMPLOYEES[[#This Row],[START DATE]]&lt;TODAY()+60),0,1))</f>
        <v/>
      </c>
      <c r="AE91">
        <f>IF(T_EMPLOYEES[[#This Row],[EMPLOYEE NUMBER]]="","",MATCH(T_EMPLOYEES[[#This Row],[GENDER]],L_GENDER,0))</f>
        <v/>
      </c>
      <c r="AF91">
        <f>IF(T_EMPLOYEES[[#This Row],[EMPLOYEE NUMBER]]="","",MATCH(T_EMPLOYEES[[#This Row],[HIRE SOURCE]],L_HIRESOURCE,0))</f>
        <v/>
      </c>
      <c r="AG91">
        <f>IF(T_EMPLOYEES[[#This Row],[EMPLOYEE NUMBER]]="","",MATCH(T_EMPLOYEES[[#This Row],[ETHNICITY]],L_ETHNICITY,0))</f>
        <v/>
      </c>
      <c r="AH91">
        <f>IF(T_EMPLOYEES[[#This Row],[EMPLOYEE NUMBER]]="","",MATCH(T_EMPLOYEES[[#This Row],[LOCATION]],L_LOCATION,0))</f>
        <v/>
      </c>
      <c r="AI91">
        <f>IF(T_EMPLOYEES[[#This Row],[EMPLOYEE NUMBER]]="","",MATCH(T_EMPLOYEES[[#This Row],[DEPARTMENT]],L_DEPARTMENT,0))</f>
        <v/>
      </c>
      <c r="AJ91">
        <f>IF(T_EMPLOYEES[[#This Row],[EMPLOYEE NUMBER]]="","",MATCH(T_EMPLOYEES[[#This Row],[JOB TYPE]],L_JOBTYPE,0))</f>
        <v/>
      </c>
      <c r="AK91">
        <f>IF(T_EMPLOYEES[[#This Row],[EMPLOYEE NUMBER]]="","",MATCH(T_EMPLOYEES[[#This Row],[JOB CATEGORY]],L_JOBCATEGORY,0))</f>
        <v/>
      </c>
      <c r="AL91">
        <f>IF(T_EMPLOYEES[[#This Row],[EMPLOYEE NUMBER]]="","",MATCH(T_EMPLOYEES[[#This Row],[JOB LEVEL]],L_JOBLEVEL,0))</f>
        <v/>
      </c>
      <c r="AM91">
        <f>IF(T_EMPLOYEES[[#This Row],[EMPLOYEE NUMBER]]="","",MATCH(T_EMPLOYEES[[#This Row],[JOB TITLE]],L_JOBTITLE,0))</f>
        <v/>
      </c>
      <c r="AN91">
        <f>IF(T_EMPLOYEES[[#This Row],[EMPLOYEE NUMBER]]="","",MATCH(T_EMPLOYEES[[#This Row],[MANAGER]],L_EMPLABELS,0))</f>
        <v/>
      </c>
      <c r="AO91">
        <f>IF(T_EMPLOYEES[[#This Row],[EMPLOYEE NUMBER]]="","",IF(T_EMPLOYEES[[#This Row],[ERROR]]="",0,1))</f>
        <v/>
      </c>
      <c r="AP9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2">
      <c r="A92" t="inlineStr">
        <is>
          <t>Sunitha</t>
        </is>
      </c>
      <c r="B92" t="inlineStr">
        <is>
          <t xml:space="preserve"> Sudi</t>
        </is>
      </c>
      <c r="C92" t="n">
        <v>1029823</v>
      </c>
      <c r="D92" t="inlineStr">
        <is>
          <t>Sunitha.Kalakappa@infinite.com</t>
        </is>
      </c>
      <c r="E92" s="26" t="n">
        <v>30843</v>
      </c>
      <c r="F92" s="26" t="n">
        <v>44785</v>
      </c>
      <c r="H92" t="inlineStr">
        <is>
          <t>Female</t>
        </is>
      </c>
      <c r="I92" t="inlineStr">
        <is>
          <t>Asian</t>
        </is>
      </c>
      <c r="J92" t="inlineStr">
        <is>
          <t>WEBSITE</t>
        </is>
      </c>
      <c r="K92" t="inlineStr">
        <is>
          <t>Bangalore</t>
        </is>
      </c>
      <c r="L92" s="27" t="inlineStr">
        <is>
          <t>IT</t>
        </is>
      </c>
      <c r="M92" t="inlineStr">
        <is>
          <t>Full-Time</t>
        </is>
      </c>
      <c r="N92" t="inlineStr">
        <is>
          <t>Senior Technical Lead</t>
        </is>
      </c>
      <c r="O92" t="inlineStr">
        <is>
          <t>E5</t>
        </is>
      </c>
      <c r="P92" t="inlineStr">
        <is>
          <t>Senior Technical Lead</t>
        </is>
      </c>
      <c r="Q92" t="inlineStr">
        <is>
          <t>Radhakanta  Samantara (1010164)</t>
        </is>
      </c>
      <c r="R92" s="27" t="n">
        <v>7</v>
      </c>
      <c r="S92" s="1" t="n">
        <v>320000</v>
      </c>
      <c r="T92" s="1">
        <f>ROUND(T_EMPLOYEES[[#This Row],[EMP_CTC1]]/12, 0)</f>
        <v/>
      </c>
      <c r="U92" s="1" t="n">
        <v>72000</v>
      </c>
      <c r="V92" s="1" t="inlineStr">
        <is>
          <t>NH</t>
        </is>
      </c>
      <c r="W92" s="1" t="inlineStr">
        <is>
          <t>NH</t>
        </is>
      </c>
      <c r="X9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2" t="n">
        <v>60000</v>
      </c>
      <c r="Z92" s="29">
        <f>(S92 - U92)/S92 * 100</f>
        <v/>
      </c>
      <c r="AA92">
        <f>IF(T_EMPLOYEES[[#This Row],[EMPLOYEE NUMBER]]="","",ROW(T_EMPLOYEES[[#This Row],[EMPLOYEE LABEL]])-ROW(T_EMPLOYEES[[#Headers],[EMPLOYEE LABEL]]))</f>
        <v/>
      </c>
      <c r="AB92">
        <f>IF(T_EMPLOYEES[[#This Row],[EMPLOYEE NUMBER]]="","",IF(COUNTIF(T_EMPLOYEES[EMPLOYEE NUMBER],T_EMPLOYEES[[#This Row],[EMPLOYEE NUMBER]])&gt;1,1,0))</f>
        <v/>
      </c>
      <c r="AC92">
        <f>IF(T_EMPLOYEES[[#This Row],[EMPLOYEE NUMBER]]="","",IF(AND(T_EMPLOYEES[[#This Row],[DATE OF BIRTH]]&gt;0,T_EMPLOYEES[[#This Row],[DATE OF BIRTH]]&lt;TODAY()),0,1))</f>
        <v/>
      </c>
      <c r="AD92">
        <f>IF(T_EMPLOYEES[[#This Row],[EMPLOYEE NUMBER]]="","",IF(AND(T_EMPLOYEES[[#This Row],[START DATE]]&gt;0,T_EMPLOYEES[[#This Row],[START DATE]]&lt;TODAY()+60),0,1))</f>
        <v/>
      </c>
      <c r="AE92">
        <f>IF(T_EMPLOYEES[[#This Row],[EMPLOYEE NUMBER]]="","",MATCH(T_EMPLOYEES[[#This Row],[GENDER]],L_GENDER,0))</f>
        <v/>
      </c>
      <c r="AF92">
        <f>IF(T_EMPLOYEES[[#This Row],[EMPLOYEE NUMBER]]="","",MATCH(T_EMPLOYEES[[#This Row],[HIRE SOURCE]],L_HIRESOURCE,0))</f>
        <v/>
      </c>
      <c r="AG92">
        <f>IF(T_EMPLOYEES[[#This Row],[EMPLOYEE NUMBER]]="","",MATCH(T_EMPLOYEES[[#This Row],[ETHNICITY]],L_ETHNICITY,0))</f>
        <v/>
      </c>
      <c r="AH92">
        <f>IF(T_EMPLOYEES[[#This Row],[EMPLOYEE NUMBER]]="","",MATCH(T_EMPLOYEES[[#This Row],[LOCATION]],L_LOCATION,0))</f>
        <v/>
      </c>
      <c r="AI92">
        <f>IF(T_EMPLOYEES[[#This Row],[EMPLOYEE NUMBER]]="","",MATCH(T_EMPLOYEES[[#This Row],[DEPARTMENT]],L_DEPARTMENT,0))</f>
        <v/>
      </c>
      <c r="AJ92">
        <f>IF(T_EMPLOYEES[[#This Row],[EMPLOYEE NUMBER]]="","",MATCH(T_EMPLOYEES[[#This Row],[JOB TYPE]],L_JOBTYPE,0))</f>
        <v/>
      </c>
      <c r="AK92">
        <f>IF(T_EMPLOYEES[[#This Row],[EMPLOYEE NUMBER]]="","",MATCH(T_EMPLOYEES[[#This Row],[JOB CATEGORY]],L_JOBCATEGORY,0))</f>
        <v/>
      </c>
      <c r="AL92">
        <f>IF(T_EMPLOYEES[[#This Row],[EMPLOYEE NUMBER]]="","",MATCH(T_EMPLOYEES[[#This Row],[JOB LEVEL]],L_JOBLEVEL,0))</f>
        <v/>
      </c>
      <c r="AM92">
        <f>IF(T_EMPLOYEES[[#This Row],[EMPLOYEE NUMBER]]="","",MATCH(T_EMPLOYEES[[#This Row],[JOB TITLE]],L_JOBTITLE,0))</f>
        <v/>
      </c>
      <c r="AN92">
        <f>IF(T_EMPLOYEES[[#This Row],[EMPLOYEE NUMBER]]="","",MATCH(T_EMPLOYEES[[#This Row],[MANAGER]],L_EMPLABELS,0))</f>
        <v/>
      </c>
      <c r="AO92">
        <f>IF(T_EMPLOYEES[[#This Row],[EMPLOYEE NUMBER]]="","",IF(T_EMPLOYEES[[#This Row],[ERROR]]="",0,1))</f>
        <v/>
      </c>
      <c r="AP9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3">
      <c r="A93" t="inlineStr">
        <is>
          <t>Nidhish</t>
        </is>
      </c>
      <c r="B93" t="inlineStr">
        <is>
          <t>Kumar Verma R</t>
        </is>
      </c>
      <c r="C93" t="n">
        <v>1029154</v>
      </c>
      <c r="D93" t="inlineStr">
        <is>
          <t>Nidhishkumar.Racharla@infinite.com</t>
        </is>
      </c>
      <c r="E93" s="26" t="n">
        <v>30895</v>
      </c>
      <c r="F93" s="26" t="n">
        <v>44711</v>
      </c>
      <c r="H93" t="inlineStr">
        <is>
          <t>Male</t>
        </is>
      </c>
      <c r="I93" t="inlineStr">
        <is>
          <t>Asian</t>
        </is>
      </c>
      <c r="J93" t="inlineStr">
        <is>
          <t>WEBSITE</t>
        </is>
      </c>
      <c r="K93" t="inlineStr">
        <is>
          <t>Bangalore</t>
        </is>
      </c>
      <c r="L93" s="27" t="inlineStr">
        <is>
          <t>IT</t>
        </is>
      </c>
      <c r="M93" t="inlineStr">
        <is>
          <t>Full-Time</t>
        </is>
      </c>
      <c r="N93" t="inlineStr">
        <is>
          <t>Technical Lead</t>
        </is>
      </c>
      <c r="O93" t="inlineStr">
        <is>
          <t>E4</t>
        </is>
      </c>
      <c r="P93" t="inlineStr">
        <is>
          <t>Technical Lead</t>
        </is>
      </c>
      <c r="Q93" t="inlineStr">
        <is>
          <t>D N Rajesh (1028375)</t>
        </is>
      </c>
      <c r="R93" t="n">
        <v>5</v>
      </c>
      <c r="S93" s="1" t="n">
        <v>320000</v>
      </c>
      <c r="T93" s="1">
        <f>ROUND(T_EMPLOYEES[[#This Row],[EMP_CTC1]]/12, 0)</f>
        <v/>
      </c>
      <c r="U93" s="1" t="n">
        <v>72000</v>
      </c>
      <c r="V93" s="1" t="inlineStr">
        <is>
          <t>NH</t>
        </is>
      </c>
      <c r="W93" s="1" t="inlineStr">
        <is>
          <t>NH</t>
        </is>
      </c>
      <c r="X9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3" t="n">
        <v>60000</v>
      </c>
      <c r="Z93" s="29">
        <f>(S93 - U93)/S93 * 100</f>
        <v/>
      </c>
      <c r="AA93">
        <f>IF(T_EMPLOYEES[[#This Row],[EMPLOYEE NUMBER]]="","",ROW(T_EMPLOYEES[[#This Row],[EMPLOYEE LABEL]])-ROW(T_EMPLOYEES[[#Headers],[EMPLOYEE LABEL]]))</f>
        <v/>
      </c>
      <c r="AB93">
        <f>IF(T_EMPLOYEES[[#This Row],[EMPLOYEE NUMBER]]="","",IF(COUNTIF(T_EMPLOYEES[EMPLOYEE NUMBER],T_EMPLOYEES[[#This Row],[EMPLOYEE NUMBER]])&gt;1,1,0))</f>
        <v/>
      </c>
      <c r="AC93">
        <f>IF(T_EMPLOYEES[[#This Row],[EMPLOYEE NUMBER]]="","",IF(AND(T_EMPLOYEES[[#This Row],[DATE OF BIRTH]]&gt;0,T_EMPLOYEES[[#This Row],[DATE OF BIRTH]]&lt;TODAY()),0,1))</f>
        <v/>
      </c>
      <c r="AD93">
        <f>IF(T_EMPLOYEES[[#This Row],[EMPLOYEE NUMBER]]="","",IF(AND(T_EMPLOYEES[[#This Row],[START DATE]]&gt;0,T_EMPLOYEES[[#This Row],[START DATE]]&lt;TODAY()+60),0,1))</f>
        <v/>
      </c>
      <c r="AE93">
        <f>IF(T_EMPLOYEES[[#This Row],[EMPLOYEE NUMBER]]="","",MATCH(T_EMPLOYEES[[#This Row],[GENDER]],L_GENDER,0))</f>
        <v/>
      </c>
      <c r="AF93">
        <f>IF(T_EMPLOYEES[[#This Row],[EMPLOYEE NUMBER]]="","",MATCH(T_EMPLOYEES[[#This Row],[HIRE SOURCE]],L_HIRESOURCE,0))</f>
        <v/>
      </c>
      <c r="AG93">
        <f>IF(T_EMPLOYEES[[#This Row],[EMPLOYEE NUMBER]]="","",MATCH(T_EMPLOYEES[[#This Row],[ETHNICITY]],L_ETHNICITY,0))</f>
        <v/>
      </c>
      <c r="AH93">
        <f>IF(T_EMPLOYEES[[#This Row],[EMPLOYEE NUMBER]]="","",MATCH(T_EMPLOYEES[[#This Row],[LOCATION]],L_LOCATION,0))</f>
        <v/>
      </c>
      <c r="AI93">
        <f>IF(T_EMPLOYEES[[#This Row],[EMPLOYEE NUMBER]]="","",MATCH(T_EMPLOYEES[[#This Row],[DEPARTMENT]],L_DEPARTMENT,0))</f>
        <v/>
      </c>
      <c r="AJ93">
        <f>IF(T_EMPLOYEES[[#This Row],[EMPLOYEE NUMBER]]="","",MATCH(T_EMPLOYEES[[#This Row],[JOB TYPE]],L_JOBTYPE,0))</f>
        <v/>
      </c>
      <c r="AK93">
        <f>IF(T_EMPLOYEES[[#This Row],[EMPLOYEE NUMBER]]="","",MATCH(T_EMPLOYEES[[#This Row],[JOB CATEGORY]],L_JOBCATEGORY,0))</f>
        <v/>
      </c>
      <c r="AL93">
        <f>IF(T_EMPLOYEES[[#This Row],[EMPLOYEE NUMBER]]="","",MATCH(T_EMPLOYEES[[#This Row],[JOB LEVEL]],L_JOBLEVEL,0))</f>
        <v/>
      </c>
      <c r="AM93">
        <f>IF(T_EMPLOYEES[[#This Row],[EMPLOYEE NUMBER]]="","",MATCH(T_EMPLOYEES[[#This Row],[JOB TITLE]],L_JOBTITLE,0))</f>
        <v/>
      </c>
      <c r="AN93">
        <f>IF(T_EMPLOYEES[[#This Row],[EMPLOYEE NUMBER]]="","",MATCH(T_EMPLOYEES[[#This Row],[MANAGER]],L_EMPLABELS,0))</f>
        <v/>
      </c>
      <c r="AO93">
        <f>IF(T_EMPLOYEES[[#This Row],[EMPLOYEE NUMBER]]="","",IF(T_EMPLOYEES[[#This Row],[ERROR]]="",0,1))</f>
        <v/>
      </c>
      <c r="AP9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4">
      <c r="A94" t="inlineStr">
        <is>
          <t>J</t>
        </is>
      </c>
      <c r="B94" t="inlineStr">
        <is>
          <t>S S  Vardhan</t>
        </is>
      </c>
      <c r="C94" t="n">
        <v>1020135</v>
      </c>
      <c r="D94" t="inlineStr">
        <is>
          <t>Vardhan.Jandhyala@infinite.com</t>
        </is>
      </c>
      <c r="E94" s="26" t="n">
        <v>30899</v>
      </c>
      <c r="F94" s="26" t="n">
        <v>43108</v>
      </c>
      <c r="H94" t="inlineStr">
        <is>
          <t>Male</t>
        </is>
      </c>
      <c r="I94" t="inlineStr">
        <is>
          <t>Asian</t>
        </is>
      </c>
      <c r="J94" t="inlineStr">
        <is>
          <t>WEBSITE</t>
        </is>
      </c>
      <c r="K94" t="inlineStr">
        <is>
          <t>Hyderabad</t>
        </is>
      </c>
      <c r="L94" s="27" t="inlineStr">
        <is>
          <t>IT</t>
        </is>
      </c>
      <c r="M94" t="inlineStr">
        <is>
          <t>Full-Time</t>
        </is>
      </c>
      <c r="N94" t="inlineStr">
        <is>
          <t>Project Manager</t>
        </is>
      </c>
      <c r="O94" t="inlineStr">
        <is>
          <t>E6</t>
        </is>
      </c>
      <c r="P94" t="inlineStr">
        <is>
          <t>Project Manager</t>
        </is>
      </c>
      <c r="Q94" t="inlineStr">
        <is>
          <t>Talluri  Mangarao (1004641)</t>
        </is>
      </c>
      <c r="R94" s="27" t="n">
        <v>7</v>
      </c>
      <c r="S94" s="1" t="n">
        <v>320000</v>
      </c>
      <c r="T94" s="1">
        <f>ROUND(T_EMPLOYEES[[#This Row],[EMP_CTC1]]/12, 0)</f>
        <v/>
      </c>
      <c r="U94" s="1" t="n">
        <v>72000</v>
      </c>
      <c r="V94" s="1" t="inlineStr">
        <is>
          <t>NH</t>
        </is>
      </c>
      <c r="W94" s="1" t="inlineStr">
        <is>
          <t>NH</t>
        </is>
      </c>
      <c r="X9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4" t="n">
        <v>60000</v>
      </c>
      <c r="Z94" s="29">
        <f>(S94 - U94)/S94 * 100</f>
        <v/>
      </c>
      <c r="AA94">
        <f>IF(T_EMPLOYEES[[#This Row],[EMPLOYEE NUMBER]]="","",ROW(T_EMPLOYEES[[#This Row],[EMPLOYEE LABEL]])-ROW(T_EMPLOYEES[[#Headers],[EMPLOYEE LABEL]]))</f>
        <v/>
      </c>
      <c r="AB94">
        <f>IF(T_EMPLOYEES[[#This Row],[EMPLOYEE NUMBER]]="","",IF(COUNTIF(T_EMPLOYEES[EMPLOYEE NUMBER],T_EMPLOYEES[[#This Row],[EMPLOYEE NUMBER]])&gt;1,1,0))</f>
        <v/>
      </c>
      <c r="AC94">
        <f>IF(T_EMPLOYEES[[#This Row],[EMPLOYEE NUMBER]]="","",IF(AND(T_EMPLOYEES[[#This Row],[DATE OF BIRTH]]&gt;0,T_EMPLOYEES[[#This Row],[DATE OF BIRTH]]&lt;TODAY()),0,1))</f>
        <v/>
      </c>
      <c r="AD94">
        <f>IF(T_EMPLOYEES[[#This Row],[EMPLOYEE NUMBER]]="","",IF(AND(T_EMPLOYEES[[#This Row],[START DATE]]&gt;0,T_EMPLOYEES[[#This Row],[START DATE]]&lt;TODAY()+60),0,1))</f>
        <v/>
      </c>
      <c r="AE94">
        <f>IF(T_EMPLOYEES[[#This Row],[EMPLOYEE NUMBER]]="","",MATCH(T_EMPLOYEES[[#This Row],[GENDER]],L_GENDER,0))</f>
        <v/>
      </c>
      <c r="AF94">
        <f>IF(T_EMPLOYEES[[#This Row],[EMPLOYEE NUMBER]]="","",MATCH(T_EMPLOYEES[[#This Row],[HIRE SOURCE]],L_HIRESOURCE,0))</f>
        <v/>
      </c>
      <c r="AG94">
        <f>IF(T_EMPLOYEES[[#This Row],[EMPLOYEE NUMBER]]="","",MATCH(T_EMPLOYEES[[#This Row],[ETHNICITY]],L_ETHNICITY,0))</f>
        <v/>
      </c>
      <c r="AH94">
        <f>IF(T_EMPLOYEES[[#This Row],[EMPLOYEE NUMBER]]="","",MATCH(T_EMPLOYEES[[#This Row],[LOCATION]],L_LOCATION,0))</f>
        <v/>
      </c>
      <c r="AI94">
        <f>IF(T_EMPLOYEES[[#This Row],[EMPLOYEE NUMBER]]="","",MATCH(T_EMPLOYEES[[#This Row],[DEPARTMENT]],L_DEPARTMENT,0))</f>
        <v/>
      </c>
      <c r="AJ94">
        <f>IF(T_EMPLOYEES[[#This Row],[EMPLOYEE NUMBER]]="","",MATCH(T_EMPLOYEES[[#This Row],[JOB TYPE]],L_JOBTYPE,0))</f>
        <v/>
      </c>
      <c r="AK94">
        <f>IF(T_EMPLOYEES[[#This Row],[EMPLOYEE NUMBER]]="","",MATCH(T_EMPLOYEES[[#This Row],[JOB CATEGORY]],L_JOBCATEGORY,0))</f>
        <v/>
      </c>
      <c r="AL94">
        <f>IF(T_EMPLOYEES[[#This Row],[EMPLOYEE NUMBER]]="","",MATCH(T_EMPLOYEES[[#This Row],[JOB LEVEL]],L_JOBLEVEL,0))</f>
        <v/>
      </c>
      <c r="AM94">
        <f>IF(T_EMPLOYEES[[#This Row],[EMPLOYEE NUMBER]]="","",MATCH(T_EMPLOYEES[[#This Row],[JOB TITLE]],L_JOBTITLE,0))</f>
        <v/>
      </c>
      <c r="AN94">
        <f>IF(T_EMPLOYEES[[#This Row],[EMPLOYEE NUMBER]]="","",MATCH(T_EMPLOYEES[[#This Row],[MANAGER]],L_EMPLABELS,0))</f>
        <v/>
      </c>
      <c r="AO94">
        <f>IF(T_EMPLOYEES[[#This Row],[EMPLOYEE NUMBER]]="","",IF(T_EMPLOYEES[[#This Row],[ERROR]]="",0,1))</f>
        <v/>
      </c>
      <c r="AP9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5">
      <c r="A95" t="inlineStr">
        <is>
          <t>Kiran</t>
        </is>
      </c>
      <c r="B95" t="inlineStr">
        <is>
          <t>Kumar Uppara</t>
        </is>
      </c>
      <c r="C95" t="n">
        <v>1020047</v>
      </c>
      <c r="D95" t="inlineStr">
        <is>
          <t>Kiran.Uppara@infinite.com</t>
        </is>
      </c>
      <c r="E95" s="26" t="n">
        <v>30902</v>
      </c>
      <c r="F95" s="26" t="n">
        <v>43080</v>
      </c>
      <c r="G95" s="26" t="n">
        <v>43445</v>
      </c>
      <c r="H95" t="inlineStr">
        <is>
          <t>Male</t>
        </is>
      </c>
      <c r="I95" t="inlineStr">
        <is>
          <t>Asian</t>
        </is>
      </c>
      <c r="J95" t="inlineStr">
        <is>
          <t>WEBSITE</t>
        </is>
      </c>
      <c r="K95" t="inlineStr">
        <is>
          <t>Bangalore</t>
        </is>
      </c>
      <c r="L95" s="27" t="inlineStr">
        <is>
          <t>IT</t>
        </is>
      </c>
      <c r="M95" t="inlineStr">
        <is>
          <t>Full-Time</t>
        </is>
      </c>
      <c r="N95" t="inlineStr">
        <is>
          <t>Senior Technical Lead</t>
        </is>
      </c>
      <c r="O95" t="inlineStr">
        <is>
          <t>E5</t>
        </is>
      </c>
      <c r="P95" t="inlineStr">
        <is>
          <t>Senior Technical Lead</t>
        </is>
      </c>
      <c r="Q95" t="inlineStr">
        <is>
          <t>Siddharth Kumar (1027551)</t>
        </is>
      </c>
      <c r="R95" t="n">
        <v>7</v>
      </c>
      <c r="S95" s="1" t="n">
        <v>320000</v>
      </c>
      <c r="T95" s="1">
        <f>ROUND(T_EMPLOYEES[[#This Row],[EMP_CTC1]]/12, 0)</f>
        <v/>
      </c>
      <c r="U95" s="1" t="n">
        <v>72000</v>
      </c>
      <c r="V95" s="1" t="inlineStr">
        <is>
          <t>NH</t>
        </is>
      </c>
      <c r="W95" s="1" t="inlineStr">
        <is>
          <t>NH</t>
        </is>
      </c>
      <c r="X9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5" t="n">
        <v>60000</v>
      </c>
      <c r="Z95" s="29">
        <f>(S95 - U95)/S95 * 100</f>
        <v/>
      </c>
      <c r="AA95">
        <f>IF(T_EMPLOYEES[[#This Row],[EMPLOYEE NUMBER]]="","",ROW(T_EMPLOYEES[[#This Row],[EMPLOYEE LABEL]])-ROW(T_EMPLOYEES[[#Headers],[EMPLOYEE LABEL]]))</f>
        <v/>
      </c>
      <c r="AB95">
        <f>IF(T_EMPLOYEES[[#This Row],[EMPLOYEE NUMBER]]="","",IF(COUNTIF(T_EMPLOYEES[EMPLOYEE NUMBER],T_EMPLOYEES[[#This Row],[EMPLOYEE NUMBER]])&gt;1,1,0))</f>
        <v/>
      </c>
      <c r="AC95">
        <f>IF(T_EMPLOYEES[[#This Row],[EMPLOYEE NUMBER]]="","",IF(AND(T_EMPLOYEES[[#This Row],[DATE OF BIRTH]]&gt;0,T_EMPLOYEES[[#This Row],[DATE OF BIRTH]]&lt;TODAY()),0,1))</f>
        <v/>
      </c>
      <c r="AD95">
        <f>IF(T_EMPLOYEES[[#This Row],[EMPLOYEE NUMBER]]="","",IF(AND(T_EMPLOYEES[[#This Row],[START DATE]]&gt;0,T_EMPLOYEES[[#This Row],[START DATE]]&lt;TODAY()+60),0,1))</f>
        <v/>
      </c>
      <c r="AE95">
        <f>IF(T_EMPLOYEES[[#This Row],[EMPLOYEE NUMBER]]="","",MATCH(T_EMPLOYEES[[#This Row],[GENDER]],L_GENDER,0))</f>
        <v/>
      </c>
      <c r="AF95">
        <f>IF(T_EMPLOYEES[[#This Row],[EMPLOYEE NUMBER]]="","",MATCH(T_EMPLOYEES[[#This Row],[HIRE SOURCE]],L_HIRESOURCE,0))</f>
        <v/>
      </c>
      <c r="AG95">
        <f>IF(T_EMPLOYEES[[#This Row],[EMPLOYEE NUMBER]]="","",MATCH(T_EMPLOYEES[[#This Row],[ETHNICITY]],L_ETHNICITY,0))</f>
        <v/>
      </c>
      <c r="AH95">
        <f>IF(T_EMPLOYEES[[#This Row],[EMPLOYEE NUMBER]]="","",MATCH(T_EMPLOYEES[[#This Row],[LOCATION]],L_LOCATION,0))</f>
        <v/>
      </c>
      <c r="AI95">
        <f>IF(T_EMPLOYEES[[#This Row],[EMPLOYEE NUMBER]]="","",MATCH(T_EMPLOYEES[[#This Row],[DEPARTMENT]],L_DEPARTMENT,0))</f>
        <v/>
      </c>
      <c r="AJ95">
        <f>IF(T_EMPLOYEES[[#This Row],[EMPLOYEE NUMBER]]="","",MATCH(T_EMPLOYEES[[#This Row],[JOB TYPE]],L_JOBTYPE,0))</f>
        <v/>
      </c>
      <c r="AK95">
        <f>IF(T_EMPLOYEES[[#This Row],[EMPLOYEE NUMBER]]="","",MATCH(T_EMPLOYEES[[#This Row],[JOB CATEGORY]],L_JOBCATEGORY,0))</f>
        <v/>
      </c>
      <c r="AL95">
        <f>IF(T_EMPLOYEES[[#This Row],[EMPLOYEE NUMBER]]="","",MATCH(T_EMPLOYEES[[#This Row],[JOB LEVEL]],L_JOBLEVEL,0))</f>
        <v/>
      </c>
      <c r="AM95">
        <f>IF(T_EMPLOYEES[[#This Row],[EMPLOYEE NUMBER]]="","",MATCH(T_EMPLOYEES[[#This Row],[JOB TITLE]],L_JOBTITLE,0))</f>
        <v/>
      </c>
      <c r="AN95">
        <f>IF(T_EMPLOYEES[[#This Row],[EMPLOYEE NUMBER]]="","",MATCH(T_EMPLOYEES[[#This Row],[MANAGER]],L_EMPLABELS,0))</f>
        <v/>
      </c>
      <c r="AO95">
        <f>IF(T_EMPLOYEES[[#This Row],[EMPLOYEE NUMBER]]="","",IF(T_EMPLOYEES[[#This Row],[ERROR]]="",0,1))</f>
        <v/>
      </c>
      <c r="AP9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6">
      <c r="A96" t="inlineStr">
        <is>
          <t>Madhu</t>
        </is>
      </c>
      <c r="B96" t="inlineStr">
        <is>
          <t>Yedida</t>
        </is>
      </c>
      <c r="C96" t="n">
        <v>1028690</v>
      </c>
      <c r="D96" t="inlineStr">
        <is>
          <t>Madhu.Yedida@infinite.com</t>
        </is>
      </c>
      <c r="E96" s="26" t="n">
        <v>30904</v>
      </c>
      <c r="F96" s="26" t="n">
        <v>44648</v>
      </c>
      <c r="H96" t="inlineStr">
        <is>
          <t>Male</t>
        </is>
      </c>
      <c r="I96" t="inlineStr">
        <is>
          <t>Asian</t>
        </is>
      </c>
      <c r="J96" t="inlineStr">
        <is>
          <t>WEBSITE</t>
        </is>
      </c>
      <c r="K96" t="inlineStr">
        <is>
          <t>Bangalore</t>
        </is>
      </c>
      <c r="L96" s="27" t="inlineStr">
        <is>
          <t>IT</t>
        </is>
      </c>
      <c r="M96" t="inlineStr">
        <is>
          <t>Full-Time</t>
        </is>
      </c>
      <c r="N96" t="inlineStr">
        <is>
          <t>Technical Manager</t>
        </is>
      </c>
      <c r="O96" t="inlineStr">
        <is>
          <t>E6</t>
        </is>
      </c>
      <c r="P96" t="inlineStr">
        <is>
          <t>Technical Manager</t>
        </is>
      </c>
      <c r="Q96" t="inlineStr">
        <is>
          <t>Radhakanta  Samantara (1010164)</t>
        </is>
      </c>
      <c r="R96" s="27" t="n">
        <v>7</v>
      </c>
      <c r="S96" s="1" t="n">
        <v>320000</v>
      </c>
      <c r="T96" s="1">
        <f>ROUND(T_EMPLOYEES[[#This Row],[EMP_CTC1]]/12, 0)</f>
        <v/>
      </c>
      <c r="U96" s="1" t="n">
        <v>72000</v>
      </c>
      <c r="V96" s="1" t="inlineStr">
        <is>
          <t>NH</t>
        </is>
      </c>
      <c r="W96" s="1" t="inlineStr">
        <is>
          <t>NH</t>
        </is>
      </c>
      <c r="X9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6" t="n">
        <v>60000</v>
      </c>
      <c r="Z96" s="29">
        <f>(S96 - U96)/S96 * 100</f>
        <v/>
      </c>
      <c r="AA96">
        <f>IF(T_EMPLOYEES[[#This Row],[EMPLOYEE NUMBER]]="","",ROW(T_EMPLOYEES[[#This Row],[EMPLOYEE LABEL]])-ROW(T_EMPLOYEES[[#Headers],[EMPLOYEE LABEL]]))</f>
        <v/>
      </c>
      <c r="AB96">
        <f>IF(T_EMPLOYEES[[#This Row],[EMPLOYEE NUMBER]]="","",IF(COUNTIF(T_EMPLOYEES[EMPLOYEE NUMBER],T_EMPLOYEES[[#This Row],[EMPLOYEE NUMBER]])&gt;1,1,0))</f>
        <v/>
      </c>
      <c r="AC96">
        <f>IF(T_EMPLOYEES[[#This Row],[EMPLOYEE NUMBER]]="","",IF(AND(T_EMPLOYEES[[#This Row],[DATE OF BIRTH]]&gt;0,T_EMPLOYEES[[#This Row],[DATE OF BIRTH]]&lt;TODAY()),0,1))</f>
        <v/>
      </c>
      <c r="AD96">
        <f>IF(T_EMPLOYEES[[#This Row],[EMPLOYEE NUMBER]]="","",IF(AND(T_EMPLOYEES[[#This Row],[START DATE]]&gt;0,T_EMPLOYEES[[#This Row],[START DATE]]&lt;TODAY()+60),0,1))</f>
        <v/>
      </c>
      <c r="AE96">
        <f>IF(T_EMPLOYEES[[#This Row],[EMPLOYEE NUMBER]]="","",MATCH(T_EMPLOYEES[[#This Row],[GENDER]],L_GENDER,0))</f>
        <v/>
      </c>
      <c r="AF96">
        <f>IF(T_EMPLOYEES[[#This Row],[EMPLOYEE NUMBER]]="","",MATCH(T_EMPLOYEES[[#This Row],[HIRE SOURCE]],L_HIRESOURCE,0))</f>
        <v/>
      </c>
      <c r="AG96">
        <f>IF(T_EMPLOYEES[[#This Row],[EMPLOYEE NUMBER]]="","",MATCH(T_EMPLOYEES[[#This Row],[ETHNICITY]],L_ETHNICITY,0))</f>
        <v/>
      </c>
      <c r="AH96">
        <f>IF(T_EMPLOYEES[[#This Row],[EMPLOYEE NUMBER]]="","",MATCH(T_EMPLOYEES[[#This Row],[LOCATION]],L_LOCATION,0))</f>
        <v/>
      </c>
      <c r="AI96">
        <f>IF(T_EMPLOYEES[[#This Row],[EMPLOYEE NUMBER]]="","",MATCH(T_EMPLOYEES[[#This Row],[DEPARTMENT]],L_DEPARTMENT,0))</f>
        <v/>
      </c>
      <c r="AJ96">
        <f>IF(T_EMPLOYEES[[#This Row],[EMPLOYEE NUMBER]]="","",MATCH(T_EMPLOYEES[[#This Row],[JOB TYPE]],L_JOBTYPE,0))</f>
        <v/>
      </c>
      <c r="AK96">
        <f>IF(T_EMPLOYEES[[#This Row],[EMPLOYEE NUMBER]]="","",MATCH(T_EMPLOYEES[[#This Row],[JOB CATEGORY]],L_JOBCATEGORY,0))</f>
        <v/>
      </c>
      <c r="AL96">
        <f>IF(T_EMPLOYEES[[#This Row],[EMPLOYEE NUMBER]]="","",MATCH(T_EMPLOYEES[[#This Row],[JOB LEVEL]],L_JOBLEVEL,0))</f>
        <v/>
      </c>
      <c r="AM96">
        <f>IF(T_EMPLOYEES[[#This Row],[EMPLOYEE NUMBER]]="","",MATCH(T_EMPLOYEES[[#This Row],[JOB TITLE]],L_JOBTITLE,0))</f>
        <v/>
      </c>
      <c r="AN96">
        <f>IF(T_EMPLOYEES[[#This Row],[EMPLOYEE NUMBER]]="","",MATCH(T_EMPLOYEES[[#This Row],[MANAGER]],L_EMPLABELS,0))</f>
        <v/>
      </c>
      <c r="AO96">
        <f>IF(T_EMPLOYEES[[#This Row],[EMPLOYEE NUMBER]]="","",IF(T_EMPLOYEES[[#This Row],[ERROR]]="",0,1))</f>
        <v/>
      </c>
      <c r="AP9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7">
      <c r="A97" t="inlineStr">
        <is>
          <t>Praveen</t>
        </is>
      </c>
      <c r="B97" t="inlineStr">
        <is>
          <t>Prabhu G B</t>
        </is>
      </c>
      <c r="C97" t="n">
        <v>1026170</v>
      </c>
      <c r="D97" t="inlineStr">
        <is>
          <t>Praveen.Prabhu@infinite.com</t>
        </is>
      </c>
      <c r="E97" s="26" t="n">
        <v>30942</v>
      </c>
      <c r="F97" s="26" t="n">
        <v>44426</v>
      </c>
      <c r="H97" t="inlineStr">
        <is>
          <t>Male</t>
        </is>
      </c>
      <c r="I97" t="inlineStr">
        <is>
          <t>Asian</t>
        </is>
      </c>
      <c r="J97" t="inlineStr">
        <is>
          <t>WEBSITE</t>
        </is>
      </c>
      <c r="K97" t="inlineStr">
        <is>
          <t>Bangalore</t>
        </is>
      </c>
      <c r="L97" s="27" t="inlineStr">
        <is>
          <t>IT</t>
        </is>
      </c>
      <c r="M97" t="inlineStr">
        <is>
          <t>Full-Time</t>
        </is>
      </c>
      <c r="N97" t="inlineStr">
        <is>
          <t>Senior Project Lead</t>
        </is>
      </c>
      <c r="O97" t="inlineStr">
        <is>
          <t>E5</t>
        </is>
      </c>
      <c r="P97" t="inlineStr">
        <is>
          <t>Senior Project Lead</t>
        </is>
      </c>
      <c r="Q97" t="inlineStr">
        <is>
          <t>Niranjan Reddy G (1032824)</t>
        </is>
      </c>
      <c r="R97" t="n">
        <v>7</v>
      </c>
      <c r="S97" s="1" t="n">
        <v>320000</v>
      </c>
      <c r="T97" s="1">
        <f>ROUND(T_EMPLOYEES[[#This Row],[EMP_CTC1]]/12, 0)</f>
        <v/>
      </c>
      <c r="U97" s="1" t="n">
        <v>72000</v>
      </c>
      <c r="V97" s="1" t="inlineStr">
        <is>
          <t>NH</t>
        </is>
      </c>
      <c r="W97" s="1" t="inlineStr">
        <is>
          <t>NH</t>
        </is>
      </c>
      <c r="X9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7" t="n">
        <v>60000</v>
      </c>
      <c r="Z97" s="29">
        <f>(S97 - U97)/S97 * 100</f>
        <v/>
      </c>
      <c r="AA97">
        <f>IF(T_EMPLOYEES[[#This Row],[EMPLOYEE NUMBER]]="","",ROW(T_EMPLOYEES[[#This Row],[EMPLOYEE LABEL]])-ROW(T_EMPLOYEES[[#Headers],[EMPLOYEE LABEL]]))</f>
        <v/>
      </c>
      <c r="AB97">
        <f>IF(T_EMPLOYEES[[#This Row],[EMPLOYEE NUMBER]]="","",IF(COUNTIF(T_EMPLOYEES[EMPLOYEE NUMBER],T_EMPLOYEES[[#This Row],[EMPLOYEE NUMBER]])&gt;1,1,0))</f>
        <v/>
      </c>
      <c r="AC97">
        <f>IF(T_EMPLOYEES[[#This Row],[EMPLOYEE NUMBER]]="","",IF(AND(T_EMPLOYEES[[#This Row],[DATE OF BIRTH]]&gt;0,T_EMPLOYEES[[#This Row],[DATE OF BIRTH]]&lt;TODAY()),0,1))</f>
        <v/>
      </c>
      <c r="AD97">
        <f>IF(T_EMPLOYEES[[#This Row],[EMPLOYEE NUMBER]]="","",IF(AND(T_EMPLOYEES[[#This Row],[START DATE]]&gt;0,T_EMPLOYEES[[#This Row],[START DATE]]&lt;TODAY()+60),0,1))</f>
        <v/>
      </c>
      <c r="AE97">
        <f>IF(T_EMPLOYEES[[#This Row],[EMPLOYEE NUMBER]]="","",MATCH(T_EMPLOYEES[[#This Row],[GENDER]],L_GENDER,0))</f>
        <v/>
      </c>
      <c r="AF97">
        <f>IF(T_EMPLOYEES[[#This Row],[EMPLOYEE NUMBER]]="","",MATCH(T_EMPLOYEES[[#This Row],[HIRE SOURCE]],L_HIRESOURCE,0))</f>
        <v/>
      </c>
      <c r="AG97">
        <f>IF(T_EMPLOYEES[[#This Row],[EMPLOYEE NUMBER]]="","",MATCH(T_EMPLOYEES[[#This Row],[ETHNICITY]],L_ETHNICITY,0))</f>
        <v/>
      </c>
      <c r="AH97">
        <f>IF(T_EMPLOYEES[[#This Row],[EMPLOYEE NUMBER]]="","",MATCH(T_EMPLOYEES[[#This Row],[LOCATION]],L_LOCATION,0))</f>
        <v/>
      </c>
      <c r="AI97">
        <f>IF(T_EMPLOYEES[[#This Row],[EMPLOYEE NUMBER]]="","",MATCH(T_EMPLOYEES[[#This Row],[DEPARTMENT]],L_DEPARTMENT,0))</f>
        <v/>
      </c>
      <c r="AJ97">
        <f>IF(T_EMPLOYEES[[#This Row],[EMPLOYEE NUMBER]]="","",MATCH(T_EMPLOYEES[[#This Row],[JOB TYPE]],L_JOBTYPE,0))</f>
        <v/>
      </c>
      <c r="AK97">
        <f>IF(T_EMPLOYEES[[#This Row],[EMPLOYEE NUMBER]]="","",MATCH(T_EMPLOYEES[[#This Row],[JOB CATEGORY]],L_JOBCATEGORY,0))</f>
        <v/>
      </c>
      <c r="AL97">
        <f>IF(T_EMPLOYEES[[#This Row],[EMPLOYEE NUMBER]]="","",MATCH(T_EMPLOYEES[[#This Row],[JOB LEVEL]],L_JOBLEVEL,0))</f>
        <v/>
      </c>
      <c r="AM97">
        <f>IF(T_EMPLOYEES[[#This Row],[EMPLOYEE NUMBER]]="","",MATCH(T_EMPLOYEES[[#This Row],[JOB TITLE]],L_JOBTITLE,0))</f>
        <v/>
      </c>
      <c r="AN97">
        <f>IF(T_EMPLOYEES[[#This Row],[EMPLOYEE NUMBER]]="","",MATCH(T_EMPLOYEES[[#This Row],[MANAGER]],L_EMPLABELS,0))</f>
        <v/>
      </c>
      <c r="AO97">
        <f>IF(T_EMPLOYEES[[#This Row],[EMPLOYEE NUMBER]]="","",IF(T_EMPLOYEES[[#This Row],[ERROR]]="",0,1))</f>
        <v/>
      </c>
      <c r="AP9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8">
      <c r="A98" t="inlineStr">
        <is>
          <t>K</t>
        </is>
      </c>
      <c r="B98" t="inlineStr">
        <is>
          <t>S Archana</t>
        </is>
      </c>
      <c r="C98" t="n">
        <v>1033985</v>
      </c>
      <c r="D98" t="inlineStr">
        <is>
          <t>Archana.Shivaraj@infinite.com</t>
        </is>
      </c>
      <c r="E98" s="26" t="n">
        <v>30991</v>
      </c>
      <c r="F98" s="26" t="n">
        <v>45261</v>
      </c>
      <c r="H98" t="inlineStr">
        <is>
          <t>Female</t>
        </is>
      </c>
      <c r="I98" t="inlineStr">
        <is>
          <t>Asian</t>
        </is>
      </c>
      <c r="J98" t="inlineStr">
        <is>
          <t>WEBSITE</t>
        </is>
      </c>
      <c r="K98" t="inlineStr">
        <is>
          <t>Chennai</t>
        </is>
      </c>
      <c r="L98" s="27" t="inlineStr">
        <is>
          <t>IT</t>
        </is>
      </c>
      <c r="M98" t="inlineStr">
        <is>
          <t>Full-Time</t>
        </is>
      </c>
      <c r="N98" t="inlineStr">
        <is>
          <t>Senior Project Manager</t>
        </is>
      </c>
      <c r="O98" t="inlineStr">
        <is>
          <t>E7</t>
        </is>
      </c>
      <c r="P98" t="inlineStr">
        <is>
          <t>Senior Project Manager</t>
        </is>
      </c>
      <c r="Q98" t="inlineStr">
        <is>
          <t>Radhakanta  Samantara (1010164)</t>
        </is>
      </c>
      <c r="R98" s="27" t="n"/>
      <c r="S98" s="1" t="n">
        <v>320000</v>
      </c>
      <c r="T98" s="1">
        <f>ROUND(T_EMPLOYEES[[#This Row],[EMP_CTC1]]/12, 0)</f>
        <v/>
      </c>
      <c r="U98" s="1" t="n">
        <v>72000</v>
      </c>
      <c r="V98" s="1" t="inlineStr">
        <is>
          <t>NH</t>
        </is>
      </c>
      <c r="W98" s="1" t="inlineStr">
        <is>
          <t>NH</t>
        </is>
      </c>
      <c r="X9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8" t="n">
        <v>60000</v>
      </c>
      <c r="Z98" s="29">
        <f>(S98 - U98)/S98 * 100</f>
        <v/>
      </c>
      <c r="AA98">
        <f>IF(T_EMPLOYEES[[#This Row],[EMPLOYEE NUMBER]]="","",ROW(T_EMPLOYEES[[#This Row],[EMPLOYEE LABEL]])-ROW(T_EMPLOYEES[[#Headers],[EMPLOYEE LABEL]]))</f>
        <v/>
      </c>
      <c r="AB98">
        <f>IF(T_EMPLOYEES[[#This Row],[EMPLOYEE NUMBER]]="","",IF(COUNTIF(T_EMPLOYEES[EMPLOYEE NUMBER],T_EMPLOYEES[[#This Row],[EMPLOYEE NUMBER]])&gt;1,1,0))</f>
        <v/>
      </c>
      <c r="AC98">
        <f>IF(T_EMPLOYEES[[#This Row],[EMPLOYEE NUMBER]]="","",IF(AND(T_EMPLOYEES[[#This Row],[DATE OF BIRTH]]&gt;0,T_EMPLOYEES[[#This Row],[DATE OF BIRTH]]&lt;TODAY()),0,1))</f>
        <v/>
      </c>
      <c r="AD98">
        <f>IF(T_EMPLOYEES[[#This Row],[EMPLOYEE NUMBER]]="","",IF(AND(T_EMPLOYEES[[#This Row],[START DATE]]&gt;0,T_EMPLOYEES[[#This Row],[START DATE]]&lt;TODAY()+60),0,1))</f>
        <v/>
      </c>
      <c r="AE98">
        <f>IF(T_EMPLOYEES[[#This Row],[EMPLOYEE NUMBER]]="","",MATCH(T_EMPLOYEES[[#This Row],[GENDER]],L_GENDER,0))</f>
        <v/>
      </c>
      <c r="AF98">
        <f>IF(T_EMPLOYEES[[#This Row],[EMPLOYEE NUMBER]]="","",MATCH(T_EMPLOYEES[[#This Row],[HIRE SOURCE]],L_HIRESOURCE,0))</f>
        <v/>
      </c>
      <c r="AG98">
        <f>IF(T_EMPLOYEES[[#This Row],[EMPLOYEE NUMBER]]="","",MATCH(T_EMPLOYEES[[#This Row],[ETHNICITY]],L_ETHNICITY,0))</f>
        <v/>
      </c>
      <c r="AH98">
        <f>IF(T_EMPLOYEES[[#This Row],[EMPLOYEE NUMBER]]="","",MATCH(T_EMPLOYEES[[#This Row],[LOCATION]],L_LOCATION,0))</f>
        <v/>
      </c>
      <c r="AI98">
        <f>IF(T_EMPLOYEES[[#This Row],[EMPLOYEE NUMBER]]="","",MATCH(T_EMPLOYEES[[#This Row],[DEPARTMENT]],L_DEPARTMENT,0))</f>
        <v/>
      </c>
      <c r="AJ98">
        <f>IF(T_EMPLOYEES[[#This Row],[EMPLOYEE NUMBER]]="","",MATCH(T_EMPLOYEES[[#This Row],[JOB TYPE]],L_JOBTYPE,0))</f>
        <v/>
      </c>
      <c r="AK98">
        <f>IF(T_EMPLOYEES[[#This Row],[EMPLOYEE NUMBER]]="","",MATCH(T_EMPLOYEES[[#This Row],[JOB CATEGORY]],L_JOBCATEGORY,0))</f>
        <v/>
      </c>
      <c r="AL98">
        <f>IF(T_EMPLOYEES[[#This Row],[EMPLOYEE NUMBER]]="","",MATCH(T_EMPLOYEES[[#This Row],[JOB LEVEL]],L_JOBLEVEL,0))</f>
        <v/>
      </c>
      <c r="AM98">
        <f>IF(T_EMPLOYEES[[#This Row],[EMPLOYEE NUMBER]]="","",MATCH(T_EMPLOYEES[[#This Row],[JOB TITLE]],L_JOBTITLE,0))</f>
        <v/>
      </c>
      <c r="AN98">
        <f>IF(T_EMPLOYEES[[#This Row],[EMPLOYEE NUMBER]]="","",MATCH(T_EMPLOYEES[[#This Row],[MANAGER]],L_EMPLABELS,0))</f>
        <v/>
      </c>
      <c r="AO98">
        <f>IF(T_EMPLOYEES[[#This Row],[EMPLOYEE NUMBER]]="","",IF(T_EMPLOYEES[[#This Row],[ERROR]]="",0,1))</f>
        <v/>
      </c>
      <c r="AP9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99">
      <c r="A99" t="inlineStr">
        <is>
          <t>D</t>
        </is>
      </c>
      <c r="B99" t="inlineStr">
        <is>
          <t>N Rajesh</t>
        </is>
      </c>
      <c r="C99" t="n">
        <v>1028375</v>
      </c>
      <c r="D99" t="inlineStr">
        <is>
          <t>Rajesh.Narayana@infinite.com</t>
        </is>
      </c>
      <c r="E99" s="26" t="n">
        <v>31133</v>
      </c>
      <c r="F99" s="26" t="n">
        <v>44610</v>
      </c>
      <c r="H99" t="inlineStr">
        <is>
          <t>Male</t>
        </is>
      </c>
      <c r="I99" t="inlineStr">
        <is>
          <t>Asian</t>
        </is>
      </c>
      <c r="J99" t="inlineStr">
        <is>
          <t>WEBSITE</t>
        </is>
      </c>
      <c r="K99" t="inlineStr">
        <is>
          <t>Chennai</t>
        </is>
      </c>
      <c r="L99" s="27" t="inlineStr">
        <is>
          <t>IT</t>
        </is>
      </c>
      <c r="M99" t="inlineStr">
        <is>
          <t>Full-Time</t>
        </is>
      </c>
      <c r="N99" t="inlineStr">
        <is>
          <t>Technical Manager</t>
        </is>
      </c>
      <c r="O99" t="inlineStr">
        <is>
          <t>E6</t>
        </is>
      </c>
      <c r="P99" t="inlineStr">
        <is>
          <t>Technical Manager</t>
        </is>
      </c>
      <c r="Q99" t="inlineStr">
        <is>
          <t>Purushotham Ayachetula (1022573)</t>
        </is>
      </c>
      <c r="R99" t="n">
        <v>7</v>
      </c>
      <c r="S99" s="1" t="n">
        <v>320000</v>
      </c>
      <c r="T99" s="1">
        <f>ROUND(T_EMPLOYEES[[#This Row],[EMP_CTC1]]/12, 0)</f>
        <v/>
      </c>
      <c r="U99" s="1" t="n">
        <v>72000</v>
      </c>
      <c r="V99" s="1" t="inlineStr">
        <is>
          <t>NH</t>
        </is>
      </c>
      <c r="W99" s="1" t="inlineStr">
        <is>
          <t>NH</t>
        </is>
      </c>
      <c r="X9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99" t="n">
        <v>60000</v>
      </c>
      <c r="Z99" s="29">
        <f>(S99 - U99)/S99 * 100</f>
        <v/>
      </c>
      <c r="AA99">
        <f>IF(T_EMPLOYEES[[#This Row],[EMPLOYEE NUMBER]]="","",ROW(T_EMPLOYEES[[#This Row],[EMPLOYEE LABEL]])-ROW(T_EMPLOYEES[[#Headers],[EMPLOYEE LABEL]]))</f>
        <v/>
      </c>
      <c r="AB99">
        <f>IF(T_EMPLOYEES[[#This Row],[EMPLOYEE NUMBER]]="","",IF(COUNTIF(T_EMPLOYEES[EMPLOYEE NUMBER],T_EMPLOYEES[[#This Row],[EMPLOYEE NUMBER]])&gt;1,1,0))</f>
        <v/>
      </c>
      <c r="AC99">
        <f>IF(T_EMPLOYEES[[#This Row],[EMPLOYEE NUMBER]]="","",IF(AND(T_EMPLOYEES[[#This Row],[DATE OF BIRTH]]&gt;0,T_EMPLOYEES[[#This Row],[DATE OF BIRTH]]&lt;TODAY()),0,1))</f>
        <v/>
      </c>
      <c r="AD99">
        <f>IF(T_EMPLOYEES[[#This Row],[EMPLOYEE NUMBER]]="","",IF(AND(T_EMPLOYEES[[#This Row],[START DATE]]&gt;0,T_EMPLOYEES[[#This Row],[START DATE]]&lt;TODAY()+60),0,1))</f>
        <v/>
      </c>
      <c r="AE99">
        <f>IF(T_EMPLOYEES[[#This Row],[EMPLOYEE NUMBER]]="","",MATCH(T_EMPLOYEES[[#This Row],[GENDER]],L_GENDER,0))</f>
        <v/>
      </c>
      <c r="AF99">
        <f>IF(T_EMPLOYEES[[#This Row],[EMPLOYEE NUMBER]]="","",MATCH(T_EMPLOYEES[[#This Row],[HIRE SOURCE]],L_HIRESOURCE,0))</f>
        <v/>
      </c>
      <c r="AG99">
        <f>IF(T_EMPLOYEES[[#This Row],[EMPLOYEE NUMBER]]="","",MATCH(T_EMPLOYEES[[#This Row],[ETHNICITY]],L_ETHNICITY,0))</f>
        <v/>
      </c>
      <c r="AH99">
        <f>IF(T_EMPLOYEES[[#This Row],[EMPLOYEE NUMBER]]="","",MATCH(T_EMPLOYEES[[#This Row],[LOCATION]],L_LOCATION,0))</f>
        <v/>
      </c>
      <c r="AI99">
        <f>IF(T_EMPLOYEES[[#This Row],[EMPLOYEE NUMBER]]="","",MATCH(T_EMPLOYEES[[#This Row],[DEPARTMENT]],L_DEPARTMENT,0))</f>
        <v/>
      </c>
      <c r="AJ99">
        <f>IF(T_EMPLOYEES[[#This Row],[EMPLOYEE NUMBER]]="","",MATCH(T_EMPLOYEES[[#This Row],[JOB TYPE]],L_JOBTYPE,0))</f>
        <v/>
      </c>
      <c r="AK99">
        <f>IF(T_EMPLOYEES[[#This Row],[EMPLOYEE NUMBER]]="","",MATCH(T_EMPLOYEES[[#This Row],[JOB CATEGORY]],L_JOBCATEGORY,0))</f>
        <v/>
      </c>
      <c r="AL99">
        <f>IF(T_EMPLOYEES[[#This Row],[EMPLOYEE NUMBER]]="","",MATCH(T_EMPLOYEES[[#This Row],[JOB LEVEL]],L_JOBLEVEL,0))</f>
        <v/>
      </c>
      <c r="AM99">
        <f>IF(T_EMPLOYEES[[#This Row],[EMPLOYEE NUMBER]]="","",MATCH(T_EMPLOYEES[[#This Row],[JOB TITLE]],L_JOBTITLE,0))</f>
        <v/>
      </c>
      <c r="AN99">
        <f>IF(T_EMPLOYEES[[#This Row],[EMPLOYEE NUMBER]]="","",MATCH(T_EMPLOYEES[[#This Row],[MANAGER]],L_EMPLABELS,0))</f>
        <v/>
      </c>
      <c r="AO99">
        <f>IF(T_EMPLOYEES[[#This Row],[EMPLOYEE NUMBER]]="","",IF(T_EMPLOYEES[[#This Row],[ERROR]]="",0,1))</f>
        <v/>
      </c>
      <c r="AP9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0">
      <c r="A100" t="inlineStr">
        <is>
          <t>Neha</t>
        </is>
      </c>
      <c r="B100" t="inlineStr">
        <is>
          <t>Abhijeet Mehta</t>
        </is>
      </c>
      <c r="C100" t="n">
        <v>1017913</v>
      </c>
      <c r="D100" t="inlineStr">
        <is>
          <t>Neha.Mehta@infinite.com</t>
        </is>
      </c>
      <c r="E100" s="26" t="n">
        <v>31145</v>
      </c>
      <c r="F100" s="26" t="n">
        <v>42387</v>
      </c>
      <c r="H100" t="inlineStr">
        <is>
          <t>Female</t>
        </is>
      </c>
      <c r="I100" t="inlineStr">
        <is>
          <t>Asian</t>
        </is>
      </c>
      <c r="J100" t="inlineStr">
        <is>
          <t>WEBSITE</t>
        </is>
      </c>
      <c r="K100" t="inlineStr">
        <is>
          <t>Bangalore</t>
        </is>
      </c>
      <c r="L100" s="27" t="inlineStr">
        <is>
          <t>IT</t>
        </is>
      </c>
      <c r="M100" t="inlineStr">
        <is>
          <t>Full-Time</t>
        </is>
      </c>
      <c r="N100" t="inlineStr">
        <is>
          <t>Senior Lead Business Analyst</t>
        </is>
      </c>
      <c r="O100" t="inlineStr">
        <is>
          <t>E5</t>
        </is>
      </c>
      <c r="P100" t="inlineStr">
        <is>
          <t>Senior Lead Business Analyst</t>
        </is>
      </c>
      <c r="Q100" t="inlineStr">
        <is>
          <t>Siddharth Kumar (1027551)</t>
        </is>
      </c>
      <c r="R100" s="27" t="n">
        <v>7</v>
      </c>
      <c r="S100" s="1" t="n">
        <v>320000</v>
      </c>
      <c r="T100" s="1">
        <f>ROUND(T_EMPLOYEES[[#This Row],[EMP_CTC1]]/12, 0)</f>
        <v/>
      </c>
      <c r="U100" s="1" t="n">
        <v>72000</v>
      </c>
      <c r="V100" s="1" t="inlineStr">
        <is>
          <t>NH</t>
        </is>
      </c>
      <c r="W100" s="1" t="inlineStr">
        <is>
          <t>NH</t>
        </is>
      </c>
      <c r="X10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0" t="n">
        <v>60000</v>
      </c>
      <c r="Z100" s="29">
        <f>(S100 - U100)/S100 * 100</f>
        <v/>
      </c>
      <c r="AA100">
        <f>IF(T_EMPLOYEES[[#This Row],[EMPLOYEE NUMBER]]="","",ROW(T_EMPLOYEES[[#This Row],[EMPLOYEE LABEL]])-ROW(T_EMPLOYEES[[#Headers],[EMPLOYEE LABEL]]))</f>
        <v/>
      </c>
      <c r="AB100">
        <f>IF(T_EMPLOYEES[[#This Row],[EMPLOYEE NUMBER]]="","",IF(COUNTIF(T_EMPLOYEES[EMPLOYEE NUMBER],T_EMPLOYEES[[#This Row],[EMPLOYEE NUMBER]])&gt;1,1,0))</f>
        <v/>
      </c>
      <c r="AC100">
        <f>IF(T_EMPLOYEES[[#This Row],[EMPLOYEE NUMBER]]="","",IF(AND(T_EMPLOYEES[[#This Row],[DATE OF BIRTH]]&gt;0,T_EMPLOYEES[[#This Row],[DATE OF BIRTH]]&lt;TODAY()),0,1))</f>
        <v/>
      </c>
      <c r="AD100">
        <f>IF(T_EMPLOYEES[[#This Row],[EMPLOYEE NUMBER]]="","",IF(AND(T_EMPLOYEES[[#This Row],[START DATE]]&gt;0,T_EMPLOYEES[[#This Row],[START DATE]]&lt;TODAY()+60),0,1))</f>
        <v/>
      </c>
      <c r="AE100">
        <f>IF(T_EMPLOYEES[[#This Row],[EMPLOYEE NUMBER]]="","",MATCH(T_EMPLOYEES[[#This Row],[GENDER]],L_GENDER,0))</f>
        <v/>
      </c>
      <c r="AF100">
        <f>IF(T_EMPLOYEES[[#This Row],[EMPLOYEE NUMBER]]="","",MATCH(T_EMPLOYEES[[#This Row],[HIRE SOURCE]],L_HIRESOURCE,0))</f>
        <v/>
      </c>
      <c r="AG100">
        <f>IF(T_EMPLOYEES[[#This Row],[EMPLOYEE NUMBER]]="","",MATCH(T_EMPLOYEES[[#This Row],[ETHNICITY]],L_ETHNICITY,0))</f>
        <v/>
      </c>
      <c r="AH100">
        <f>IF(T_EMPLOYEES[[#This Row],[EMPLOYEE NUMBER]]="","",MATCH(T_EMPLOYEES[[#This Row],[LOCATION]],L_LOCATION,0))</f>
        <v/>
      </c>
      <c r="AI100">
        <f>IF(T_EMPLOYEES[[#This Row],[EMPLOYEE NUMBER]]="","",MATCH(T_EMPLOYEES[[#This Row],[DEPARTMENT]],L_DEPARTMENT,0))</f>
        <v/>
      </c>
      <c r="AJ100">
        <f>IF(T_EMPLOYEES[[#This Row],[EMPLOYEE NUMBER]]="","",MATCH(T_EMPLOYEES[[#This Row],[JOB TYPE]],L_JOBTYPE,0))</f>
        <v/>
      </c>
      <c r="AK100">
        <f>IF(T_EMPLOYEES[[#This Row],[EMPLOYEE NUMBER]]="","",MATCH(T_EMPLOYEES[[#This Row],[JOB CATEGORY]],L_JOBCATEGORY,0))</f>
        <v/>
      </c>
      <c r="AL100">
        <f>IF(T_EMPLOYEES[[#This Row],[EMPLOYEE NUMBER]]="","",MATCH(T_EMPLOYEES[[#This Row],[JOB LEVEL]],L_JOBLEVEL,0))</f>
        <v/>
      </c>
      <c r="AM100">
        <f>IF(T_EMPLOYEES[[#This Row],[EMPLOYEE NUMBER]]="","",MATCH(T_EMPLOYEES[[#This Row],[JOB TITLE]],L_JOBTITLE,0))</f>
        <v/>
      </c>
      <c r="AN100">
        <f>IF(T_EMPLOYEES[[#This Row],[EMPLOYEE NUMBER]]="","",MATCH(T_EMPLOYEES[[#This Row],[MANAGER]],L_EMPLABELS,0))</f>
        <v/>
      </c>
      <c r="AO100">
        <f>IF(T_EMPLOYEES[[#This Row],[EMPLOYEE NUMBER]]="","",IF(T_EMPLOYEES[[#This Row],[ERROR]]="",0,1))</f>
        <v/>
      </c>
      <c r="AP10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1">
      <c r="A101" t="inlineStr">
        <is>
          <t>S</t>
        </is>
      </c>
      <c r="B101" t="inlineStr">
        <is>
          <t>Mohammed Shamsheer Ali</t>
        </is>
      </c>
      <c r="C101" t="n">
        <v>1019682</v>
      </c>
      <c r="D101" t="inlineStr">
        <is>
          <t>Mohammed.Shamsher@infinite.com</t>
        </is>
      </c>
      <c r="E101" s="26" t="n">
        <v>31210</v>
      </c>
      <c r="F101" s="26" t="n">
        <v>42942</v>
      </c>
      <c r="H101" t="inlineStr">
        <is>
          <t>Male</t>
        </is>
      </c>
      <c r="I101" t="inlineStr">
        <is>
          <t>Asian</t>
        </is>
      </c>
      <c r="J101" t="inlineStr">
        <is>
          <t>WEBSITE</t>
        </is>
      </c>
      <c r="K101" t="inlineStr">
        <is>
          <t>Bangalore</t>
        </is>
      </c>
      <c r="L101" s="27" t="inlineStr">
        <is>
          <t>Core</t>
        </is>
      </c>
      <c r="M101" t="inlineStr">
        <is>
          <t>Full-Time</t>
        </is>
      </c>
      <c r="N101" t="inlineStr">
        <is>
          <t>Technical Lead</t>
        </is>
      </c>
      <c r="O101" t="inlineStr">
        <is>
          <t>E4</t>
        </is>
      </c>
      <c r="P101" t="inlineStr">
        <is>
          <t>Technical Lead</t>
        </is>
      </c>
      <c r="Q101" t="inlineStr">
        <is>
          <t>Anil Kumar Khamari (1013201)</t>
        </is>
      </c>
      <c r="R101" t="n">
        <v>5</v>
      </c>
      <c r="S101" s="1" t="n">
        <v>320000</v>
      </c>
      <c r="T101" s="1">
        <f>ROUND(T_EMPLOYEES[[#This Row],[EMP_CTC1]]/12, 0)</f>
        <v/>
      </c>
      <c r="U101" s="1" t="n">
        <v>72000</v>
      </c>
      <c r="V101" s="1" t="inlineStr">
        <is>
          <t>NH</t>
        </is>
      </c>
      <c r="W101" s="1" t="inlineStr">
        <is>
          <t>NH</t>
        </is>
      </c>
      <c r="X10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1" t="n">
        <v>60000</v>
      </c>
      <c r="Z101" s="29">
        <f>(S101 - U101)/S101 * 100</f>
        <v/>
      </c>
      <c r="AA101">
        <f>IF(T_EMPLOYEES[[#This Row],[EMPLOYEE NUMBER]]="","",ROW(T_EMPLOYEES[[#This Row],[EMPLOYEE LABEL]])-ROW(T_EMPLOYEES[[#Headers],[EMPLOYEE LABEL]]))</f>
        <v/>
      </c>
      <c r="AB101">
        <f>IF(T_EMPLOYEES[[#This Row],[EMPLOYEE NUMBER]]="","",IF(COUNTIF(T_EMPLOYEES[EMPLOYEE NUMBER],T_EMPLOYEES[[#This Row],[EMPLOYEE NUMBER]])&gt;1,1,0))</f>
        <v/>
      </c>
      <c r="AC101">
        <f>IF(T_EMPLOYEES[[#This Row],[EMPLOYEE NUMBER]]="","",IF(AND(T_EMPLOYEES[[#This Row],[DATE OF BIRTH]]&gt;0,T_EMPLOYEES[[#This Row],[DATE OF BIRTH]]&lt;TODAY()),0,1))</f>
        <v/>
      </c>
      <c r="AD101">
        <f>IF(T_EMPLOYEES[[#This Row],[EMPLOYEE NUMBER]]="","",IF(AND(T_EMPLOYEES[[#This Row],[START DATE]]&gt;0,T_EMPLOYEES[[#This Row],[START DATE]]&lt;TODAY()+60),0,1))</f>
        <v/>
      </c>
      <c r="AE101">
        <f>IF(T_EMPLOYEES[[#This Row],[EMPLOYEE NUMBER]]="","",MATCH(T_EMPLOYEES[[#This Row],[GENDER]],L_GENDER,0))</f>
        <v/>
      </c>
      <c r="AF101">
        <f>IF(T_EMPLOYEES[[#This Row],[EMPLOYEE NUMBER]]="","",MATCH(T_EMPLOYEES[[#This Row],[HIRE SOURCE]],L_HIRESOURCE,0))</f>
        <v/>
      </c>
      <c r="AG101">
        <f>IF(T_EMPLOYEES[[#This Row],[EMPLOYEE NUMBER]]="","",MATCH(T_EMPLOYEES[[#This Row],[ETHNICITY]],L_ETHNICITY,0))</f>
        <v/>
      </c>
      <c r="AH101">
        <f>IF(T_EMPLOYEES[[#This Row],[EMPLOYEE NUMBER]]="","",MATCH(T_EMPLOYEES[[#This Row],[LOCATION]],L_LOCATION,0))</f>
        <v/>
      </c>
      <c r="AI101">
        <f>IF(T_EMPLOYEES[[#This Row],[EMPLOYEE NUMBER]]="","",MATCH(T_EMPLOYEES[[#This Row],[DEPARTMENT]],L_DEPARTMENT,0))</f>
        <v/>
      </c>
      <c r="AJ101">
        <f>IF(T_EMPLOYEES[[#This Row],[EMPLOYEE NUMBER]]="","",MATCH(T_EMPLOYEES[[#This Row],[JOB TYPE]],L_JOBTYPE,0))</f>
        <v/>
      </c>
      <c r="AK101">
        <f>IF(T_EMPLOYEES[[#This Row],[EMPLOYEE NUMBER]]="","",MATCH(T_EMPLOYEES[[#This Row],[JOB CATEGORY]],L_JOBCATEGORY,0))</f>
        <v/>
      </c>
      <c r="AL101">
        <f>IF(T_EMPLOYEES[[#This Row],[EMPLOYEE NUMBER]]="","",MATCH(T_EMPLOYEES[[#This Row],[JOB LEVEL]],L_JOBLEVEL,0))</f>
        <v/>
      </c>
      <c r="AM101">
        <f>IF(T_EMPLOYEES[[#This Row],[EMPLOYEE NUMBER]]="","",MATCH(T_EMPLOYEES[[#This Row],[JOB TITLE]],L_JOBTITLE,0))</f>
        <v/>
      </c>
      <c r="AN101">
        <f>IF(T_EMPLOYEES[[#This Row],[EMPLOYEE NUMBER]]="","",MATCH(T_EMPLOYEES[[#This Row],[MANAGER]],L_EMPLABELS,0))</f>
        <v/>
      </c>
      <c r="AO101">
        <f>IF(T_EMPLOYEES[[#This Row],[EMPLOYEE NUMBER]]="","",IF(T_EMPLOYEES[[#This Row],[ERROR]]="",0,1))</f>
        <v/>
      </c>
      <c r="AP10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01" t="inlineStr">
        <is>
          <t>Claims Financial</t>
        </is>
      </c>
    </row>
    <row r="102">
      <c r="A102" t="inlineStr">
        <is>
          <t>Nagarjun</t>
        </is>
      </c>
      <c r="B102" t="inlineStr">
        <is>
          <t>Naidu Mannem</t>
        </is>
      </c>
      <c r="C102" t="n">
        <v>1019816</v>
      </c>
      <c r="D102" t="inlineStr">
        <is>
          <t>Nagarjun.Mannem@infinite.com</t>
        </is>
      </c>
      <c r="E102" s="26" t="n">
        <v>32006</v>
      </c>
      <c r="F102" s="26" t="n">
        <v>42996</v>
      </c>
      <c r="G102" s="26" t="n">
        <v>43361</v>
      </c>
      <c r="H102" t="inlineStr">
        <is>
          <t>Male</t>
        </is>
      </c>
      <c r="I102" t="inlineStr">
        <is>
          <t>Asian</t>
        </is>
      </c>
      <c r="J102" t="inlineStr">
        <is>
          <t>WEBSITE</t>
        </is>
      </c>
      <c r="K102" t="inlineStr">
        <is>
          <t>Bangalore</t>
        </is>
      </c>
      <c r="L102" s="27" t="inlineStr">
        <is>
          <t>Informatica</t>
        </is>
      </c>
      <c r="M102" t="inlineStr">
        <is>
          <t>Full-Time</t>
        </is>
      </c>
      <c r="N102" t="inlineStr">
        <is>
          <t>Senior Technical Lead</t>
        </is>
      </c>
      <c r="O102" t="inlineStr">
        <is>
          <t>E5</t>
        </is>
      </c>
      <c r="P102" t="inlineStr">
        <is>
          <t>Senior Technical Lead</t>
        </is>
      </c>
      <c r="Q102" t="inlineStr">
        <is>
          <t>Kishore Kumar N (1019765)</t>
        </is>
      </c>
      <c r="R102" s="27" t="n">
        <v>7</v>
      </c>
      <c r="S102" s="1" t="n">
        <v>320000</v>
      </c>
      <c r="T102" s="1">
        <f>ROUND(T_EMPLOYEES[[#This Row],[EMP_CTC1]]/12, 0)</f>
        <v/>
      </c>
      <c r="U102" s="1" t="n">
        <v>72000</v>
      </c>
      <c r="V102" s="1" t="inlineStr">
        <is>
          <t>NH</t>
        </is>
      </c>
      <c r="W102" s="1" t="inlineStr">
        <is>
          <t>NH</t>
        </is>
      </c>
      <c r="X10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2" t="n">
        <v>60000</v>
      </c>
      <c r="Z102" s="29">
        <f>(S102 - U102)/S102 * 100</f>
        <v/>
      </c>
      <c r="AA102">
        <f>IF(T_EMPLOYEES[[#This Row],[EMPLOYEE NUMBER]]="","",ROW(T_EMPLOYEES[[#This Row],[EMPLOYEE LABEL]])-ROW(T_EMPLOYEES[[#Headers],[EMPLOYEE LABEL]]))</f>
        <v/>
      </c>
      <c r="AB102">
        <f>IF(T_EMPLOYEES[[#This Row],[EMPLOYEE NUMBER]]="","",IF(COUNTIF(T_EMPLOYEES[EMPLOYEE NUMBER],T_EMPLOYEES[[#This Row],[EMPLOYEE NUMBER]])&gt;1,1,0))</f>
        <v/>
      </c>
      <c r="AC102">
        <f>IF(T_EMPLOYEES[[#This Row],[EMPLOYEE NUMBER]]="","",IF(AND(T_EMPLOYEES[[#This Row],[DATE OF BIRTH]]&gt;0,T_EMPLOYEES[[#This Row],[DATE OF BIRTH]]&lt;TODAY()),0,1))</f>
        <v/>
      </c>
      <c r="AD102">
        <f>IF(T_EMPLOYEES[[#This Row],[EMPLOYEE NUMBER]]="","",IF(AND(T_EMPLOYEES[[#This Row],[START DATE]]&gt;0,T_EMPLOYEES[[#This Row],[START DATE]]&lt;TODAY()+60),0,1))</f>
        <v/>
      </c>
      <c r="AE102">
        <f>IF(T_EMPLOYEES[[#This Row],[EMPLOYEE NUMBER]]="","",MATCH(T_EMPLOYEES[[#This Row],[GENDER]],L_GENDER,0))</f>
        <v/>
      </c>
      <c r="AF102">
        <f>IF(T_EMPLOYEES[[#This Row],[EMPLOYEE NUMBER]]="","",MATCH(T_EMPLOYEES[[#This Row],[HIRE SOURCE]],L_HIRESOURCE,0))</f>
        <v/>
      </c>
      <c r="AG102">
        <f>IF(T_EMPLOYEES[[#This Row],[EMPLOYEE NUMBER]]="","",MATCH(T_EMPLOYEES[[#This Row],[ETHNICITY]],L_ETHNICITY,0))</f>
        <v/>
      </c>
      <c r="AH102">
        <f>IF(T_EMPLOYEES[[#This Row],[EMPLOYEE NUMBER]]="","",MATCH(T_EMPLOYEES[[#This Row],[LOCATION]],L_LOCATION,0))</f>
        <v/>
      </c>
      <c r="AI102">
        <f>IF(T_EMPLOYEES[[#This Row],[EMPLOYEE NUMBER]]="","",MATCH(T_EMPLOYEES[[#This Row],[DEPARTMENT]],L_DEPARTMENT,0))</f>
        <v/>
      </c>
      <c r="AJ102">
        <f>IF(T_EMPLOYEES[[#This Row],[EMPLOYEE NUMBER]]="","",MATCH(T_EMPLOYEES[[#This Row],[JOB TYPE]],L_JOBTYPE,0))</f>
        <v/>
      </c>
      <c r="AK102">
        <f>IF(T_EMPLOYEES[[#This Row],[EMPLOYEE NUMBER]]="","",MATCH(T_EMPLOYEES[[#This Row],[JOB CATEGORY]],L_JOBCATEGORY,0))</f>
        <v/>
      </c>
      <c r="AL102">
        <f>IF(T_EMPLOYEES[[#This Row],[EMPLOYEE NUMBER]]="","",MATCH(T_EMPLOYEES[[#This Row],[JOB LEVEL]],L_JOBLEVEL,0))</f>
        <v/>
      </c>
      <c r="AM102">
        <f>IF(T_EMPLOYEES[[#This Row],[EMPLOYEE NUMBER]]="","",MATCH(T_EMPLOYEES[[#This Row],[JOB TITLE]],L_JOBTITLE,0))</f>
        <v/>
      </c>
      <c r="AN102">
        <f>IF(T_EMPLOYEES[[#This Row],[EMPLOYEE NUMBER]]="","",MATCH(T_EMPLOYEES[[#This Row],[MANAGER]],L_EMPLABELS,0))</f>
        <v/>
      </c>
      <c r="AO102">
        <f>IF(T_EMPLOYEES[[#This Row],[EMPLOYEE NUMBER]]="","",IF(T_EMPLOYEES[[#This Row],[ERROR]]="",0,1))</f>
        <v/>
      </c>
      <c r="AP10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3">
      <c r="A103" t="inlineStr">
        <is>
          <t>Nagadurga</t>
        </is>
      </c>
      <c r="B103" t="inlineStr">
        <is>
          <t>Kaladhar Raju Cholaraju</t>
        </is>
      </c>
      <c r="C103" t="n">
        <v>1021404</v>
      </c>
      <c r="D103" t="inlineStr">
        <is>
          <t>Nagadurga.Kaladhar@infinite.com</t>
        </is>
      </c>
      <c r="E103" s="26" t="n">
        <v>31233</v>
      </c>
      <c r="F103" s="26" t="n">
        <v>43472</v>
      </c>
      <c r="H103" t="inlineStr">
        <is>
          <t>Male</t>
        </is>
      </c>
      <c r="I103" t="inlineStr">
        <is>
          <t>Asian</t>
        </is>
      </c>
      <c r="J103" t="inlineStr">
        <is>
          <t>WEBSITE</t>
        </is>
      </c>
      <c r="K103" t="inlineStr">
        <is>
          <t>Chennai</t>
        </is>
      </c>
      <c r="L103" s="27" t="inlineStr">
        <is>
          <t>IT</t>
        </is>
      </c>
      <c r="M103" t="inlineStr">
        <is>
          <t>Full-Time</t>
        </is>
      </c>
      <c r="N103" t="inlineStr">
        <is>
          <t>Technical Lead</t>
        </is>
      </c>
      <c r="O103" t="inlineStr">
        <is>
          <t>E4</t>
        </is>
      </c>
      <c r="P103" t="inlineStr">
        <is>
          <t>Technical Lead</t>
        </is>
      </c>
      <c r="Q103" t="inlineStr">
        <is>
          <t>Kalyana Raju C S (1003859)</t>
        </is>
      </c>
      <c r="R103" t="n">
        <v>5</v>
      </c>
      <c r="S103" s="1" t="n">
        <v>320000</v>
      </c>
      <c r="T103" s="1">
        <f>ROUND(T_EMPLOYEES[[#This Row],[EMP_CTC1]]/12, 0)</f>
        <v/>
      </c>
      <c r="U103" s="1" t="n">
        <v>72000</v>
      </c>
      <c r="V103" s="1" t="inlineStr">
        <is>
          <t>NH</t>
        </is>
      </c>
      <c r="W103" s="1" t="inlineStr">
        <is>
          <t>NH</t>
        </is>
      </c>
      <c r="X10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3" t="n">
        <v>60000</v>
      </c>
      <c r="Z103" s="29">
        <f>(S103 - U103)/S103 * 100</f>
        <v/>
      </c>
      <c r="AA103">
        <f>IF(T_EMPLOYEES[[#This Row],[EMPLOYEE NUMBER]]="","",ROW(T_EMPLOYEES[[#This Row],[EMPLOYEE LABEL]])-ROW(T_EMPLOYEES[[#Headers],[EMPLOYEE LABEL]]))</f>
        <v/>
      </c>
      <c r="AB103">
        <f>IF(T_EMPLOYEES[[#This Row],[EMPLOYEE NUMBER]]="","",IF(COUNTIF(T_EMPLOYEES[EMPLOYEE NUMBER],T_EMPLOYEES[[#This Row],[EMPLOYEE NUMBER]])&gt;1,1,0))</f>
        <v/>
      </c>
      <c r="AC103">
        <f>IF(T_EMPLOYEES[[#This Row],[EMPLOYEE NUMBER]]="","",IF(AND(T_EMPLOYEES[[#This Row],[DATE OF BIRTH]]&gt;0,T_EMPLOYEES[[#This Row],[DATE OF BIRTH]]&lt;TODAY()),0,1))</f>
        <v/>
      </c>
      <c r="AD103">
        <f>IF(T_EMPLOYEES[[#This Row],[EMPLOYEE NUMBER]]="","",IF(AND(T_EMPLOYEES[[#This Row],[START DATE]]&gt;0,T_EMPLOYEES[[#This Row],[START DATE]]&lt;TODAY()+60),0,1))</f>
        <v/>
      </c>
      <c r="AE103">
        <f>IF(T_EMPLOYEES[[#This Row],[EMPLOYEE NUMBER]]="","",MATCH(T_EMPLOYEES[[#This Row],[GENDER]],L_GENDER,0))</f>
        <v/>
      </c>
      <c r="AF103">
        <f>IF(T_EMPLOYEES[[#This Row],[EMPLOYEE NUMBER]]="","",MATCH(T_EMPLOYEES[[#This Row],[HIRE SOURCE]],L_HIRESOURCE,0))</f>
        <v/>
      </c>
      <c r="AG103">
        <f>IF(T_EMPLOYEES[[#This Row],[EMPLOYEE NUMBER]]="","",MATCH(T_EMPLOYEES[[#This Row],[ETHNICITY]],L_ETHNICITY,0))</f>
        <v/>
      </c>
      <c r="AH103">
        <f>IF(T_EMPLOYEES[[#This Row],[EMPLOYEE NUMBER]]="","",MATCH(T_EMPLOYEES[[#This Row],[LOCATION]],L_LOCATION,0))</f>
        <v/>
      </c>
      <c r="AI103">
        <f>IF(T_EMPLOYEES[[#This Row],[EMPLOYEE NUMBER]]="","",MATCH(T_EMPLOYEES[[#This Row],[DEPARTMENT]],L_DEPARTMENT,0))</f>
        <v/>
      </c>
      <c r="AJ103">
        <f>IF(T_EMPLOYEES[[#This Row],[EMPLOYEE NUMBER]]="","",MATCH(T_EMPLOYEES[[#This Row],[JOB TYPE]],L_JOBTYPE,0))</f>
        <v/>
      </c>
      <c r="AK103">
        <f>IF(T_EMPLOYEES[[#This Row],[EMPLOYEE NUMBER]]="","",MATCH(T_EMPLOYEES[[#This Row],[JOB CATEGORY]],L_JOBCATEGORY,0))</f>
        <v/>
      </c>
      <c r="AL103">
        <f>IF(T_EMPLOYEES[[#This Row],[EMPLOYEE NUMBER]]="","",MATCH(T_EMPLOYEES[[#This Row],[JOB LEVEL]],L_JOBLEVEL,0))</f>
        <v/>
      </c>
      <c r="AM103">
        <f>IF(T_EMPLOYEES[[#This Row],[EMPLOYEE NUMBER]]="","",MATCH(T_EMPLOYEES[[#This Row],[JOB TITLE]],L_JOBTITLE,0))</f>
        <v/>
      </c>
      <c r="AN103">
        <f>IF(T_EMPLOYEES[[#This Row],[EMPLOYEE NUMBER]]="","",MATCH(T_EMPLOYEES[[#This Row],[MANAGER]],L_EMPLABELS,0))</f>
        <v/>
      </c>
      <c r="AO103">
        <f>IF(T_EMPLOYEES[[#This Row],[EMPLOYEE NUMBER]]="","",IF(T_EMPLOYEES[[#This Row],[ERROR]]="",0,1))</f>
        <v/>
      </c>
      <c r="AP10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03" t="inlineStr">
        <is>
          <t>TMSIS</t>
        </is>
      </c>
    </row>
    <row r="104">
      <c r="A104" t="inlineStr">
        <is>
          <t>Katakam</t>
        </is>
      </c>
      <c r="B104" t="inlineStr">
        <is>
          <t>Vijaykumar</t>
        </is>
      </c>
      <c r="C104" t="n">
        <v>1017149</v>
      </c>
      <c r="D104" t="inlineStr">
        <is>
          <t>Katakam.Vijaykumar@infinite.com</t>
        </is>
      </c>
      <c r="E104" s="26" t="n">
        <v>32243</v>
      </c>
      <c r="F104" s="26" t="n">
        <v>42149</v>
      </c>
      <c r="H104" t="inlineStr">
        <is>
          <t>Male</t>
        </is>
      </c>
      <c r="I104" t="inlineStr">
        <is>
          <t>Asian</t>
        </is>
      </c>
      <c r="J104" t="inlineStr">
        <is>
          <t>WEBSITE</t>
        </is>
      </c>
      <c r="K104" t="inlineStr">
        <is>
          <t>Hyderabad</t>
        </is>
      </c>
      <c r="L104" s="27" t="inlineStr">
        <is>
          <t>Informatica</t>
        </is>
      </c>
      <c r="M104" t="inlineStr">
        <is>
          <t>Full-Time</t>
        </is>
      </c>
      <c r="N104" t="inlineStr">
        <is>
          <t>Technical Lead</t>
        </is>
      </c>
      <c r="O104" t="inlineStr">
        <is>
          <t>E4</t>
        </is>
      </c>
      <c r="P104" t="inlineStr">
        <is>
          <t>Technical Lead</t>
        </is>
      </c>
      <c r="Q104" t="inlineStr">
        <is>
          <t>Kishore Kumar N (1019765)</t>
        </is>
      </c>
      <c r="R104" s="27" t="n">
        <v>5</v>
      </c>
      <c r="S104" s="1" t="n">
        <v>320000</v>
      </c>
      <c r="T104" s="1">
        <f>ROUND(T_EMPLOYEES[[#This Row],[EMP_CTC1]]/12, 0)</f>
        <v/>
      </c>
      <c r="U104" s="1" t="n">
        <v>72000</v>
      </c>
      <c r="V104" s="1" t="inlineStr">
        <is>
          <t>NH</t>
        </is>
      </c>
      <c r="W104" s="1" t="inlineStr">
        <is>
          <t>NH</t>
        </is>
      </c>
      <c r="X10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4" t="n">
        <v>60000</v>
      </c>
      <c r="Z104" s="29">
        <f>(S104 - U104)/S104 * 100</f>
        <v/>
      </c>
      <c r="AA104">
        <f>IF(T_EMPLOYEES[[#This Row],[EMPLOYEE NUMBER]]="","",ROW(T_EMPLOYEES[[#This Row],[EMPLOYEE LABEL]])-ROW(T_EMPLOYEES[[#Headers],[EMPLOYEE LABEL]]))</f>
        <v/>
      </c>
      <c r="AB104">
        <f>IF(T_EMPLOYEES[[#This Row],[EMPLOYEE NUMBER]]="","",IF(COUNTIF(T_EMPLOYEES[EMPLOYEE NUMBER],T_EMPLOYEES[[#This Row],[EMPLOYEE NUMBER]])&gt;1,1,0))</f>
        <v/>
      </c>
      <c r="AC104">
        <f>IF(T_EMPLOYEES[[#This Row],[EMPLOYEE NUMBER]]="","",IF(AND(T_EMPLOYEES[[#This Row],[DATE OF BIRTH]]&gt;0,T_EMPLOYEES[[#This Row],[DATE OF BIRTH]]&lt;TODAY()),0,1))</f>
        <v/>
      </c>
      <c r="AD104">
        <f>IF(T_EMPLOYEES[[#This Row],[EMPLOYEE NUMBER]]="","",IF(AND(T_EMPLOYEES[[#This Row],[START DATE]]&gt;0,T_EMPLOYEES[[#This Row],[START DATE]]&lt;TODAY()+60),0,1))</f>
        <v/>
      </c>
      <c r="AE104">
        <f>IF(T_EMPLOYEES[[#This Row],[EMPLOYEE NUMBER]]="","",MATCH(T_EMPLOYEES[[#This Row],[GENDER]],L_GENDER,0))</f>
        <v/>
      </c>
      <c r="AF104">
        <f>IF(T_EMPLOYEES[[#This Row],[EMPLOYEE NUMBER]]="","",MATCH(T_EMPLOYEES[[#This Row],[HIRE SOURCE]],L_HIRESOURCE,0))</f>
        <v/>
      </c>
      <c r="AG104">
        <f>IF(T_EMPLOYEES[[#This Row],[EMPLOYEE NUMBER]]="","",MATCH(T_EMPLOYEES[[#This Row],[ETHNICITY]],L_ETHNICITY,0))</f>
        <v/>
      </c>
      <c r="AH104">
        <f>IF(T_EMPLOYEES[[#This Row],[EMPLOYEE NUMBER]]="","",MATCH(T_EMPLOYEES[[#This Row],[LOCATION]],L_LOCATION,0))</f>
        <v/>
      </c>
      <c r="AI104">
        <f>IF(T_EMPLOYEES[[#This Row],[EMPLOYEE NUMBER]]="","",MATCH(T_EMPLOYEES[[#This Row],[DEPARTMENT]],L_DEPARTMENT,0))</f>
        <v/>
      </c>
      <c r="AJ104">
        <f>IF(T_EMPLOYEES[[#This Row],[EMPLOYEE NUMBER]]="","",MATCH(T_EMPLOYEES[[#This Row],[JOB TYPE]],L_JOBTYPE,0))</f>
        <v/>
      </c>
      <c r="AK104">
        <f>IF(T_EMPLOYEES[[#This Row],[EMPLOYEE NUMBER]]="","",MATCH(T_EMPLOYEES[[#This Row],[JOB CATEGORY]],L_JOBCATEGORY,0))</f>
        <v/>
      </c>
      <c r="AL104">
        <f>IF(T_EMPLOYEES[[#This Row],[EMPLOYEE NUMBER]]="","",MATCH(T_EMPLOYEES[[#This Row],[JOB LEVEL]],L_JOBLEVEL,0))</f>
        <v/>
      </c>
      <c r="AM104">
        <f>IF(T_EMPLOYEES[[#This Row],[EMPLOYEE NUMBER]]="","",MATCH(T_EMPLOYEES[[#This Row],[JOB TITLE]],L_JOBTITLE,0))</f>
        <v/>
      </c>
      <c r="AN104">
        <f>IF(T_EMPLOYEES[[#This Row],[EMPLOYEE NUMBER]]="","",MATCH(T_EMPLOYEES[[#This Row],[MANAGER]],L_EMPLABELS,0))</f>
        <v/>
      </c>
      <c r="AO104">
        <f>IF(T_EMPLOYEES[[#This Row],[EMPLOYEE NUMBER]]="","",IF(T_EMPLOYEES[[#This Row],[ERROR]]="",0,1))</f>
        <v/>
      </c>
      <c r="AP10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5">
      <c r="A105" t="inlineStr">
        <is>
          <t>Debajyoti</t>
        </is>
      </c>
      <c r="B105" t="inlineStr">
        <is>
          <t>Panda</t>
        </is>
      </c>
      <c r="C105" t="n">
        <v>1027985</v>
      </c>
      <c r="D105" t="inlineStr">
        <is>
          <t>Debajyoti.Panda@infinite.com</t>
        </is>
      </c>
      <c r="E105" s="26" t="n">
        <v>31285</v>
      </c>
      <c r="F105" s="26" t="n">
        <v>44571</v>
      </c>
      <c r="H105" t="inlineStr">
        <is>
          <t>Male</t>
        </is>
      </c>
      <c r="I105" t="inlineStr">
        <is>
          <t>Asian</t>
        </is>
      </c>
      <c r="J105" t="inlineStr">
        <is>
          <t>WEBSITE</t>
        </is>
      </c>
      <c r="K105" t="inlineStr">
        <is>
          <t>Hyderabad</t>
        </is>
      </c>
      <c r="L105" s="27" t="inlineStr">
        <is>
          <t>IT</t>
        </is>
      </c>
      <c r="M105" t="inlineStr">
        <is>
          <t>Full-Time</t>
        </is>
      </c>
      <c r="N105" t="inlineStr">
        <is>
          <t>Project Lead</t>
        </is>
      </c>
      <c r="O105" t="inlineStr">
        <is>
          <t>E4</t>
        </is>
      </c>
      <c r="P105" t="inlineStr">
        <is>
          <t>Project Lead</t>
        </is>
      </c>
      <c r="Q105" t="inlineStr">
        <is>
          <t>Nagarajan K (1019672)</t>
        </is>
      </c>
      <c r="R105" t="n">
        <v>5</v>
      </c>
      <c r="S105" s="1" t="n">
        <v>320000</v>
      </c>
      <c r="T105" s="1">
        <f>ROUND(T_EMPLOYEES[[#This Row],[EMP_CTC1]]/12, 0)</f>
        <v/>
      </c>
      <c r="U105" s="1" t="n">
        <v>72000</v>
      </c>
      <c r="V105" s="1" t="inlineStr">
        <is>
          <t>NH</t>
        </is>
      </c>
      <c r="W105" s="1" t="inlineStr">
        <is>
          <t>NH</t>
        </is>
      </c>
      <c r="X10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5" t="n">
        <v>60000</v>
      </c>
      <c r="Z105" s="29">
        <f>(S105 - U105)/S105 * 100</f>
        <v/>
      </c>
      <c r="AA105">
        <f>IF(T_EMPLOYEES[[#This Row],[EMPLOYEE NUMBER]]="","",ROW(T_EMPLOYEES[[#This Row],[EMPLOYEE LABEL]])-ROW(T_EMPLOYEES[[#Headers],[EMPLOYEE LABEL]]))</f>
        <v/>
      </c>
      <c r="AB105">
        <f>IF(T_EMPLOYEES[[#This Row],[EMPLOYEE NUMBER]]="","",IF(COUNTIF(T_EMPLOYEES[EMPLOYEE NUMBER],T_EMPLOYEES[[#This Row],[EMPLOYEE NUMBER]])&gt;1,1,0))</f>
        <v/>
      </c>
      <c r="AC105">
        <f>IF(T_EMPLOYEES[[#This Row],[EMPLOYEE NUMBER]]="","",IF(AND(T_EMPLOYEES[[#This Row],[DATE OF BIRTH]]&gt;0,T_EMPLOYEES[[#This Row],[DATE OF BIRTH]]&lt;TODAY()),0,1))</f>
        <v/>
      </c>
      <c r="AD105">
        <f>IF(T_EMPLOYEES[[#This Row],[EMPLOYEE NUMBER]]="","",IF(AND(T_EMPLOYEES[[#This Row],[START DATE]]&gt;0,T_EMPLOYEES[[#This Row],[START DATE]]&lt;TODAY()+60),0,1))</f>
        <v/>
      </c>
      <c r="AE105">
        <f>IF(T_EMPLOYEES[[#This Row],[EMPLOYEE NUMBER]]="","",MATCH(T_EMPLOYEES[[#This Row],[GENDER]],L_GENDER,0))</f>
        <v/>
      </c>
      <c r="AF105">
        <f>IF(T_EMPLOYEES[[#This Row],[EMPLOYEE NUMBER]]="","",MATCH(T_EMPLOYEES[[#This Row],[HIRE SOURCE]],L_HIRESOURCE,0))</f>
        <v/>
      </c>
      <c r="AG105">
        <f>IF(T_EMPLOYEES[[#This Row],[EMPLOYEE NUMBER]]="","",MATCH(T_EMPLOYEES[[#This Row],[ETHNICITY]],L_ETHNICITY,0))</f>
        <v/>
      </c>
      <c r="AH105">
        <f>IF(T_EMPLOYEES[[#This Row],[EMPLOYEE NUMBER]]="","",MATCH(T_EMPLOYEES[[#This Row],[LOCATION]],L_LOCATION,0))</f>
        <v/>
      </c>
      <c r="AI105">
        <f>IF(T_EMPLOYEES[[#This Row],[EMPLOYEE NUMBER]]="","",MATCH(T_EMPLOYEES[[#This Row],[DEPARTMENT]],L_DEPARTMENT,0))</f>
        <v/>
      </c>
      <c r="AJ105">
        <f>IF(T_EMPLOYEES[[#This Row],[EMPLOYEE NUMBER]]="","",MATCH(T_EMPLOYEES[[#This Row],[JOB TYPE]],L_JOBTYPE,0))</f>
        <v/>
      </c>
      <c r="AK105">
        <f>IF(T_EMPLOYEES[[#This Row],[EMPLOYEE NUMBER]]="","",MATCH(T_EMPLOYEES[[#This Row],[JOB CATEGORY]],L_JOBCATEGORY,0))</f>
        <v/>
      </c>
      <c r="AL105">
        <f>IF(T_EMPLOYEES[[#This Row],[EMPLOYEE NUMBER]]="","",MATCH(T_EMPLOYEES[[#This Row],[JOB LEVEL]],L_JOBLEVEL,0))</f>
        <v/>
      </c>
      <c r="AM105">
        <f>IF(T_EMPLOYEES[[#This Row],[EMPLOYEE NUMBER]]="","",MATCH(T_EMPLOYEES[[#This Row],[JOB TITLE]],L_JOBTITLE,0))</f>
        <v/>
      </c>
      <c r="AN105">
        <f>IF(T_EMPLOYEES[[#This Row],[EMPLOYEE NUMBER]]="","",MATCH(T_EMPLOYEES[[#This Row],[MANAGER]],L_EMPLABELS,0))</f>
        <v/>
      </c>
      <c r="AO105">
        <f>IF(T_EMPLOYEES[[#This Row],[EMPLOYEE NUMBER]]="","",IF(T_EMPLOYEES[[#This Row],[ERROR]]="",0,1))</f>
        <v/>
      </c>
      <c r="AP10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6">
      <c r="A106" t="inlineStr">
        <is>
          <t>Ravi</t>
        </is>
      </c>
      <c r="B106" t="inlineStr">
        <is>
          <t>V</t>
        </is>
      </c>
      <c r="C106" t="n">
        <v>1027169</v>
      </c>
      <c r="D106" t="inlineStr">
        <is>
          <t>Ravi.Varadarajan@infinite.com</t>
        </is>
      </c>
      <c r="E106" s="26" t="n">
        <v>31327</v>
      </c>
      <c r="F106" s="26" t="n">
        <v>44512</v>
      </c>
      <c r="H106" t="inlineStr">
        <is>
          <t>Male</t>
        </is>
      </c>
      <c r="I106" t="inlineStr">
        <is>
          <t>Asian</t>
        </is>
      </c>
      <c r="J106" t="inlineStr">
        <is>
          <t>WEBSITE</t>
        </is>
      </c>
      <c r="K106" t="inlineStr">
        <is>
          <t>Bangalore</t>
        </is>
      </c>
      <c r="L106" s="27" t="inlineStr">
        <is>
          <t>IT</t>
        </is>
      </c>
      <c r="M106" t="inlineStr">
        <is>
          <t>Full-Time</t>
        </is>
      </c>
      <c r="N106" t="inlineStr">
        <is>
          <t>Senior Lead Business Analyst</t>
        </is>
      </c>
      <c r="O106" t="inlineStr">
        <is>
          <t>E5</t>
        </is>
      </c>
      <c r="P106" t="inlineStr">
        <is>
          <t>Senior Lead Business Analyst</t>
        </is>
      </c>
      <c r="Q106" t="inlineStr">
        <is>
          <t>Radhakanta  Samantara (1010164)</t>
        </is>
      </c>
      <c r="R106" s="27" t="n">
        <v>7</v>
      </c>
      <c r="S106" s="1" t="n">
        <v>320000</v>
      </c>
      <c r="T106" s="1">
        <f>ROUND(T_EMPLOYEES[[#This Row],[EMP_CTC1]]/12, 0)</f>
        <v/>
      </c>
      <c r="U106" s="1" t="n">
        <v>72000</v>
      </c>
      <c r="V106" s="1" t="inlineStr">
        <is>
          <t>NH</t>
        </is>
      </c>
      <c r="W106" s="1" t="inlineStr">
        <is>
          <t>NH</t>
        </is>
      </c>
      <c r="X10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6" t="n">
        <v>60000</v>
      </c>
      <c r="Z106" s="29">
        <f>(S106 - U106)/S106 * 100</f>
        <v/>
      </c>
      <c r="AA106">
        <f>IF(T_EMPLOYEES[[#This Row],[EMPLOYEE NUMBER]]="","",ROW(T_EMPLOYEES[[#This Row],[EMPLOYEE LABEL]])-ROW(T_EMPLOYEES[[#Headers],[EMPLOYEE LABEL]]))</f>
        <v/>
      </c>
      <c r="AB106">
        <f>IF(T_EMPLOYEES[[#This Row],[EMPLOYEE NUMBER]]="","",IF(COUNTIF(T_EMPLOYEES[EMPLOYEE NUMBER],T_EMPLOYEES[[#This Row],[EMPLOYEE NUMBER]])&gt;1,1,0))</f>
        <v/>
      </c>
      <c r="AC106">
        <f>IF(T_EMPLOYEES[[#This Row],[EMPLOYEE NUMBER]]="","",IF(AND(T_EMPLOYEES[[#This Row],[DATE OF BIRTH]]&gt;0,T_EMPLOYEES[[#This Row],[DATE OF BIRTH]]&lt;TODAY()),0,1))</f>
        <v/>
      </c>
      <c r="AD106">
        <f>IF(T_EMPLOYEES[[#This Row],[EMPLOYEE NUMBER]]="","",IF(AND(T_EMPLOYEES[[#This Row],[START DATE]]&gt;0,T_EMPLOYEES[[#This Row],[START DATE]]&lt;TODAY()+60),0,1))</f>
        <v/>
      </c>
      <c r="AE106">
        <f>IF(T_EMPLOYEES[[#This Row],[EMPLOYEE NUMBER]]="","",MATCH(T_EMPLOYEES[[#This Row],[GENDER]],L_GENDER,0))</f>
        <v/>
      </c>
      <c r="AF106">
        <f>IF(T_EMPLOYEES[[#This Row],[EMPLOYEE NUMBER]]="","",MATCH(T_EMPLOYEES[[#This Row],[HIRE SOURCE]],L_HIRESOURCE,0))</f>
        <v/>
      </c>
      <c r="AG106">
        <f>IF(T_EMPLOYEES[[#This Row],[EMPLOYEE NUMBER]]="","",MATCH(T_EMPLOYEES[[#This Row],[ETHNICITY]],L_ETHNICITY,0))</f>
        <v/>
      </c>
      <c r="AH106">
        <f>IF(T_EMPLOYEES[[#This Row],[EMPLOYEE NUMBER]]="","",MATCH(T_EMPLOYEES[[#This Row],[LOCATION]],L_LOCATION,0))</f>
        <v/>
      </c>
      <c r="AI106">
        <f>IF(T_EMPLOYEES[[#This Row],[EMPLOYEE NUMBER]]="","",MATCH(T_EMPLOYEES[[#This Row],[DEPARTMENT]],L_DEPARTMENT,0))</f>
        <v/>
      </c>
      <c r="AJ106">
        <f>IF(T_EMPLOYEES[[#This Row],[EMPLOYEE NUMBER]]="","",MATCH(T_EMPLOYEES[[#This Row],[JOB TYPE]],L_JOBTYPE,0))</f>
        <v/>
      </c>
      <c r="AK106">
        <f>IF(T_EMPLOYEES[[#This Row],[EMPLOYEE NUMBER]]="","",MATCH(T_EMPLOYEES[[#This Row],[JOB CATEGORY]],L_JOBCATEGORY,0))</f>
        <v/>
      </c>
      <c r="AL106">
        <f>IF(T_EMPLOYEES[[#This Row],[EMPLOYEE NUMBER]]="","",MATCH(T_EMPLOYEES[[#This Row],[JOB LEVEL]],L_JOBLEVEL,0))</f>
        <v/>
      </c>
      <c r="AM106">
        <f>IF(T_EMPLOYEES[[#This Row],[EMPLOYEE NUMBER]]="","",MATCH(T_EMPLOYEES[[#This Row],[JOB TITLE]],L_JOBTITLE,0))</f>
        <v/>
      </c>
      <c r="AN106">
        <f>IF(T_EMPLOYEES[[#This Row],[EMPLOYEE NUMBER]]="","",MATCH(T_EMPLOYEES[[#This Row],[MANAGER]],L_EMPLABELS,0))</f>
        <v/>
      </c>
      <c r="AO106">
        <f>IF(T_EMPLOYEES[[#This Row],[EMPLOYEE NUMBER]]="","",IF(T_EMPLOYEES[[#This Row],[ERROR]]="",0,1))</f>
        <v/>
      </c>
      <c r="AP10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7">
      <c r="A107" t="inlineStr">
        <is>
          <t>Sudhansu</t>
        </is>
      </c>
      <c r="B107" t="inlineStr">
        <is>
          <t>Sekhar Sahu</t>
        </is>
      </c>
      <c r="C107" t="n">
        <v>1033186</v>
      </c>
      <c r="D107" t="inlineStr">
        <is>
          <t>Sudhansu.Sahu@infinite.com</t>
        </is>
      </c>
      <c r="E107" s="26" t="n">
        <v>31356</v>
      </c>
      <c r="F107" s="26" t="n">
        <v>45152</v>
      </c>
      <c r="H107" t="inlineStr">
        <is>
          <t>Male</t>
        </is>
      </c>
      <c r="I107" t="inlineStr">
        <is>
          <t>Asian</t>
        </is>
      </c>
      <c r="J107" t="inlineStr">
        <is>
          <t>WEBSITE</t>
        </is>
      </c>
      <c r="K107" t="inlineStr">
        <is>
          <t>Bangalore</t>
        </is>
      </c>
      <c r="L107" s="27" t="inlineStr">
        <is>
          <t>IT</t>
        </is>
      </c>
      <c r="M107" t="inlineStr">
        <is>
          <t>Full-Time</t>
        </is>
      </c>
      <c r="N107" t="inlineStr">
        <is>
          <t>Senior Business Analyst</t>
        </is>
      </c>
      <c r="O107" t="inlineStr">
        <is>
          <t>E3</t>
        </is>
      </c>
      <c r="P107" t="inlineStr">
        <is>
          <t>Senior Business Analyst</t>
        </is>
      </c>
      <c r="Q107" t="inlineStr">
        <is>
          <t>Ravi V (1027169)</t>
        </is>
      </c>
      <c r="R107" t="n">
        <v>3</v>
      </c>
      <c r="S107" s="1" t="n">
        <v>320000</v>
      </c>
      <c r="T107" s="1">
        <f>ROUND(T_EMPLOYEES[[#This Row],[EMP_CTC1]]/12, 0)</f>
        <v/>
      </c>
      <c r="U107" s="1" t="n">
        <v>72000</v>
      </c>
      <c r="V107" s="1" t="inlineStr">
        <is>
          <t>NH</t>
        </is>
      </c>
      <c r="W107" s="1" t="inlineStr">
        <is>
          <t>NH</t>
        </is>
      </c>
      <c r="X10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7" t="n">
        <v>60000</v>
      </c>
      <c r="Z107" s="29">
        <f>(S107 - U107)/S107 * 100</f>
        <v/>
      </c>
      <c r="AA107">
        <f>IF(T_EMPLOYEES[[#This Row],[EMPLOYEE NUMBER]]="","",ROW(T_EMPLOYEES[[#This Row],[EMPLOYEE LABEL]])-ROW(T_EMPLOYEES[[#Headers],[EMPLOYEE LABEL]]))</f>
        <v/>
      </c>
      <c r="AB107">
        <f>IF(T_EMPLOYEES[[#This Row],[EMPLOYEE NUMBER]]="","",IF(COUNTIF(T_EMPLOYEES[EMPLOYEE NUMBER],T_EMPLOYEES[[#This Row],[EMPLOYEE NUMBER]])&gt;1,1,0))</f>
        <v/>
      </c>
      <c r="AC107">
        <f>IF(T_EMPLOYEES[[#This Row],[EMPLOYEE NUMBER]]="","",IF(AND(T_EMPLOYEES[[#This Row],[DATE OF BIRTH]]&gt;0,T_EMPLOYEES[[#This Row],[DATE OF BIRTH]]&lt;TODAY()),0,1))</f>
        <v/>
      </c>
      <c r="AD107">
        <f>IF(T_EMPLOYEES[[#This Row],[EMPLOYEE NUMBER]]="","",IF(AND(T_EMPLOYEES[[#This Row],[START DATE]]&gt;0,T_EMPLOYEES[[#This Row],[START DATE]]&lt;TODAY()+60),0,1))</f>
        <v/>
      </c>
      <c r="AE107">
        <f>IF(T_EMPLOYEES[[#This Row],[EMPLOYEE NUMBER]]="","",MATCH(T_EMPLOYEES[[#This Row],[GENDER]],L_GENDER,0))</f>
        <v/>
      </c>
      <c r="AF107">
        <f>IF(T_EMPLOYEES[[#This Row],[EMPLOYEE NUMBER]]="","",MATCH(T_EMPLOYEES[[#This Row],[HIRE SOURCE]],L_HIRESOURCE,0))</f>
        <v/>
      </c>
      <c r="AG107">
        <f>IF(T_EMPLOYEES[[#This Row],[EMPLOYEE NUMBER]]="","",MATCH(T_EMPLOYEES[[#This Row],[ETHNICITY]],L_ETHNICITY,0))</f>
        <v/>
      </c>
      <c r="AH107">
        <f>IF(T_EMPLOYEES[[#This Row],[EMPLOYEE NUMBER]]="","",MATCH(T_EMPLOYEES[[#This Row],[LOCATION]],L_LOCATION,0))</f>
        <v/>
      </c>
      <c r="AI107">
        <f>IF(T_EMPLOYEES[[#This Row],[EMPLOYEE NUMBER]]="","",MATCH(T_EMPLOYEES[[#This Row],[DEPARTMENT]],L_DEPARTMENT,0))</f>
        <v/>
      </c>
      <c r="AJ107">
        <f>IF(T_EMPLOYEES[[#This Row],[EMPLOYEE NUMBER]]="","",MATCH(T_EMPLOYEES[[#This Row],[JOB TYPE]],L_JOBTYPE,0))</f>
        <v/>
      </c>
      <c r="AK107">
        <f>IF(T_EMPLOYEES[[#This Row],[EMPLOYEE NUMBER]]="","",MATCH(T_EMPLOYEES[[#This Row],[JOB CATEGORY]],L_JOBCATEGORY,0))</f>
        <v/>
      </c>
      <c r="AL107">
        <f>IF(T_EMPLOYEES[[#This Row],[EMPLOYEE NUMBER]]="","",MATCH(T_EMPLOYEES[[#This Row],[JOB LEVEL]],L_JOBLEVEL,0))</f>
        <v/>
      </c>
      <c r="AM107">
        <f>IF(T_EMPLOYEES[[#This Row],[EMPLOYEE NUMBER]]="","",MATCH(T_EMPLOYEES[[#This Row],[JOB TITLE]],L_JOBTITLE,0))</f>
        <v/>
      </c>
      <c r="AN107">
        <f>IF(T_EMPLOYEES[[#This Row],[EMPLOYEE NUMBER]]="","",MATCH(T_EMPLOYEES[[#This Row],[MANAGER]],L_EMPLABELS,0))</f>
        <v/>
      </c>
      <c r="AO107">
        <f>IF(T_EMPLOYEES[[#This Row],[EMPLOYEE NUMBER]]="","",IF(T_EMPLOYEES[[#This Row],[ERROR]]="",0,1))</f>
        <v/>
      </c>
      <c r="AP10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8">
      <c r="A108" t="inlineStr">
        <is>
          <t>P</t>
        </is>
      </c>
      <c r="B108" t="inlineStr">
        <is>
          <t>Vinoth  Kumar</t>
        </is>
      </c>
      <c r="C108" t="n">
        <v>1023066</v>
      </c>
      <c r="D108" t="inlineStr">
        <is>
          <t>Vinothkumar.Prabakaran@infinite.com</t>
        </is>
      </c>
      <c r="E108" s="26" t="n">
        <v>31387</v>
      </c>
      <c r="F108" s="26" t="n">
        <v>43873</v>
      </c>
      <c r="H108" t="inlineStr">
        <is>
          <t>Male</t>
        </is>
      </c>
      <c r="I108" t="inlineStr">
        <is>
          <t>Asian</t>
        </is>
      </c>
      <c r="J108" t="inlineStr">
        <is>
          <t>WEBSITE</t>
        </is>
      </c>
      <c r="K108" t="inlineStr">
        <is>
          <t>Bangalore</t>
        </is>
      </c>
      <c r="L108" s="27" t="inlineStr">
        <is>
          <t>IT</t>
        </is>
      </c>
      <c r="M108" t="inlineStr">
        <is>
          <t>Full-Time</t>
        </is>
      </c>
      <c r="N108" t="inlineStr">
        <is>
          <t>Technical Manager</t>
        </is>
      </c>
      <c r="O108" t="inlineStr">
        <is>
          <t>E6</t>
        </is>
      </c>
      <c r="P108" t="inlineStr">
        <is>
          <t>Technical Manager</t>
        </is>
      </c>
      <c r="Q108" t="inlineStr">
        <is>
          <t>Vijaykrishnan  Ragavan (1013703)</t>
        </is>
      </c>
      <c r="R108" s="27" t="n">
        <v>7</v>
      </c>
      <c r="S108" s="1" t="n">
        <v>320000</v>
      </c>
      <c r="T108" s="1">
        <f>ROUND(T_EMPLOYEES[[#This Row],[EMP_CTC1]]/12, 0)</f>
        <v/>
      </c>
      <c r="U108" s="1" t="n">
        <v>72000</v>
      </c>
      <c r="V108" s="1" t="inlineStr">
        <is>
          <t>NH</t>
        </is>
      </c>
      <c r="W108" s="1" t="inlineStr">
        <is>
          <t>NH</t>
        </is>
      </c>
      <c r="X10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8" t="n">
        <v>60000</v>
      </c>
      <c r="Z108" s="29">
        <f>(S108 - U108)/S108 * 100</f>
        <v/>
      </c>
      <c r="AA108">
        <f>IF(T_EMPLOYEES[[#This Row],[EMPLOYEE NUMBER]]="","",ROW(T_EMPLOYEES[[#This Row],[EMPLOYEE LABEL]])-ROW(T_EMPLOYEES[[#Headers],[EMPLOYEE LABEL]]))</f>
        <v/>
      </c>
      <c r="AB108">
        <f>IF(T_EMPLOYEES[[#This Row],[EMPLOYEE NUMBER]]="","",IF(COUNTIF(T_EMPLOYEES[EMPLOYEE NUMBER],T_EMPLOYEES[[#This Row],[EMPLOYEE NUMBER]])&gt;1,1,0))</f>
        <v/>
      </c>
      <c r="AC108">
        <f>IF(T_EMPLOYEES[[#This Row],[EMPLOYEE NUMBER]]="","",IF(AND(T_EMPLOYEES[[#This Row],[DATE OF BIRTH]]&gt;0,T_EMPLOYEES[[#This Row],[DATE OF BIRTH]]&lt;TODAY()),0,1))</f>
        <v/>
      </c>
      <c r="AD108">
        <f>IF(T_EMPLOYEES[[#This Row],[EMPLOYEE NUMBER]]="","",IF(AND(T_EMPLOYEES[[#This Row],[START DATE]]&gt;0,T_EMPLOYEES[[#This Row],[START DATE]]&lt;TODAY()+60),0,1))</f>
        <v/>
      </c>
      <c r="AE108">
        <f>IF(T_EMPLOYEES[[#This Row],[EMPLOYEE NUMBER]]="","",MATCH(T_EMPLOYEES[[#This Row],[GENDER]],L_GENDER,0))</f>
        <v/>
      </c>
      <c r="AF108">
        <f>IF(T_EMPLOYEES[[#This Row],[EMPLOYEE NUMBER]]="","",MATCH(T_EMPLOYEES[[#This Row],[HIRE SOURCE]],L_HIRESOURCE,0))</f>
        <v/>
      </c>
      <c r="AG108">
        <f>IF(T_EMPLOYEES[[#This Row],[EMPLOYEE NUMBER]]="","",MATCH(T_EMPLOYEES[[#This Row],[ETHNICITY]],L_ETHNICITY,0))</f>
        <v/>
      </c>
      <c r="AH108">
        <f>IF(T_EMPLOYEES[[#This Row],[EMPLOYEE NUMBER]]="","",MATCH(T_EMPLOYEES[[#This Row],[LOCATION]],L_LOCATION,0))</f>
        <v/>
      </c>
      <c r="AI108">
        <f>IF(T_EMPLOYEES[[#This Row],[EMPLOYEE NUMBER]]="","",MATCH(T_EMPLOYEES[[#This Row],[DEPARTMENT]],L_DEPARTMENT,0))</f>
        <v/>
      </c>
      <c r="AJ108">
        <f>IF(T_EMPLOYEES[[#This Row],[EMPLOYEE NUMBER]]="","",MATCH(T_EMPLOYEES[[#This Row],[JOB TYPE]],L_JOBTYPE,0))</f>
        <v/>
      </c>
      <c r="AK108">
        <f>IF(T_EMPLOYEES[[#This Row],[EMPLOYEE NUMBER]]="","",MATCH(T_EMPLOYEES[[#This Row],[JOB CATEGORY]],L_JOBCATEGORY,0))</f>
        <v/>
      </c>
      <c r="AL108">
        <f>IF(T_EMPLOYEES[[#This Row],[EMPLOYEE NUMBER]]="","",MATCH(T_EMPLOYEES[[#This Row],[JOB LEVEL]],L_JOBLEVEL,0))</f>
        <v/>
      </c>
      <c r="AM108">
        <f>IF(T_EMPLOYEES[[#This Row],[EMPLOYEE NUMBER]]="","",MATCH(T_EMPLOYEES[[#This Row],[JOB TITLE]],L_JOBTITLE,0))</f>
        <v/>
      </c>
      <c r="AN108">
        <f>IF(T_EMPLOYEES[[#This Row],[EMPLOYEE NUMBER]]="","",MATCH(T_EMPLOYEES[[#This Row],[MANAGER]],L_EMPLABELS,0))</f>
        <v/>
      </c>
      <c r="AO108">
        <f>IF(T_EMPLOYEES[[#This Row],[EMPLOYEE NUMBER]]="","",IF(T_EMPLOYEES[[#This Row],[ERROR]]="",0,1))</f>
        <v/>
      </c>
      <c r="AP10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09">
      <c r="A109" t="inlineStr">
        <is>
          <t>Sekhar</t>
        </is>
      </c>
      <c r="B109" t="inlineStr">
        <is>
          <t>S</t>
        </is>
      </c>
      <c r="C109" t="n">
        <v>1021469</v>
      </c>
      <c r="D109" t="inlineStr">
        <is>
          <t>Sekhar.Sandhi@infinite.com</t>
        </is>
      </c>
      <c r="E109" s="26" t="n">
        <v>31454</v>
      </c>
      <c r="F109" s="26" t="n">
        <v>43488</v>
      </c>
      <c r="H109" t="inlineStr">
        <is>
          <t>Male</t>
        </is>
      </c>
      <c r="I109" t="inlineStr">
        <is>
          <t>Asian</t>
        </is>
      </c>
      <c r="J109" t="inlineStr">
        <is>
          <t>WEBSITE</t>
        </is>
      </c>
      <c r="K109" t="inlineStr">
        <is>
          <t>Bangalore</t>
        </is>
      </c>
      <c r="L109" s="27" t="inlineStr">
        <is>
          <t>IT</t>
        </is>
      </c>
      <c r="M109" t="inlineStr">
        <is>
          <t>Full-Time</t>
        </is>
      </c>
      <c r="N109" t="inlineStr">
        <is>
          <t>Test Lead</t>
        </is>
      </c>
      <c r="O109" t="inlineStr">
        <is>
          <t>E4</t>
        </is>
      </c>
      <c r="P109" t="inlineStr">
        <is>
          <t>Test Lead</t>
        </is>
      </c>
      <c r="Q109" t="inlineStr">
        <is>
          <t>Someshwara Prabhu Nanje Gowda (1021418)</t>
        </is>
      </c>
      <c r="R109" t="n">
        <v>5</v>
      </c>
      <c r="S109" s="1" t="n">
        <v>250000</v>
      </c>
      <c r="T109" s="1">
        <f>ROUND(T_EMPLOYEES[[#This Row],[EMP_CTC1]]/12, 0)</f>
        <v/>
      </c>
      <c r="U109" s="1" t="n">
        <v>150000</v>
      </c>
      <c r="V109" s="1" t="inlineStr">
        <is>
          <t>NH</t>
        </is>
      </c>
      <c r="W109" s="1" t="inlineStr">
        <is>
          <t>NH</t>
        </is>
      </c>
      <c r="X10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09" t="n">
        <v>60000</v>
      </c>
      <c r="Z109" s="29">
        <f>(S109 - U109)/S109 * 100</f>
        <v/>
      </c>
      <c r="AA109">
        <f>IF(T_EMPLOYEES[[#This Row],[EMPLOYEE NUMBER]]="","",ROW(T_EMPLOYEES[[#This Row],[EMPLOYEE LABEL]])-ROW(T_EMPLOYEES[[#Headers],[EMPLOYEE LABEL]]))</f>
        <v/>
      </c>
      <c r="AB109">
        <f>IF(T_EMPLOYEES[[#This Row],[EMPLOYEE NUMBER]]="","",IF(COUNTIF(T_EMPLOYEES[EMPLOYEE NUMBER],T_EMPLOYEES[[#This Row],[EMPLOYEE NUMBER]])&gt;1,1,0))</f>
        <v/>
      </c>
      <c r="AC109">
        <f>IF(T_EMPLOYEES[[#This Row],[EMPLOYEE NUMBER]]="","",IF(AND(T_EMPLOYEES[[#This Row],[DATE OF BIRTH]]&gt;0,T_EMPLOYEES[[#This Row],[DATE OF BIRTH]]&lt;TODAY()),0,1))</f>
        <v/>
      </c>
      <c r="AD109">
        <f>IF(T_EMPLOYEES[[#This Row],[EMPLOYEE NUMBER]]="","",IF(AND(T_EMPLOYEES[[#This Row],[START DATE]]&gt;0,T_EMPLOYEES[[#This Row],[START DATE]]&lt;TODAY()+60),0,1))</f>
        <v/>
      </c>
      <c r="AE109">
        <f>IF(T_EMPLOYEES[[#This Row],[EMPLOYEE NUMBER]]="","",MATCH(T_EMPLOYEES[[#This Row],[GENDER]],L_GENDER,0))</f>
        <v/>
      </c>
      <c r="AF109">
        <f>IF(T_EMPLOYEES[[#This Row],[EMPLOYEE NUMBER]]="","",MATCH(T_EMPLOYEES[[#This Row],[HIRE SOURCE]],L_HIRESOURCE,0))</f>
        <v/>
      </c>
      <c r="AG109">
        <f>IF(T_EMPLOYEES[[#This Row],[EMPLOYEE NUMBER]]="","",MATCH(T_EMPLOYEES[[#This Row],[ETHNICITY]],L_ETHNICITY,0))</f>
        <v/>
      </c>
      <c r="AH109">
        <f>IF(T_EMPLOYEES[[#This Row],[EMPLOYEE NUMBER]]="","",MATCH(T_EMPLOYEES[[#This Row],[LOCATION]],L_LOCATION,0))</f>
        <v/>
      </c>
      <c r="AI109">
        <f>IF(T_EMPLOYEES[[#This Row],[EMPLOYEE NUMBER]]="","",MATCH(T_EMPLOYEES[[#This Row],[DEPARTMENT]],L_DEPARTMENT,0))</f>
        <v/>
      </c>
      <c r="AJ109">
        <f>IF(T_EMPLOYEES[[#This Row],[EMPLOYEE NUMBER]]="","",MATCH(T_EMPLOYEES[[#This Row],[JOB TYPE]],L_JOBTYPE,0))</f>
        <v/>
      </c>
      <c r="AK109">
        <f>IF(T_EMPLOYEES[[#This Row],[EMPLOYEE NUMBER]]="","",MATCH(T_EMPLOYEES[[#This Row],[JOB CATEGORY]],L_JOBCATEGORY,0))</f>
        <v/>
      </c>
      <c r="AL109">
        <f>IF(T_EMPLOYEES[[#This Row],[EMPLOYEE NUMBER]]="","",MATCH(T_EMPLOYEES[[#This Row],[JOB LEVEL]],L_JOBLEVEL,0))</f>
        <v/>
      </c>
      <c r="AM109">
        <f>IF(T_EMPLOYEES[[#This Row],[EMPLOYEE NUMBER]]="","",MATCH(T_EMPLOYEES[[#This Row],[JOB TITLE]],L_JOBTITLE,0))</f>
        <v/>
      </c>
      <c r="AN109">
        <f>IF(T_EMPLOYEES[[#This Row],[EMPLOYEE NUMBER]]="","",MATCH(T_EMPLOYEES[[#This Row],[MANAGER]],L_EMPLABELS,0))</f>
        <v/>
      </c>
      <c r="AO109">
        <f>IF(T_EMPLOYEES[[#This Row],[EMPLOYEE NUMBER]]="","",IF(T_EMPLOYEES[[#This Row],[ERROR]]="",0,1))</f>
        <v/>
      </c>
      <c r="AP10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0">
      <c r="A110" t="inlineStr">
        <is>
          <t>Rashmi</t>
        </is>
      </c>
      <c r="B110" t="inlineStr">
        <is>
          <t xml:space="preserve"> Manchanda</t>
        </is>
      </c>
      <c r="C110" t="n">
        <v>1023573</v>
      </c>
      <c r="D110" t="inlineStr">
        <is>
          <t>Rashmi.Manchanda@infinite.com</t>
        </is>
      </c>
      <c r="E110" s="26" t="n">
        <v>31469</v>
      </c>
      <c r="F110" s="26" t="n">
        <v>44046</v>
      </c>
      <c r="H110" t="inlineStr">
        <is>
          <t>Female</t>
        </is>
      </c>
      <c r="I110" t="inlineStr">
        <is>
          <t>Asian</t>
        </is>
      </c>
      <c r="J110" t="inlineStr">
        <is>
          <t>WEBSITE</t>
        </is>
      </c>
      <c r="K110" t="inlineStr">
        <is>
          <t>Bangalore</t>
        </is>
      </c>
      <c r="L110" s="27" t="inlineStr">
        <is>
          <t>IT</t>
        </is>
      </c>
      <c r="M110" t="inlineStr">
        <is>
          <t>Full-Time</t>
        </is>
      </c>
      <c r="N110" t="inlineStr">
        <is>
          <t>Senior Technical Lead</t>
        </is>
      </c>
      <c r="O110" t="inlineStr">
        <is>
          <t>E5</t>
        </is>
      </c>
      <c r="P110" t="inlineStr">
        <is>
          <t>Senior Technical Lead</t>
        </is>
      </c>
      <c r="Q110" t="inlineStr">
        <is>
          <t>Unnikrishnan Chellappan C (1025919)</t>
        </is>
      </c>
      <c r="R110" s="27" t="n">
        <v>7</v>
      </c>
      <c r="S110" s="1" t="n">
        <v>250000</v>
      </c>
      <c r="T110" s="1">
        <f>ROUND(T_EMPLOYEES[[#This Row],[EMP_CTC1]]/12, 0)</f>
        <v/>
      </c>
      <c r="U110" s="1" t="n">
        <v>150000</v>
      </c>
      <c r="V110" s="1" t="inlineStr">
        <is>
          <t>NH</t>
        </is>
      </c>
      <c r="W110" s="1" t="inlineStr">
        <is>
          <t>NH</t>
        </is>
      </c>
      <c r="X11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0" t="n">
        <v>60000</v>
      </c>
      <c r="Z110" s="29">
        <f>(S110 - U110)/S110 * 100</f>
        <v/>
      </c>
      <c r="AA110">
        <f>IF(T_EMPLOYEES[[#This Row],[EMPLOYEE NUMBER]]="","",ROW(T_EMPLOYEES[[#This Row],[EMPLOYEE LABEL]])-ROW(T_EMPLOYEES[[#Headers],[EMPLOYEE LABEL]]))</f>
        <v/>
      </c>
      <c r="AB110">
        <f>IF(T_EMPLOYEES[[#This Row],[EMPLOYEE NUMBER]]="","",IF(COUNTIF(T_EMPLOYEES[EMPLOYEE NUMBER],T_EMPLOYEES[[#This Row],[EMPLOYEE NUMBER]])&gt;1,1,0))</f>
        <v/>
      </c>
      <c r="AC110">
        <f>IF(T_EMPLOYEES[[#This Row],[EMPLOYEE NUMBER]]="","",IF(AND(T_EMPLOYEES[[#This Row],[DATE OF BIRTH]]&gt;0,T_EMPLOYEES[[#This Row],[DATE OF BIRTH]]&lt;TODAY()),0,1))</f>
        <v/>
      </c>
      <c r="AD110">
        <f>IF(T_EMPLOYEES[[#This Row],[EMPLOYEE NUMBER]]="","",IF(AND(T_EMPLOYEES[[#This Row],[START DATE]]&gt;0,T_EMPLOYEES[[#This Row],[START DATE]]&lt;TODAY()+60),0,1))</f>
        <v/>
      </c>
      <c r="AE110">
        <f>IF(T_EMPLOYEES[[#This Row],[EMPLOYEE NUMBER]]="","",MATCH(T_EMPLOYEES[[#This Row],[GENDER]],L_GENDER,0))</f>
        <v/>
      </c>
      <c r="AF110">
        <f>IF(T_EMPLOYEES[[#This Row],[EMPLOYEE NUMBER]]="","",MATCH(T_EMPLOYEES[[#This Row],[HIRE SOURCE]],L_HIRESOURCE,0))</f>
        <v/>
      </c>
      <c r="AG110">
        <f>IF(T_EMPLOYEES[[#This Row],[EMPLOYEE NUMBER]]="","",MATCH(T_EMPLOYEES[[#This Row],[ETHNICITY]],L_ETHNICITY,0))</f>
        <v/>
      </c>
      <c r="AH110">
        <f>IF(T_EMPLOYEES[[#This Row],[EMPLOYEE NUMBER]]="","",MATCH(T_EMPLOYEES[[#This Row],[LOCATION]],L_LOCATION,0))</f>
        <v/>
      </c>
      <c r="AI110">
        <f>IF(T_EMPLOYEES[[#This Row],[EMPLOYEE NUMBER]]="","",MATCH(T_EMPLOYEES[[#This Row],[DEPARTMENT]],L_DEPARTMENT,0))</f>
        <v/>
      </c>
      <c r="AJ110">
        <f>IF(T_EMPLOYEES[[#This Row],[EMPLOYEE NUMBER]]="","",MATCH(T_EMPLOYEES[[#This Row],[JOB TYPE]],L_JOBTYPE,0))</f>
        <v/>
      </c>
      <c r="AK110">
        <f>IF(T_EMPLOYEES[[#This Row],[EMPLOYEE NUMBER]]="","",MATCH(T_EMPLOYEES[[#This Row],[JOB CATEGORY]],L_JOBCATEGORY,0))</f>
        <v/>
      </c>
      <c r="AL110">
        <f>IF(T_EMPLOYEES[[#This Row],[EMPLOYEE NUMBER]]="","",MATCH(T_EMPLOYEES[[#This Row],[JOB LEVEL]],L_JOBLEVEL,0))</f>
        <v/>
      </c>
      <c r="AM110">
        <f>IF(T_EMPLOYEES[[#This Row],[EMPLOYEE NUMBER]]="","",MATCH(T_EMPLOYEES[[#This Row],[JOB TITLE]],L_JOBTITLE,0))</f>
        <v/>
      </c>
      <c r="AN110">
        <f>IF(T_EMPLOYEES[[#This Row],[EMPLOYEE NUMBER]]="","",MATCH(T_EMPLOYEES[[#This Row],[MANAGER]],L_EMPLABELS,0))</f>
        <v/>
      </c>
      <c r="AO110">
        <f>IF(T_EMPLOYEES[[#This Row],[EMPLOYEE NUMBER]]="","",IF(T_EMPLOYEES[[#This Row],[ERROR]]="",0,1))</f>
        <v/>
      </c>
      <c r="AP11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1">
      <c r="A111" t="inlineStr">
        <is>
          <t>Santosh</t>
        </is>
      </c>
      <c r="B111" t="inlineStr">
        <is>
          <t>Kumar B</t>
        </is>
      </c>
      <c r="C111" t="n">
        <v>1033071</v>
      </c>
      <c r="D111" t="inlineStr">
        <is>
          <t>Santosh.Kumar8@infinite.com</t>
        </is>
      </c>
      <c r="E111" s="26" t="n">
        <v>31481</v>
      </c>
      <c r="F111" s="26" t="n">
        <v>45126</v>
      </c>
      <c r="H111" t="inlineStr">
        <is>
          <t>Male</t>
        </is>
      </c>
      <c r="I111" t="inlineStr">
        <is>
          <t>Asian</t>
        </is>
      </c>
      <c r="J111" t="inlineStr">
        <is>
          <t>WEBSITE</t>
        </is>
      </c>
      <c r="K111" t="inlineStr">
        <is>
          <t>Bangalore</t>
        </is>
      </c>
      <c r="L111" s="27" t="inlineStr">
        <is>
          <t>IT</t>
        </is>
      </c>
      <c r="M111" t="inlineStr">
        <is>
          <t>Full-Time</t>
        </is>
      </c>
      <c r="N111" t="inlineStr">
        <is>
          <t>Senior Project Lead</t>
        </is>
      </c>
      <c r="O111" t="inlineStr">
        <is>
          <t>E5</t>
        </is>
      </c>
      <c r="P111" t="inlineStr">
        <is>
          <t>Senior Project Lead</t>
        </is>
      </c>
      <c r="Q111" t="inlineStr">
        <is>
          <t>Nagarajan K (1019672)</t>
        </is>
      </c>
      <c r="R111" t="n">
        <v>7</v>
      </c>
      <c r="S111" s="1" t="n">
        <v>250000</v>
      </c>
      <c r="T111" s="1">
        <f>ROUND(T_EMPLOYEES[[#This Row],[EMP_CTC1]]/12, 0)</f>
        <v/>
      </c>
      <c r="U111" s="1" t="n">
        <v>150000</v>
      </c>
      <c r="V111" s="1" t="inlineStr">
        <is>
          <t>NH</t>
        </is>
      </c>
      <c r="W111" s="1" t="inlineStr">
        <is>
          <t>NH</t>
        </is>
      </c>
      <c r="X11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1" t="n">
        <v>60000</v>
      </c>
      <c r="Z111" s="29">
        <f>(S111 - U111)/S111 * 100</f>
        <v/>
      </c>
      <c r="AA111">
        <f>IF(T_EMPLOYEES[[#This Row],[EMPLOYEE NUMBER]]="","",ROW(T_EMPLOYEES[[#This Row],[EMPLOYEE LABEL]])-ROW(T_EMPLOYEES[[#Headers],[EMPLOYEE LABEL]]))</f>
        <v/>
      </c>
      <c r="AB111">
        <f>IF(T_EMPLOYEES[[#This Row],[EMPLOYEE NUMBER]]="","",IF(COUNTIF(T_EMPLOYEES[EMPLOYEE NUMBER],T_EMPLOYEES[[#This Row],[EMPLOYEE NUMBER]])&gt;1,1,0))</f>
        <v/>
      </c>
      <c r="AC111">
        <f>IF(T_EMPLOYEES[[#This Row],[EMPLOYEE NUMBER]]="","",IF(AND(T_EMPLOYEES[[#This Row],[DATE OF BIRTH]]&gt;0,T_EMPLOYEES[[#This Row],[DATE OF BIRTH]]&lt;TODAY()),0,1))</f>
        <v/>
      </c>
      <c r="AD111">
        <f>IF(T_EMPLOYEES[[#This Row],[EMPLOYEE NUMBER]]="","",IF(AND(T_EMPLOYEES[[#This Row],[START DATE]]&gt;0,T_EMPLOYEES[[#This Row],[START DATE]]&lt;TODAY()+60),0,1))</f>
        <v/>
      </c>
      <c r="AE111">
        <f>IF(T_EMPLOYEES[[#This Row],[EMPLOYEE NUMBER]]="","",MATCH(T_EMPLOYEES[[#This Row],[GENDER]],L_GENDER,0))</f>
        <v/>
      </c>
      <c r="AF111">
        <f>IF(T_EMPLOYEES[[#This Row],[EMPLOYEE NUMBER]]="","",MATCH(T_EMPLOYEES[[#This Row],[HIRE SOURCE]],L_HIRESOURCE,0))</f>
        <v/>
      </c>
      <c r="AG111">
        <f>IF(T_EMPLOYEES[[#This Row],[EMPLOYEE NUMBER]]="","",MATCH(T_EMPLOYEES[[#This Row],[ETHNICITY]],L_ETHNICITY,0))</f>
        <v/>
      </c>
      <c r="AH111">
        <f>IF(T_EMPLOYEES[[#This Row],[EMPLOYEE NUMBER]]="","",MATCH(T_EMPLOYEES[[#This Row],[LOCATION]],L_LOCATION,0))</f>
        <v/>
      </c>
      <c r="AI111">
        <f>IF(T_EMPLOYEES[[#This Row],[EMPLOYEE NUMBER]]="","",MATCH(T_EMPLOYEES[[#This Row],[DEPARTMENT]],L_DEPARTMENT,0))</f>
        <v/>
      </c>
      <c r="AJ111">
        <f>IF(T_EMPLOYEES[[#This Row],[EMPLOYEE NUMBER]]="","",MATCH(T_EMPLOYEES[[#This Row],[JOB TYPE]],L_JOBTYPE,0))</f>
        <v/>
      </c>
      <c r="AK111">
        <f>IF(T_EMPLOYEES[[#This Row],[EMPLOYEE NUMBER]]="","",MATCH(T_EMPLOYEES[[#This Row],[JOB CATEGORY]],L_JOBCATEGORY,0))</f>
        <v/>
      </c>
      <c r="AL111">
        <f>IF(T_EMPLOYEES[[#This Row],[EMPLOYEE NUMBER]]="","",MATCH(T_EMPLOYEES[[#This Row],[JOB LEVEL]],L_JOBLEVEL,0))</f>
        <v/>
      </c>
      <c r="AM111">
        <f>IF(T_EMPLOYEES[[#This Row],[EMPLOYEE NUMBER]]="","",MATCH(T_EMPLOYEES[[#This Row],[JOB TITLE]],L_JOBTITLE,0))</f>
        <v/>
      </c>
      <c r="AN111">
        <f>IF(T_EMPLOYEES[[#This Row],[EMPLOYEE NUMBER]]="","",MATCH(T_EMPLOYEES[[#This Row],[MANAGER]],L_EMPLABELS,0))</f>
        <v/>
      </c>
      <c r="AO111">
        <f>IF(T_EMPLOYEES[[#This Row],[EMPLOYEE NUMBER]]="","",IF(T_EMPLOYEES[[#This Row],[ERROR]]="",0,1))</f>
        <v/>
      </c>
      <c r="AP11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2">
      <c r="A112" t="inlineStr">
        <is>
          <t>Praveen</t>
        </is>
      </c>
      <c r="B112" t="inlineStr">
        <is>
          <t>Kumar Sadanapu</t>
        </is>
      </c>
      <c r="C112" t="n">
        <v>1025164</v>
      </c>
      <c r="D112" t="inlineStr">
        <is>
          <t>Praveen.Sadanapu@infinite.com</t>
        </is>
      </c>
      <c r="E112" s="26" t="n">
        <v>31556</v>
      </c>
      <c r="F112" s="26" t="n">
        <v>44319</v>
      </c>
      <c r="H112" t="inlineStr">
        <is>
          <t>Male</t>
        </is>
      </c>
      <c r="I112" t="inlineStr">
        <is>
          <t>Asian</t>
        </is>
      </c>
      <c r="J112" t="inlineStr">
        <is>
          <t>WEBSITE</t>
        </is>
      </c>
      <c r="K112" t="inlineStr">
        <is>
          <t>Hyderabad</t>
        </is>
      </c>
      <c r="L112" s="27" t="inlineStr">
        <is>
          <t>IT</t>
        </is>
      </c>
      <c r="M112" t="inlineStr">
        <is>
          <t>Full-Time</t>
        </is>
      </c>
      <c r="N112" t="inlineStr">
        <is>
          <t>Senior Software Engineer</t>
        </is>
      </c>
      <c r="O112" t="inlineStr">
        <is>
          <t>E3</t>
        </is>
      </c>
      <c r="P112" t="inlineStr">
        <is>
          <t>Senior Software Engineer</t>
        </is>
      </c>
      <c r="Q112" t="inlineStr">
        <is>
          <t>T  Muthukumar (1022795)</t>
        </is>
      </c>
      <c r="R112" s="27" t="n">
        <v>3</v>
      </c>
      <c r="S112" s="1" t="n">
        <v>250000</v>
      </c>
      <c r="T112" s="1">
        <f>ROUND(T_EMPLOYEES[[#This Row],[EMP_CTC1]]/12, 0)</f>
        <v/>
      </c>
      <c r="U112" s="1" t="n">
        <v>150000</v>
      </c>
      <c r="V112" s="1" t="inlineStr">
        <is>
          <t>NH</t>
        </is>
      </c>
      <c r="W112" s="1" t="inlineStr">
        <is>
          <t>NH Projects</t>
        </is>
      </c>
      <c r="X11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2" t="n">
        <v>60000</v>
      </c>
      <c r="Z112" s="29">
        <f>(S112 - U112)/S112 * 100</f>
        <v/>
      </c>
      <c r="AA112">
        <f>IF(T_EMPLOYEES[[#This Row],[EMPLOYEE NUMBER]]="","",ROW(T_EMPLOYEES[[#This Row],[EMPLOYEE LABEL]])-ROW(T_EMPLOYEES[[#Headers],[EMPLOYEE LABEL]]))</f>
        <v/>
      </c>
      <c r="AB112">
        <f>IF(T_EMPLOYEES[[#This Row],[EMPLOYEE NUMBER]]="","",IF(COUNTIF(T_EMPLOYEES[EMPLOYEE NUMBER],T_EMPLOYEES[[#This Row],[EMPLOYEE NUMBER]])&gt;1,1,0))</f>
        <v/>
      </c>
      <c r="AC112">
        <f>IF(T_EMPLOYEES[[#This Row],[EMPLOYEE NUMBER]]="","",IF(AND(T_EMPLOYEES[[#This Row],[DATE OF BIRTH]]&gt;0,T_EMPLOYEES[[#This Row],[DATE OF BIRTH]]&lt;TODAY()),0,1))</f>
        <v/>
      </c>
      <c r="AD112">
        <f>IF(T_EMPLOYEES[[#This Row],[EMPLOYEE NUMBER]]="","",IF(AND(T_EMPLOYEES[[#This Row],[START DATE]]&gt;0,T_EMPLOYEES[[#This Row],[START DATE]]&lt;TODAY()+60),0,1))</f>
        <v/>
      </c>
      <c r="AE112">
        <f>IF(T_EMPLOYEES[[#This Row],[EMPLOYEE NUMBER]]="","",MATCH(T_EMPLOYEES[[#This Row],[GENDER]],L_GENDER,0))</f>
        <v/>
      </c>
      <c r="AF112">
        <f>IF(T_EMPLOYEES[[#This Row],[EMPLOYEE NUMBER]]="","",MATCH(T_EMPLOYEES[[#This Row],[HIRE SOURCE]],L_HIRESOURCE,0))</f>
        <v/>
      </c>
      <c r="AG112">
        <f>IF(T_EMPLOYEES[[#This Row],[EMPLOYEE NUMBER]]="","",MATCH(T_EMPLOYEES[[#This Row],[ETHNICITY]],L_ETHNICITY,0))</f>
        <v/>
      </c>
      <c r="AH112">
        <f>IF(T_EMPLOYEES[[#This Row],[EMPLOYEE NUMBER]]="","",MATCH(T_EMPLOYEES[[#This Row],[LOCATION]],L_LOCATION,0))</f>
        <v/>
      </c>
      <c r="AI112">
        <f>IF(T_EMPLOYEES[[#This Row],[EMPLOYEE NUMBER]]="","",MATCH(T_EMPLOYEES[[#This Row],[DEPARTMENT]],L_DEPARTMENT,0))</f>
        <v/>
      </c>
      <c r="AJ112">
        <f>IF(T_EMPLOYEES[[#This Row],[EMPLOYEE NUMBER]]="","",MATCH(T_EMPLOYEES[[#This Row],[JOB TYPE]],L_JOBTYPE,0))</f>
        <v/>
      </c>
      <c r="AK112">
        <f>IF(T_EMPLOYEES[[#This Row],[EMPLOYEE NUMBER]]="","",MATCH(T_EMPLOYEES[[#This Row],[JOB CATEGORY]],L_JOBCATEGORY,0))</f>
        <v/>
      </c>
      <c r="AL112">
        <f>IF(T_EMPLOYEES[[#This Row],[EMPLOYEE NUMBER]]="","",MATCH(T_EMPLOYEES[[#This Row],[JOB LEVEL]],L_JOBLEVEL,0))</f>
        <v/>
      </c>
      <c r="AM112">
        <f>IF(T_EMPLOYEES[[#This Row],[EMPLOYEE NUMBER]]="","",MATCH(T_EMPLOYEES[[#This Row],[JOB TITLE]],L_JOBTITLE,0))</f>
        <v/>
      </c>
      <c r="AN112">
        <f>IF(T_EMPLOYEES[[#This Row],[EMPLOYEE NUMBER]]="","",MATCH(T_EMPLOYEES[[#This Row],[MANAGER]],L_EMPLABELS,0))</f>
        <v/>
      </c>
      <c r="AO112">
        <f>IF(T_EMPLOYEES[[#This Row],[EMPLOYEE NUMBER]]="","",IF(T_EMPLOYEES[[#This Row],[ERROR]]="",0,1))</f>
        <v/>
      </c>
      <c r="AP11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12" t="inlineStr">
        <is>
          <t>Provider</t>
        </is>
      </c>
    </row>
    <row r="113">
      <c r="A113" t="inlineStr">
        <is>
          <t>Vishwanath</t>
        </is>
      </c>
      <c r="B113" t="inlineStr">
        <is>
          <t>P</t>
        </is>
      </c>
      <c r="C113" t="n">
        <v>1031855</v>
      </c>
      <c r="D113" t="inlineStr">
        <is>
          <t>Vishwanath.Pulipati@infinite.com</t>
        </is>
      </c>
      <c r="E113" s="26" t="n">
        <v>31607</v>
      </c>
      <c r="F113" s="26" t="n">
        <v>44914</v>
      </c>
      <c r="H113" t="inlineStr">
        <is>
          <t>Male</t>
        </is>
      </c>
      <c r="I113" t="inlineStr">
        <is>
          <t>Asian</t>
        </is>
      </c>
      <c r="J113" t="inlineStr">
        <is>
          <t>WEBSITE</t>
        </is>
      </c>
      <c r="K113" t="inlineStr">
        <is>
          <t>Bangalore</t>
        </is>
      </c>
      <c r="L113" s="27" t="inlineStr">
        <is>
          <t>IT</t>
        </is>
      </c>
      <c r="M113" t="inlineStr">
        <is>
          <t>Full-Time</t>
        </is>
      </c>
      <c r="N113" t="inlineStr">
        <is>
          <t>Senior Technical Lead</t>
        </is>
      </c>
      <c r="O113" t="inlineStr">
        <is>
          <t>E5</t>
        </is>
      </c>
      <c r="P113" t="inlineStr">
        <is>
          <t>Senior Technical Lead</t>
        </is>
      </c>
      <c r="Q113" t="inlineStr">
        <is>
          <t>Prabhakar Janardhanam (1031867)</t>
        </is>
      </c>
      <c r="R113" t="n">
        <v>7</v>
      </c>
      <c r="S113" s="1" t="n">
        <v>250000</v>
      </c>
      <c r="T113" s="1">
        <f>ROUND(T_EMPLOYEES[[#This Row],[EMP_CTC1]]/12, 0)</f>
        <v/>
      </c>
      <c r="U113" s="1" t="n">
        <v>150000</v>
      </c>
      <c r="V113" s="1" t="inlineStr">
        <is>
          <t>NH</t>
        </is>
      </c>
      <c r="W113" s="1" t="inlineStr">
        <is>
          <t>NH</t>
        </is>
      </c>
      <c r="X11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3" t="n">
        <v>60000</v>
      </c>
      <c r="Z113" s="29">
        <f>(S113 - U113)/S113 * 100</f>
        <v/>
      </c>
      <c r="AA113">
        <f>IF(T_EMPLOYEES[[#This Row],[EMPLOYEE NUMBER]]="","",ROW(T_EMPLOYEES[[#This Row],[EMPLOYEE LABEL]])-ROW(T_EMPLOYEES[[#Headers],[EMPLOYEE LABEL]]))</f>
        <v/>
      </c>
      <c r="AB113">
        <f>IF(T_EMPLOYEES[[#This Row],[EMPLOYEE NUMBER]]="","",IF(COUNTIF(T_EMPLOYEES[EMPLOYEE NUMBER],T_EMPLOYEES[[#This Row],[EMPLOYEE NUMBER]])&gt;1,1,0))</f>
        <v/>
      </c>
      <c r="AC113">
        <f>IF(T_EMPLOYEES[[#This Row],[EMPLOYEE NUMBER]]="","",IF(AND(T_EMPLOYEES[[#This Row],[DATE OF BIRTH]]&gt;0,T_EMPLOYEES[[#This Row],[DATE OF BIRTH]]&lt;TODAY()),0,1))</f>
        <v/>
      </c>
      <c r="AD113">
        <f>IF(T_EMPLOYEES[[#This Row],[EMPLOYEE NUMBER]]="","",IF(AND(T_EMPLOYEES[[#This Row],[START DATE]]&gt;0,T_EMPLOYEES[[#This Row],[START DATE]]&lt;TODAY()+60),0,1))</f>
        <v/>
      </c>
      <c r="AE113">
        <f>IF(T_EMPLOYEES[[#This Row],[EMPLOYEE NUMBER]]="","",MATCH(T_EMPLOYEES[[#This Row],[GENDER]],L_GENDER,0))</f>
        <v/>
      </c>
      <c r="AF113">
        <f>IF(T_EMPLOYEES[[#This Row],[EMPLOYEE NUMBER]]="","",MATCH(T_EMPLOYEES[[#This Row],[HIRE SOURCE]],L_HIRESOURCE,0))</f>
        <v/>
      </c>
      <c r="AG113">
        <f>IF(T_EMPLOYEES[[#This Row],[EMPLOYEE NUMBER]]="","",MATCH(T_EMPLOYEES[[#This Row],[ETHNICITY]],L_ETHNICITY,0))</f>
        <v/>
      </c>
      <c r="AH113">
        <f>IF(T_EMPLOYEES[[#This Row],[EMPLOYEE NUMBER]]="","",MATCH(T_EMPLOYEES[[#This Row],[LOCATION]],L_LOCATION,0))</f>
        <v/>
      </c>
      <c r="AI113">
        <f>IF(T_EMPLOYEES[[#This Row],[EMPLOYEE NUMBER]]="","",MATCH(T_EMPLOYEES[[#This Row],[DEPARTMENT]],L_DEPARTMENT,0))</f>
        <v/>
      </c>
      <c r="AJ113">
        <f>IF(T_EMPLOYEES[[#This Row],[EMPLOYEE NUMBER]]="","",MATCH(T_EMPLOYEES[[#This Row],[JOB TYPE]],L_JOBTYPE,0))</f>
        <v/>
      </c>
      <c r="AK113">
        <f>IF(T_EMPLOYEES[[#This Row],[EMPLOYEE NUMBER]]="","",MATCH(T_EMPLOYEES[[#This Row],[JOB CATEGORY]],L_JOBCATEGORY,0))</f>
        <v/>
      </c>
      <c r="AL113">
        <f>IF(T_EMPLOYEES[[#This Row],[EMPLOYEE NUMBER]]="","",MATCH(T_EMPLOYEES[[#This Row],[JOB LEVEL]],L_JOBLEVEL,0))</f>
        <v/>
      </c>
      <c r="AM113">
        <f>IF(T_EMPLOYEES[[#This Row],[EMPLOYEE NUMBER]]="","",MATCH(T_EMPLOYEES[[#This Row],[JOB TITLE]],L_JOBTITLE,0))</f>
        <v/>
      </c>
      <c r="AN113">
        <f>IF(T_EMPLOYEES[[#This Row],[EMPLOYEE NUMBER]]="","",MATCH(T_EMPLOYEES[[#This Row],[MANAGER]],L_EMPLABELS,0))</f>
        <v/>
      </c>
      <c r="AO113">
        <f>IF(T_EMPLOYEES[[#This Row],[EMPLOYEE NUMBER]]="","",IF(T_EMPLOYEES[[#This Row],[ERROR]]="",0,1))</f>
        <v/>
      </c>
      <c r="AP11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4">
      <c r="A114" t="inlineStr">
        <is>
          <t>Shivakumar</t>
        </is>
      </c>
      <c r="B114" t="inlineStr">
        <is>
          <t>Hunagundi</t>
        </is>
      </c>
      <c r="C114" t="n">
        <v>1031866</v>
      </c>
      <c r="D114" t="inlineStr">
        <is>
          <t>Shivakumar.Hunagundi@infinite.com</t>
        </is>
      </c>
      <c r="E114" s="26" t="n">
        <v>31624</v>
      </c>
      <c r="F114" s="26" t="n">
        <v>44914</v>
      </c>
      <c r="H114" t="inlineStr">
        <is>
          <t>Male</t>
        </is>
      </c>
      <c r="I114" t="inlineStr">
        <is>
          <t>Asian</t>
        </is>
      </c>
      <c r="J114" t="inlineStr">
        <is>
          <t>WEBSITE</t>
        </is>
      </c>
      <c r="K114" t="inlineStr">
        <is>
          <t>Hyderabad</t>
        </is>
      </c>
      <c r="L114" s="27" t="inlineStr">
        <is>
          <t>IT</t>
        </is>
      </c>
      <c r="M114" t="inlineStr">
        <is>
          <t>Full-Time</t>
        </is>
      </c>
      <c r="N114" t="inlineStr">
        <is>
          <t>Senior Technical Lead</t>
        </is>
      </c>
      <c r="O114" t="inlineStr">
        <is>
          <t>E5</t>
        </is>
      </c>
      <c r="P114" t="inlineStr">
        <is>
          <t>Senior Technical Lead</t>
        </is>
      </c>
      <c r="Q114" t="inlineStr">
        <is>
          <t>Prabhakar Janardhanam (1031867)</t>
        </is>
      </c>
      <c r="R114" s="27" t="n">
        <v>7</v>
      </c>
      <c r="S114" s="1" t="n">
        <v>250000</v>
      </c>
      <c r="T114" s="1">
        <f>ROUND(T_EMPLOYEES[[#This Row],[EMP_CTC1]]/12, 0)</f>
        <v/>
      </c>
      <c r="U114" s="1" t="n">
        <v>150000</v>
      </c>
      <c r="V114" s="1" t="inlineStr">
        <is>
          <t>NH</t>
        </is>
      </c>
      <c r="W114" s="1" t="inlineStr">
        <is>
          <t>NH</t>
        </is>
      </c>
      <c r="X11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4" t="n">
        <v>60000</v>
      </c>
      <c r="Z114" s="29">
        <f>(S114 - U114)/S114 * 100</f>
        <v/>
      </c>
      <c r="AA114">
        <f>IF(T_EMPLOYEES[[#This Row],[EMPLOYEE NUMBER]]="","",ROW(T_EMPLOYEES[[#This Row],[EMPLOYEE LABEL]])-ROW(T_EMPLOYEES[[#Headers],[EMPLOYEE LABEL]]))</f>
        <v/>
      </c>
      <c r="AB114">
        <f>IF(T_EMPLOYEES[[#This Row],[EMPLOYEE NUMBER]]="","",IF(COUNTIF(T_EMPLOYEES[EMPLOYEE NUMBER],T_EMPLOYEES[[#This Row],[EMPLOYEE NUMBER]])&gt;1,1,0))</f>
        <v/>
      </c>
      <c r="AC114">
        <f>IF(T_EMPLOYEES[[#This Row],[EMPLOYEE NUMBER]]="","",IF(AND(T_EMPLOYEES[[#This Row],[DATE OF BIRTH]]&gt;0,T_EMPLOYEES[[#This Row],[DATE OF BIRTH]]&lt;TODAY()),0,1))</f>
        <v/>
      </c>
      <c r="AD114">
        <f>IF(T_EMPLOYEES[[#This Row],[EMPLOYEE NUMBER]]="","",IF(AND(T_EMPLOYEES[[#This Row],[START DATE]]&gt;0,T_EMPLOYEES[[#This Row],[START DATE]]&lt;TODAY()+60),0,1))</f>
        <v/>
      </c>
      <c r="AE114">
        <f>IF(T_EMPLOYEES[[#This Row],[EMPLOYEE NUMBER]]="","",MATCH(T_EMPLOYEES[[#This Row],[GENDER]],L_GENDER,0))</f>
        <v/>
      </c>
      <c r="AF114">
        <f>IF(T_EMPLOYEES[[#This Row],[EMPLOYEE NUMBER]]="","",MATCH(T_EMPLOYEES[[#This Row],[HIRE SOURCE]],L_HIRESOURCE,0))</f>
        <v/>
      </c>
      <c r="AG114">
        <f>IF(T_EMPLOYEES[[#This Row],[EMPLOYEE NUMBER]]="","",MATCH(T_EMPLOYEES[[#This Row],[ETHNICITY]],L_ETHNICITY,0))</f>
        <v/>
      </c>
      <c r="AH114">
        <f>IF(T_EMPLOYEES[[#This Row],[EMPLOYEE NUMBER]]="","",MATCH(T_EMPLOYEES[[#This Row],[LOCATION]],L_LOCATION,0))</f>
        <v/>
      </c>
      <c r="AI114">
        <f>IF(T_EMPLOYEES[[#This Row],[EMPLOYEE NUMBER]]="","",MATCH(T_EMPLOYEES[[#This Row],[DEPARTMENT]],L_DEPARTMENT,0))</f>
        <v/>
      </c>
      <c r="AJ114">
        <f>IF(T_EMPLOYEES[[#This Row],[EMPLOYEE NUMBER]]="","",MATCH(T_EMPLOYEES[[#This Row],[JOB TYPE]],L_JOBTYPE,0))</f>
        <v/>
      </c>
      <c r="AK114">
        <f>IF(T_EMPLOYEES[[#This Row],[EMPLOYEE NUMBER]]="","",MATCH(T_EMPLOYEES[[#This Row],[JOB CATEGORY]],L_JOBCATEGORY,0))</f>
        <v/>
      </c>
      <c r="AL114">
        <f>IF(T_EMPLOYEES[[#This Row],[EMPLOYEE NUMBER]]="","",MATCH(T_EMPLOYEES[[#This Row],[JOB LEVEL]],L_JOBLEVEL,0))</f>
        <v/>
      </c>
      <c r="AM114">
        <f>IF(T_EMPLOYEES[[#This Row],[EMPLOYEE NUMBER]]="","",MATCH(T_EMPLOYEES[[#This Row],[JOB TITLE]],L_JOBTITLE,0))</f>
        <v/>
      </c>
      <c r="AN114">
        <f>IF(T_EMPLOYEES[[#This Row],[EMPLOYEE NUMBER]]="","",MATCH(T_EMPLOYEES[[#This Row],[MANAGER]],L_EMPLABELS,0))</f>
        <v/>
      </c>
      <c r="AO114">
        <f>IF(T_EMPLOYEES[[#This Row],[EMPLOYEE NUMBER]]="","",IF(T_EMPLOYEES[[#This Row],[ERROR]]="",0,1))</f>
        <v/>
      </c>
      <c r="AP11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5">
      <c r="A115" t="inlineStr">
        <is>
          <t>Sreelatha</t>
        </is>
      </c>
      <c r="B115" t="inlineStr">
        <is>
          <t>Akkireddy</t>
        </is>
      </c>
      <c r="C115" t="n">
        <v>1007892</v>
      </c>
      <c r="D115" t="inlineStr">
        <is>
          <t>Sreelatha.Akkireddy@infinite.com</t>
        </is>
      </c>
      <c r="E115" s="26" t="n">
        <v>31650</v>
      </c>
      <c r="F115" s="26" t="n">
        <v>40448</v>
      </c>
      <c r="H115" t="inlineStr">
        <is>
          <t>Female</t>
        </is>
      </c>
      <c r="I115" t="inlineStr">
        <is>
          <t>Asian</t>
        </is>
      </c>
      <c r="J115" t="inlineStr">
        <is>
          <t>WEBSITE</t>
        </is>
      </c>
      <c r="K115" t="inlineStr">
        <is>
          <t>Bangalore</t>
        </is>
      </c>
      <c r="L115" s="27" t="inlineStr">
        <is>
          <t>IT</t>
        </is>
      </c>
      <c r="M115" t="inlineStr">
        <is>
          <t>Full-Time</t>
        </is>
      </c>
      <c r="N115" t="inlineStr">
        <is>
          <t>Senior Technical Lead</t>
        </is>
      </c>
      <c r="O115" t="inlineStr">
        <is>
          <t>E5</t>
        </is>
      </c>
      <c r="P115" t="inlineStr">
        <is>
          <t>Senior Technical Lead</t>
        </is>
      </c>
      <c r="Q115" t="inlineStr">
        <is>
          <t>Radhakanta  Samantara (1010164)</t>
        </is>
      </c>
      <c r="R115" t="n">
        <v>7</v>
      </c>
      <c r="S115" s="1" t="n">
        <v>250000</v>
      </c>
      <c r="T115" s="1">
        <f>ROUND(T_EMPLOYEES[[#This Row],[EMP_CTC1]]/12, 0)</f>
        <v/>
      </c>
      <c r="U115" s="1" t="n">
        <v>150000</v>
      </c>
      <c r="V115" s="1" t="inlineStr">
        <is>
          <t>NH</t>
        </is>
      </c>
      <c r="W115" s="1" t="inlineStr">
        <is>
          <t>NH</t>
        </is>
      </c>
      <c r="X11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5" t="n">
        <v>60000</v>
      </c>
      <c r="Z115" s="29">
        <f>(S115 - U115)/S115 * 100</f>
        <v/>
      </c>
      <c r="AA115">
        <f>IF(T_EMPLOYEES[[#This Row],[EMPLOYEE NUMBER]]="","",ROW(T_EMPLOYEES[[#This Row],[EMPLOYEE LABEL]])-ROW(T_EMPLOYEES[[#Headers],[EMPLOYEE LABEL]]))</f>
        <v/>
      </c>
      <c r="AB115">
        <f>IF(T_EMPLOYEES[[#This Row],[EMPLOYEE NUMBER]]="","",IF(COUNTIF(T_EMPLOYEES[EMPLOYEE NUMBER],T_EMPLOYEES[[#This Row],[EMPLOYEE NUMBER]])&gt;1,1,0))</f>
        <v/>
      </c>
      <c r="AC115">
        <f>IF(T_EMPLOYEES[[#This Row],[EMPLOYEE NUMBER]]="","",IF(AND(T_EMPLOYEES[[#This Row],[DATE OF BIRTH]]&gt;0,T_EMPLOYEES[[#This Row],[DATE OF BIRTH]]&lt;TODAY()),0,1))</f>
        <v/>
      </c>
      <c r="AD115">
        <f>IF(T_EMPLOYEES[[#This Row],[EMPLOYEE NUMBER]]="","",IF(AND(T_EMPLOYEES[[#This Row],[START DATE]]&gt;0,T_EMPLOYEES[[#This Row],[START DATE]]&lt;TODAY()+60),0,1))</f>
        <v/>
      </c>
      <c r="AE115">
        <f>IF(T_EMPLOYEES[[#This Row],[EMPLOYEE NUMBER]]="","",MATCH(T_EMPLOYEES[[#This Row],[GENDER]],L_GENDER,0))</f>
        <v/>
      </c>
      <c r="AF115">
        <f>IF(T_EMPLOYEES[[#This Row],[EMPLOYEE NUMBER]]="","",MATCH(T_EMPLOYEES[[#This Row],[HIRE SOURCE]],L_HIRESOURCE,0))</f>
        <v/>
      </c>
      <c r="AG115">
        <f>IF(T_EMPLOYEES[[#This Row],[EMPLOYEE NUMBER]]="","",MATCH(T_EMPLOYEES[[#This Row],[ETHNICITY]],L_ETHNICITY,0))</f>
        <v/>
      </c>
      <c r="AH115">
        <f>IF(T_EMPLOYEES[[#This Row],[EMPLOYEE NUMBER]]="","",MATCH(T_EMPLOYEES[[#This Row],[LOCATION]],L_LOCATION,0))</f>
        <v/>
      </c>
      <c r="AI115">
        <f>IF(T_EMPLOYEES[[#This Row],[EMPLOYEE NUMBER]]="","",MATCH(T_EMPLOYEES[[#This Row],[DEPARTMENT]],L_DEPARTMENT,0))</f>
        <v/>
      </c>
      <c r="AJ115">
        <f>IF(T_EMPLOYEES[[#This Row],[EMPLOYEE NUMBER]]="","",MATCH(T_EMPLOYEES[[#This Row],[JOB TYPE]],L_JOBTYPE,0))</f>
        <v/>
      </c>
      <c r="AK115">
        <f>IF(T_EMPLOYEES[[#This Row],[EMPLOYEE NUMBER]]="","",MATCH(T_EMPLOYEES[[#This Row],[JOB CATEGORY]],L_JOBCATEGORY,0))</f>
        <v/>
      </c>
      <c r="AL115">
        <f>IF(T_EMPLOYEES[[#This Row],[EMPLOYEE NUMBER]]="","",MATCH(T_EMPLOYEES[[#This Row],[JOB LEVEL]],L_JOBLEVEL,0))</f>
        <v/>
      </c>
      <c r="AM115">
        <f>IF(T_EMPLOYEES[[#This Row],[EMPLOYEE NUMBER]]="","",MATCH(T_EMPLOYEES[[#This Row],[JOB TITLE]],L_JOBTITLE,0))</f>
        <v/>
      </c>
      <c r="AN115">
        <f>IF(T_EMPLOYEES[[#This Row],[EMPLOYEE NUMBER]]="","",MATCH(T_EMPLOYEES[[#This Row],[MANAGER]],L_EMPLABELS,0))</f>
        <v/>
      </c>
      <c r="AO115">
        <f>IF(T_EMPLOYEES[[#This Row],[EMPLOYEE NUMBER]]="","",IF(T_EMPLOYEES[[#This Row],[ERROR]]="",0,1))</f>
        <v/>
      </c>
      <c r="AP11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15" t="inlineStr">
        <is>
          <t>Global</t>
        </is>
      </c>
    </row>
    <row r="116">
      <c r="A116" t="inlineStr">
        <is>
          <t>Amit</t>
        </is>
      </c>
      <c r="B116" t="inlineStr">
        <is>
          <t>Pandey</t>
        </is>
      </c>
      <c r="C116" t="n">
        <v>1031864</v>
      </c>
      <c r="D116" t="inlineStr">
        <is>
          <t>Amit.Pandey@infinite.com</t>
        </is>
      </c>
      <c r="E116" s="26" t="n">
        <v>31686</v>
      </c>
      <c r="F116" s="26" t="n">
        <v>44914</v>
      </c>
      <c r="H116" t="inlineStr">
        <is>
          <t>Male</t>
        </is>
      </c>
      <c r="I116" t="inlineStr">
        <is>
          <t>Asian</t>
        </is>
      </c>
      <c r="J116" t="inlineStr">
        <is>
          <t>WEBSITE</t>
        </is>
      </c>
      <c r="K116" t="inlineStr">
        <is>
          <t>Bangalore</t>
        </is>
      </c>
      <c r="L116" s="27" t="inlineStr">
        <is>
          <t>IT</t>
        </is>
      </c>
      <c r="M116" t="inlineStr">
        <is>
          <t>Full-Time</t>
        </is>
      </c>
      <c r="N116" t="inlineStr">
        <is>
          <t>Senior Technical Lead</t>
        </is>
      </c>
      <c r="O116" t="inlineStr">
        <is>
          <t>E5</t>
        </is>
      </c>
      <c r="P116" t="inlineStr">
        <is>
          <t>Senior Technical Lead</t>
        </is>
      </c>
      <c r="Q116" t="inlineStr">
        <is>
          <t>Numan Sharieff (1031852)</t>
        </is>
      </c>
      <c r="R116" s="27" t="n">
        <v>7</v>
      </c>
      <c r="S116" s="1" t="n">
        <v>250000</v>
      </c>
      <c r="T116" s="1">
        <f>ROUND(T_EMPLOYEES[[#This Row],[EMP_CTC1]]/12, 0)</f>
        <v/>
      </c>
      <c r="U116" s="1" t="n">
        <v>150000</v>
      </c>
      <c r="V116" s="1" t="inlineStr">
        <is>
          <t>NH</t>
        </is>
      </c>
      <c r="W116" s="1" t="inlineStr">
        <is>
          <t>NH</t>
        </is>
      </c>
      <c r="X11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6" t="n">
        <v>60000</v>
      </c>
      <c r="Z116" s="29">
        <f>(S116 - U116)/S116 * 100</f>
        <v/>
      </c>
      <c r="AA116">
        <f>IF(T_EMPLOYEES[[#This Row],[EMPLOYEE NUMBER]]="","",ROW(T_EMPLOYEES[[#This Row],[EMPLOYEE LABEL]])-ROW(T_EMPLOYEES[[#Headers],[EMPLOYEE LABEL]]))</f>
        <v/>
      </c>
      <c r="AB116">
        <f>IF(T_EMPLOYEES[[#This Row],[EMPLOYEE NUMBER]]="","",IF(COUNTIF(T_EMPLOYEES[EMPLOYEE NUMBER],T_EMPLOYEES[[#This Row],[EMPLOYEE NUMBER]])&gt;1,1,0))</f>
        <v/>
      </c>
      <c r="AC116">
        <f>IF(T_EMPLOYEES[[#This Row],[EMPLOYEE NUMBER]]="","",IF(AND(T_EMPLOYEES[[#This Row],[DATE OF BIRTH]]&gt;0,T_EMPLOYEES[[#This Row],[DATE OF BIRTH]]&lt;TODAY()),0,1))</f>
        <v/>
      </c>
      <c r="AD116">
        <f>IF(T_EMPLOYEES[[#This Row],[EMPLOYEE NUMBER]]="","",IF(AND(T_EMPLOYEES[[#This Row],[START DATE]]&gt;0,T_EMPLOYEES[[#This Row],[START DATE]]&lt;TODAY()+60),0,1))</f>
        <v/>
      </c>
      <c r="AE116">
        <f>IF(T_EMPLOYEES[[#This Row],[EMPLOYEE NUMBER]]="","",MATCH(T_EMPLOYEES[[#This Row],[GENDER]],L_GENDER,0))</f>
        <v/>
      </c>
      <c r="AF116">
        <f>IF(T_EMPLOYEES[[#This Row],[EMPLOYEE NUMBER]]="","",MATCH(T_EMPLOYEES[[#This Row],[HIRE SOURCE]],L_HIRESOURCE,0))</f>
        <v/>
      </c>
      <c r="AG116">
        <f>IF(T_EMPLOYEES[[#This Row],[EMPLOYEE NUMBER]]="","",MATCH(T_EMPLOYEES[[#This Row],[ETHNICITY]],L_ETHNICITY,0))</f>
        <v/>
      </c>
      <c r="AH116">
        <f>IF(T_EMPLOYEES[[#This Row],[EMPLOYEE NUMBER]]="","",MATCH(T_EMPLOYEES[[#This Row],[LOCATION]],L_LOCATION,0))</f>
        <v/>
      </c>
      <c r="AI116">
        <f>IF(T_EMPLOYEES[[#This Row],[EMPLOYEE NUMBER]]="","",MATCH(T_EMPLOYEES[[#This Row],[DEPARTMENT]],L_DEPARTMENT,0))</f>
        <v/>
      </c>
      <c r="AJ116">
        <f>IF(T_EMPLOYEES[[#This Row],[EMPLOYEE NUMBER]]="","",MATCH(T_EMPLOYEES[[#This Row],[JOB TYPE]],L_JOBTYPE,0))</f>
        <v/>
      </c>
      <c r="AK116">
        <f>IF(T_EMPLOYEES[[#This Row],[EMPLOYEE NUMBER]]="","",MATCH(T_EMPLOYEES[[#This Row],[JOB CATEGORY]],L_JOBCATEGORY,0))</f>
        <v/>
      </c>
      <c r="AL116">
        <f>IF(T_EMPLOYEES[[#This Row],[EMPLOYEE NUMBER]]="","",MATCH(T_EMPLOYEES[[#This Row],[JOB LEVEL]],L_JOBLEVEL,0))</f>
        <v/>
      </c>
      <c r="AM116">
        <f>IF(T_EMPLOYEES[[#This Row],[EMPLOYEE NUMBER]]="","",MATCH(T_EMPLOYEES[[#This Row],[JOB TITLE]],L_JOBTITLE,0))</f>
        <v/>
      </c>
      <c r="AN116">
        <f>IF(T_EMPLOYEES[[#This Row],[EMPLOYEE NUMBER]]="","",MATCH(T_EMPLOYEES[[#This Row],[MANAGER]],L_EMPLABELS,0))</f>
        <v/>
      </c>
      <c r="AO116">
        <f>IF(T_EMPLOYEES[[#This Row],[EMPLOYEE NUMBER]]="","",IF(T_EMPLOYEES[[#This Row],[ERROR]]="",0,1))</f>
        <v/>
      </c>
      <c r="AP11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7">
      <c r="A117" t="inlineStr">
        <is>
          <t>S</t>
        </is>
      </c>
      <c r="B117" t="inlineStr">
        <is>
          <t xml:space="preserve"> Vigneshwaran</t>
        </is>
      </c>
      <c r="C117" t="n">
        <v>1025901</v>
      </c>
      <c r="D117" t="inlineStr">
        <is>
          <t>Vigneshwaran.Senthilnathan@infinite.com</t>
        </is>
      </c>
      <c r="E117" s="26" t="n">
        <v>31709</v>
      </c>
      <c r="F117" s="26" t="n">
        <v>44400</v>
      </c>
      <c r="H117" t="inlineStr">
        <is>
          <t>Male</t>
        </is>
      </c>
      <c r="I117" t="inlineStr">
        <is>
          <t>Asian</t>
        </is>
      </c>
      <c r="J117" t="inlineStr">
        <is>
          <t>WEBSITE</t>
        </is>
      </c>
      <c r="K117" t="inlineStr">
        <is>
          <t>Bangalore</t>
        </is>
      </c>
      <c r="L117" s="27" t="inlineStr">
        <is>
          <t>IT</t>
        </is>
      </c>
      <c r="M117" t="inlineStr">
        <is>
          <t>Full-Time</t>
        </is>
      </c>
      <c r="N117" t="inlineStr">
        <is>
          <t>Technical Lead</t>
        </is>
      </c>
      <c r="O117" t="inlineStr">
        <is>
          <t>E4</t>
        </is>
      </c>
      <c r="P117" t="inlineStr">
        <is>
          <t>Technical Lead</t>
        </is>
      </c>
      <c r="Q117" t="inlineStr">
        <is>
          <t>Sunduru Arun  Jayant (1031825)</t>
        </is>
      </c>
      <c r="R117" t="n">
        <v>5</v>
      </c>
      <c r="S117" s="1" t="n">
        <v>250000</v>
      </c>
      <c r="T117" s="1">
        <f>ROUND(T_EMPLOYEES[[#This Row],[EMP_CTC1]]/12, 0)</f>
        <v/>
      </c>
      <c r="U117" s="1" t="n">
        <v>150000</v>
      </c>
      <c r="V117" s="1" t="inlineStr">
        <is>
          <t>NH</t>
        </is>
      </c>
      <c r="W117" s="1" t="inlineStr">
        <is>
          <t>NH</t>
        </is>
      </c>
      <c r="X11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7" t="n">
        <v>60000</v>
      </c>
      <c r="Z117" s="29">
        <f>(S117 - U117)/S117 * 100</f>
        <v/>
      </c>
      <c r="AA117">
        <f>IF(T_EMPLOYEES[[#This Row],[EMPLOYEE NUMBER]]="","",ROW(T_EMPLOYEES[[#This Row],[EMPLOYEE LABEL]])-ROW(T_EMPLOYEES[[#Headers],[EMPLOYEE LABEL]]))</f>
        <v/>
      </c>
      <c r="AB117">
        <f>IF(T_EMPLOYEES[[#This Row],[EMPLOYEE NUMBER]]="","",IF(COUNTIF(T_EMPLOYEES[EMPLOYEE NUMBER],T_EMPLOYEES[[#This Row],[EMPLOYEE NUMBER]])&gt;1,1,0))</f>
        <v/>
      </c>
      <c r="AC117">
        <f>IF(T_EMPLOYEES[[#This Row],[EMPLOYEE NUMBER]]="","",IF(AND(T_EMPLOYEES[[#This Row],[DATE OF BIRTH]]&gt;0,T_EMPLOYEES[[#This Row],[DATE OF BIRTH]]&lt;TODAY()),0,1))</f>
        <v/>
      </c>
      <c r="AD117">
        <f>IF(T_EMPLOYEES[[#This Row],[EMPLOYEE NUMBER]]="","",IF(AND(T_EMPLOYEES[[#This Row],[START DATE]]&gt;0,T_EMPLOYEES[[#This Row],[START DATE]]&lt;TODAY()+60),0,1))</f>
        <v/>
      </c>
      <c r="AE117">
        <f>IF(T_EMPLOYEES[[#This Row],[EMPLOYEE NUMBER]]="","",MATCH(T_EMPLOYEES[[#This Row],[GENDER]],L_GENDER,0))</f>
        <v/>
      </c>
      <c r="AF117">
        <f>IF(T_EMPLOYEES[[#This Row],[EMPLOYEE NUMBER]]="","",MATCH(T_EMPLOYEES[[#This Row],[HIRE SOURCE]],L_HIRESOURCE,0))</f>
        <v/>
      </c>
      <c r="AG117">
        <f>IF(T_EMPLOYEES[[#This Row],[EMPLOYEE NUMBER]]="","",MATCH(T_EMPLOYEES[[#This Row],[ETHNICITY]],L_ETHNICITY,0))</f>
        <v/>
      </c>
      <c r="AH117">
        <f>IF(T_EMPLOYEES[[#This Row],[EMPLOYEE NUMBER]]="","",MATCH(T_EMPLOYEES[[#This Row],[LOCATION]],L_LOCATION,0))</f>
        <v/>
      </c>
      <c r="AI117">
        <f>IF(T_EMPLOYEES[[#This Row],[EMPLOYEE NUMBER]]="","",MATCH(T_EMPLOYEES[[#This Row],[DEPARTMENT]],L_DEPARTMENT,0))</f>
        <v/>
      </c>
      <c r="AJ117">
        <f>IF(T_EMPLOYEES[[#This Row],[EMPLOYEE NUMBER]]="","",MATCH(T_EMPLOYEES[[#This Row],[JOB TYPE]],L_JOBTYPE,0))</f>
        <v/>
      </c>
      <c r="AK117">
        <f>IF(T_EMPLOYEES[[#This Row],[EMPLOYEE NUMBER]]="","",MATCH(T_EMPLOYEES[[#This Row],[JOB CATEGORY]],L_JOBCATEGORY,0))</f>
        <v/>
      </c>
      <c r="AL117">
        <f>IF(T_EMPLOYEES[[#This Row],[EMPLOYEE NUMBER]]="","",MATCH(T_EMPLOYEES[[#This Row],[JOB LEVEL]],L_JOBLEVEL,0))</f>
        <v/>
      </c>
      <c r="AM117">
        <f>IF(T_EMPLOYEES[[#This Row],[EMPLOYEE NUMBER]]="","",MATCH(T_EMPLOYEES[[#This Row],[JOB TITLE]],L_JOBTITLE,0))</f>
        <v/>
      </c>
      <c r="AN117">
        <f>IF(T_EMPLOYEES[[#This Row],[EMPLOYEE NUMBER]]="","",MATCH(T_EMPLOYEES[[#This Row],[MANAGER]],L_EMPLABELS,0))</f>
        <v/>
      </c>
      <c r="AO117">
        <f>IF(T_EMPLOYEES[[#This Row],[EMPLOYEE NUMBER]]="","",IF(T_EMPLOYEES[[#This Row],[ERROR]]="",0,1))</f>
        <v/>
      </c>
      <c r="AP11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8">
      <c r="A118" t="inlineStr">
        <is>
          <t>Abhishek</t>
        </is>
      </c>
      <c r="B118" t="inlineStr">
        <is>
          <t xml:space="preserve"> K</t>
        </is>
      </c>
      <c r="C118" t="n">
        <v>1028288</v>
      </c>
      <c r="D118" t="inlineStr">
        <is>
          <t>Abhishek.Konka@infinite.com</t>
        </is>
      </c>
      <c r="E118" s="26" t="n">
        <v>31712</v>
      </c>
      <c r="F118" s="26" t="n">
        <v>44600</v>
      </c>
      <c r="H118" t="inlineStr">
        <is>
          <t>Male</t>
        </is>
      </c>
      <c r="I118" t="inlineStr">
        <is>
          <t>Asian</t>
        </is>
      </c>
      <c r="J118" t="inlineStr">
        <is>
          <t>WEBSITE</t>
        </is>
      </c>
      <c r="K118" t="inlineStr">
        <is>
          <t>Hyderabad</t>
        </is>
      </c>
      <c r="L118" s="27" t="inlineStr">
        <is>
          <t>IT</t>
        </is>
      </c>
      <c r="M118" t="inlineStr">
        <is>
          <t>Full-Time</t>
        </is>
      </c>
      <c r="N118" t="inlineStr">
        <is>
          <t>Senior Technical Lead</t>
        </is>
      </c>
      <c r="O118" t="inlineStr">
        <is>
          <t>E5</t>
        </is>
      </c>
      <c r="P118" t="inlineStr">
        <is>
          <t>Senior Technical Lead</t>
        </is>
      </c>
      <c r="Q118" t="inlineStr">
        <is>
          <t>Unnikrishnan Chellappan C (1025919)</t>
        </is>
      </c>
      <c r="R118" s="27" t="n">
        <v>7</v>
      </c>
      <c r="S118" s="1" t="n">
        <v>250000</v>
      </c>
      <c r="T118" s="1">
        <f>ROUND(T_EMPLOYEES[[#This Row],[EMP_CTC1]]/12, 0)</f>
        <v/>
      </c>
      <c r="U118" s="1" t="n">
        <v>150000</v>
      </c>
      <c r="V118" s="1" t="inlineStr">
        <is>
          <t>NH</t>
        </is>
      </c>
      <c r="W118" s="1" t="inlineStr">
        <is>
          <t>NH</t>
        </is>
      </c>
      <c r="X11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8" t="n">
        <v>60000</v>
      </c>
      <c r="Z118" s="29">
        <f>(S118 - U118)/S118 * 100</f>
        <v/>
      </c>
      <c r="AA118">
        <f>IF(T_EMPLOYEES[[#This Row],[EMPLOYEE NUMBER]]="","",ROW(T_EMPLOYEES[[#This Row],[EMPLOYEE LABEL]])-ROW(T_EMPLOYEES[[#Headers],[EMPLOYEE LABEL]]))</f>
        <v/>
      </c>
      <c r="AB118">
        <f>IF(T_EMPLOYEES[[#This Row],[EMPLOYEE NUMBER]]="","",IF(COUNTIF(T_EMPLOYEES[EMPLOYEE NUMBER],T_EMPLOYEES[[#This Row],[EMPLOYEE NUMBER]])&gt;1,1,0))</f>
        <v/>
      </c>
      <c r="AC118">
        <f>IF(T_EMPLOYEES[[#This Row],[EMPLOYEE NUMBER]]="","",IF(AND(T_EMPLOYEES[[#This Row],[DATE OF BIRTH]]&gt;0,T_EMPLOYEES[[#This Row],[DATE OF BIRTH]]&lt;TODAY()),0,1))</f>
        <v/>
      </c>
      <c r="AD118">
        <f>IF(T_EMPLOYEES[[#This Row],[EMPLOYEE NUMBER]]="","",IF(AND(T_EMPLOYEES[[#This Row],[START DATE]]&gt;0,T_EMPLOYEES[[#This Row],[START DATE]]&lt;TODAY()+60),0,1))</f>
        <v/>
      </c>
      <c r="AE118">
        <f>IF(T_EMPLOYEES[[#This Row],[EMPLOYEE NUMBER]]="","",MATCH(T_EMPLOYEES[[#This Row],[GENDER]],L_GENDER,0))</f>
        <v/>
      </c>
      <c r="AF118">
        <f>IF(T_EMPLOYEES[[#This Row],[EMPLOYEE NUMBER]]="","",MATCH(T_EMPLOYEES[[#This Row],[HIRE SOURCE]],L_HIRESOURCE,0))</f>
        <v/>
      </c>
      <c r="AG118">
        <f>IF(T_EMPLOYEES[[#This Row],[EMPLOYEE NUMBER]]="","",MATCH(T_EMPLOYEES[[#This Row],[ETHNICITY]],L_ETHNICITY,0))</f>
        <v/>
      </c>
      <c r="AH118">
        <f>IF(T_EMPLOYEES[[#This Row],[EMPLOYEE NUMBER]]="","",MATCH(T_EMPLOYEES[[#This Row],[LOCATION]],L_LOCATION,0))</f>
        <v/>
      </c>
      <c r="AI118">
        <f>IF(T_EMPLOYEES[[#This Row],[EMPLOYEE NUMBER]]="","",MATCH(T_EMPLOYEES[[#This Row],[DEPARTMENT]],L_DEPARTMENT,0))</f>
        <v/>
      </c>
      <c r="AJ118">
        <f>IF(T_EMPLOYEES[[#This Row],[EMPLOYEE NUMBER]]="","",MATCH(T_EMPLOYEES[[#This Row],[JOB TYPE]],L_JOBTYPE,0))</f>
        <v/>
      </c>
      <c r="AK118">
        <f>IF(T_EMPLOYEES[[#This Row],[EMPLOYEE NUMBER]]="","",MATCH(T_EMPLOYEES[[#This Row],[JOB CATEGORY]],L_JOBCATEGORY,0))</f>
        <v/>
      </c>
      <c r="AL118">
        <f>IF(T_EMPLOYEES[[#This Row],[EMPLOYEE NUMBER]]="","",MATCH(T_EMPLOYEES[[#This Row],[JOB LEVEL]],L_JOBLEVEL,0))</f>
        <v/>
      </c>
      <c r="AM118">
        <f>IF(T_EMPLOYEES[[#This Row],[EMPLOYEE NUMBER]]="","",MATCH(T_EMPLOYEES[[#This Row],[JOB TITLE]],L_JOBTITLE,0))</f>
        <v/>
      </c>
      <c r="AN118">
        <f>IF(T_EMPLOYEES[[#This Row],[EMPLOYEE NUMBER]]="","",MATCH(T_EMPLOYEES[[#This Row],[MANAGER]],L_EMPLABELS,0))</f>
        <v/>
      </c>
      <c r="AO118">
        <f>IF(T_EMPLOYEES[[#This Row],[EMPLOYEE NUMBER]]="","",IF(T_EMPLOYEES[[#This Row],[ERROR]]="",0,1))</f>
        <v/>
      </c>
      <c r="AP11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19">
      <c r="A119" t="inlineStr">
        <is>
          <t>Pulagala</t>
        </is>
      </c>
      <c r="B119" t="inlineStr">
        <is>
          <t xml:space="preserve">Sandhya </t>
        </is>
      </c>
      <c r="C119" t="n">
        <v>1031811</v>
      </c>
      <c r="D119" t="inlineStr">
        <is>
          <t>Sandhya.Pulagala@infinite.com</t>
        </is>
      </c>
      <c r="E119" s="26" t="n">
        <v>31783</v>
      </c>
      <c r="F119" s="26" t="n">
        <v>44909</v>
      </c>
      <c r="H119" t="inlineStr">
        <is>
          <t>Female</t>
        </is>
      </c>
      <c r="I119" t="inlineStr">
        <is>
          <t>Asian</t>
        </is>
      </c>
      <c r="J119" t="inlineStr">
        <is>
          <t>WEBSITE</t>
        </is>
      </c>
      <c r="K119" t="inlineStr">
        <is>
          <t>Hyderabad</t>
        </is>
      </c>
      <c r="L119" s="27" t="inlineStr">
        <is>
          <t>IT</t>
        </is>
      </c>
      <c r="M119" t="inlineStr">
        <is>
          <t>Full-Time</t>
        </is>
      </c>
      <c r="N119" t="inlineStr">
        <is>
          <t>Senior Software Engineer</t>
        </is>
      </c>
      <c r="O119" t="inlineStr">
        <is>
          <t>E3</t>
        </is>
      </c>
      <c r="P119" t="inlineStr">
        <is>
          <t>Senior Software Engineer</t>
        </is>
      </c>
      <c r="Q119" t="inlineStr">
        <is>
          <t>Santhosh B K (1025129)</t>
        </is>
      </c>
      <c r="R119" t="n">
        <v>3</v>
      </c>
      <c r="S119" s="1" t="n">
        <v>250000</v>
      </c>
      <c r="T119" s="1">
        <f>ROUND(T_EMPLOYEES[[#This Row],[EMP_CTC1]]/12, 0)</f>
        <v/>
      </c>
      <c r="U119" s="1" t="n">
        <v>150000</v>
      </c>
      <c r="V119" s="1" t="inlineStr">
        <is>
          <t>NH</t>
        </is>
      </c>
      <c r="W119" s="1" t="inlineStr">
        <is>
          <t>NH</t>
        </is>
      </c>
      <c r="X11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19" t="n">
        <v>60000</v>
      </c>
      <c r="Z119" s="29">
        <f>(S119 - U119)/S119 * 100</f>
        <v/>
      </c>
      <c r="AA119">
        <f>IF(T_EMPLOYEES[[#This Row],[EMPLOYEE NUMBER]]="","",ROW(T_EMPLOYEES[[#This Row],[EMPLOYEE LABEL]])-ROW(T_EMPLOYEES[[#Headers],[EMPLOYEE LABEL]]))</f>
        <v/>
      </c>
      <c r="AB119">
        <f>IF(T_EMPLOYEES[[#This Row],[EMPLOYEE NUMBER]]="","",IF(COUNTIF(T_EMPLOYEES[EMPLOYEE NUMBER],T_EMPLOYEES[[#This Row],[EMPLOYEE NUMBER]])&gt;1,1,0))</f>
        <v/>
      </c>
      <c r="AC119">
        <f>IF(T_EMPLOYEES[[#This Row],[EMPLOYEE NUMBER]]="","",IF(AND(T_EMPLOYEES[[#This Row],[DATE OF BIRTH]]&gt;0,T_EMPLOYEES[[#This Row],[DATE OF BIRTH]]&lt;TODAY()),0,1))</f>
        <v/>
      </c>
      <c r="AD119">
        <f>IF(T_EMPLOYEES[[#This Row],[EMPLOYEE NUMBER]]="","",IF(AND(T_EMPLOYEES[[#This Row],[START DATE]]&gt;0,T_EMPLOYEES[[#This Row],[START DATE]]&lt;TODAY()+60),0,1))</f>
        <v/>
      </c>
      <c r="AE119">
        <f>IF(T_EMPLOYEES[[#This Row],[EMPLOYEE NUMBER]]="","",MATCH(T_EMPLOYEES[[#This Row],[GENDER]],L_GENDER,0))</f>
        <v/>
      </c>
      <c r="AF119">
        <f>IF(T_EMPLOYEES[[#This Row],[EMPLOYEE NUMBER]]="","",MATCH(T_EMPLOYEES[[#This Row],[HIRE SOURCE]],L_HIRESOURCE,0))</f>
        <v/>
      </c>
      <c r="AG119">
        <f>IF(T_EMPLOYEES[[#This Row],[EMPLOYEE NUMBER]]="","",MATCH(T_EMPLOYEES[[#This Row],[ETHNICITY]],L_ETHNICITY,0))</f>
        <v/>
      </c>
      <c r="AH119">
        <f>IF(T_EMPLOYEES[[#This Row],[EMPLOYEE NUMBER]]="","",MATCH(T_EMPLOYEES[[#This Row],[LOCATION]],L_LOCATION,0))</f>
        <v/>
      </c>
      <c r="AI119">
        <f>IF(T_EMPLOYEES[[#This Row],[EMPLOYEE NUMBER]]="","",MATCH(T_EMPLOYEES[[#This Row],[DEPARTMENT]],L_DEPARTMENT,0))</f>
        <v/>
      </c>
      <c r="AJ119">
        <f>IF(T_EMPLOYEES[[#This Row],[EMPLOYEE NUMBER]]="","",MATCH(T_EMPLOYEES[[#This Row],[JOB TYPE]],L_JOBTYPE,0))</f>
        <v/>
      </c>
      <c r="AK119">
        <f>IF(T_EMPLOYEES[[#This Row],[EMPLOYEE NUMBER]]="","",MATCH(T_EMPLOYEES[[#This Row],[JOB CATEGORY]],L_JOBCATEGORY,0))</f>
        <v/>
      </c>
      <c r="AL119">
        <f>IF(T_EMPLOYEES[[#This Row],[EMPLOYEE NUMBER]]="","",MATCH(T_EMPLOYEES[[#This Row],[JOB LEVEL]],L_JOBLEVEL,0))</f>
        <v/>
      </c>
      <c r="AM119">
        <f>IF(T_EMPLOYEES[[#This Row],[EMPLOYEE NUMBER]]="","",MATCH(T_EMPLOYEES[[#This Row],[JOB TITLE]],L_JOBTITLE,0))</f>
        <v/>
      </c>
      <c r="AN119">
        <f>IF(T_EMPLOYEES[[#This Row],[EMPLOYEE NUMBER]]="","",MATCH(T_EMPLOYEES[[#This Row],[MANAGER]],L_EMPLABELS,0))</f>
        <v/>
      </c>
      <c r="AO119">
        <f>IF(T_EMPLOYEES[[#This Row],[EMPLOYEE NUMBER]]="","",IF(T_EMPLOYEES[[#This Row],[ERROR]]="",0,1))</f>
        <v/>
      </c>
      <c r="AP11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19" t="inlineStr">
        <is>
          <t>Global</t>
        </is>
      </c>
    </row>
    <row r="120">
      <c r="A120" t="inlineStr">
        <is>
          <t>Atla</t>
        </is>
      </c>
      <c r="B120" t="inlineStr">
        <is>
          <t>Tirupati Reddy</t>
        </is>
      </c>
      <c r="C120" t="n">
        <v>1033419</v>
      </c>
      <c r="D120" t="inlineStr">
        <is>
          <t>Tirupati.Reddy@infinite.com</t>
        </is>
      </c>
      <c r="E120" s="26" t="n">
        <v>31877</v>
      </c>
      <c r="F120" s="26" t="n">
        <v>45163</v>
      </c>
      <c r="H120" t="inlineStr">
        <is>
          <t>Male</t>
        </is>
      </c>
      <c r="I120" t="inlineStr">
        <is>
          <t>Asian</t>
        </is>
      </c>
      <c r="J120" t="inlineStr">
        <is>
          <t>WEBSITE</t>
        </is>
      </c>
      <c r="K120" t="inlineStr">
        <is>
          <t>Bangalore</t>
        </is>
      </c>
      <c r="L120" s="27" t="inlineStr">
        <is>
          <t>IT</t>
        </is>
      </c>
      <c r="M120" t="inlineStr">
        <is>
          <t>Full-Time</t>
        </is>
      </c>
      <c r="N120" t="inlineStr">
        <is>
          <t>Senior Software Engineer</t>
        </is>
      </c>
      <c r="O120" t="inlineStr">
        <is>
          <t>E3</t>
        </is>
      </c>
      <c r="P120" t="inlineStr">
        <is>
          <t>Senior Software Engineer</t>
        </is>
      </c>
      <c r="Q120" t="inlineStr">
        <is>
          <t>Korivolla Umamahesh (1032896)</t>
        </is>
      </c>
      <c r="R120" s="27" t="n">
        <v>3</v>
      </c>
      <c r="S120" s="1" t="n">
        <v>250000</v>
      </c>
      <c r="T120" s="1">
        <f>ROUND(T_EMPLOYEES[[#This Row],[EMP_CTC1]]/12, 0)</f>
        <v/>
      </c>
      <c r="U120" s="1" t="n">
        <v>150000</v>
      </c>
      <c r="V120" s="1" t="inlineStr">
        <is>
          <t>NH</t>
        </is>
      </c>
      <c r="W120" s="1" t="inlineStr">
        <is>
          <t>NH</t>
        </is>
      </c>
      <c r="X12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0" t="n">
        <v>60000</v>
      </c>
      <c r="Z120" s="29">
        <f>(S120 - U120)/S120 * 100</f>
        <v/>
      </c>
      <c r="AA120">
        <f>IF(T_EMPLOYEES[[#This Row],[EMPLOYEE NUMBER]]="","",ROW(T_EMPLOYEES[[#This Row],[EMPLOYEE LABEL]])-ROW(T_EMPLOYEES[[#Headers],[EMPLOYEE LABEL]]))</f>
        <v/>
      </c>
      <c r="AB120">
        <f>IF(T_EMPLOYEES[[#This Row],[EMPLOYEE NUMBER]]="","",IF(COUNTIF(T_EMPLOYEES[EMPLOYEE NUMBER],T_EMPLOYEES[[#This Row],[EMPLOYEE NUMBER]])&gt;1,1,0))</f>
        <v/>
      </c>
      <c r="AC120">
        <f>IF(T_EMPLOYEES[[#This Row],[EMPLOYEE NUMBER]]="","",IF(AND(T_EMPLOYEES[[#This Row],[DATE OF BIRTH]]&gt;0,T_EMPLOYEES[[#This Row],[DATE OF BIRTH]]&lt;TODAY()),0,1))</f>
        <v/>
      </c>
      <c r="AD120">
        <f>IF(T_EMPLOYEES[[#This Row],[EMPLOYEE NUMBER]]="","",IF(AND(T_EMPLOYEES[[#This Row],[START DATE]]&gt;0,T_EMPLOYEES[[#This Row],[START DATE]]&lt;TODAY()+60),0,1))</f>
        <v/>
      </c>
      <c r="AE120">
        <f>IF(T_EMPLOYEES[[#This Row],[EMPLOYEE NUMBER]]="","",MATCH(T_EMPLOYEES[[#This Row],[GENDER]],L_GENDER,0))</f>
        <v/>
      </c>
      <c r="AF120">
        <f>IF(T_EMPLOYEES[[#This Row],[EMPLOYEE NUMBER]]="","",MATCH(T_EMPLOYEES[[#This Row],[HIRE SOURCE]],L_HIRESOURCE,0))</f>
        <v/>
      </c>
      <c r="AG120">
        <f>IF(T_EMPLOYEES[[#This Row],[EMPLOYEE NUMBER]]="","",MATCH(T_EMPLOYEES[[#This Row],[ETHNICITY]],L_ETHNICITY,0))</f>
        <v/>
      </c>
      <c r="AH120">
        <f>IF(T_EMPLOYEES[[#This Row],[EMPLOYEE NUMBER]]="","",MATCH(T_EMPLOYEES[[#This Row],[LOCATION]],L_LOCATION,0))</f>
        <v/>
      </c>
      <c r="AI120">
        <f>IF(T_EMPLOYEES[[#This Row],[EMPLOYEE NUMBER]]="","",MATCH(T_EMPLOYEES[[#This Row],[DEPARTMENT]],L_DEPARTMENT,0))</f>
        <v/>
      </c>
      <c r="AJ120">
        <f>IF(T_EMPLOYEES[[#This Row],[EMPLOYEE NUMBER]]="","",MATCH(T_EMPLOYEES[[#This Row],[JOB TYPE]],L_JOBTYPE,0))</f>
        <v/>
      </c>
      <c r="AK120">
        <f>IF(T_EMPLOYEES[[#This Row],[EMPLOYEE NUMBER]]="","",MATCH(T_EMPLOYEES[[#This Row],[JOB CATEGORY]],L_JOBCATEGORY,0))</f>
        <v/>
      </c>
      <c r="AL120">
        <f>IF(T_EMPLOYEES[[#This Row],[EMPLOYEE NUMBER]]="","",MATCH(T_EMPLOYEES[[#This Row],[JOB LEVEL]],L_JOBLEVEL,0))</f>
        <v/>
      </c>
      <c r="AM120">
        <f>IF(T_EMPLOYEES[[#This Row],[EMPLOYEE NUMBER]]="","",MATCH(T_EMPLOYEES[[#This Row],[JOB TITLE]],L_JOBTITLE,0))</f>
        <v/>
      </c>
      <c r="AN120">
        <f>IF(T_EMPLOYEES[[#This Row],[EMPLOYEE NUMBER]]="","",MATCH(T_EMPLOYEES[[#This Row],[MANAGER]],L_EMPLABELS,0))</f>
        <v/>
      </c>
      <c r="AO120">
        <f>IF(T_EMPLOYEES[[#This Row],[EMPLOYEE NUMBER]]="","",IF(T_EMPLOYEES[[#This Row],[ERROR]]="",0,1))</f>
        <v/>
      </c>
      <c r="AP12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20" t="inlineStr">
        <is>
          <t>Global</t>
        </is>
      </c>
    </row>
    <row r="121">
      <c r="A121" t="inlineStr">
        <is>
          <t>Pradeepta</t>
        </is>
      </c>
      <c r="B121" t="inlineStr">
        <is>
          <t>Kumar Pattnayak</t>
        </is>
      </c>
      <c r="C121" t="n">
        <v>1019250</v>
      </c>
      <c r="D121" t="inlineStr">
        <is>
          <t>Pradeepta.Pattnayak@infinite.com</t>
        </is>
      </c>
      <c r="E121" s="26" t="n">
        <v>31881</v>
      </c>
      <c r="F121" s="26" t="n">
        <v>42809</v>
      </c>
      <c r="H121" t="inlineStr">
        <is>
          <t>Male</t>
        </is>
      </c>
      <c r="I121" t="inlineStr">
        <is>
          <t>Asian</t>
        </is>
      </c>
      <c r="J121" t="inlineStr">
        <is>
          <t>WEBSITE</t>
        </is>
      </c>
      <c r="K121" t="inlineStr">
        <is>
          <t>Bangalore</t>
        </is>
      </c>
      <c r="L121" s="27" t="inlineStr">
        <is>
          <t>IT</t>
        </is>
      </c>
      <c r="M121" t="inlineStr">
        <is>
          <t>Full-Time</t>
        </is>
      </c>
      <c r="N121" t="inlineStr">
        <is>
          <t>Senior Lead System Administrator</t>
        </is>
      </c>
      <c r="O121" t="inlineStr">
        <is>
          <t>E5</t>
        </is>
      </c>
      <c r="P121" t="inlineStr">
        <is>
          <t>Senior Lead System Administrator</t>
        </is>
      </c>
      <c r="Q121" t="inlineStr">
        <is>
          <t>Radhakanta  Samantara (1010164)</t>
        </is>
      </c>
      <c r="R121" t="n">
        <v>7</v>
      </c>
      <c r="S121" s="1" t="n">
        <v>250000</v>
      </c>
      <c r="T121" s="1">
        <f>ROUND(T_EMPLOYEES[[#This Row],[EMP_CTC1]]/12, 0)</f>
        <v/>
      </c>
      <c r="U121" s="1" t="n">
        <v>150000</v>
      </c>
      <c r="V121" s="1" t="inlineStr">
        <is>
          <t>NH</t>
        </is>
      </c>
      <c r="W121" s="1" t="inlineStr">
        <is>
          <t>NH</t>
        </is>
      </c>
      <c r="X12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1" t="n">
        <v>60000</v>
      </c>
      <c r="Z121" s="29">
        <f>(S121 - U121)/S121 * 100</f>
        <v/>
      </c>
      <c r="AA121">
        <f>IF(T_EMPLOYEES[[#This Row],[EMPLOYEE NUMBER]]="","",ROW(T_EMPLOYEES[[#This Row],[EMPLOYEE LABEL]])-ROW(T_EMPLOYEES[[#Headers],[EMPLOYEE LABEL]]))</f>
        <v/>
      </c>
      <c r="AB121">
        <f>IF(T_EMPLOYEES[[#This Row],[EMPLOYEE NUMBER]]="","",IF(COUNTIF(T_EMPLOYEES[EMPLOYEE NUMBER],T_EMPLOYEES[[#This Row],[EMPLOYEE NUMBER]])&gt;1,1,0))</f>
        <v/>
      </c>
      <c r="AC121">
        <f>IF(T_EMPLOYEES[[#This Row],[EMPLOYEE NUMBER]]="","",IF(AND(T_EMPLOYEES[[#This Row],[DATE OF BIRTH]]&gt;0,T_EMPLOYEES[[#This Row],[DATE OF BIRTH]]&lt;TODAY()),0,1))</f>
        <v/>
      </c>
      <c r="AD121">
        <f>IF(T_EMPLOYEES[[#This Row],[EMPLOYEE NUMBER]]="","",IF(AND(T_EMPLOYEES[[#This Row],[START DATE]]&gt;0,T_EMPLOYEES[[#This Row],[START DATE]]&lt;TODAY()+60),0,1))</f>
        <v/>
      </c>
      <c r="AE121">
        <f>IF(T_EMPLOYEES[[#This Row],[EMPLOYEE NUMBER]]="","",MATCH(T_EMPLOYEES[[#This Row],[GENDER]],L_GENDER,0))</f>
        <v/>
      </c>
      <c r="AF121">
        <f>IF(T_EMPLOYEES[[#This Row],[EMPLOYEE NUMBER]]="","",MATCH(T_EMPLOYEES[[#This Row],[HIRE SOURCE]],L_HIRESOURCE,0))</f>
        <v/>
      </c>
      <c r="AG121">
        <f>IF(T_EMPLOYEES[[#This Row],[EMPLOYEE NUMBER]]="","",MATCH(T_EMPLOYEES[[#This Row],[ETHNICITY]],L_ETHNICITY,0))</f>
        <v/>
      </c>
      <c r="AH121">
        <f>IF(T_EMPLOYEES[[#This Row],[EMPLOYEE NUMBER]]="","",MATCH(T_EMPLOYEES[[#This Row],[LOCATION]],L_LOCATION,0))</f>
        <v/>
      </c>
      <c r="AI121">
        <f>IF(T_EMPLOYEES[[#This Row],[EMPLOYEE NUMBER]]="","",MATCH(T_EMPLOYEES[[#This Row],[DEPARTMENT]],L_DEPARTMENT,0))</f>
        <v/>
      </c>
      <c r="AJ121">
        <f>IF(T_EMPLOYEES[[#This Row],[EMPLOYEE NUMBER]]="","",MATCH(T_EMPLOYEES[[#This Row],[JOB TYPE]],L_JOBTYPE,0))</f>
        <v/>
      </c>
      <c r="AK121">
        <f>IF(T_EMPLOYEES[[#This Row],[EMPLOYEE NUMBER]]="","",MATCH(T_EMPLOYEES[[#This Row],[JOB CATEGORY]],L_JOBCATEGORY,0))</f>
        <v/>
      </c>
      <c r="AL121">
        <f>IF(T_EMPLOYEES[[#This Row],[EMPLOYEE NUMBER]]="","",MATCH(T_EMPLOYEES[[#This Row],[JOB LEVEL]],L_JOBLEVEL,0))</f>
        <v/>
      </c>
      <c r="AM121">
        <f>IF(T_EMPLOYEES[[#This Row],[EMPLOYEE NUMBER]]="","",MATCH(T_EMPLOYEES[[#This Row],[JOB TITLE]],L_JOBTITLE,0))</f>
        <v/>
      </c>
      <c r="AN121">
        <f>IF(T_EMPLOYEES[[#This Row],[EMPLOYEE NUMBER]]="","",MATCH(T_EMPLOYEES[[#This Row],[MANAGER]],L_EMPLABELS,0))</f>
        <v/>
      </c>
      <c r="AO121">
        <f>IF(T_EMPLOYEES[[#This Row],[EMPLOYEE NUMBER]]="","",IF(T_EMPLOYEES[[#This Row],[ERROR]]="",0,1))</f>
        <v/>
      </c>
      <c r="AP12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2">
      <c r="A122" t="inlineStr">
        <is>
          <t>SANJIT</t>
        </is>
      </c>
      <c r="B122" t="inlineStr">
        <is>
          <t>KUMAR</t>
        </is>
      </c>
      <c r="C122" t="n">
        <v>1029295</v>
      </c>
      <c r="D122" t="inlineStr">
        <is>
          <t>Sanjit.Kumar@infinite.com</t>
        </is>
      </c>
      <c r="E122" s="26" t="n">
        <v>31899</v>
      </c>
      <c r="F122" s="26" t="n">
        <v>44728</v>
      </c>
      <c r="H122" t="inlineStr">
        <is>
          <t>Male</t>
        </is>
      </c>
      <c r="I122" t="inlineStr">
        <is>
          <t>Asian</t>
        </is>
      </c>
      <c r="J122" t="inlineStr">
        <is>
          <t>WEBSITE</t>
        </is>
      </c>
      <c r="K122" t="inlineStr">
        <is>
          <t>Bangalore</t>
        </is>
      </c>
      <c r="L122" s="27" t="inlineStr">
        <is>
          <t>IT</t>
        </is>
      </c>
      <c r="M122" t="inlineStr">
        <is>
          <t>Full-Time</t>
        </is>
      </c>
      <c r="N122" t="inlineStr">
        <is>
          <t>Senior Software Engineer</t>
        </is>
      </c>
      <c r="O122" t="inlineStr">
        <is>
          <t>E3</t>
        </is>
      </c>
      <c r="P122" t="inlineStr">
        <is>
          <t>Senior Software Engineer</t>
        </is>
      </c>
      <c r="Q122" t="inlineStr">
        <is>
          <t>Srinivas Rao Vemana (1028538)</t>
        </is>
      </c>
      <c r="R122" s="27" t="n">
        <v>3</v>
      </c>
      <c r="S122" s="1" t="n">
        <v>250000</v>
      </c>
      <c r="T122" s="1">
        <f>ROUND(T_EMPLOYEES[[#This Row],[EMP_CTC1]]/12, 0)</f>
        <v/>
      </c>
      <c r="U122" s="1" t="n">
        <v>150000</v>
      </c>
      <c r="V122" s="1" t="inlineStr">
        <is>
          <t>NH</t>
        </is>
      </c>
      <c r="W122" s="1" t="inlineStr">
        <is>
          <t>NH</t>
        </is>
      </c>
      <c r="X12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2" t="n">
        <v>60000</v>
      </c>
      <c r="Z122" s="29">
        <f>(S122 - U122)/S122 * 100</f>
        <v/>
      </c>
      <c r="AA122">
        <f>IF(T_EMPLOYEES[[#This Row],[EMPLOYEE NUMBER]]="","",ROW(T_EMPLOYEES[[#This Row],[EMPLOYEE LABEL]])-ROW(T_EMPLOYEES[[#Headers],[EMPLOYEE LABEL]]))</f>
        <v/>
      </c>
      <c r="AB122">
        <f>IF(T_EMPLOYEES[[#This Row],[EMPLOYEE NUMBER]]="","",IF(COUNTIF(T_EMPLOYEES[EMPLOYEE NUMBER],T_EMPLOYEES[[#This Row],[EMPLOYEE NUMBER]])&gt;1,1,0))</f>
        <v/>
      </c>
      <c r="AC122">
        <f>IF(T_EMPLOYEES[[#This Row],[EMPLOYEE NUMBER]]="","",IF(AND(T_EMPLOYEES[[#This Row],[DATE OF BIRTH]]&gt;0,T_EMPLOYEES[[#This Row],[DATE OF BIRTH]]&lt;TODAY()),0,1))</f>
        <v/>
      </c>
      <c r="AD122">
        <f>IF(T_EMPLOYEES[[#This Row],[EMPLOYEE NUMBER]]="","",IF(AND(T_EMPLOYEES[[#This Row],[START DATE]]&gt;0,T_EMPLOYEES[[#This Row],[START DATE]]&lt;TODAY()+60),0,1))</f>
        <v/>
      </c>
      <c r="AE122">
        <f>IF(T_EMPLOYEES[[#This Row],[EMPLOYEE NUMBER]]="","",MATCH(T_EMPLOYEES[[#This Row],[GENDER]],L_GENDER,0))</f>
        <v/>
      </c>
      <c r="AF122">
        <f>IF(T_EMPLOYEES[[#This Row],[EMPLOYEE NUMBER]]="","",MATCH(T_EMPLOYEES[[#This Row],[HIRE SOURCE]],L_HIRESOURCE,0))</f>
        <v/>
      </c>
      <c r="AG122">
        <f>IF(T_EMPLOYEES[[#This Row],[EMPLOYEE NUMBER]]="","",MATCH(T_EMPLOYEES[[#This Row],[ETHNICITY]],L_ETHNICITY,0))</f>
        <v/>
      </c>
      <c r="AH122">
        <f>IF(T_EMPLOYEES[[#This Row],[EMPLOYEE NUMBER]]="","",MATCH(T_EMPLOYEES[[#This Row],[LOCATION]],L_LOCATION,0))</f>
        <v/>
      </c>
      <c r="AI122">
        <f>IF(T_EMPLOYEES[[#This Row],[EMPLOYEE NUMBER]]="","",MATCH(T_EMPLOYEES[[#This Row],[DEPARTMENT]],L_DEPARTMENT,0))</f>
        <v/>
      </c>
      <c r="AJ122">
        <f>IF(T_EMPLOYEES[[#This Row],[EMPLOYEE NUMBER]]="","",MATCH(T_EMPLOYEES[[#This Row],[JOB TYPE]],L_JOBTYPE,0))</f>
        <v/>
      </c>
      <c r="AK122">
        <f>IF(T_EMPLOYEES[[#This Row],[EMPLOYEE NUMBER]]="","",MATCH(T_EMPLOYEES[[#This Row],[JOB CATEGORY]],L_JOBCATEGORY,0))</f>
        <v/>
      </c>
      <c r="AL122">
        <f>IF(T_EMPLOYEES[[#This Row],[EMPLOYEE NUMBER]]="","",MATCH(T_EMPLOYEES[[#This Row],[JOB LEVEL]],L_JOBLEVEL,0))</f>
        <v/>
      </c>
      <c r="AM122">
        <f>IF(T_EMPLOYEES[[#This Row],[EMPLOYEE NUMBER]]="","",MATCH(T_EMPLOYEES[[#This Row],[JOB TITLE]],L_JOBTITLE,0))</f>
        <v/>
      </c>
      <c r="AN122">
        <f>IF(T_EMPLOYEES[[#This Row],[EMPLOYEE NUMBER]]="","",MATCH(T_EMPLOYEES[[#This Row],[MANAGER]],L_EMPLABELS,0))</f>
        <v/>
      </c>
      <c r="AO122">
        <f>IF(T_EMPLOYEES[[#This Row],[EMPLOYEE NUMBER]]="","",IF(T_EMPLOYEES[[#This Row],[ERROR]]="",0,1))</f>
        <v/>
      </c>
      <c r="AP12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3">
      <c r="A123" t="inlineStr">
        <is>
          <t>Someshwara</t>
        </is>
      </c>
      <c r="B123" t="inlineStr">
        <is>
          <t>Prabhu Nanje Gowda</t>
        </is>
      </c>
      <c r="C123" t="n">
        <v>1021418</v>
      </c>
      <c r="D123" t="inlineStr">
        <is>
          <t>Someshwara.Prabhu@infinite.com</t>
        </is>
      </c>
      <c r="E123" s="26" t="n">
        <v>31919</v>
      </c>
      <c r="F123" s="26" t="n">
        <v>43474</v>
      </c>
      <c r="H123" t="inlineStr">
        <is>
          <t>Male</t>
        </is>
      </c>
      <c r="I123" t="inlineStr">
        <is>
          <t>Asian</t>
        </is>
      </c>
      <c r="J123" t="inlineStr">
        <is>
          <t>WEBSITE</t>
        </is>
      </c>
      <c r="K123" t="inlineStr">
        <is>
          <t>Bangalore</t>
        </is>
      </c>
      <c r="L123" s="27" t="inlineStr">
        <is>
          <t>IT</t>
        </is>
      </c>
      <c r="M123" t="inlineStr">
        <is>
          <t>Full-Time</t>
        </is>
      </c>
      <c r="N123" t="inlineStr">
        <is>
          <t>Senior Project Manager</t>
        </is>
      </c>
      <c r="O123" t="inlineStr">
        <is>
          <t>E7</t>
        </is>
      </c>
      <c r="P123" t="inlineStr">
        <is>
          <t>Senior Project Manager</t>
        </is>
      </c>
      <c r="Q123" t="inlineStr">
        <is>
          <t>Vijaykrishnan  Ragavan (1013703)</t>
        </is>
      </c>
      <c r="S123" s="1" t="n">
        <v>250000</v>
      </c>
      <c r="T123" s="1">
        <f>ROUND(T_EMPLOYEES[[#This Row],[EMP_CTC1]]/12, 0)</f>
        <v/>
      </c>
      <c r="U123" s="1" t="n">
        <v>150000</v>
      </c>
      <c r="V123" s="1" t="inlineStr">
        <is>
          <t>NH</t>
        </is>
      </c>
      <c r="W123" s="1" t="inlineStr">
        <is>
          <t>NH</t>
        </is>
      </c>
      <c r="X12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3" t="n">
        <v>60000</v>
      </c>
      <c r="Z123" s="29">
        <f>(S123 - U123)/S123 * 100</f>
        <v/>
      </c>
      <c r="AA123">
        <f>IF(T_EMPLOYEES[[#This Row],[EMPLOYEE NUMBER]]="","",ROW(T_EMPLOYEES[[#This Row],[EMPLOYEE LABEL]])-ROW(T_EMPLOYEES[[#Headers],[EMPLOYEE LABEL]]))</f>
        <v/>
      </c>
      <c r="AB123">
        <f>IF(T_EMPLOYEES[[#This Row],[EMPLOYEE NUMBER]]="","",IF(COUNTIF(T_EMPLOYEES[EMPLOYEE NUMBER],T_EMPLOYEES[[#This Row],[EMPLOYEE NUMBER]])&gt;1,1,0))</f>
        <v/>
      </c>
      <c r="AC123">
        <f>IF(T_EMPLOYEES[[#This Row],[EMPLOYEE NUMBER]]="","",IF(AND(T_EMPLOYEES[[#This Row],[DATE OF BIRTH]]&gt;0,T_EMPLOYEES[[#This Row],[DATE OF BIRTH]]&lt;TODAY()),0,1))</f>
        <v/>
      </c>
      <c r="AD123">
        <f>IF(T_EMPLOYEES[[#This Row],[EMPLOYEE NUMBER]]="","",IF(AND(T_EMPLOYEES[[#This Row],[START DATE]]&gt;0,T_EMPLOYEES[[#This Row],[START DATE]]&lt;TODAY()+60),0,1))</f>
        <v/>
      </c>
      <c r="AE123">
        <f>IF(T_EMPLOYEES[[#This Row],[EMPLOYEE NUMBER]]="","",MATCH(T_EMPLOYEES[[#This Row],[GENDER]],L_GENDER,0))</f>
        <v/>
      </c>
      <c r="AF123">
        <f>IF(T_EMPLOYEES[[#This Row],[EMPLOYEE NUMBER]]="","",MATCH(T_EMPLOYEES[[#This Row],[HIRE SOURCE]],L_HIRESOURCE,0))</f>
        <v/>
      </c>
      <c r="AG123">
        <f>IF(T_EMPLOYEES[[#This Row],[EMPLOYEE NUMBER]]="","",MATCH(T_EMPLOYEES[[#This Row],[ETHNICITY]],L_ETHNICITY,0))</f>
        <v/>
      </c>
      <c r="AH123">
        <f>IF(T_EMPLOYEES[[#This Row],[EMPLOYEE NUMBER]]="","",MATCH(T_EMPLOYEES[[#This Row],[LOCATION]],L_LOCATION,0))</f>
        <v/>
      </c>
      <c r="AI123">
        <f>IF(T_EMPLOYEES[[#This Row],[EMPLOYEE NUMBER]]="","",MATCH(T_EMPLOYEES[[#This Row],[DEPARTMENT]],L_DEPARTMENT,0))</f>
        <v/>
      </c>
      <c r="AJ123">
        <f>IF(T_EMPLOYEES[[#This Row],[EMPLOYEE NUMBER]]="","",MATCH(T_EMPLOYEES[[#This Row],[JOB TYPE]],L_JOBTYPE,0))</f>
        <v/>
      </c>
      <c r="AK123">
        <f>IF(T_EMPLOYEES[[#This Row],[EMPLOYEE NUMBER]]="","",MATCH(T_EMPLOYEES[[#This Row],[JOB CATEGORY]],L_JOBCATEGORY,0))</f>
        <v/>
      </c>
      <c r="AL123">
        <f>IF(T_EMPLOYEES[[#This Row],[EMPLOYEE NUMBER]]="","",MATCH(T_EMPLOYEES[[#This Row],[JOB LEVEL]],L_JOBLEVEL,0))</f>
        <v/>
      </c>
      <c r="AM123">
        <f>IF(T_EMPLOYEES[[#This Row],[EMPLOYEE NUMBER]]="","",MATCH(T_EMPLOYEES[[#This Row],[JOB TITLE]],L_JOBTITLE,0))</f>
        <v/>
      </c>
      <c r="AN123">
        <f>IF(T_EMPLOYEES[[#This Row],[EMPLOYEE NUMBER]]="","",MATCH(T_EMPLOYEES[[#This Row],[MANAGER]],L_EMPLABELS,0))</f>
        <v/>
      </c>
      <c r="AO123">
        <f>IF(T_EMPLOYEES[[#This Row],[EMPLOYEE NUMBER]]="","",IF(T_EMPLOYEES[[#This Row],[ERROR]]="",0,1))</f>
        <v/>
      </c>
      <c r="AP12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4">
      <c r="A124" t="inlineStr">
        <is>
          <t>Karthika</t>
        </is>
      </c>
      <c r="B124" t="inlineStr">
        <is>
          <t xml:space="preserve"> R</t>
        </is>
      </c>
      <c r="C124" t="n">
        <v>1020012</v>
      </c>
      <c r="D124" t="inlineStr">
        <is>
          <t>Karthika.Ramamoorthy@infinite.com</t>
        </is>
      </c>
      <c r="E124" s="26" t="n">
        <v>31923</v>
      </c>
      <c r="F124" s="26" t="n">
        <v>43068</v>
      </c>
      <c r="H124" t="inlineStr">
        <is>
          <t>Female</t>
        </is>
      </c>
      <c r="I124" t="inlineStr">
        <is>
          <t>Asian</t>
        </is>
      </c>
      <c r="J124" t="inlineStr">
        <is>
          <t>WEBSITE</t>
        </is>
      </c>
      <c r="K124" t="inlineStr">
        <is>
          <t>Hyderabad</t>
        </is>
      </c>
      <c r="L124" s="27" t="inlineStr">
        <is>
          <t>QA</t>
        </is>
      </c>
      <c r="M124" t="inlineStr">
        <is>
          <t>Full-Time</t>
        </is>
      </c>
      <c r="N124" t="inlineStr">
        <is>
          <t>Senior Test Lead</t>
        </is>
      </c>
      <c r="O124" t="inlineStr">
        <is>
          <t>E5</t>
        </is>
      </c>
      <c r="P124" t="inlineStr">
        <is>
          <t>Senior Test Lead</t>
        </is>
      </c>
      <c r="Q124" t="inlineStr">
        <is>
          <t>Siva Kumar  Shada (1000177)</t>
        </is>
      </c>
      <c r="R124" s="27" t="n">
        <v>7</v>
      </c>
      <c r="S124" s="1" t="n">
        <v>250000</v>
      </c>
      <c r="T124" s="1">
        <f>ROUND(T_EMPLOYEES[[#This Row],[EMP_CTC1]]/12, 0)</f>
        <v/>
      </c>
      <c r="U124" s="1" t="n">
        <v>150000</v>
      </c>
      <c r="V124" s="1" t="inlineStr">
        <is>
          <t>NH</t>
        </is>
      </c>
      <c r="W124" s="1" t="inlineStr">
        <is>
          <t>NH</t>
        </is>
      </c>
      <c r="X12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4" t="n">
        <v>60000</v>
      </c>
      <c r="Z124" s="29">
        <f>(S124 - U124)/S124 * 100</f>
        <v/>
      </c>
      <c r="AA124">
        <f>IF(T_EMPLOYEES[[#This Row],[EMPLOYEE NUMBER]]="","",ROW(T_EMPLOYEES[[#This Row],[EMPLOYEE LABEL]])-ROW(T_EMPLOYEES[[#Headers],[EMPLOYEE LABEL]]))</f>
        <v/>
      </c>
      <c r="AB124">
        <f>IF(T_EMPLOYEES[[#This Row],[EMPLOYEE NUMBER]]="","",IF(COUNTIF(T_EMPLOYEES[EMPLOYEE NUMBER],T_EMPLOYEES[[#This Row],[EMPLOYEE NUMBER]])&gt;1,1,0))</f>
        <v/>
      </c>
      <c r="AC124">
        <f>IF(T_EMPLOYEES[[#This Row],[EMPLOYEE NUMBER]]="","",IF(AND(T_EMPLOYEES[[#This Row],[DATE OF BIRTH]]&gt;0,T_EMPLOYEES[[#This Row],[DATE OF BIRTH]]&lt;TODAY()),0,1))</f>
        <v/>
      </c>
      <c r="AD124">
        <f>IF(T_EMPLOYEES[[#This Row],[EMPLOYEE NUMBER]]="","",IF(AND(T_EMPLOYEES[[#This Row],[START DATE]]&gt;0,T_EMPLOYEES[[#This Row],[START DATE]]&lt;TODAY()+60),0,1))</f>
        <v/>
      </c>
      <c r="AE124">
        <f>IF(T_EMPLOYEES[[#This Row],[EMPLOYEE NUMBER]]="","",MATCH(T_EMPLOYEES[[#This Row],[GENDER]],L_GENDER,0))</f>
        <v/>
      </c>
      <c r="AF124">
        <f>IF(T_EMPLOYEES[[#This Row],[EMPLOYEE NUMBER]]="","",MATCH(T_EMPLOYEES[[#This Row],[HIRE SOURCE]],L_HIRESOURCE,0))</f>
        <v/>
      </c>
      <c r="AG124">
        <f>IF(T_EMPLOYEES[[#This Row],[EMPLOYEE NUMBER]]="","",MATCH(T_EMPLOYEES[[#This Row],[ETHNICITY]],L_ETHNICITY,0))</f>
        <v/>
      </c>
      <c r="AH124">
        <f>IF(T_EMPLOYEES[[#This Row],[EMPLOYEE NUMBER]]="","",MATCH(T_EMPLOYEES[[#This Row],[LOCATION]],L_LOCATION,0))</f>
        <v/>
      </c>
      <c r="AI124">
        <f>IF(T_EMPLOYEES[[#This Row],[EMPLOYEE NUMBER]]="","",MATCH(T_EMPLOYEES[[#This Row],[DEPARTMENT]],L_DEPARTMENT,0))</f>
        <v/>
      </c>
      <c r="AJ124">
        <f>IF(T_EMPLOYEES[[#This Row],[EMPLOYEE NUMBER]]="","",MATCH(T_EMPLOYEES[[#This Row],[JOB TYPE]],L_JOBTYPE,0))</f>
        <v/>
      </c>
      <c r="AK124">
        <f>IF(T_EMPLOYEES[[#This Row],[EMPLOYEE NUMBER]]="","",MATCH(T_EMPLOYEES[[#This Row],[JOB CATEGORY]],L_JOBCATEGORY,0))</f>
        <v/>
      </c>
      <c r="AL124">
        <f>IF(T_EMPLOYEES[[#This Row],[EMPLOYEE NUMBER]]="","",MATCH(T_EMPLOYEES[[#This Row],[JOB LEVEL]],L_JOBLEVEL,0))</f>
        <v/>
      </c>
      <c r="AM124">
        <f>IF(T_EMPLOYEES[[#This Row],[EMPLOYEE NUMBER]]="","",MATCH(T_EMPLOYEES[[#This Row],[JOB TITLE]],L_JOBTITLE,0))</f>
        <v/>
      </c>
      <c r="AN124">
        <f>IF(T_EMPLOYEES[[#This Row],[EMPLOYEE NUMBER]]="","",MATCH(T_EMPLOYEES[[#This Row],[MANAGER]],L_EMPLABELS,0))</f>
        <v/>
      </c>
      <c r="AO124">
        <f>IF(T_EMPLOYEES[[#This Row],[EMPLOYEE NUMBER]]="","",IF(T_EMPLOYEES[[#This Row],[ERROR]]="",0,1))</f>
        <v/>
      </c>
      <c r="AP12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5">
      <c r="A125" t="inlineStr">
        <is>
          <t>V</t>
        </is>
      </c>
      <c r="B125" t="inlineStr">
        <is>
          <t xml:space="preserve"> Sudhakar</t>
        </is>
      </c>
      <c r="C125" t="n">
        <v>1028165</v>
      </c>
      <c r="D125" t="inlineStr">
        <is>
          <t>Sudhakar.Vugrarapu@infinite.com</t>
        </is>
      </c>
      <c r="E125" s="26" t="n">
        <v>31930</v>
      </c>
      <c r="F125" s="26" t="n">
        <v>44588</v>
      </c>
      <c r="H125" t="inlineStr">
        <is>
          <t>Male</t>
        </is>
      </c>
      <c r="I125" t="inlineStr">
        <is>
          <t>Asian</t>
        </is>
      </c>
      <c r="J125" t="inlineStr">
        <is>
          <t>WEBSITE</t>
        </is>
      </c>
      <c r="K125" t="inlineStr">
        <is>
          <t>Hyderabad</t>
        </is>
      </c>
      <c r="L125" s="27" t="inlineStr">
        <is>
          <t>IT</t>
        </is>
      </c>
      <c r="M125" t="inlineStr">
        <is>
          <t>Full-Time</t>
        </is>
      </c>
      <c r="N125" t="inlineStr">
        <is>
          <t>Senior Software Engineer</t>
        </is>
      </c>
      <c r="O125" t="inlineStr">
        <is>
          <t>E3</t>
        </is>
      </c>
      <c r="P125" t="inlineStr">
        <is>
          <t>Senior Software Engineer</t>
        </is>
      </c>
      <c r="Q125" t="inlineStr">
        <is>
          <t>Rashmi  Manchanda (1023573)</t>
        </is>
      </c>
      <c r="R125" t="n">
        <v>3</v>
      </c>
      <c r="S125" s="1" t="n">
        <v>250000</v>
      </c>
      <c r="T125" s="1">
        <f>ROUND(T_EMPLOYEES[[#This Row],[EMP_CTC1]]/12, 0)</f>
        <v/>
      </c>
      <c r="U125" s="1" t="n">
        <v>150000</v>
      </c>
      <c r="V125" s="1" t="inlineStr">
        <is>
          <t>NH</t>
        </is>
      </c>
      <c r="W125" s="1" t="inlineStr">
        <is>
          <t>NH</t>
        </is>
      </c>
      <c r="X12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5" t="n">
        <v>60000</v>
      </c>
      <c r="Z125" s="29">
        <f>(S125 - U125)/S125 * 100</f>
        <v/>
      </c>
      <c r="AA125">
        <f>IF(T_EMPLOYEES[[#This Row],[EMPLOYEE NUMBER]]="","",ROW(T_EMPLOYEES[[#This Row],[EMPLOYEE LABEL]])-ROW(T_EMPLOYEES[[#Headers],[EMPLOYEE LABEL]]))</f>
        <v/>
      </c>
      <c r="AB125">
        <f>IF(T_EMPLOYEES[[#This Row],[EMPLOYEE NUMBER]]="","",IF(COUNTIF(T_EMPLOYEES[EMPLOYEE NUMBER],T_EMPLOYEES[[#This Row],[EMPLOYEE NUMBER]])&gt;1,1,0))</f>
        <v/>
      </c>
      <c r="AC125">
        <f>IF(T_EMPLOYEES[[#This Row],[EMPLOYEE NUMBER]]="","",IF(AND(T_EMPLOYEES[[#This Row],[DATE OF BIRTH]]&gt;0,T_EMPLOYEES[[#This Row],[DATE OF BIRTH]]&lt;TODAY()),0,1))</f>
        <v/>
      </c>
      <c r="AD125">
        <f>IF(T_EMPLOYEES[[#This Row],[EMPLOYEE NUMBER]]="","",IF(AND(T_EMPLOYEES[[#This Row],[START DATE]]&gt;0,T_EMPLOYEES[[#This Row],[START DATE]]&lt;TODAY()+60),0,1))</f>
        <v/>
      </c>
      <c r="AE125">
        <f>IF(T_EMPLOYEES[[#This Row],[EMPLOYEE NUMBER]]="","",MATCH(T_EMPLOYEES[[#This Row],[GENDER]],L_GENDER,0))</f>
        <v/>
      </c>
      <c r="AF125">
        <f>IF(T_EMPLOYEES[[#This Row],[EMPLOYEE NUMBER]]="","",MATCH(T_EMPLOYEES[[#This Row],[HIRE SOURCE]],L_HIRESOURCE,0))</f>
        <v/>
      </c>
      <c r="AG125">
        <f>IF(T_EMPLOYEES[[#This Row],[EMPLOYEE NUMBER]]="","",MATCH(T_EMPLOYEES[[#This Row],[ETHNICITY]],L_ETHNICITY,0))</f>
        <v/>
      </c>
      <c r="AH125">
        <f>IF(T_EMPLOYEES[[#This Row],[EMPLOYEE NUMBER]]="","",MATCH(T_EMPLOYEES[[#This Row],[LOCATION]],L_LOCATION,0))</f>
        <v/>
      </c>
      <c r="AI125">
        <f>IF(T_EMPLOYEES[[#This Row],[EMPLOYEE NUMBER]]="","",MATCH(T_EMPLOYEES[[#This Row],[DEPARTMENT]],L_DEPARTMENT,0))</f>
        <v/>
      </c>
      <c r="AJ125">
        <f>IF(T_EMPLOYEES[[#This Row],[EMPLOYEE NUMBER]]="","",MATCH(T_EMPLOYEES[[#This Row],[JOB TYPE]],L_JOBTYPE,0))</f>
        <v/>
      </c>
      <c r="AK125">
        <f>IF(T_EMPLOYEES[[#This Row],[EMPLOYEE NUMBER]]="","",MATCH(T_EMPLOYEES[[#This Row],[JOB CATEGORY]],L_JOBCATEGORY,0))</f>
        <v/>
      </c>
      <c r="AL125">
        <f>IF(T_EMPLOYEES[[#This Row],[EMPLOYEE NUMBER]]="","",MATCH(T_EMPLOYEES[[#This Row],[JOB LEVEL]],L_JOBLEVEL,0))</f>
        <v/>
      </c>
      <c r="AM125">
        <f>IF(T_EMPLOYEES[[#This Row],[EMPLOYEE NUMBER]]="","",MATCH(T_EMPLOYEES[[#This Row],[JOB TITLE]],L_JOBTITLE,0))</f>
        <v/>
      </c>
      <c r="AN125">
        <f>IF(T_EMPLOYEES[[#This Row],[EMPLOYEE NUMBER]]="","",MATCH(T_EMPLOYEES[[#This Row],[MANAGER]],L_EMPLABELS,0))</f>
        <v/>
      </c>
      <c r="AO125">
        <f>IF(T_EMPLOYEES[[#This Row],[EMPLOYEE NUMBER]]="","",IF(T_EMPLOYEES[[#This Row],[ERROR]]="",0,1))</f>
        <v/>
      </c>
      <c r="AP12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6">
      <c r="A126" t="inlineStr">
        <is>
          <t>Soumyashree</t>
        </is>
      </c>
      <c r="B126" t="inlineStr">
        <is>
          <t>Banjee</t>
        </is>
      </c>
      <c r="C126" t="n">
        <v>1031860</v>
      </c>
      <c r="D126" t="inlineStr">
        <is>
          <t>Soumyashree.Banjee@infinite.com</t>
        </is>
      </c>
      <c r="E126" s="26" t="n">
        <v>31933</v>
      </c>
      <c r="F126" s="26" t="n">
        <v>44914</v>
      </c>
      <c r="H126" t="inlineStr">
        <is>
          <t>Female</t>
        </is>
      </c>
      <c r="I126" t="inlineStr">
        <is>
          <t>Asian</t>
        </is>
      </c>
      <c r="J126" t="inlineStr">
        <is>
          <t>WEBSITE</t>
        </is>
      </c>
      <c r="K126" t="inlineStr">
        <is>
          <t>Bangalore</t>
        </is>
      </c>
      <c r="L126" s="27" t="inlineStr">
        <is>
          <t>IT</t>
        </is>
      </c>
      <c r="M126" t="inlineStr">
        <is>
          <t>Full-Time</t>
        </is>
      </c>
      <c r="N126" t="inlineStr">
        <is>
          <t>Senior Technical Lead</t>
        </is>
      </c>
      <c r="O126" t="inlineStr">
        <is>
          <t>E5</t>
        </is>
      </c>
      <c r="P126" t="inlineStr">
        <is>
          <t>Senior Technical Lead</t>
        </is>
      </c>
      <c r="Q126" t="inlineStr">
        <is>
          <t>Sunitha Panguluri (1031865)</t>
        </is>
      </c>
      <c r="R126" s="27" t="n">
        <v>7</v>
      </c>
      <c r="S126" s="1" t="n">
        <v>250000</v>
      </c>
      <c r="T126" s="1">
        <f>ROUND(T_EMPLOYEES[[#This Row],[EMP_CTC1]]/12, 0)</f>
        <v/>
      </c>
      <c r="U126" s="1" t="n">
        <v>150000</v>
      </c>
      <c r="V126" s="1" t="inlineStr">
        <is>
          <t>NH</t>
        </is>
      </c>
      <c r="W126" s="1" t="inlineStr">
        <is>
          <t>NH</t>
        </is>
      </c>
      <c r="X12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6" t="n">
        <v>60000</v>
      </c>
      <c r="Z126" s="29">
        <f>(S126 - U126)/S126 * 100</f>
        <v/>
      </c>
      <c r="AA126">
        <f>IF(T_EMPLOYEES[[#This Row],[EMPLOYEE NUMBER]]="","",ROW(T_EMPLOYEES[[#This Row],[EMPLOYEE LABEL]])-ROW(T_EMPLOYEES[[#Headers],[EMPLOYEE LABEL]]))</f>
        <v/>
      </c>
      <c r="AB126">
        <f>IF(T_EMPLOYEES[[#This Row],[EMPLOYEE NUMBER]]="","",IF(COUNTIF(T_EMPLOYEES[EMPLOYEE NUMBER],T_EMPLOYEES[[#This Row],[EMPLOYEE NUMBER]])&gt;1,1,0))</f>
        <v/>
      </c>
      <c r="AC126">
        <f>IF(T_EMPLOYEES[[#This Row],[EMPLOYEE NUMBER]]="","",IF(AND(T_EMPLOYEES[[#This Row],[DATE OF BIRTH]]&gt;0,T_EMPLOYEES[[#This Row],[DATE OF BIRTH]]&lt;TODAY()),0,1))</f>
        <v/>
      </c>
      <c r="AD126">
        <f>IF(T_EMPLOYEES[[#This Row],[EMPLOYEE NUMBER]]="","",IF(AND(T_EMPLOYEES[[#This Row],[START DATE]]&gt;0,T_EMPLOYEES[[#This Row],[START DATE]]&lt;TODAY()+60),0,1))</f>
        <v/>
      </c>
      <c r="AE126">
        <f>IF(T_EMPLOYEES[[#This Row],[EMPLOYEE NUMBER]]="","",MATCH(T_EMPLOYEES[[#This Row],[GENDER]],L_GENDER,0))</f>
        <v/>
      </c>
      <c r="AF126">
        <f>IF(T_EMPLOYEES[[#This Row],[EMPLOYEE NUMBER]]="","",MATCH(T_EMPLOYEES[[#This Row],[HIRE SOURCE]],L_HIRESOURCE,0))</f>
        <v/>
      </c>
      <c r="AG126">
        <f>IF(T_EMPLOYEES[[#This Row],[EMPLOYEE NUMBER]]="","",MATCH(T_EMPLOYEES[[#This Row],[ETHNICITY]],L_ETHNICITY,0))</f>
        <v/>
      </c>
      <c r="AH126">
        <f>IF(T_EMPLOYEES[[#This Row],[EMPLOYEE NUMBER]]="","",MATCH(T_EMPLOYEES[[#This Row],[LOCATION]],L_LOCATION,0))</f>
        <v/>
      </c>
      <c r="AI126">
        <f>IF(T_EMPLOYEES[[#This Row],[EMPLOYEE NUMBER]]="","",MATCH(T_EMPLOYEES[[#This Row],[DEPARTMENT]],L_DEPARTMENT,0))</f>
        <v/>
      </c>
      <c r="AJ126">
        <f>IF(T_EMPLOYEES[[#This Row],[EMPLOYEE NUMBER]]="","",MATCH(T_EMPLOYEES[[#This Row],[JOB TYPE]],L_JOBTYPE,0))</f>
        <v/>
      </c>
      <c r="AK126">
        <f>IF(T_EMPLOYEES[[#This Row],[EMPLOYEE NUMBER]]="","",MATCH(T_EMPLOYEES[[#This Row],[JOB CATEGORY]],L_JOBCATEGORY,0))</f>
        <v/>
      </c>
      <c r="AL126">
        <f>IF(T_EMPLOYEES[[#This Row],[EMPLOYEE NUMBER]]="","",MATCH(T_EMPLOYEES[[#This Row],[JOB LEVEL]],L_JOBLEVEL,0))</f>
        <v/>
      </c>
      <c r="AM126">
        <f>IF(T_EMPLOYEES[[#This Row],[EMPLOYEE NUMBER]]="","",MATCH(T_EMPLOYEES[[#This Row],[JOB TITLE]],L_JOBTITLE,0))</f>
        <v/>
      </c>
      <c r="AN126">
        <f>IF(T_EMPLOYEES[[#This Row],[EMPLOYEE NUMBER]]="","",MATCH(T_EMPLOYEES[[#This Row],[MANAGER]],L_EMPLABELS,0))</f>
        <v/>
      </c>
      <c r="AO126">
        <f>IF(T_EMPLOYEES[[#This Row],[EMPLOYEE NUMBER]]="","",IF(T_EMPLOYEES[[#This Row],[ERROR]]="",0,1))</f>
        <v/>
      </c>
      <c r="AP12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7">
      <c r="A127" t="inlineStr">
        <is>
          <t>Shambhavi</t>
        </is>
      </c>
      <c r="B127" t="inlineStr">
        <is>
          <t>Priya</t>
        </is>
      </c>
      <c r="C127" t="n">
        <v>1015227</v>
      </c>
      <c r="D127" t="inlineStr">
        <is>
          <t>Shambhavi.Priya@infinite.com</t>
        </is>
      </c>
      <c r="E127" s="26" t="n">
        <v>31936</v>
      </c>
      <c r="F127" s="26" t="n">
        <v>41795</v>
      </c>
      <c r="H127" t="inlineStr">
        <is>
          <t>Female</t>
        </is>
      </c>
      <c r="I127" t="inlineStr">
        <is>
          <t>Asian</t>
        </is>
      </c>
      <c r="J127" t="inlineStr">
        <is>
          <t>WEBSITE</t>
        </is>
      </c>
      <c r="K127" t="inlineStr">
        <is>
          <t>Bangalore</t>
        </is>
      </c>
      <c r="L127" s="27" t="inlineStr">
        <is>
          <t>IT</t>
        </is>
      </c>
      <c r="M127" t="inlineStr">
        <is>
          <t>Full-Time</t>
        </is>
      </c>
      <c r="N127" t="inlineStr">
        <is>
          <t>Manager</t>
        </is>
      </c>
      <c r="O127" t="inlineStr">
        <is>
          <t>E6</t>
        </is>
      </c>
      <c r="P127" t="inlineStr">
        <is>
          <t>Manager</t>
        </is>
      </c>
      <c r="Q127" t="inlineStr">
        <is>
          <t>Radhakanta  Samantara (1010164)</t>
        </is>
      </c>
      <c r="R127" t="n">
        <v>7</v>
      </c>
      <c r="S127" s="1" t="n">
        <v>250000</v>
      </c>
      <c r="T127" s="1">
        <f>ROUND(T_EMPLOYEES[[#This Row],[EMP_CTC1]]/12, 0)</f>
        <v/>
      </c>
      <c r="U127" s="1" t="n">
        <v>150000</v>
      </c>
      <c r="V127" s="1" t="inlineStr">
        <is>
          <t>NH</t>
        </is>
      </c>
      <c r="W127" s="1" t="inlineStr">
        <is>
          <t>NH</t>
        </is>
      </c>
      <c r="X12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7" t="n">
        <v>60000</v>
      </c>
      <c r="Z127" s="29">
        <f>(S127 - U127)/S127 * 100</f>
        <v/>
      </c>
      <c r="AA127">
        <f>IF(T_EMPLOYEES[[#This Row],[EMPLOYEE NUMBER]]="","",ROW(T_EMPLOYEES[[#This Row],[EMPLOYEE LABEL]])-ROW(T_EMPLOYEES[[#Headers],[EMPLOYEE LABEL]]))</f>
        <v/>
      </c>
      <c r="AB127">
        <f>IF(T_EMPLOYEES[[#This Row],[EMPLOYEE NUMBER]]="","",IF(COUNTIF(T_EMPLOYEES[EMPLOYEE NUMBER],T_EMPLOYEES[[#This Row],[EMPLOYEE NUMBER]])&gt;1,1,0))</f>
        <v/>
      </c>
      <c r="AC127">
        <f>IF(T_EMPLOYEES[[#This Row],[EMPLOYEE NUMBER]]="","",IF(AND(T_EMPLOYEES[[#This Row],[DATE OF BIRTH]]&gt;0,T_EMPLOYEES[[#This Row],[DATE OF BIRTH]]&lt;TODAY()),0,1))</f>
        <v/>
      </c>
      <c r="AD127">
        <f>IF(T_EMPLOYEES[[#This Row],[EMPLOYEE NUMBER]]="","",IF(AND(T_EMPLOYEES[[#This Row],[START DATE]]&gt;0,T_EMPLOYEES[[#This Row],[START DATE]]&lt;TODAY()+60),0,1))</f>
        <v/>
      </c>
      <c r="AE127">
        <f>IF(T_EMPLOYEES[[#This Row],[EMPLOYEE NUMBER]]="","",MATCH(T_EMPLOYEES[[#This Row],[GENDER]],L_GENDER,0))</f>
        <v/>
      </c>
      <c r="AF127">
        <f>IF(T_EMPLOYEES[[#This Row],[EMPLOYEE NUMBER]]="","",MATCH(T_EMPLOYEES[[#This Row],[HIRE SOURCE]],L_HIRESOURCE,0))</f>
        <v/>
      </c>
      <c r="AG127">
        <f>IF(T_EMPLOYEES[[#This Row],[EMPLOYEE NUMBER]]="","",MATCH(T_EMPLOYEES[[#This Row],[ETHNICITY]],L_ETHNICITY,0))</f>
        <v/>
      </c>
      <c r="AH127">
        <f>IF(T_EMPLOYEES[[#This Row],[EMPLOYEE NUMBER]]="","",MATCH(T_EMPLOYEES[[#This Row],[LOCATION]],L_LOCATION,0))</f>
        <v/>
      </c>
      <c r="AI127">
        <f>IF(T_EMPLOYEES[[#This Row],[EMPLOYEE NUMBER]]="","",MATCH(T_EMPLOYEES[[#This Row],[DEPARTMENT]],L_DEPARTMENT,0))</f>
        <v/>
      </c>
      <c r="AJ127">
        <f>IF(T_EMPLOYEES[[#This Row],[EMPLOYEE NUMBER]]="","",MATCH(T_EMPLOYEES[[#This Row],[JOB TYPE]],L_JOBTYPE,0))</f>
        <v/>
      </c>
      <c r="AK127">
        <f>IF(T_EMPLOYEES[[#This Row],[EMPLOYEE NUMBER]]="","",MATCH(T_EMPLOYEES[[#This Row],[JOB CATEGORY]],L_JOBCATEGORY,0))</f>
        <v/>
      </c>
      <c r="AL127">
        <f>IF(T_EMPLOYEES[[#This Row],[EMPLOYEE NUMBER]]="","",MATCH(T_EMPLOYEES[[#This Row],[JOB LEVEL]],L_JOBLEVEL,0))</f>
        <v/>
      </c>
      <c r="AM127">
        <f>IF(T_EMPLOYEES[[#This Row],[EMPLOYEE NUMBER]]="","",MATCH(T_EMPLOYEES[[#This Row],[JOB TITLE]],L_JOBTITLE,0))</f>
        <v/>
      </c>
      <c r="AN127">
        <f>IF(T_EMPLOYEES[[#This Row],[EMPLOYEE NUMBER]]="","",MATCH(T_EMPLOYEES[[#This Row],[MANAGER]],L_EMPLABELS,0))</f>
        <v/>
      </c>
      <c r="AO127">
        <f>IF(T_EMPLOYEES[[#This Row],[EMPLOYEE NUMBER]]="","",IF(T_EMPLOYEES[[#This Row],[ERROR]]="",0,1))</f>
        <v/>
      </c>
      <c r="AP12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8">
      <c r="A128" t="inlineStr">
        <is>
          <t>Chereddy</t>
        </is>
      </c>
      <c r="B128" t="inlineStr">
        <is>
          <t>Laxmi kumari</t>
        </is>
      </c>
      <c r="C128" t="n">
        <v>1029757</v>
      </c>
      <c r="D128" t="inlineStr">
        <is>
          <t>Laxmikumari.Chereddy@infinite.com</t>
        </is>
      </c>
      <c r="E128" s="26" t="n">
        <v>31954</v>
      </c>
      <c r="F128" s="26" t="n">
        <v>44781</v>
      </c>
      <c r="H128" t="inlineStr">
        <is>
          <t>Female</t>
        </is>
      </c>
      <c r="I128" t="inlineStr">
        <is>
          <t>Asian</t>
        </is>
      </c>
      <c r="J128" t="inlineStr">
        <is>
          <t>WEBSITE</t>
        </is>
      </c>
      <c r="K128" t="inlineStr">
        <is>
          <t>Hyderabad</t>
        </is>
      </c>
      <c r="L128" s="27" t="inlineStr">
        <is>
          <t>IT</t>
        </is>
      </c>
      <c r="M128" t="inlineStr">
        <is>
          <t>Full-Time</t>
        </is>
      </c>
      <c r="N128" t="inlineStr">
        <is>
          <t>Senior Software Test Engineer</t>
        </is>
      </c>
      <c r="O128" t="inlineStr">
        <is>
          <t>E3</t>
        </is>
      </c>
      <c r="P128" t="inlineStr">
        <is>
          <t>Senior Software Test Engineer</t>
        </is>
      </c>
      <c r="Q128" t="inlineStr">
        <is>
          <t>Santhosh B K (1025129)</t>
        </is>
      </c>
      <c r="R128" s="27" t="n">
        <v>3</v>
      </c>
      <c r="S128" s="1" t="n">
        <v>250000</v>
      </c>
      <c r="T128" s="1">
        <f>ROUND(T_EMPLOYEES[[#This Row],[EMP_CTC1]]/12, 0)</f>
        <v/>
      </c>
      <c r="U128" s="1" t="n">
        <v>150000</v>
      </c>
      <c r="V128" s="1" t="inlineStr">
        <is>
          <t>NH</t>
        </is>
      </c>
      <c r="W128" s="1" t="inlineStr">
        <is>
          <t>NH</t>
        </is>
      </c>
      <c r="X12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8" t="n">
        <v>60000</v>
      </c>
      <c r="Z128" s="29">
        <f>(S128 - U128)/S128 * 100</f>
        <v/>
      </c>
      <c r="AA128">
        <f>IF(T_EMPLOYEES[[#This Row],[EMPLOYEE NUMBER]]="","",ROW(T_EMPLOYEES[[#This Row],[EMPLOYEE LABEL]])-ROW(T_EMPLOYEES[[#Headers],[EMPLOYEE LABEL]]))</f>
        <v/>
      </c>
      <c r="AB128">
        <f>IF(T_EMPLOYEES[[#This Row],[EMPLOYEE NUMBER]]="","",IF(COUNTIF(T_EMPLOYEES[EMPLOYEE NUMBER],T_EMPLOYEES[[#This Row],[EMPLOYEE NUMBER]])&gt;1,1,0))</f>
        <v/>
      </c>
      <c r="AC128">
        <f>IF(T_EMPLOYEES[[#This Row],[EMPLOYEE NUMBER]]="","",IF(AND(T_EMPLOYEES[[#This Row],[DATE OF BIRTH]]&gt;0,T_EMPLOYEES[[#This Row],[DATE OF BIRTH]]&lt;TODAY()),0,1))</f>
        <v/>
      </c>
      <c r="AD128">
        <f>IF(T_EMPLOYEES[[#This Row],[EMPLOYEE NUMBER]]="","",IF(AND(T_EMPLOYEES[[#This Row],[START DATE]]&gt;0,T_EMPLOYEES[[#This Row],[START DATE]]&lt;TODAY()+60),0,1))</f>
        <v/>
      </c>
      <c r="AE128">
        <f>IF(T_EMPLOYEES[[#This Row],[EMPLOYEE NUMBER]]="","",MATCH(T_EMPLOYEES[[#This Row],[GENDER]],L_GENDER,0))</f>
        <v/>
      </c>
      <c r="AF128">
        <f>IF(T_EMPLOYEES[[#This Row],[EMPLOYEE NUMBER]]="","",MATCH(T_EMPLOYEES[[#This Row],[HIRE SOURCE]],L_HIRESOURCE,0))</f>
        <v/>
      </c>
      <c r="AG128">
        <f>IF(T_EMPLOYEES[[#This Row],[EMPLOYEE NUMBER]]="","",MATCH(T_EMPLOYEES[[#This Row],[ETHNICITY]],L_ETHNICITY,0))</f>
        <v/>
      </c>
      <c r="AH128">
        <f>IF(T_EMPLOYEES[[#This Row],[EMPLOYEE NUMBER]]="","",MATCH(T_EMPLOYEES[[#This Row],[LOCATION]],L_LOCATION,0))</f>
        <v/>
      </c>
      <c r="AI128">
        <f>IF(T_EMPLOYEES[[#This Row],[EMPLOYEE NUMBER]]="","",MATCH(T_EMPLOYEES[[#This Row],[DEPARTMENT]],L_DEPARTMENT,0))</f>
        <v/>
      </c>
      <c r="AJ128">
        <f>IF(T_EMPLOYEES[[#This Row],[EMPLOYEE NUMBER]]="","",MATCH(T_EMPLOYEES[[#This Row],[JOB TYPE]],L_JOBTYPE,0))</f>
        <v/>
      </c>
      <c r="AK128">
        <f>IF(T_EMPLOYEES[[#This Row],[EMPLOYEE NUMBER]]="","",MATCH(T_EMPLOYEES[[#This Row],[JOB CATEGORY]],L_JOBCATEGORY,0))</f>
        <v/>
      </c>
      <c r="AL128">
        <f>IF(T_EMPLOYEES[[#This Row],[EMPLOYEE NUMBER]]="","",MATCH(T_EMPLOYEES[[#This Row],[JOB LEVEL]],L_JOBLEVEL,0))</f>
        <v/>
      </c>
      <c r="AM128">
        <f>IF(T_EMPLOYEES[[#This Row],[EMPLOYEE NUMBER]]="","",MATCH(T_EMPLOYEES[[#This Row],[JOB TITLE]],L_JOBTITLE,0))</f>
        <v/>
      </c>
      <c r="AN128">
        <f>IF(T_EMPLOYEES[[#This Row],[EMPLOYEE NUMBER]]="","",MATCH(T_EMPLOYEES[[#This Row],[MANAGER]],L_EMPLABELS,0))</f>
        <v/>
      </c>
      <c r="AO128">
        <f>IF(T_EMPLOYEES[[#This Row],[EMPLOYEE NUMBER]]="","",IF(T_EMPLOYEES[[#This Row],[ERROR]]="",0,1))</f>
        <v/>
      </c>
      <c r="AP12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29">
      <c r="A129" t="inlineStr">
        <is>
          <t>Vinaykumar</t>
        </is>
      </c>
      <c r="B129" t="inlineStr">
        <is>
          <t xml:space="preserve"> Proddutoori</t>
        </is>
      </c>
      <c r="C129" t="n">
        <v>1024704</v>
      </c>
      <c r="D129" t="inlineStr">
        <is>
          <t>Vinaykumar.Proddutoori@infinite.com</t>
        </is>
      </c>
      <c r="E129" s="26" t="n">
        <v>31973</v>
      </c>
      <c r="F129" s="26" t="n">
        <v>44258</v>
      </c>
      <c r="H129" t="inlineStr">
        <is>
          <t>Male</t>
        </is>
      </c>
      <c r="I129" t="inlineStr">
        <is>
          <t>Asian</t>
        </is>
      </c>
      <c r="J129" t="inlineStr">
        <is>
          <t>WEBSITE</t>
        </is>
      </c>
      <c r="K129" t="inlineStr">
        <is>
          <t>Hyderabad</t>
        </is>
      </c>
      <c r="L129" s="27" t="inlineStr">
        <is>
          <t>IT</t>
        </is>
      </c>
      <c r="M129" t="inlineStr">
        <is>
          <t>Full-Time</t>
        </is>
      </c>
      <c r="N129" t="inlineStr">
        <is>
          <t>Senior Software Test Engineer</t>
        </is>
      </c>
      <c r="O129" t="inlineStr">
        <is>
          <t>E3</t>
        </is>
      </c>
      <c r="P129" t="inlineStr">
        <is>
          <t>Senior Software Test Engineer</t>
        </is>
      </c>
      <c r="Q129" t="inlineStr">
        <is>
          <t>Santhosh B K (1025129)</t>
        </is>
      </c>
      <c r="R129" t="n">
        <v>3</v>
      </c>
      <c r="S129" s="1" t="n">
        <v>250000</v>
      </c>
      <c r="T129" s="1">
        <f>ROUND(T_EMPLOYEES[[#This Row],[EMP_CTC1]]/12, 0)</f>
        <v/>
      </c>
      <c r="U129" s="1" t="n">
        <v>150000</v>
      </c>
      <c r="V129" s="1" t="inlineStr">
        <is>
          <t>NH</t>
        </is>
      </c>
      <c r="W129" s="1" t="inlineStr">
        <is>
          <t>NH</t>
        </is>
      </c>
      <c r="X12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29" t="n">
        <v>60000</v>
      </c>
      <c r="Z129" s="29">
        <f>(S129 - U129)/S129 * 100</f>
        <v/>
      </c>
      <c r="AA129">
        <f>IF(T_EMPLOYEES[[#This Row],[EMPLOYEE NUMBER]]="","",ROW(T_EMPLOYEES[[#This Row],[EMPLOYEE LABEL]])-ROW(T_EMPLOYEES[[#Headers],[EMPLOYEE LABEL]]))</f>
        <v/>
      </c>
      <c r="AB129">
        <f>IF(T_EMPLOYEES[[#This Row],[EMPLOYEE NUMBER]]="","",IF(COUNTIF(T_EMPLOYEES[EMPLOYEE NUMBER],T_EMPLOYEES[[#This Row],[EMPLOYEE NUMBER]])&gt;1,1,0))</f>
        <v/>
      </c>
      <c r="AC129">
        <f>IF(T_EMPLOYEES[[#This Row],[EMPLOYEE NUMBER]]="","",IF(AND(T_EMPLOYEES[[#This Row],[DATE OF BIRTH]]&gt;0,T_EMPLOYEES[[#This Row],[DATE OF BIRTH]]&lt;TODAY()),0,1))</f>
        <v/>
      </c>
      <c r="AD129">
        <f>IF(T_EMPLOYEES[[#This Row],[EMPLOYEE NUMBER]]="","",IF(AND(T_EMPLOYEES[[#This Row],[START DATE]]&gt;0,T_EMPLOYEES[[#This Row],[START DATE]]&lt;TODAY()+60),0,1))</f>
        <v/>
      </c>
      <c r="AE129">
        <f>IF(T_EMPLOYEES[[#This Row],[EMPLOYEE NUMBER]]="","",MATCH(T_EMPLOYEES[[#This Row],[GENDER]],L_GENDER,0))</f>
        <v/>
      </c>
      <c r="AF129">
        <f>IF(T_EMPLOYEES[[#This Row],[EMPLOYEE NUMBER]]="","",MATCH(T_EMPLOYEES[[#This Row],[HIRE SOURCE]],L_HIRESOURCE,0))</f>
        <v/>
      </c>
      <c r="AG129">
        <f>IF(T_EMPLOYEES[[#This Row],[EMPLOYEE NUMBER]]="","",MATCH(T_EMPLOYEES[[#This Row],[ETHNICITY]],L_ETHNICITY,0))</f>
        <v/>
      </c>
      <c r="AH129">
        <f>IF(T_EMPLOYEES[[#This Row],[EMPLOYEE NUMBER]]="","",MATCH(T_EMPLOYEES[[#This Row],[LOCATION]],L_LOCATION,0))</f>
        <v/>
      </c>
      <c r="AI129">
        <f>IF(T_EMPLOYEES[[#This Row],[EMPLOYEE NUMBER]]="","",MATCH(T_EMPLOYEES[[#This Row],[DEPARTMENT]],L_DEPARTMENT,0))</f>
        <v/>
      </c>
      <c r="AJ129">
        <f>IF(T_EMPLOYEES[[#This Row],[EMPLOYEE NUMBER]]="","",MATCH(T_EMPLOYEES[[#This Row],[JOB TYPE]],L_JOBTYPE,0))</f>
        <v/>
      </c>
      <c r="AK129">
        <f>IF(T_EMPLOYEES[[#This Row],[EMPLOYEE NUMBER]]="","",MATCH(T_EMPLOYEES[[#This Row],[JOB CATEGORY]],L_JOBCATEGORY,0))</f>
        <v/>
      </c>
      <c r="AL129">
        <f>IF(T_EMPLOYEES[[#This Row],[EMPLOYEE NUMBER]]="","",MATCH(T_EMPLOYEES[[#This Row],[JOB LEVEL]],L_JOBLEVEL,0))</f>
        <v/>
      </c>
      <c r="AM129">
        <f>IF(T_EMPLOYEES[[#This Row],[EMPLOYEE NUMBER]]="","",MATCH(T_EMPLOYEES[[#This Row],[JOB TITLE]],L_JOBTITLE,0))</f>
        <v/>
      </c>
      <c r="AN129">
        <f>IF(T_EMPLOYEES[[#This Row],[EMPLOYEE NUMBER]]="","",MATCH(T_EMPLOYEES[[#This Row],[MANAGER]],L_EMPLABELS,0))</f>
        <v/>
      </c>
      <c r="AO129">
        <f>IF(T_EMPLOYEES[[#This Row],[EMPLOYEE NUMBER]]="","",IF(T_EMPLOYEES[[#This Row],[ERROR]]="",0,1))</f>
        <v/>
      </c>
      <c r="AP12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0">
      <c r="A130" t="inlineStr">
        <is>
          <t>Sreekanth</t>
        </is>
      </c>
      <c r="B130" t="inlineStr">
        <is>
          <t>Veluguleti</t>
        </is>
      </c>
      <c r="C130" t="n">
        <v>1019349</v>
      </c>
      <c r="D130" t="inlineStr">
        <is>
          <t>Sreekanth.Veluguleti@infinite.com</t>
        </is>
      </c>
      <c r="E130" s="26" t="n">
        <v>31978</v>
      </c>
      <c r="F130" s="26" t="n">
        <v>42838</v>
      </c>
      <c r="H130" t="inlineStr">
        <is>
          <t>Male</t>
        </is>
      </c>
      <c r="I130" t="inlineStr">
        <is>
          <t>Asian</t>
        </is>
      </c>
      <c r="J130" t="inlineStr">
        <is>
          <t>WEBSITE</t>
        </is>
      </c>
      <c r="K130" t="inlineStr">
        <is>
          <t>Hyderabad</t>
        </is>
      </c>
      <c r="L130" s="27" t="inlineStr">
        <is>
          <t>IT</t>
        </is>
      </c>
      <c r="M130" t="inlineStr">
        <is>
          <t>Full-Time</t>
        </is>
      </c>
      <c r="N130" t="inlineStr">
        <is>
          <t>Technical Manager</t>
        </is>
      </c>
      <c r="O130" t="inlineStr">
        <is>
          <t>E6</t>
        </is>
      </c>
      <c r="P130" t="inlineStr">
        <is>
          <t>Technical Manager</t>
        </is>
      </c>
      <c r="Q130" t="inlineStr">
        <is>
          <t>Radhakanta  Samantara (1010164)</t>
        </is>
      </c>
      <c r="R130" s="27" t="n">
        <v>7</v>
      </c>
      <c r="S130" s="1" t="n">
        <v>250000</v>
      </c>
      <c r="T130" s="1">
        <f>ROUND(T_EMPLOYEES[[#This Row],[EMP_CTC1]]/12, 0)</f>
        <v/>
      </c>
      <c r="U130" s="1" t="n">
        <v>150000</v>
      </c>
      <c r="V130" s="1" t="inlineStr">
        <is>
          <t>NH</t>
        </is>
      </c>
      <c r="W130" s="1" t="inlineStr">
        <is>
          <t>NH</t>
        </is>
      </c>
      <c r="X13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0" t="n">
        <v>60000</v>
      </c>
      <c r="Z130" s="29">
        <f>(S130 - U130)/S130 * 100</f>
        <v/>
      </c>
      <c r="AA130">
        <f>IF(T_EMPLOYEES[[#This Row],[EMPLOYEE NUMBER]]="","",ROW(T_EMPLOYEES[[#This Row],[EMPLOYEE LABEL]])-ROW(T_EMPLOYEES[[#Headers],[EMPLOYEE LABEL]]))</f>
        <v/>
      </c>
      <c r="AB130">
        <f>IF(T_EMPLOYEES[[#This Row],[EMPLOYEE NUMBER]]="","",IF(COUNTIF(T_EMPLOYEES[EMPLOYEE NUMBER],T_EMPLOYEES[[#This Row],[EMPLOYEE NUMBER]])&gt;1,1,0))</f>
        <v/>
      </c>
      <c r="AC130">
        <f>IF(T_EMPLOYEES[[#This Row],[EMPLOYEE NUMBER]]="","",IF(AND(T_EMPLOYEES[[#This Row],[DATE OF BIRTH]]&gt;0,T_EMPLOYEES[[#This Row],[DATE OF BIRTH]]&lt;TODAY()),0,1))</f>
        <v/>
      </c>
      <c r="AD130">
        <f>IF(T_EMPLOYEES[[#This Row],[EMPLOYEE NUMBER]]="","",IF(AND(T_EMPLOYEES[[#This Row],[START DATE]]&gt;0,T_EMPLOYEES[[#This Row],[START DATE]]&lt;TODAY()+60),0,1))</f>
        <v/>
      </c>
      <c r="AE130">
        <f>IF(T_EMPLOYEES[[#This Row],[EMPLOYEE NUMBER]]="","",MATCH(T_EMPLOYEES[[#This Row],[GENDER]],L_GENDER,0))</f>
        <v/>
      </c>
      <c r="AF130">
        <f>IF(T_EMPLOYEES[[#This Row],[EMPLOYEE NUMBER]]="","",MATCH(T_EMPLOYEES[[#This Row],[HIRE SOURCE]],L_HIRESOURCE,0))</f>
        <v/>
      </c>
      <c r="AG130">
        <f>IF(T_EMPLOYEES[[#This Row],[EMPLOYEE NUMBER]]="","",MATCH(T_EMPLOYEES[[#This Row],[ETHNICITY]],L_ETHNICITY,0))</f>
        <v/>
      </c>
      <c r="AH130">
        <f>IF(T_EMPLOYEES[[#This Row],[EMPLOYEE NUMBER]]="","",MATCH(T_EMPLOYEES[[#This Row],[LOCATION]],L_LOCATION,0))</f>
        <v/>
      </c>
      <c r="AI130">
        <f>IF(T_EMPLOYEES[[#This Row],[EMPLOYEE NUMBER]]="","",MATCH(T_EMPLOYEES[[#This Row],[DEPARTMENT]],L_DEPARTMENT,0))</f>
        <v/>
      </c>
      <c r="AJ130">
        <f>IF(T_EMPLOYEES[[#This Row],[EMPLOYEE NUMBER]]="","",MATCH(T_EMPLOYEES[[#This Row],[JOB TYPE]],L_JOBTYPE,0))</f>
        <v/>
      </c>
      <c r="AK130">
        <f>IF(T_EMPLOYEES[[#This Row],[EMPLOYEE NUMBER]]="","",MATCH(T_EMPLOYEES[[#This Row],[JOB CATEGORY]],L_JOBCATEGORY,0))</f>
        <v/>
      </c>
      <c r="AL130">
        <f>IF(T_EMPLOYEES[[#This Row],[EMPLOYEE NUMBER]]="","",MATCH(T_EMPLOYEES[[#This Row],[JOB LEVEL]],L_JOBLEVEL,0))</f>
        <v/>
      </c>
      <c r="AM130">
        <f>IF(T_EMPLOYEES[[#This Row],[EMPLOYEE NUMBER]]="","",MATCH(T_EMPLOYEES[[#This Row],[JOB TITLE]],L_JOBTITLE,0))</f>
        <v/>
      </c>
      <c r="AN130">
        <f>IF(T_EMPLOYEES[[#This Row],[EMPLOYEE NUMBER]]="","",MATCH(T_EMPLOYEES[[#This Row],[MANAGER]],L_EMPLABELS,0))</f>
        <v/>
      </c>
      <c r="AO130">
        <f>IF(T_EMPLOYEES[[#This Row],[EMPLOYEE NUMBER]]="","",IF(T_EMPLOYEES[[#This Row],[ERROR]]="",0,1))</f>
        <v/>
      </c>
      <c r="AP13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1">
      <c r="A131" t="inlineStr">
        <is>
          <t>Swikruti</t>
        </is>
      </c>
      <c r="B131" t="inlineStr">
        <is>
          <t xml:space="preserve"> Mahapatra</t>
        </is>
      </c>
      <c r="C131" t="n">
        <v>1023926</v>
      </c>
      <c r="D131" t="inlineStr">
        <is>
          <t>Swikruti.Mahapatra@infinite.com</t>
        </is>
      </c>
      <c r="E131" s="26" t="n">
        <v>33048</v>
      </c>
      <c r="F131" s="26" t="n">
        <v>44109</v>
      </c>
      <c r="H131" t="inlineStr">
        <is>
          <t>Female</t>
        </is>
      </c>
      <c r="I131" t="inlineStr">
        <is>
          <t>Asian</t>
        </is>
      </c>
      <c r="J131" t="inlineStr">
        <is>
          <t>WEBSITE</t>
        </is>
      </c>
      <c r="K131" t="inlineStr">
        <is>
          <t>Hyderabad</t>
        </is>
      </c>
      <c r="L131" s="27" t="inlineStr">
        <is>
          <t>Informatica</t>
        </is>
      </c>
      <c r="M131" t="inlineStr">
        <is>
          <t>Full-Time</t>
        </is>
      </c>
      <c r="N131" t="inlineStr">
        <is>
          <t>Technical Lead</t>
        </is>
      </c>
      <c r="O131" t="inlineStr">
        <is>
          <t>E4</t>
        </is>
      </c>
      <c r="P131" t="inlineStr">
        <is>
          <t>Technical Lead</t>
        </is>
      </c>
      <c r="Q131" t="inlineStr">
        <is>
          <t>Kishore Kumar N (1019765)</t>
        </is>
      </c>
      <c r="R131" t="n">
        <v>5</v>
      </c>
      <c r="S131" s="1" t="n">
        <v>250000</v>
      </c>
      <c r="T131" s="1">
        <f>ROUND(T_EMPLOYEES[[#This Row],[EMP_CTC1]]/12, 0)</f>
        <v/>
      </c>
      <c r="U131" s="1" t="n">
        <v>150000</v>
      </c>
      <c r="V131" s="1" t="inlineStr">
        <is>
          <t>NH</t>
        </is>
      </c>
      <c r="W131" s="1" t="inlineStr">
        <is>
          <t>NH</t>
        </is>
      </c>
      <c r="X13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1" t="n">
        <v>60000</v>
      </c>
      <c r="Z131" s="29">
        <f>(S131 - U131)/S131 * 100</f>
        <v/>
      </c>
      <c r="AA131">
        <f>IF(T_EMPLOYEES[[#This Row],[EMPLOYEE NUMBER]]="","",ROW(T_EMPLOYEES[[#This Row],[EMPLOYEE LABEL]])-ROW(T_EMPLOYEES[[#Headers],[EMPLOYEE LABEL]]))</f>
        <v/>
      </c>
      <c r="AB131">
        <f>IF(T_EMPLOYEES[[#This Row],[EMPLOYEE NUMBER]]="","",IF(COUNTIF(T_EMPLOYEES[EMPLOYEE NUMBER],T_EMPLOYEES[[#This Row],[EMPLOYEE NUMBER]])&gt;1,1,0))</f>
        <v/>
      </c>
      <c r="AC131">
        <f>IF(T_EMPLOYEES[[#This Row],[EMPLOYEE NUMBER]]="","",IF(AND(T_EMPLOYEES[[#This Row],[DATE OF BIRTH]]&gt;0,T_EMPLOYEES[[#This Row],[DATE OF BIRTH]]&lt;TODAY()),0,1))</f>
        <v/>
      </c>
      <c r="AD131">
        <f>IF(T_EMPLOYEES[[#This Row],[EMPLOYEE NUMBER]]="","",IF(AND(T_EMPLOYEES[[#This Row],[START DATE]]&gt;0,T_EMPLOYEES[[#This Row],[START DATE]]&lt;TODAY()+60),0,1))</f>
        <v/>
      </c>
      <c r="AE131">
        <f>IF(T_EMPLOYEES[[#This Row],[EMPLOYEE NUMBER]]="","",MATCH(T_EMPLOYEES[[#This Row],[GENDER]],L_GENDER,0))</f>
        <v/>
      </c>
      <c r="AF131">
        <f>IF(T_EMPLOYEES[[#This Row],[EMPLOYEE NUMBER]]="","",MATCH(T_EMPLOYEES[[#This Row],[HIRE SOURCE]],L_HIRESOURCE,0))</f>
        <v/>
      </c>
      <c r="AG131">
        <f>IF(T_EMPLOYEES[[#This Row],[EMPLOYEE NUMBER]]="","",MATCH(T_EMPLOYEES[[#This Row],[ETHNICITY]],L_ETHNICITY,0))</f>
        <v/>
      </c>
      <c r="AH131">
        <f>IF(T_EMPLOYEES[[#This Row],[EMPLOYEE NUMBER]]="","",MATCH(T_EMPLOYEES[[#This Row],[LOCATION]],L_LOCATION,0))</f>
        <v/>
      </c>
      <c r="AI131">
        <f>IF(T_EMPLOYEES[[#This Row],[EMPLOYEE NUMBER]]="","",MATCH(T_EMPLOYEES[[#This Row],[DEPARTMENT]],L_DEPARTMENT,0))</f>
        <v/>
      </c>
      <c r="AJ131">
        <f>IF(T_EMPLOYEES[[#This Row],[EMPLOYEE NUMBER]]="","",MATCH(T_EMPLOYEES[[#This Row],[JOB TYPE]],L_JOBTYPE,0))</f>
        <v/>
      </c>
      <c r="AK131">
        <f>IF(T_EMPLOYEES[[#This Row],[EMPLOYEE NUMBER]]="","",MATCH(T_EMPLOYEES[[#This Row],[JOB CATEGORY]],L_JOBCATEGORY,0))</f>
        <v/>
      </c>
      <c r="AL131">
        <f>IF(T_EMPLOYEES[[#This Row],[EMPLOYEE NUMBER]]="","",MATCH(T_EMPLOYEES[[#This Row],[JOB LEVEL]],L_JOBLEVEL,0))</f>
        <v/>
      </c>
      <c r="AM131">
        <f>IF(T_EMPLOYEES[[#This Row],[EMPLOYEE NUMBER]]="","",MATCH(T_EMPLOYEES[[#This Row],[JOB TITLE]],L_JOBTITLE,0))</f>
        <v/>
      </c>
      <c r="AN131">
        <f>IF(T_EMPLOYEES[[#This Row],[EMPLOYEE NUMBER]]="","",MATCH(T_EMPLOYEES[[#This Row],[MANAGER]],L_EMPLABELS,0))</f>
        <v/>
      </c>
      <c r="AO131">
        <f>IF(T_EMPLOYEES[[#This Row],[EMPLOYEE NUMBER]]="","",IF(T_EMPLOYEES[[#This Row],[ERROR]]="",0,1))</f>
        <v/>
      </c>
      <c r="AP13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2">
      <c r="A132" t="inlineStr">
        <is>
          <t>Teenu</t>
        </is>
      </c>
      <c r="B132" t="inlineStr">
        <is>
          <t>Sharma</t>
        </is>
      </c>
      <c r="C132" t="n">
        <v>1031871</v>
      </c>
      <c r="D132" t="inlineStr">
        <is>
          <t>Teenu.Sharma@infinite.com</t>
        </is>
      </c>
      <c r="E132" s="26" t="n">
        <v>32014</v>
      </c>
      <c r="F132" s="26" t="n">
        <v>44914</v>
      </c>
      <c r="H132" t="inlineStr">
        <is>
          <t>Female</t>
        </is>
      </c>
      <c r="I132" t="inlineStr">
        <is>
          <t>Asian</t>
        </is>
      </c>
      <c r="J132" t="inlineStr">
        <is>
          <t>WEBSITE</t>
        </is>
      </c>
      <c r="K132" t="inlineStr">
        <is>
          <t>Bangalore</t>
        </is>
      </c>
      <c r="L132" s="27" t="inlineStr">
        <is>
          <t>IT</t>
        </is>
      </c>
      <c r="M132" t="inlineStr">
        <is>
          <t>Full-Time</t>
        </is>
      </c>
      <c r="N132" t="inlineStr">
        <is>
          <t>Software Test Engineer</t>
        </is>
      </c>
      <c r="O132" t="inlineStr">
        <is>
          <t>E2</t>
        </is>
      </c>
      <c r="P132" t="inlineStr">
        <is>
          <t>Software Test Engineer</t>
        </is>
      </c>
      <c r="Q132" t="inlineStr">
        <is>
          <t>Srisha N (1031856)</t>
        </is>
      </c>
      <c r="R132" s="27" t="n">
        <v>3</v>
      </c>
      <c r="S132" s="1" t="n">
        <v>250000</v>
      </c>
      <c r="T132" s="1">
        <f>ROUND(T_EMPLOYEES[[#This Row],[EMP_CTC1]]/12, 0)</f>
        <v/>
      </c>
      <c r="U132" s="1" t="n">
        <v>150000</v>
      </c>
      <c r="V132" s="1" t="inlineStr">
        <is>
          <t>NH</t>
        </is>
      </c>
      <c r="W132" s="1" t="inlineStr">
        <is>
          <t>NH</t>
        </is>
      </c>
      <c r="X13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2" t="n">
        <v>60000</v>
      </c>
      <c r="Z132" s="29">
        <f>(S132 - U132)/S132 * 100</f>
        <v/>
      </c>
      <c r="AA132">
        <f>IF(T_EMPLOYEES[[#This Row],[EMPLOYEE NUMBER]]="","",ROW(T_EMPLOYEES[[#This Row],[EMPLOYEE LABEL]])-ROW(T_EMPLOYEES[[#Headers],[EMPLOYEE LABEL]]))</f>
        <v/>
      </c>
      <c r="AB132">
        <f>IF(T_EMPLOYEES[[#This Row],[EMPLOYEE NUMBER]]="","",IF(COUNTIF(T_EMPLOYEES[EMPLOYEE NUMBER],T_EMPLOYEES[[#This Row],[EMPLOYEE NUMBER]])&gt;1,1,0))</f>
        <v/>
      </c>
      <c r="AC132">
        <f>IF(T_EMPLOYEES[[#This Row],[EMPLOYEE NUMBER]]="","",IF(AND(T_EMPLOYEES[[#This Row],[DATE OF BIRTH]]&gt;0,T_EMPLOYEES[[#This Row],[DATE OF BIRTH]]&lt;TODAY()),0,1))</f>
        <v/>
      </c>
      <c r="AD132">
        <f>IF(T_EMPLOYEES[[#This Row],[EMPLOYEE NUMBER]]="","",IF(AND(T_EMPLOYEES[[#This Row],[START DATE]]&gt;0,T_EMPLOYEES[[#This Row],[START DATE]]&lt;TODAY()+60),0,1))</f>
        <v/>
      </c>
      <c r="AE132">
        <f>IF(T_EMPLOYEES[[#This Row],[EMPLOYEE NUMBER]]="","",MATCH(T_EMPLOYEES[[#This Row],[GENDER]],L_GENDER,0))</f>
        <v/>
      </c>
      <c r="AF132">
        <f>IF(T_EMPLOYEES[[#This Row],[EMPLOYEE NUMBER]]="","",MATCH(T_EMPLOYEES[[#This Row],[HIRE SOURCE]],L_HIRESOURCE,0))</f>
        <v/>
      </c>
      <c r="AG132">
        <f>IF(T_EMPLOYEES[[#This Row],[EMPLOYEE NUMBER]]="","",MATCH(T_EMPLOYEES[[#This Row],[ETHNICITY]],L_ETHNICITY,0))</f>
        <v/>
      </c>
      <c r="AH132">
        <f>IF(T_EMPLOYEES[[#This Row],[EMPLOYEE NUMBER]]="","",MATCH(T_EMPLOYEES[[#This Row],[LOCATION]],L_LOCATION,0))</f>
        <v/>
      </c>
      <c r="AI132">
        <f>IF(T_EMPLOYEES[[#This Row],[EMPLOYEE NUMBER]]="","",MATCH(T_EMPLOYEES[[#This Row],[DEPARTMENT]],L_DEPARTMENT,0))</f>
        <v/>
      </c>
      <c r="AJ132">
        <f>IF(T_EMPLOYEES[[#This Row],[EMPLOYEE NUMBER]]="","",MATCH(T_EMPLOYEES[[#This Row],[JOB TYPE]],L_JOBTYPE,0))</f>
        <v/>
      </c>
      <c r="AK132">
        <f>IF(T_EMPLOYEES[[#This Row],[EMPLOYEE NUMBER]]="","",MATCH(T_EMPLOYEES[[#This Row],[JOB CATEGORY]],L_JOBCATEGORY,0))</f>
        <v/>
      </c>
      <c r="AL132">
        <f>IF(T_EMPLOYEES[[#This Row],[EMPLOYEE NUMBER]]="","",MATCH(T_EMPLOYEES[[#This Row],[JOB LEVEL]],L_JOBLEVEL,0))</f>
        <v/>
      </c>
      <c r="AM132">
        <f>IF(T_EMPLOYEES[[#This Row],[EMPLOYEE NUMBER]]="","",MATCH(T_EMPLOYEES[[#This Row],[JOB TITLE]],L_JOBTITLE,0))</f>
        <v/>
      </c>
      <c r="AN132">
        <f>IF(T_EMPLOYEES[[#This Row],[EMPLOYEE NUMBER]]="","",MATCH(T_EMPLOYEES[[#This Row],[MANAGER]],L_EMPLABELS,0))</f>
        <v/>
      </c>
      <c r="AO132">
        <f>IF(T_EMPLOYEES[[#This Row],[EMPLOYEE NUMBER]]="","",IF(T_EMPLOYEES[[#This Row],[ERROR]]="",0,1))</f>
        <v/>
      </c>
      <c r="AP13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3">
      <c r="A133" t="inlineStr">
        <is>
          <t>Vinayak</t>
        </is>
      </c>
      <c r="B133" t="inlineStr">
        <is>
          <t xml:space="preserve"> Tatuskar</t>
        </is>
      </c>
      <c r="C133" t="n">
        <v>1023387</v>
      </c>
      <c r="D133" t="inlineStr">
        <is>
          <t>Vinayak.Tatuskar@infinite.com</t>
        </is>
      </c>
      <c r="E133" s="26" t="n">
        <v>32025</v>
      </c>
      <c r="F133" s="26" t="n">
        <v>44001</v>
      </c>
      <c r="H133" t="inlineStr">
        <is>
          <t>Male</t>
        </is>
      </c>
      <c r="I133" t="inlineStr">
        <is>
          <t>Asian</t>
        </is>
      </c>
      <c r="J133" t="inlineStr">
        <is>
          <t>WEBSITE</t>
        </is>
      </c>
      <c r="K133" t="inlineStr">
        <is>
          <t>Hyderabad</t>
        </is>
      </c>
      <c r="L133" s="27" t="inlineStr">
        <is>
          <t>IT</t>
        </is>
      </c>
      <c r="M133" t="inlineStr">
        <is>
          <t>Full-Time</t>
        </is>
      </c>
      <c r="N133" t="inlineStr">
        <is>
          <t>Senior Test Lead</t>
        </is>
      </c>
      <c r="O133" t="inlineStr">
        <is>
          <t>E5</t>
        </is>
      </c>
      <c r="P133" t="inlineStr">
        <is>
          <t>Senior Test Lead</t>
        </is>
      </c>
      <c r="Q133" t="inlineStr">
        <is>
          <t>Talluri  Mangarao (1004641)</t>
        </is>
      </c>
      <c r="R133" t="n">
        <v>7</v>
      </c>
      <c r="S133" s="1" t="n">
        <v>250000</v>
      </c>
      <c r="T133" s="1">
        <f>ROUND(T_EMPLOYEES[[#This Row],[EMP_CTC1]]/12, 0)</f>
        <v/>
      </c>
      <c r="U133" s="1" t="n">
        <v>150000</v>
      </c>
      <c r="V133" s="1" t="inlineStr">
        <is>
          <t>NH</t>
        </is>
      </c>
      <c r="W133" s="1" t="inlineStr">
        <is>
          <t>NH</t>
        </is>
      </c>
      <c r="X13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3" t="n">
        <v>60000</v>
      </c>
      <c r="Z133" s="29">
        <f>(S133 - U133)/S133 * 100</f>
        <v/>
      </c>
      <c r="AA133">
        <f>IF(T_EMPLOYEES[[#This Row],[EMPLOYEE NUMBER]]="","",ROW(T_EMPLOYEES[[#This Row],[EMPLOYEE LABEL]])-ROW(T_EMPLOYEES[[#Headers],[EMPLOYEE LABEL]]))</f>
        <v/>
      </c>
      <c r="AB133">
        <f>IF(T_EMPLOYEES[[#This Row],[EMPLOYEE NUMBER]]="","",IF(COUNTIF(T_EMPLOYEES[EMPLOYEE NUMBER],T_EMPLOYEES[[#This Row],[EMPLOYEE NUMBER]])&gt;1,1,0))</f>
        <v/>
      </c>
      <c r="AC133">
        <f>IF(T_EMPLOYEES[[#This Row],[EMPLOYEE NUMBER]]="","",IF(AND(T_EMPLOYEES[[#This Row],[DATE OF BIRTH]]&gt;0,T_EMPLOYEES[[#This Row],[DATE OF BIRTH]]&lt;TODAY()),0,1))</f>
        <v/>
      </c>
      <c r="AD133">
        <f>IF(T_EMPLOYEES[[#This Row],[EMPLOYEE NUMBER]]="","",IF(AND(T_EMPLOYEES[[#This Row],[START DATE]]&gt;0,T_EMPLOYEES[[#This Row],[START DATE]]&lt;TODAY()+60),0,1))</f>
        <v/>
      </c>
      <c r="AE133">
        <f>IF(T_EMPLOYEES[[#This Row],[EMPLOYEE NUMBER]]="","",MATCH(T_EMPLOYEES[[#This Row],[GENDER]],L_GENDER,0))</f>
        <v/>
      </c>
      <c r="AF133">
        <f>IF(T_EMPLOYEES[[#This Row],[EMPLOYEE NUMBER]]="","",MATCH(T_EMPLOYEES[[#This Row],[HIRE SOURCE]],L_HIRESOURCE,0))</f>
        <v/>
      </c>
      <c r="AG133">
        <f>IF(T_EMPLOYEES[[#This Row],[EMPLOYEE NUMBER]]="","",MATCH(T_EMPLOYEES[[#This Row],[ETHNICITY]],L_ETHNICITY,0))</f>
        <v/>
      </c>
      <c r="AH133">
        <f>IF(T_EMPLOYEES[[#This Row],[EMPLOYEE NUMBER]]="","",MATCH(T_EMPLOYEES[[#This Row],[LOCATION]],L_LOCATION,0))</f>
        <v/>
      </c>
      <c r="AI133">
        <f>IF(T_EMPLOYEES[[#This Row],[EMPLOYEE NUMBER]]="","",MATCH(T_EMPLOYEES[[#This Row],[DEPARTMENT]],L_DEPARTMENT,0))</f>
        <v/>
      </c>
      <c r="AJ133">
        <f>IF(T_EMPLOYEES[[#This Row],[EMPLOYEE NUMBER]]="","",MATCH(T_EMPLOYEES[[#This Row],[JOB TYPE]],L_JOBTYPE,0))</f>
        <v/>
      </c>
      <c r="AK133">
        <f>IF(T_EMPLOYEES[[#This Row],[EMPLOYEE NUMBER]]="","",MATCH(T_EMPLOYEES[[#This Row],[JOB CATEGORY]],L_JOBCATEGORY,0))</f>
        <v/>
      </c>
      <c r="AL133">
        <f>IF(T_EMPLOYEES[[#This Row],[EMPLOYEE NUMBER]]="","",MATCH(T_EMPLOYEES[[#This Row],[JOB LEVEL]],L_JOBLEVEL,0))</f>
        <v/>
      </c>
      <c r="AM133">
        <f>IF(T_EMPLOYEES[[#This Row],[EMPLOYEE NUMBER]]="","",MATCH(T_EMPLOYEES[[#This Row],[JOB TITLE]],L_JOBTITLE,0))</f>
        <v/>
      </c>
      <c r="AN133">
        <f>IF(T_EMPLOYEES[[#This Row],[EMPLOYEE NUMBER]]="","",MATCH(T_EMPLOYEES[[#This Row],[MANAGER]],L_EMPLABELS,0))</f>
        <v/>
      </c>
      <c r="AO133">
        <f>IF(T_EMPLOYEES[[#This Row],[EMPLOYEE NUMBER]]="","",IF(T_EMPLOYEES[[#This Row],[ERROR]]="",0,1))</f>
        <v/>
      </c>
      <c r="AP13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4">
      <c r="A134" t="inlineStr">
        <is>
          <t>Sony</t>
        </is>
      </c>
      <c r="B134" t="inlineStr">
        <is>
          <t>Xavier</t>
        </is>
      </c>
      <c r="C134" t="n">
        <v>1029753</v>
      </c>
      <c r="D134" t="inlineStr">
        <is>
          <t>Sony.Xavier@infinite.com</t>
        </is>
      </c>
      <c r="E134" s="26" t="n">
        <v>32040</v>
      </c>
      <c r="F134" s="26" t="n">
        <v>44781</v>
      </c>
      <c r="H134" t="inlineStr">
        <is>
          <t>Female</t>
        </is>
      </c>
      <c r="I134" t="inlineStr">
        <is>
          <t>Asian</t>
        </is>
      </c>
      <c r="J134" t="inlineStr">
        <is>
          <t>WEBSITE</t>
        </is>
      </c>
      <c r="K134" t="inlineStr">
        <is>
          <t>Bangalore</t>
        </is>
      </c>
      <c r="L134" s="27" t="inlineStr">
        <is>
          <t>IT</t>
        </is>
      </c>
      <c r="M134" t="inlineStr">
        <is>
          <t>Full-Time</t>
        </is>
      </c>
      <c r="N134" t="inlineStr">
        <is>
          <t>Senior Software Engineer</t>
        </is>
      </c>
      <c r="O134" t="inlineStr">
        <is>
          <t>E3</t>
        </is>
      </c>
      <c r="P134" t="inlineStr">
        <is>
          <t>Senior Software Engineer</t>
        </is>
      </c>
      <c r="Q134" t="inlineStr">
        <is>
          <t>Richa Sharma (1031870)</t>
        </is>
      </c>
      <c r="R134" s="27" t="n">
        <v>3</v>
      </c>
      <c r="S134" s="1" t="n">
        <v>250000</v>
      </c>
      <c r="T134" s="1">
        <f>ROUND(T_EMPLOYEES[[#This Row],[EMP_CTC1]]/12, 0)</f>
        <v/>
      </c>
      <c r="U134" s="1" t="n">
        <v>150000</v>
      </c>
      <c r="V134" s="1" t="inlineStr">
        <is>
          <t>NH</t>
        </is>
      </c>
      <c r="W134" s="1" t="inlineStr">
        <is>
          <t>NH</t>
        </is>
      </c>
      <c r="X13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4" t="n">
        <v>60000</v>
      </c>
      <c r="Z134" s="29">
        <f>(S134 - U134)/S134 * 100</f>
        <v/>
      </c>
      <c r="AA134">
        <f>IF(T_EMPLOYEES[[#This Row],[EMPLOYEE NUMBER]]="","",ROW(T_EMPLOYEES[[#This Row],[EMPLOYEE LABEL]])-ROW(T_EMPLOYEES[[#Headers],[EMPLOYEE LABEL]]))</f>
        <v/>
      </c>
      <c r="AB134">
        <f>IF(T_EMPLOYEES[[#This Row],[EMPLOYEE NUMBER]]="","",IF(COUNTIF(T_EMPLOYEES[EMPLOYEE NUMBER],T_EMPLOYEES[[#This Row],[EMPLOYEE NUMBER]])&gt;1,1,0))</f>
        <v/>
      </c>
      <c r="AC134">
        <f>IF(T_EMPLOYEES[[#This Row],[EMPLOYEE NUMBER]]="","",IF(AND(T_EMPLOYEES[[#This Row],[DATE OF BIRTH]]&gt;0,T_EMPLOYEES[[#This Row],[DATE OF BIRTH]]&lt;TODAY()),0,1))</f>
        <v/>
      </c>
      <c r="AD134">
        <f>IF(T_EMPLOYEES[[#This Row],[EMPLOYEE NUMBER]]="","",IF(AND(T_EMPLOYEES[[#This Row],[START DATE]]&gt;0,T_EMPLOYEES[[#This Row],[START DATE]]&lt;TODAY()+60),0,1))</f>
        <v/>
      </c>
      <c r="AE134">
        <f>IF(T_EMPLOYEES[[#This Row],[EMPLOYEE NUMBER]]="","",MATCH(T_EMPLOYEES[[#This Row],[GENDER]],L_GENDER,0))</f>
        <v/>
      </c>
      <c r="AF134">
        <f>IF(T_EMPLOYEES[[#This Row],[EMPLOYEE NUMBER]]="","",MATCH(T_EMPLOYEES[[#This Row],[HIRE SOURCE]],L_HIRESOURCE,0))</f>
        <v/>
      </c>
      <c r="AG134">
        <f>IF(T_EMPLOYEES[[#This Row],[EMPLOYEE NUMBER]]="","",MATCH(T_EMPLOYEES[[#This Row],[ETHNICITY]],L_ETHNICITY,0))</f>
        <v/>
      </c>
      <c r="AH134">
        <f>IF(T_EMPLOYEES[[#This Row],[EMPLOYEE NUMBER]]="","",MATCH(T_EMPLOYEES[[#This Row],[LOCATION]],L_LOCATION,0))</f>
        <v/>
      </c>
      <c r="AI134">
        <f>IF(T_EMPLOYEES[[#This Row],[EMPLOYEE NUMBER]]="","",MATCH(T_EMPLOYEES[[#This Row],[DEPARTMENT]],L_DEPARTMENT,0))</f>
        <v/>
      </c>
      <c r="AJ134">
        <f>IF(T_EMPLOYEES[[#This Row],[EMPLOYEE NUMBER]]="","",MATCH(T_EMPLOYEES[[#This Row],[JOB TYPE]],L_JOBTYPE,0))</f>
        <v/>
      </c>
      <c r="AK134">
        <f>IF(T_EMPLOYEES[[#This Row],[EMPLOYEE NUMBER]]="","",MATCH(T_EMPLOYEES[[#This Row],[JOB CATEGORY]],L_JOBCATEGORY,0))</f>
        <v/>
      </c>
      <c r="AL134">
        <f>IF(T_EMPLOYEES[[#This Row],[EMPLOYEE NUMBER]]="","",MATCH(T_EMPLOYEES[[#This Row],[JOB LEVEL]],L_JOBLEVEL,0))</f>
        <v/>
      </c>
      <c r="AM134">
        <f>IF(T_EMPLOYEES[[#This Row],[EMPLOYEE NUMBER]]="","",MATCH(T_EMPLOYEES[[#This Row],[JOB TITLE]],L_JOBTITLE,0))</f>
        <v/>
      </c>
      <c r="AN134">
        <f>IF(T_EMPLOYEES[[#This Row],[EMPLOYEE NUMBER]]="","",MATCH(T_EMPLOYEES[[#This Row],[MANAGER]],L_EMPLABELS,0))</f>
        <v/>
      </c>
      <c r="AO134">
        <f>IF(T_EMPLOYEES[[#This Row],[EMPLOYEE NUMBER]]="","",IF(T_EMPLOYEES[[#This Row],[ERROR]]="",0,1))</f>
        <v/>
      </c>
      <c r="AP13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5">
      <c r="A135" t="inlineStr">
        <is>
          <t>Sunny</t>
        </is>
      </c>
      <c r="B135" t="inlineStr">
        <is>
          <t>Bhattacharjee</t>
        </is>
      </c>
      <c r="C135" t="n">
        <v>1025863</v>
      </c>
      <c r="D135" t="inlineStr">
        <is>
          <t>Sunny.Bhattacharjee@infinite.com</t>
        </is>
      </c>
      <c r="E135" s="26" t="n">
        <v>32064</v>
      </c>
      <c r="F135" s="26" t="n">
        <v>44396</v>
      </c>
      <c r="H135" t="inlineStr">
        <is>
          <t>Male</t>
        </is>
      </c>
      <c r="I135" t="inlineStr">
        <is>
          <t>Asian</t>
        </is>
      </c>
      <c r="J135" t="inlineStr">
        <is>
          <t>WEBSITE</t>
        </is>
      </c>
      <c r="K135" t="inlineStr">
        <is>
          <t>Bangalore</t>
        </is>
      </c>
      <c r="L135" s="27" t="inlineStr">
        <is>
          <t>IT</t>
        </is>
      </c>
      <c r="M135" t="inlineStr">
        <is>
          <t>Full-Time</t>
        </is>
      </c>
      <c r="N135" t="inlineStr">
        <is>
          <t>Senior Technical Lead</t>
        </is>
      </c>
      <c r="O135" t="inlineStr">
        <is>
          <t>E5</t>
        </is>
      </c>
      <c r="P135" t="inlineStr">
        <is>
          <t>Senior Technical Lead</t>
        </is>
      </c>
      <c r="Q135" t="inlineStr">
        <is>
          <t>Unnikrishnan Chellappan C (1025919)</t>
        </is>
      </c>
      <c r="R135" t="n">
        <v>7</v>
      </c>
      <c r="S135" s="1" t="n">
        <v>250000</v>
      </c>
      <c r="T135" s="1">
        <f>ROUND(T_EMPLOYEES[[#This Row],[EMP_CTC1]]/12, 0)</f>
        <v/>
      </c>
      <c r="U135" s="1" t="n">
        <v>150000</v>
      </c>
      <c r="V135" s="1" t="inlineStr">
        <is>
          <t>NH</t>
        </is>
      </c>
      <c r="W135" s="1" t="inlineStr">
        <is>
          <t>NH</t>
        </is>
      </c>
      <c r="X13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5" t="n">
        <v>60000</v>
      </c>
      <c r="Z135" s="29">
        <f>(S135 - U135)/S135 * 100</f>
        <v/>
      </c>
      <c r="AA135">
        <f>IF(T_EMPLOYEES[[#This Row],[EMPLOYEE NUMBER]]="","",ROW(T_EMPLOYEES[[#This Row],[EMPLOYEE LABEL]])-ROW(T_EMPLOYEES[[#Headers],[EMPLOYEE LABEL]]))</f>
        <v/>
      </c>
      <c r="AB135">
        <f>IF(T_EMPLOYEES[[#This Row],[EMPLOYEE NUMBER]]="","",IF(COUNTIF(T_EMPLOYEES[EMPLOYEE NUMBER],T_EMPLOYEES[[#This Row],[EMPLOYEE NUMBER]])&gt;1,1,0))</f>
        <v/>
      </c>
      <c r="AC135">
        <f>IF(T_EMPLOYEES[[#This Row],[EMPLOYEE NUMBER]]="","",IF(AND(T_EMPLOYEES[[#This Row],[DATE OF BIRTH]]&gt;0,T_EMPLOYEES[[#This Row],[DATE OF BIRTH]]&lt;TODAY()),0,1))</f>
        <v/>
      </c>
      <c r="AD135">
        <f>IF(T_EMPLOYEES[[#This Row],[EMPLOYEE NUMBER]]="","",IF(AND(T_EMPLOYEES[[#This Row],[START DATE]]&gt;0,T_EMPLOYEES[[#This Row],[START DATE]]&lt;TODAY()+60),0,1))</f>
        <v/>
      </c>
      <c r="AE135">
        <f>IF(T_EMPLOYEES[[#This Row],[EMPLOYEE NUMBER]]="","",MATCH(T_EMPLOYEES[[#This Row],[GENDER]],L_GENDER,0))</f>
        <v/>
      </c>
      <c r="AF135">
        <f>IF(T_EMPLOYEES[[#This Row],[EMPLOYEE NUMBER]]="","",MATCH(T_EMPLOYEES[[#This Row],[HIRE SOURCE]],L_HIRESOURCE,0))</f>
        <v/>
      </c>
      <c r="AG135">
        <f>IF(T_EMPLOYEES[[#This Row],[EMPLOYEE NUMBER]]="","",MATCH(T_EMPLOYEES[[#This Row],[ETHNICITY]],L_ETHNICITY,0))</f>
        <v/>
      </c>
      <c r="AH135">
        <f>IF(T_EMPLOYEES[[#This Row],[EMPLOYEE NUMBER]]="","",MATCH(T_EMPLOYEES[[#This Row],[LOCATION]],L_LOCATION,0))</f>
        <v/>
      </c>
      <c r="AI135">
        <f>IF(T_EMPLOYEES[[#This Row],[EMPLOYEE NUMBER]]="","",MATCH(T_EMPLOYEES[[#This Row],[DEPARTMENT]],L_DEPARTMENT,0))</f>
        <v/>
      </c>
      <c r="AJ135">
        <f>IF(T_EMPLOYEES[[#This Row],[EMPLOYEE NUMBER]]="","",MATCH(T_EMPLOYEES[[#This Row],[JOB TYPE]],L_JOBTYPE,0))</f>
        <v/>
      </c>
      <c r="AK135">
        <f>IF(T_EMPLOYEES[[#This Row],[EMPLOYEE NUMBER]]="","",MATCH(T_EMPLOYEES[[#This Row],[JOB CATEGORY]],L_JOBCATEGORY,0))</f>
        <v/>
      </c>
      <c r="AL135">
        <f>IF(T_EMPLOYEES[[#This Row],[EMPLOYEE NUMBER]]="","",MATCH(T_EMPLOYEES[[#This Row],[JOB LEVEL]],L_JOBLEVEL,0))</f>
        <v/>
      </c>
      <c r="AM135">
        <f>IF(T_EMPLOYEES[[#This Row],[EMPLOYEE NUMBER]]="","",MATCH(T_EMPLOYEES[[#This Row],[JOB TITLE]],L_JOBTITLE,0))</f>
        <v/>
      </c>
      <c r="AN135">
        <f>IF(T_EMPLOYEES[[#This Row],[EMPLOYEE NUMBER]]="","",MATCH(T_EMPLOYEES[[#This Row],[MANAGER]],L_EMPLABELS,0))</f>
        <v/>
      </c>
      <c r="AO135">
        <f>IF(T_EMPLOYEES[[#This Row],[EMPLOYEE NUMBER]]="","",IF(T_EMPLOYEES[[#This Row],[ERROR]]="",0,1))</f>
        <v/>
      </c>
      <c r="AP13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6">
      <c r="A136" t="inlineStr">
        <is>
          <t>Sandhya</t>
        </is>
      </c>
      <c r="B136" t="inlineStr">
        <is>
          <t>Abbadasuri</t>
        </is>
      </c>
      <c r="C136" t="n">
        <v>1033465</v>
      </c>
      <c r="D136" t="inlineStr">
        <is>
          <t>Sandhya.Abbadasuri@infinite.com</t>
        </is>
      </c>
      <c r="E136" s="26" t="n">
        <v>32140</v>
      </c>
      <c r="F136" s="26" t="n">
        <v>45170</v>
      </c>
      <c r="H136" t="inlineStr">
        <is>
          <t>Female</t>
        </is>
      </c>
      <c r="I136" t="inlineStr">
        <is>
          <t>Asian</t>
        </is>
      </c>
      <c r="J136" t="inlineStr">
        <is>
          <t>WEBSITE</t>
        </is>
      </c>
      <c r="K136" t="inlineStr">
        <is>
          <t>Bangalore</t>
        </is>
      </c>
      <c r="L136" s="27" t="inlineStr">
        <is>
          <t>IT</t>
        </is>
      </c>
      <c r="M136" t="inlineStr">
        <is>
          <t>Full-Time</t>
        </is>
      </c>
      <c r="N136" t="inlineStr">
        <is>
          <t>Technical Lead</t>
        </is>
      </c>
      <c r="O136" t="inlineStr">
        <is>
          <t>E4</t>
        </is>
      </c>
      <c r="P136" t="inlineStr">
        <is>
          <t>Technical Lead</t>
        </is>
      </c>
      <c r="Q136" t="inlineStr">
        <is>
          <t>P Vinoth  Kumar (1023066)</t>
        </is>
      </c>
      <c r="R136" s="27" t="n">
        <v>5</v>
      </c>
      <c r="S136" s="1" t="n">
        <v>250000</v>
      </c>
      <c r="T136" s="1">
        <f>ROUND(T_EMPLOYEES[[#This Row],[EMP_CTC1]]/12, 0)</f>
        <v/>
      </c>
      <c r="U136" s="1" t="n">
        <v>150000</v>
      </c>
      <c r="V136" s="1" t="inlineStr">
        <is>
          <t>NH</t>
        </is>
      </c>
      <c r="W136" s="1" t="inlineStr">
        <is>
          <t>NH</t>
        </is>
      </c>
      <c r="X13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6" t="n">
        <v>60000</v>
      </c>
      <c r="Z136" s="29">
        <f>(S136 - U136)/S136 * 100</f>
        <v/>
      </c>
      <c r="AA136">
        <f>IF(T_EMPLOYEES[[#This Row],[EMPLOYEE NUMBER]]="","",ROW(T_EMPLOYEES[[#This Row],[EMPLOYEE LABEL]])-ROW(T_EMPLOYEES[[#Headers],[EMPLOYEE LABEL]]))</f>
        <v/>
      </c>
      <c r="AB136">
        <f>IF(T_EMPLOYEES[[#This Row],[EMPLOYEE NUMBER]]="","",IF(COUNTIF(T_EMPLOYEES[EMPLOYEE NUMBER],T_EMPLOYEES[[#This Row],[EMPLOYEE NUMBER]])&gt;1,1,0))</f>
        <v/>
      </c>
      <c r="AC136">
        <f>IF(T_EMPLOYEES[[#This Row],[EMPLOYEE NUMBER]]="","",IF(AND(T_EMPLOYEES[[#This Row],[DATE OF BIRTH]]&gt;0,T_EMPLOYEES[[#This Row],[DATE OF BIRTH]]&lt;TODAY()),0,1))</f>
        <v/>
      </c>
      <c r="AD136">
        <f>IF(T_EMPLOYEES[[#This Row],[EMPLOYEE NUMBER]]="","",IF(AND(T_EMPLOYEES[[#This Row],[START DATE]]&gt;0,T_EMPLOYEES[[#This Row],[START DATE]]&lt;TODAY()+60),0,1))</f>
        <v/>
      </c>
      <c r="AE136">
        <f>IF(T_EMPLOYEES[[#This Row],[EMPLOYEE NUMBER]]="","",MATCH(T_EMPLOYEES[[#This Row],[GENDER]],L_GENDER,0))</f>
        <v/>
      </c>
      <c r="AF136">
        <f>IF(T_EMPLOYEES[[#This Row],[EMPLOYEE NUMBER]]="","",MATCH(T_EMPLOYEES[[#This Row],[HIRE SOURCE]],L_HIRESOURCE,0))</f>
        <v/>
      </c>
      <c r="AG136">
        <f>IF(T_EMPLOYEES[[#This Row],[EMPLOYEE NUMBER]]="","",MATCH(T_EMPLOYEES[[#This Row],[ETHNICITY]],L_ETHNICITY,0))</f>
        <v/>
      </c>
      <c r="AH136">
        <f>IF(T_EMPLOYEES[[#This Row],[EMPLOYEE NUMBER]]="","",MATCH(T_EMPLOYEES[[#This Row],[LOCATION]],L_LOCATION,0))</f>
        <v/>
      </c>
      <c r="AI136">
        <f>IF(T_EMPLOYEES[[#This Row],[EMPLOYEE NUMBER]]="","",MATCH(T_EMPLOYEES[[#This Row],[DEPARTMENT]],L_DEPARTMENT,0))</f>
        <v/>
      </c>
      <c r="AJ136">
        <f>IF(T_EMPLOYEES[[#This Row],[EMPLOYEE NUMBER]]="","",MATCH(T_EMPLOYEES[[#This Row],[JOB TYPE]],L_JOBTYPE,0))</f>
        <v/>
      </c>
      <c r="AK136">
        <f>IF(T_EMPLOYEES[[#This Row],[EMPLOYEE NUMBER]]="","",MATCH(T_EMPLOYEES[[#This Row],[JOB CATEGORY]],L_JOBCATEGORY,0))</f>
        <v/>
      </c>
      <c r="AL136">
        <f>IF(T_EMPLOYEES[[#This Row],[EMPLOYEE NUMBER]]="","",MATCH(T_EMPLOYEES[[#This Row],[JOB LEVEL]],L_JOBLEVEL,0))</f>
        <v/>
      </c>
      <c r="AM136">
        <f>IF(T_EMPLOYEES[[#This Row],[EMPLOYEE NUMBER]]="","",MATCH(T_EMPLOYEES[[#This Row],[JOB TITLE]],L_JOBTITLE,0))</f>
        <v/>
      </c>
      <c r="AN136">
        <f>IF(T_EMPLOYEES[[#This Row],[EMPLOYEE NUMBER]]="","",MATCH(T_EMPLOYEES[[#This Row],[MANAGER]],L_EMPLABELS,0))</f>
        <v/>
      </c>
      <c r="AO136">
        <f>IF(T_EMPLOYEES[[#This Row],[EMPLOYEE NUMBER]]="","",IF(T_EMPLOYEES[[#This Row],[ERROR]]="",0,1))</f>
        <v/>
      </c>
      <c r="AP13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7">
      <c r="A137" t="inlineStr">
        <is>
          <t>Pallapu</t>
        </is>
      </c>
      <c r="B137" t="inlineStr">
        <is>
          <t xml:space="preserve"> Malyadri</t>
        </is>
      </c>
      <c r="C137" t="n">
        <v>1025116</v>
      </c>
      <c r="D137" t="inlineStr">
        <is>
          <t>Pallapu.Malyadri@infinite.com</t>
        </is>
      </c>
      <c r="E137" s="26" t="n">
        <v>32203</v>
      </c>
      <c r="F137" s="26" t="n">
        <v>44308</v>
      </c>
      <c r="H137" t="inlineStr">
        <is>
          <t>Male</t>
        </is>
      </c>
      <c r="I137" t="inlineStr">
        <is>
          <t>Asian</t>
        </is>
      </c>
      <c r="J137" t="inlineStr">
        <is>
          <t>WEBSITE</t>
        </is>
      </c>
      <c r="K137" t="inlineStr">
        <is>
          <t>Bangalore</t>
        </is>
      </c>
      <c r="L137" s="27" t="inlineStr">
        <is>
          <t>Core</t>
        </is>
      </c>
      <c r="M137" t="inlineStr">
        <is>
          <t>Full-Time</t>
        </is>
      </c>
      <c r="N137" t="inlineStr">
        <is>
          <t>Technical Lead</t>
        </is>
      </c>
      <c r="O137" t="inlineStr">
        <is>
          <t>E4</t>
        </is>
      </c>
      <c r="P137" t="inlineStr">
        <is>
          <t>Technical Lead</t>
        </is>
      </c>
      <c r="Q137" t="inlineStr">
        <is>
          <t>Dipakbhai Motibhai Tandel (1027230)</t>
        </is>
      </c>
      <c r="R137" t="n">
        <v>5</v>
      </c>
      <c r="S137" s="1" t="n">
        <v>250000</v>
      </c>
      <c r="T137" s="1">
        <f>ROUND(T_EMPLOYEES[[#This Row],[EMP_CTC1]]/12, 0)</f>
        <v/>
      </c>
      <c r="U137" s="1" t="n">
        <v>150000</v>
      </c>
      <c r="V137" s="1" t="inlineStr">
        <is>
          <t>NH</t>
        </is>
      </c>
      <c r="W137" s="1" t="inlineStr">
        <is>
          <t>NH</t>
        </is>
      </c>
      <c r="X13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7" t="n">
        <v>60000</v>
      </c>
      <c r="Z137" s="29">
        <f>(S137 - U137)/S137 * 100</f>
        <v/>
      </c>
      <c r="AA137">
        <f>IF(T_EMPLOYEES[[#This Row],[EMPLOYEE NUMBER]]="","",ROW(T_EMPLOYEES[[#This Row],[EMPLOYEE LABEL]])-ROW(T_EMPLOYEES[[#Headers],[EMPLOYEE LABEL]]))</f>
        <v/>
      </c>
      <c r="AB137">
        <f>IF(T_EMPLOYEES[[#This Row],[EMPLOYEE NUMBER]]="","",IF(COUNTIF(T_EMPLOYEES[EMPLOYEE NUMBER],T_EMPLOYEES[[#This Row],[EMPLOYEE NUMBER]])&gt;1,1,0))</f>
        <v/>
      </c>
      <c r="AC137">
        <f>IF(T_EMPLOYEES[[#This Row],[EMPLOYEE NUMBER]]="","",IF(AND(T_EMPLOYEES[[#This Row],[DATE OF BIRTH]]&gt;0,T_EMPLOYEES[[#This Row],[DATE OF BIRTH]]&lt;TODAY()),0,1))</f>
        <v/>
      </c>
      <c r="AD137">
        <f>IF(T_EMPLOYEES[[#This Row],[EMPLOYEE NUMBER]]="","",IF(AND(T_EMPLOYEES[[#This Row],[START DATE]]&gt;0,T_EMPLOYEES[[#This Row],[START DATE]]&lt;TODAY()+60),0,1))</f>
        <v/>
      </c>
      <c r="AE137">
        <f>IF(T_EMPLOYEES[[#This Row],[EMPLOYEE NUMBER]]="","",MATCH(T_EMPLOYEES[[#This Row],[GENDER]],L_GENDER,0))</f>
        <v/>
      </c>
      <c r="AF137">
        <f>IF(T_EMPLOYEES[[#This Row],[EMPLOYEE NUMBER]]="","",MATCH(T_EMPLOYEES[[#This Row],[HIRE SOURCE]],L_HIRESOURCE,0))</f>
        <v/>
      </c>
      <c r="AG137">
        <f>IF(T_EMPLOYEES[[#This Row],[EMPLOYEE NUMBER]]="","",MATCH(T_EMPLOYEES[[#This Row],[ETHNICITY]],L_ETHNICITY,0))</f>
        <v/>
      </c>
      <c r="AH137">
        <f>IF(T_EMPLOYEES[[#This Row],[EMPLOYEE NUMBER]]="","",MATCH(T_EMPLOYEES[[#This Row],[LOCATION]],L_LOCATION,0))</f>
        <v/>
      </c>
      <c r="AI137">
        <f>IF(T_EMPLOYEES[[#This Row],[EMPLOYEE NUMBER]]="","",MATCH(T_EMPLOYEES[[#This Row],[DEPARTMENT]],L_DEPARTMENT,0))</f>
        <v/>
      </c>
      <c r="AJ137">
        <f>IF(T_EMPLOYEES[[#This Row],[EMPLOYEE NUMBER]]="","",MATCH(T_EMPLOYEES[[#This Row],[JOB TYPE]],L_JOBTYPE,0))</f>
        <v/>
      </c>
      <c r="AK137">
        <f>IF(T_EMPLOYEES[[#This Row],[EMPLOYEE NUMBER]]="","",MATCH(T_EMPLOYEES[[#This Row],[JOB CATEGORY]],L_JOBCATEGORY,0))</f>
        <v/>
      </c>
      <c r="AL137">
        <f>IF(T_EMPLOYEES[[#This Row],[EMPLOYEE NUMBER]]="","",MATCH(T_EMPLOYEES[[#This Row],[JOB LEVEL]],L_JOBLEVEL,0))</f>
        <v/>
      </c>
      <c r="AM137">
        <f>IF(T_EMPLOYEES[[#This Row],[EMPLOYEE NUMBER]]="","",MATCH(T_EMPLOYEES[[#This Row],[JOB TITLE]],L_JOBTITLE,0))</f>
        <v/>
      </c>
      <c r="AN137">
        <f>IF(T_EMPLOYEES[[#This Row],[EMPLOYEE NUMBER]]="","",MATCH(T_EMPLOYEES[[#This Row],[MANAGER]],L_EMPLABELS,0))</f>
        <v/>
      </c>
      <c r="AO137">
        <f>IF(T_EMPLOYEES[[#This Row],[EMPLOYEE NUMBER]]="","",IF(T_EMPLOYEES[[#This Row],[ERROR]]="",0,1))</f>
        <v/>
      </c>
      <c r="AP13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8">
      <c r="A138" t="inlineStr">
        <is>
          <t>Siddi</t>
        </is>
      </c>
      <c r="B138" t="inlineStr">
        <is>
          <t xml:space="preserve">Narasimhareddy </t>
        </is>
      </c>
      <c r="C138" t="n">
        <v>1031879</v>
      </c>
      <c r="D138" t="inlineStr">
        <is>
          <t>Narasimhareddy.Siddi@infinite.com</t>
        </is>
      </c>
      <c r="E138" s="26" t="n">
        <v>32234</v>
      </c>
      <c r="F138" s="26" t="n">
        <v>44914</v>
      </c>
      <c r="H138" t="inlineStr">
        <is>
          <t>Male</t>
        </is>
      </c>
      <c r="I138" t="inlineStr">
        <is>
          <t>Asian</t>
        </is>
      </c>
      <c r="J138" t="inlineStr">
        <is>
          <t>WEBSITE</t>
        </is>
      </c>
      <c r="K138" t="inlineStr">
        <is>
          <t>Bangalore</t>
        </is>
      </c>
      <c r="L138" s="27" t="inlineStr">
        <is>
          <t>IT</t>
        </is>
      </c>
      <c r="M138" t="inlineStr">
        <is>
          <t>Full-Time</t>
        </is>
      </c>
      <c r="N138" t="inlineStr">
        <is>
          <t>Technical Lead</t>
        </is>
      </c>
      <c r="O138" t="inlineStr">
        <is>
          <t>E4</t>
        </is>
      </c>
      <c r="P138" t="inlineStr">
        <is>
          <t>Technical Lead</t>
        </is>
      </c>
      <c r="Q138" t="inlineStr">
        <is>
          <t>Prabhakar Janardhanam (1031867)</t>
        </is>
      </c>
      <c r="R138" s="27" t="n">
        <v>5</v>
      </c>
      <c r="S138" s="1" t="n">
        <v>250000</v>
      </c>
      <c r="T138" s="1">
        <f>ROUND(T_EMPLOYEES[[#This Row],[EMP_CTC1]]/12, 0)</f>
        <v/>
      </c>
      <c r="U138" s="1" t="n">
        <v>150000</v>
      </c>
      <c r="V138" s="1" t="inlineStr">
        <is>
          <t>NH</t>
        </is>
      </c>
      <c r="W138" s="1" t="inlineStr">
        <is>
          <t>NH</t>
        </is>
      </c>
      <c r="X13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8" t="n">
        <v>60000</v>
      </c>
      <c r="Z138" s="29">
        <f>(S138 - U138)/S138 * 100</f>
        <v/>
      </c>
      <c r="AA138">
        <f>IF(T_EMPLOYEES[[#This Row],[EMPLOYEE NUMBER]]="","",ROW(T_EMPLOYEES[[#This Row],[EMPLOYEE LABEL]])-ROW(T_EMPLOYEES[[#Headers],[EMPLOYEE LABEL]]))</f>
        <v/>
      </c>
      <c r="AB138">
        <f>IF(T_EMPLOYEES[[#This Row],[EMPLOYEE NUMBER]]="","",IF(COUNTIF(T_EMPLOYEES[EMPLOYEE NUMBER],T_EMPLOYEES[[#This Row],[EMPLOYEE NUMBER]])&gt;1,1,0))</f>
        <v/>
      </c>
      <c r="AC138">
        <f>IF(T_EMPLOYEES[[#This Row],[EMPLOYEE NUMBER]]="","",IF(AND(T_EMPLOYEES[[#This Row],[DATE OF BIRTH]]&gt;0,T_EMPLOYEES[[#This Row],[DATE OF BIRTH]]&lt;TODAY()),0,1))</f>
        <v/>
      </c>
      <c r="AD138">
        <f>IF(T_EMPLOYEES[[#This Row],[EMPLOYEE NUMBER]]="","",IF(AND(T_EMPLOYEES[[#This Row],[START DATE]]&gt;0,T_EMPLOYEES[[#This Row],[START DATE]]&lt;TODAY()+60),0,1))</f>
        <v/>
      </c>
      <c r="AE138">
        <f>IF(T_EMPLOYEES[[#This Row],[EMPLOYEE NUMBER]]="","",MATCH(T_EMPLOYEES[[#This Row],[GENDER]],L_GENDER,0))</f>
        <v/>
      </c>
      <c r="AF138">
        <f>IF(T_EMPLOYEES[[#This Row],[EMPLOYEE NUMBER]]="","",MATCH(T_EMPLOYEES[[#This Row],[HIRE SOURCE]],L_HIRESOURCE,0))</f>
        <v/>
      </c>
      <c r="AG138">
        <f>IF(T_EMPLOYEES[[#This Row],[EMPLOYEE NUMBER]]="","",MATCH(T_EMPLOYEES[[#This Row],[ETHNICITY]],L_ETHNICITY,0))</f>
        <v/>
      </c>
      <c r="AH138">
        <f>IF(T_EMPLOYEES[[#This Row],[EMPLOYEE NUMBER]]="","",MATCH(T_EMPLOYEES[[#This Row],[LOCATION]],L_LOCATION,0))</f>
        <v/>
      </c>
      <c r="AI138">
        <f>IF(T_EMPLOYEES[[#This Row],[EMPLOYEE NUMBER]]="","",MATCH(T_EMPLOYEES[[#This Row],[DEPARTMENT]],L_DEPARTMENT,0))</f>
        <v/>
      </c>
      <c r="AJ138">
        <f>IF(T_EMPLOYEES[[#This Row],[EMPLOYEE NUMBER]]="","",MATCH(T_EMPLOYEES[[#This Row],[JOB TYPE]],L_JOBTYPE,0))</f>
        <v/>
      </c>
      <c r="AK138">
        <f>IF(T_EMPLOYEES[[#This Row],[EMPLOYEE NUMBER]]="","",MATCH(T_EMPLOYEES[[#This Row],[JOB CATEGORY]],L_JOBCATEGORY,0))</f>
        <v/>
      </c>
      <c r="AL138">
        <f>IF(T_EMPLOYEES[[#This Row],[EMPLOYEE NUMBER]]="","",MATCH(T_EMPLOYEES[[#This Row],[JOB LEVEL]],L_JOBLEVEL,0))</f>
        <v/>
      </c>
      <c r="AM138">
        <f>IF(T_EMPLOYEES[[#This Row],[EMPLOYEE NUMBER]]="","",MATCH(T_EMPLOYEES[[#This Row],[JOB TITLE]],L_JOBTITLE,0))</f>
        <v/>
      </c>
      <c r="AN138">
        <f>IF(T_EMPLOYEES[[#This Row],[EMPLOYEE NUMBER]]="","",MATCH(T_EMPLOYEES[[#This Row],[MANAGER]],L_EMPLABELS,0))</f>
        <v/>
      </c>
      <c r="AO138">
        <f>IF(T_EMPLOYEES[[#This Row],[EMPLOYEE NUMBER]]="","",IF(T_EMPLOYEES[[#This Row],[ERROR]]="",0,1))</f>
        <v/>
      </c>
      <c r="AP13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39">
      <c r="A139" t="inlineStr">
        <is>
          <t>Poothi</t>
        </is>
      </c>
      <c r="B139" t="inlineStr">
        <is>
          <t xml:space="preserve">Reddy Niranjan Reddy </t>
        </is>
      </c>
      <c r="C139" t="n">
        <v>1024413</v>
      </c>
      <c r="D139" t="inlineStr">
        <is>
          <t>Niranjan.Reddy2@infinite.com</t>
        </is>
      </c>
      <c r="E139" s="26" t="n">
        <v>33700</v>
      </c>
      <c r="F139" s="26" t="n">
        <v>44228</v>
      </c>
      <c r="H139" t="inlineStr">
        <is>
          <t>Male</t>
        </is>
      </c>
      <c r="I139" t="inlineStr">
        <is>
          <t>Asian</t>
        </is>
      </c>
      <c r="J139" t="inlineStr">
        <is>
          <t>WEBSITE</t>
        </is>
      </c>
      <c r="K139" t="inlineStr">
        <is>
          <t>Bangalore</t>
        </is>
      </c>
      <c r="L139" s="27" t="inlineStr">
        <is>
          <t>Informatica</t>
        </is>
      </c>
      <c r="M139" t="inlineStr">
        <is>
          <t>Full-Time</t>
        </is>
      </c>
      <c r="N139" t="inlineStr">
        <is>
          <t>Technical Lead</t>
        </is>
      </c>
      <c r="O139" t="inlineStr">
        <is>
          <t>E4</t>
        </is>
      </c>
      <c r="P139" t="inlineStr">
        <is>
          <t>Technical Lead</t>
        </is>
      </c>
      <c r="Q139" t="inlineStr">
        <is>
          <t>Kishore Kumar N (1019765)</t>
        </is>
      </c>
      <c r="R139" t="n">
        <v>5</v>
      </c>
      <c r="S139" s="1" t="n">
        <v>250000</v>
      </c>
      <c r="T139" s="1">
        <f>ROUND(T_EMPLOYEES[[#This Row],[EMP_CTC1]]/12, 0)</f>
        <v/>
      </c>
      <c r="U139" s="1" t="n">
        <v>150000</v>
      </c>
      <c r="V139" s="1" t="inlineStr">
        <is>
          <t>NH</t>
        </is>
      </c>
      <c r="W139" s="1" t="inlineStr">
        <is>
          <t>NH</t>
        </is>
      </c>
      <c r="X13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39" t="n">
        <v>60000</v>
      </c>
      <c r="Z139" s="29">
        <f>(S139 - U139)/S139 * 100</f>
        <v/>
      </c>
      <c r="AA139">
        <f>IF(T_EMPLOYEES[[#This Row],[EMPLOYEE NUMBER]]="","",ROW(T_EMPLOYEES[[#This Row],[EMPLOYEE LABEL]])-ROW(T_EMPLOYEES[[#Headers],[EMPLOYEE LABEL]]))</f>
        <v/>
      </c>
      <c r="AB139">
        <f>IF(T_EMPLOYEES[[#This Row],[EMPLOYEE NUMBER]]="","",IF(COUNTIF(T_EMPLOYEES[EMPLOYEE NUMBER],T_EMPLOYEES[[#This Row],[EMPLOYEE NUMBER]])&gt;1,1,0))</f>
        <v/>
      </c>
      <c r="AC139">
        <f>IF(T_EMPLOYEES[[#This Row],[EMPLOYEE NUMBER]]="","",IF(AND(T_EMPLOYEES[[#This Row],[DATE OF BIRTH]]&gt;0,T_EMPLOYEES[[#This Row],[DATE OF BIRTH]]&lt;TODAY()),0,1))</f>
        <v/>
      </c>
      <c r="AD139">
        <f>IF(T_EMPLOYEES[[#This Row],[EMPLOYEE NUMBER]]="","",IF(AND(T_EMPLOYEES[[#This Row],[START DATE]]&gt;0,T_EMPLOYEES[[#This Row],[START DATE]]&lt;TODAY()+60),0,1))</f>
        <v/>
      </c>
      <c r="AE139">
        <f>IF(T_EMPLOYEES[[#This Row],[EMPLOYEE NUMBER]]="","",MATCH(T_EMPLOYEES[[#This Row],[GENDER]],L_GENDER,0))</f>
        <v/>
      </c>
      <c r="AF139">
        <f>IF(T_EMPLOYEES[[#This Row],[EMPLOYEE NUMBER]]="","",MATCH(T_EMPLOYEES[[#This Row],[HIRE SOURCE]],L_HIRESOURCE,0))</f>
        <v/>
      </c>
      <c r="AG139">
        <f>IF(T_EMPLOYEES[[#This Row],[EMPLOYEE NUMBER]]="","",MATCH(T_EMPLOYEES[[#This Row],[ETHNICITY]],L_ETHNICITY,0))</f>
        <v/>
      </c>
      <c r="AH139">
        <f>IF(T_EMPLOYEES[[#This Row],[EMPLOYEE NUMBER]]="","",MATCH(T_EMPLOYEES[[#This Row],[LOCATION]],L_LOCATION,0))</f>
        <v/>
      </c>
      <c r="AI139">
        <f>IF(T_EMPLOYEES[[#This Row],[EMPLOYEE NUMBER]]="","",MATCH(T_EMPLOYEES[[#This Row],[DEPARTMENT]],L_DEPARTMENT,0))</f>
        <v/>
      </c>
      <c r="AJ139">
        <f>IF(T_EMPLOYEES[[#This Row],[EMPLOYEE NUMBER]]="","",MATCH(T_EMPLOYEES[[#This Row],[JOB TYPE]],L_JOBTYPE,0))</f>
        <v/>
      </c>
      <c r="AK139">
        <f>IF(T_EMPLOYEES[[#This Row],[EMPLOYEE NUMBER]]="","",MATCH(T_EMPLOYEES[[#This Row],[JOB CATEGORY]],L_JOBCATEGORY,0))</f>
        <v/>
      </c>
      <c r="AL139">
        <f>IF(T_EMPLOYEES[[#This Row],[EMPLOYEE NUMBER]]="","",MATCH(T_EMPLOYEES[[#This Row],[JOB LEVEL]],L_JOBLEVEL,0))</f>
        <v/>
      </c>
      <c r="AM139">
        <f>IF(T_EMPLOYEES[[#This Row],[EMPLOYEE NUMBER]]="","",MATCH(T_EMPLOYEES[[#This Row],[JOB TITLE]],L_JOBTITLE,0))</f>
        <v/>
      </c>
      <c r="AN139">
        <f>IF(T_EMPLOYEES[[#This Row],[EMPLOYEE NUMBER]]="","",MATCH(T_EMPLOYEES[[#This Row],[MANAGER]],L_EMPLABELS,0))</f>
        <v/>
      </c>
      <c r="AO139">
        <f>IF(T_EMPLOYEES[[#This Row],[EMPLOYEE NUMBER]]="","",IF(T_EMPLOYEES[[#This Row],[ERROR]]="",0,1))</f>
        <v/>
      </c>
      <c r="AP13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0">
      <c r="A140" t="inlineStr">
        <is>
          <t>Peernayakgari</t>
        </is>
      </c>
      <c r="B140" t="inlineStr">
        <is>
          <t>Irfan Basha</t>
        </is>
      </c>
      <c r="C140" t="n">
        <v>1017291</v>
      </c>
      <c r="D140" t="inlineStr">
        <is>
          <t>Peernayakgari.Basha@infinite.com</t>
        </is>
      </c>
      <c r="E140" s="26" t="n">
        <v>32273</v>
      </c>
      <c r="F140" s="26" t="n">
        <v>42186</v>
      </c>
      <c r="H140" t="inlineStr">
        <is>
          <t>Male</t>
        </is>
      </c>
      <c r="I140" t="inlineStr">
        <is>
          <t>Asian</t>
        </is>
      </c>
      <c r="J140" t="inlineStr">
        <is>
          <t>WEBSITE</t>
        </is>
      </c>
      <c r="K140" t="inlineStr">
        <is>
          <t>Bangalore</t>
        </is>
      </c>
      <c r="L140" s="27" t="inlineStr">
        <is>
          <t>IT</t>
        </is>
      </c>
      <c r="M140" t="inlineStr">
        <is>
          <t>Full-Time</t>
        </is>
      </c>
      <c r="N140" t="inlineStr">
        <is>
          <t>Technical Manager</t>
        </is>
      </c>
      <c r="O140" t="inlineStr">
        <is>
          <t>E6</t>
        </is>
      </c>
      <c r="P140" t="inlineStr">
        <is>
          <t>Technical Manager</t>
        </is>
      </c>
      <c r="Q140" t="inlineStr">
        <is>
          <t>Radhakanta  Samantara (1010164)</t>
        </is>
      </c>
      <c r="R140" s="27" t="n">
        <v>7</v>
      </c>
      <c r="S140" s="1" t="n">
        <v>250000</v>
      </c>
      <c r="T140" s="1">
        <f>ROUND(T_EMPLOYEES[[#This Row],[EMP_CTC1]]/12, 0)</f>
        <v/>
      </c>
      <c r="U140" s="1" t="n">
        <v>150000</v>
      </c>
      <c r="V140" s="1" t="inlineStr">
        <is>
          <t>NH</t>
        </is>
      </c>
      <c r="W140" s="1" t="inlineStr">
        <is>
          <t>NH</t>
        </is>
      </c>
      <c r="X14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0" t="n">
        <v>60000</v>
      </c>
      <c r="Z140" s="29">
        <f>(S140 - U140)/S140 * 100</f>
        <v/>
      </c>
      <c r="AA140">
        <f>IF(T_EMPLOYEES[[#This Row],[EMPLOYEE NUMBER]]="","",ROW(T_EMPLOYEES[[#This Row],[EMPLOYEE LABEL]])-ROW(T_EMPLOYEES[[#Headers],[EMPLOYEE LABEL]]))</f>
        <v/>
      </c>
      <c r="AB140">
        <f>IF(T_EMPLOYEES[[#This Row],[EMPLOYEE NUMBER]]="","",IF(COUNTIF(T_EMPLOYEES[EMPLOYEE NUMBER],T_EMPLOYEES[[#This Row],[EMPLOYEE NUMBER]])&gt;1,1,0))</f>
        <v/>
      </c>
      <c r="AC140">
        <f>IF(T_EMPLOYEES[[#This Row],[EMPLOYEE NUMBER]]="","",IF(AND(T_EMPLOYEES[[#This Row],[DATE OF BIRTH]]&gt;0,T_EMPLOYEES[[#This Row],[DATE OF BIRTH]]&lt;TODAY()),0,1))</f>
        <v/>
      </c>
      <c r="AD140">
        <f>IF(T_EMPLOYEES[[#This Row],[EMPLOYEE NUMBER]]="","",IF(AND(T_EMPLOYEES[[#This Row],[START DATE]]&gt;0,T_EMPLOYEES[[#This Row],[START DATE]]&lt;TODAY()+60),0,1))</f>
        <v/>
      </c>
      <c r="AE140">
        <f>IF(T_EMPLOYEES[[#This Row],[EMPLOYEE NUMBER]]="","",MATCH(T_EMPLOYEES[[#This Row],[GENDER]],L_GENDER,0))</f>
        <v/>
      </c>
      <c r="AF140">
        <f>IF(T_EMPLOYEES[[#This Row],[EMPLOYEE NUMBER]]="","",MATCH(T_EMPLOYEES[[#This Row],[HIRE SOURCE]],L_HIRESOURCE,0))</f>
        <v/>
      </c>
      <c r="AG140">
        <f>IF(T_EMPLOYEES[[#This Row],[EMPLOYEE NUMBER]]="","",MATCH(T_EMPLOYEES[[#This Row],[ETHNICITY]],L_ETHNICITY,0))</f>
        <v/>
      </c>
      <c r="AH140">
        <f>IF(T_EMPLOYEES[[#This Row],[EMPLOYEE NUMBER]]="","",MATCH(T_EMPLOYEES[[#This Row],[LOCATION]],L_LOCATION,0))</f>
        <v/>
      </c>
      <c r="AI140">
        <f>IF(T_EMPLOYEES[[#This Row],[EMPLOYEE NUMBER]]="","",MATCH(T_EMPLOYEES[[#This Row],[DEPARTMENT]],L_DEPARTMENT,0))</f>
        <v/>
      </c>
      <c r="AJ140">
        <f>IF(T_EMPLOYEES[[#This Row],[EMPLOYEE NUMBER]]="","",MATCH(T_EMPLOYEES[[#This Row],[JOB TYPE]],L_JOBTYPE,0))</f>
        <v/>
      </c>
      <c r="AK140">
        <f>IF(T_EMPLOYEES[[#This Row],[EMPLOYEE NUMBER]]="","",MATCH(T_EMPLOYEES[[#This Row],[JOB CATEGORY]],L_JOBCATEGORY,0))</f>
        <v/>
      </c>
      <c r="AL140">
        <f>IF(T_EMPLOYEES[[#This Row],[EMPLOYEE NUMBER]]="","",MATCH(T_EMPLOYEES[[#This Row],[JOB LEVEL]],L_JOBLEVEL,0))</f>
        <v/>
      </c>
      <c r="AM140">
        <f>IF(T_EMPLOYEES[[#This Row],[EMPLOYEE NUMBER]]="","",MATCH(T_EMPLOYEES[[#This Row],[JOB TITLE]],L_JOBTITLE,0))</f>
        <v/>
      </c>
      <c r="AN140">
        <f>IF(T_EMPLOYEES[[#This Row],[EMPLOYEE NUMBER]]="","",MATCH(T_EMPLOYEES[[#This Row],[MANAGER]],L_EMPLABELS,0))</f>
        <v/>
      </c>
      <c r="AO140">
        <f>IF(T_EMPLOYEES[[#This Row],[EMPLOYEE NUMBER]]="","",IF(T_EMPLOYEES[[#This Row],[ERROR]]="",0,1))</f>
        <v/>
      </c>
      <c r="AP14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S140" t="inlineStr">
        <is>
          <t>v</t>
        </is>
      </c>
    </row>
    <row r="141">
      <c r="A141" t="inlineStr">
        <is>
          <t>Sravani</t>
        </is>
      </c>
      <c r="B141" t="inlineStr">
        <is>
          <t xml:space="preserve"> R N</t>
        </is>
      </c>
      <c r="C141" t="n">
        <v>1023139</v>
      </c>
      <c r="D141" t="inlineStr">
        <is>
          <t>Sravani.Ramapuram@infinite.com</t>
        </is>
      </c>
      <c r="E141" s="26" t="n">
        <v>32275</v>
      </c>
      <c r="F141" s="26" t="n">
        <v>43895</v>
      </c>
      <c r="H141" t="inlineStr">
        <is>
          <t>Female</t>
        </is>
      </c>
      <c r="I141" t="inlineStr">
        <is>
          <t>Asian</t>
        </is>
      </c>
      <c r="J141" t="inlineStr">
        <is>
          <t>WEBSITE</t>
        </is>
      </c>
      <c r="K141" t="inlineStr">
        <is>
          <t>Bangalore</t>
        </is>
      </c>
      <c r="L141" s="27" t="inlineStr">
        <is>
          <t>IT</t>
        </is>
      </c>
      <c r="M141" t="inlineStr">
        <is>
          <t>Full-Time</t>
        </is>
      </c>
      <c r="N141" t="inlineStr">
        <is>
          <t>Technical Lead</t>
        </is>
      </c>
      <c r="O141" t="inlineStr">
        <is>
          <t>E4</t>
        </is>
      </c>
      <c r="P141" t="inlineStr">
        <is>
          <t>Technical Lead</t>
        </is>
      </c>
      <c r="Q141" t="inlineStr">
        <is>
          <t>Avdhut Sunil Kavdikar (1032836)</t>
        </is>
      </c>
      <c r="R141" t="n">
        <v>5</v>
      </c>
      <c r="S141" s="1" t="n">
        <v>250000</v>
      </c>
      <c r="T141" s="1">
        <f>ROUND(T_EMPLOYEES[[#This Row],[EMP_CTC1]]/12, 0)</f>
        <v/>
      </c>
      <c r="U141" s="1" t="n">
        <v>150000</v>
      </c>
      <c r="V141" s="1" t="inlineStr">
        <is>
          <t>NH</t>
        </is>
      </c>
      <c r="W141" s="1" t="inlineStr">
        <is>
          <t>NH</t>
        </is>
      </c>
      <c r="X14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1" t="n">
        <v>60000</v>
      </c>
      <c r="Z141" s="29">
        <f>(S141 - U141)/S141 * 100</f>
        <v/>
      </c>
      <c r="AA141">
        <f>IF(T_EMPLOYEES[[#This Row],[EMPLOYEE NUMBER]]="","",ROW(T_EMPLOYEES[[#This Row],[EMPLOYEE LABEL]])-ROW(T_EMPLOYEES[[#Headers],[EMPLOYEE LABEL]]))</f>
        <v/>
      </c>
      <c r="AB141">
        <f>IF(T_EMPLOYEES[[#This Row],[EMPLOYEE NUMBER]]="","",IF(COUNTIF(T_EMPLOYEES[EMPLOYEE NUMBER],T_EMPLOYEES[[#This Row],[EMPLOYEE NUMBER]])&gt;1,1,0))</f>
        <v/>
      </c>
      <c r="AC141">
        <f>IF(T_EMPLOYEES[[#This Row],[EMPLOYEE NUMBER]]="","",IF(AND(T_EMPLOYEES[[#This Row],[DATE OF BIRTH]]&gt;0,T_EMPLOYEES[[#This Row],[DATE OF BIRTH]]&lt;TODAY()),0,1))</f>
        <v/>
      </c>
      <c r="AD141">
        <f>IF(T_EMPLOYEES[[#This Row],[EMPLOYEE NUMBER]]="","",IF(AND(T_EMPLOYEES[[#This Row],[START DATE]]&gt;0,T_EMPLOYEES[[#This Row],[START DATE]]&lt;TODAY()+60),0,1))</f>
        <v/>
      </c>
      <c r="AE141">
        <f>IF(T_EMPLOYEES[[#This Row],[EMPLOYEE NUMBER]]="","",MATCH(T_EMPLOYEES[[#This Row],[GENDER]],L_GENDER,0))</f>
        <v/>
      </c>
      <c r="AF141">
        <f>IF(T_EMPLOYEES[[#This Row],[EMPLOYEE NUMBER]]="","",MATCH(T_EMPLOYEES[[#This Row],[HIRE SOURCE]],L_HIRESOURCE,0))</f>
        <v/>
      </c>
      <c r="AG141">
        <f>IF(T_EMPLOYEES[[#This Row],[EMPLOYEE NUMBER]]="","",MATCH(T_EMPLOYEES[[#This Row],[ETHNICITY]],L_ETHNICITY,0))</f>
        <v/>
      </c>
      <c r="AH141">
        <f>IF(T_EMPLOYEES[[#This Row],[EMPLOYEE NUMBER]]="","",MATCH(T_EMPLOYEES[[#This Row],[LOCATION]],L_LOCATION,0))</f>
        <v/>
      </c>
      <c r="AI141">
        <f>IF(T_EMPLOYEES[[#This Row],[EMPLOYEE NUMBER]]="","",MATCH(T_EMPLOYEES[[#This Row],[DEPARTMENT]],L_DEPARTMENT,0))</f>
        <v/>
      </c>
      <c r="AJ141">
        <f>IF(T_EMPLOYEES[[#This Row],[EMPLOYEE NUMBER]]="","",MATCH(T_EMPLOYEES[[#This Row],[JOB TYPE]],L_JOBTYPE,0))</f>
        <v/>
      </c>
      <c r="AK141">
        <f>IF(T_EMPLOYEES[[#This Row],[EMPLOYEE NUMBER]]="","",MATCH(T_EMPLOYEES[[#This Row],[JOB CATEGORY]],L_JOBCATEGORY,0))</f>
        <v/>
      </c>
      <c r="AL141">
        <f>IF(T_EMPLOYEES[[#This Row],[EMPLOYEE NUMBER]]="","",MATCH(T_EMPLOYEES[[#This Row],[JOB LEVEL]],L_JOBLEVEL,0))</f>
        <v/>
      </c>
      <c r="AM141">
        <f>IF(T_EMPLOYEES[[#This Row],[EMPLOYEE NUMBER]]="","",MATCH(T_EMPLOYEES[[#This Row],[JOB TITLE]],L_JOBTITLE,0))</f>
        <v/>
      </c>
      <c r="AN141">
        <f>IF(T_EMPLOYEES[[#This Row],[EMPLOYEE NUMBER]]="","",MATCH(T_EMPLOYEES[[#This Row],[MANAGER]],L_EMPLABELS,0))</f>
        <v/>
      </c>
      <c r="AO141">
        <f>IF(T_EMPLOYEES[[#This Row],[EMPLOYEE NUMBER]]="","",IF(T_EMPLOYEES[[#This Row],[ERROR]]="",0,1))</f>
        <v/>
      </c>
      <c r="AP14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2">
      <c r="A142" t="inlineStr">
        <is>
          <t>Basappa</t>
        </is>
      </c>
      <c r="B142" t="inlineStr">
        <is>
          <t>S Bellanki</t>
        </is>
      </c>
      <c r="C142" t="n">
        <v>1027972</v>
      </c>
      <c r="D142" t="inlineStr">
        <is>
          <t>Basappa.Bellanki@infinite.com</t>
        </is>
      </c>
      <c r="E142" s="26" t="n">
        <v>32295</v>
      </c>
      <c r="F142" s="26" t="n">
        <v>44571</v>
      </c>
      <c r="H142" t="inlineStr">
        <is>
          <t>Male</t>
        </is>
      </c>
      <c r="I142" t="inlineStr">
        <is>
          <t>Asian</t>
        </is>
      </c>
      <c r="J142" t="inlineStr">
        <is>
          <t>WEBSITE</t>
        </is>
      </c>
      <c r="K142" t="inlineStr">
        <is>
          <t>Bangalore</t>
        </is>
      </c>
      <c r="L142" s="27" t="inlineStr">
        <is>
          <t>IT</t>
        </is>
      </c>
      <c r="M142" t="inlineStr">
        <is>
          <t>Full-Time</t>
        </is>
      </c>
      <c r="N142" t="inlineStr">
        <is>
          <t>Senior Test Lead</t>
        </is>
      </c>
      <c r="O142" t="inlineStr">
        <is>
          <t>E5</t>
        </is>
      </c>
      <c r="P142" t="inlineStr">
        <is>
          <t>Senior Test Lead</t>
        </is>
      </c>
      <c r="Q142" t="inlineStr">
        <is>
          <t>Talluri  Mangarao (1004641)</t>
        </is>
      </c>
      <c r="R142" s="27" t="n">
        <v>7</v>
      </c>
      <c r="S142" s="1" t="n">
        <v>250000</v>
      </c>
      <c r="T142" s="1">
        <f>ROUND(T_EMPLOYEES[[#This Row],[EMP_CTC1]]/12, 0)</f>
        <v/>
      </c>
      <c r="U142" s="1" t="n">
        <v>150000</v>
      </c>
      <c r="V142" s="1" t="inlineStr">
        <is>
          <t>NH</t>
        </is>
      </c>
      <c r="W142" s="1" t="inlineStr">
        <is>
          <t>NH</t>
        </is>
      </c>
      <c r="X14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2" t="n">
        <v>60000</v>
      </c>
      <c r="Z142" s="29">
        <f>(S142 - U142)/S142 * 100</f>
        <v/>
      </c>
      <c r="AA142">
        <f>IF(T_EMPLOYEES[[#This Row],[EMPLOYEE NUMBER]]="","",ROW(T_EMPLOYEES[[#This Row],[EMPLOYEE LABEL]])-ROW(T_EMPLOYEES[[#Headers],[EMPLOYEE LABEL]]))</f>
        <v/>
      </c>
      <c r="AB142">
        <f>IF(T_EMPLOYEES[[#This Row],[EMPLOYEE NUMBER]]="","",IF(COUNTIF(T_EMPLOYEES[EMPLOYEE NUMBER],T_EMPLOYEES[[#This Row],[EMPLOYEE NUMBER]])&gt;1,1,0))</f>
        <v/>
      </c>
      <c r="AC142">
        <f>IF(T_EMPLOYEES[[#This Row],[EMPLOYEE NUMBER]]="","",IF(AND(T_EMPLOYEES[[#This Row],[DATE OF BIRTH]]&gt;0,T_EMPLOYEES[[#This Row],[DATE OF BIRTH]]&lt;TODAY()),0,1))</f>
        <v/>
      </c>
      <c r="AD142">
        <f>IF(T_EMPLOYEES[[#This Row],[EMPLOYEE NUMBER]]="","",IF(AND(T_EMPLOYEES[[#This Row],[START DATE]]&gt;0,T_EMPLOYEES[[#This Row],[START DATE]]&lt;TODAY()+60),0,1))</f>
        <v/>
      </c>
      <c r="AE142">
        <f>IF(T_EMPLOYEES[[#This Row],[EMPLOYEE NUMBER]]="","",MATCH(T_EMPLOYEES[[#This Row],[GENDER]],L_GENDER,0))</f>
        <v/>
      </c>
      <c r="AF142">
        <f>IF(T_EMPLOYEES[[#This Row],[EMPLOYEE NUMBER]]="","",MATCH(T_EMPLOYEES[[#This Row],[HIRE SOURCE]],L_HIRESOURCE,0))</f>
        <v/>
      </c>
      <c r="AG142">
        <f>IF(T_EMPLOYEES[[#This Row],[EMPLOYEE NUMBER]]="","",MATCH(T_EMPLOYEES[[#This Row],[ETHNICITY]],L_ETHNICITY,0))</f>
        <v/>
      </c>
      <c r="AH142">
        <f>IF(T_EMPLOYEES[[#This Row],[EMPLOYEE NUMBER]]="","",MATCH(T_EMPLOYEES[[#This Row],[LOCATION]],L_LOCATION,0))</f>
        <v/>
      </c>
      <c r="AI142">
        <f>IF(T_EMPLOYEES[[#This Row],[EMPLOYEE NUMBER]]="","",MATCH(T_EMPLOYEES[[#This Row],[DEPARTMENT]],L_DEPARTMENT,0))</f>
        <v/>
      </c>
      <c r="AJ142">
        <f>IF(T_EMPLOYEES[[#This Row],[EMPLOYEE NUMBER]]="","",MATCH(T_EMPLOYEES[[#This Row],[JOB TYPE]],L_JOBTYPE,0))</f>
        <v/>
      </c>
      <c r="AK142">
        <f>IF(T_EMPLOYEES[[#This Row],[EMPLOYEE NUMBER]]="","",MATCH(T_EMPLOYEES[[#This Row],[JOB CATEGORY]],L_JOBCATEGORY,0))</f>
        <v/>
      </c>
      <c r="AL142">
        <f>IF(T_EMPLOYEES[[#This Row],[EMPLOYEE NUMBER]]="","",MATCH(T_EMPLOYEES[[#This Row],[JOB LEVEL]],L_JOBLEVEL,0))</f>
        <v/>
      </c>
      <c r="AM142">
        <f>IF(T_EMPLOYEES[[#This Row],[EMPLOYEE NUMBER]]="","",MATCH(T_EMPLOYEES[[#This Row],[JOB TITLE]],L_JOBTITLE,0))</f>
        <v/>
      </c>
      <c r="AN142">
        <f>IF(T_EMPLOYEES[[#This Row],[EMPLOYEE NUMBER]]="","",MATCH(T_EMPLOYEES[[#This Row],[MANAGER]],L_EMPLABELS,0))</f>
        <v/>
      </c>
      <c r="AO142">
        <f>IF(T_EMPLOYEES[[#This Row],[EMPLOYEE NUMBER]]="","",IF(T_EMPLOYEES[[#This Row],[ERROR]]="",0,1))</f>
        <v/>
      </c>
      <c r="AP14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3">
      <c r="A143" t="inlineStr">
        <is>
          <t>Movva</t>
        </is>
      </c>
      <c r="B143" t="inlineStr">
        <is>
          <t xml:space="preserve">Sridevi </t>
        </is>
      </c>
      <c r="C143" t="n">
        <v>1029363</v>
      </c>
      <c r="D143" t="inlineStr">
        <is>
          <t>Sridevi.Movva@infinite.com</t>
        </is>
      </c>
      <c r="E143" s="26" t="n">
        <v>32309</v>
      </c>
      <c r="F143" s="26" t="n">
        <v>44735</v>
      </c>
      <c r="H143" t="inlineStr">
        <is>
          <t>Female</t>
        </is>
      </c>
      <c r="I143" t="inlineStr">
        <is>
          <t>Asian</t>
        </is>
      </c>
      <c r="J143" t="inlineStr">
        <is>
          <t>WEBSITE</t>
        </is>
      </c>
      <c r="K143" t="inlineStr">
        <is>
          <t>Bangalore</t>
        </is>
      </c>
      <c r="L143" s="27" t="inlineStr">
        <is>
          <t>IT</t>
        </is>
      </c>
      <c r="M143" t="inlineStr">
        <is>
          <t>Full-Time</t>
        </is>
      </c>
      <c r="N143" t="inlineStr">
        <is>
          <t>Technical Lead</t>
        </is>
      </c>
      <c r="O143" t="inlineStr">
        <is>
          <t>E4</t>
        </is>
      </c>
      <c r="P143" t="inlineStr">
        <is>
          <t>Technical Lead</t>
        </is>
      </c>
      <c r="Q143" t="inlineStr">
        <is>
          <t>Srinivas Rao Vemana (1028538)</t>
        </is>
      </c>
      <c r="R143" t="n">
        <v>5</v>
      </c>
      <c r="S143" s="1" t="n">
        <v>250000</v>
      </c>
      <c r="T143" s="1">
        <f>ROUND(T_EMPLOYEES[[#This Row],[EMP_CTC1]]/12, 0)</f>
        <v/>
      </c>
      <c r="U143" s="1" t="n">
        <v>150000</v>
      </c>
      <c r="V143" s="1" t="inlineStr">
        <is>
          <t>NH</t>
        </is>
      </c>
      <c r="W143" s="1" t="inlineStr">
        <is>
          <t>NH</t>
        </is>
      </c>
      <c r="X14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3" t="n">
        <v>60000</v>
      </c>
      <c r="Z143" s="29">
        <f>(S143 - U143)/S143 * 100</f>
        <v/>
      </c>
      <c r="AA143">
        <f>IF(T_EMPLOYEES[[#This Row],[EMPLOYEE NUMBER]]="","",ROW(T_EMPLOYEES[[#This Row],[EMPLOYEE LABEL]])-ROW(T_EMPLOYEES[[#Headers],[EMPLOYEE LABEL]]))</f>
        <v/>
      </c>
      <c r="AB143">
        <f>IF(T_EMPLOYEES[[#This Row],[EMPLOYEE NUMBER]]="","",IF(COUNTIF(T_EMPLOYEES[EMPLOYEE NUMBER],T_EMPLOYEES[[#This Row],[EMPLOYEE NUMBER]])&gt;1,1,0))</f>
        <v/>
      </c>
      <c r="AC143">
        <f>IF(T_EMPLOYEES[[#This Row],[EMPLOYEE NUMBER]]="","",IF(AND(T_EMPLOYEES[[#This Row],[DATE OF BIRTH]]&gt;0,T_EMPLOYEES[[#This Row],[DATE OF BIRTH]]&lt;TODAY()),0,1))</f>
        <v/>
      </c>
      <c r="AD143">
        <f>IF(T_EMPLOYEES[[#This Row],[EMPLOYEE NUMBER]]="","",IF(AND(T_EMPLOYEES[[#This Row],[START DATE]]&gt;0,T_EMPLOYEES[[#This Row],[START DATE]]&lt;TODAY()+60),0,1))</f>
        <v/>
      </c>
      <c r="AE143">
        <f>IF(T_EMPLOYEES[[#This Row],[EMPLOYEE NUMBER]]="","",MATCH(T_EMPLOYEES[[#This Row],[GENDER]],L_GENDER,0))</f>
        <v/>
      </c>
      <c r="AF143">
        <f>IF(T_EMPLOYEES[[#This Row],[EMPLOYEE NUMBER]]="","",MATCH(T_EMPLOYEES[[#This Row],[HIRE SOURCE]],L_HIRESOURCE,0))</f>
        <v/>
      </c>
      <c r="AG143">
        <f>IF(T_EMPLOYEES[[#This Row],[EMPLOYEE NUMBER]]="","",MATCH(T_EMPLOYEES[[#This Row],[ETHNICITY]],L_ETHNICITY,0))</f>
        <v/>
      </c>
      <c r="AH143">
        <f>IF(T_EMPLOYEES[[#This Row],[EMPLOYEE NUMBER]]="","",MATCH(T_EMPLOYEES[[#This Row],[LOCATION]],L_LOCATION,0))</f>
        <v/>
      </c>
      <c r="AI143">
        <f>IF(T_EMPLOYEES[[#This Row],[EMPLOYEE NUMBER]]="","",MATCH(T_EMPLOYEES[[#This Row],[DEPARTMENT]],L_DEPARTMENT,0))</f>
        <v/>
      </c>
      <c r="AJ143">
        <f>IF(T_EMPLOYEES[[#This Row],[EMPLOYEE NUMBER]]="","",MATCH(T_EMPLOYEES[[#This Row],[JOB TYPE]],L_JOBTYPE,0))</f>
        <v/>
      </c>
      <c r="AK143">
        <f>IF(T_EMPLOYEES[[#This Row],[EMPLOYEE NUMBER]]="","",MATCH(T_EMPLOYEES[[#This Row],[JOB CATEGORY]],L_JOBCATEGORY,0))</f>
        <v/>
      </c>
      <c r="AL143">
        <f>IF(T_EMPLOYEES[[#This Row],[EMPLOYEE NUMBER]]="","",MATCH(T_EMPLOYEES[[#This Row],[JOB LEVEL]],L_JOBLEVEL,0))</f>
        <v/>
      </c>
      <c r="AM143">
        <f>IF(T_EMPLOYEES[[#This Row],[EMPLOYEE NUMBER]]="","",MATCH(T_EMPLOYEES[[#This Row],[JOB TITLE]],L_JOBTITLE,0))</f>
        <v/>
      </c>
      <c r="AN143">
        <f>IF(T_EMPLOYEES[[#This Row],[EMPLOYEE NUMBER]]="","",MATCH(T_EMPLOYEES[[#This Row],[MANAGER]],L_EMPLABELS,0))</f>
        <v/>
      </c>
      <c r="AO143">
        <f>IF(T_EMPLOYEES[[#This Row],[EMPLOYEE NUMBER]]="","",IF(T_EMPLOYEES[[#This Row],[ERROR]]="",0,1))</f>
        <v/>
      </c>
      <c r="AP14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4">
      <c r="A144" t="inlineStr">
        <is>
          <t>Naga</t>
        </is>
      </c>
      <c r="B144" t="inlineStr">
        <is>
          <t>Murali Krishna Valluru</t>
        </is>
      </c>
      <c r="C144" t="n">
        <v>1027065</v>
      </c>
      <c r="D144" t="inlineStr">
        <is>
          <t>Muralikrishna.Valluru@infinite.com</t>
        </is>
      </c>
      <c r="E144" s="26" t="n">
        <v>32321</v>
      </c>
      <c r="F144" s="26" t="n">
        <v>44505</v>
      </c>
      <c r="H144" t="inlineStr">
        <is>
          <t>Male</t>
        </is>
      </c>
      <c r="I144" t="inlineStr">
        <is>
          <t>Asian</t>
        </is>
      </c>
      <c r="J144" t="inlineStr">
        <is>
          <t>WEBSITE</t>
        </is>
      </c>
      <c r="K144" t="inlineStr">
        <is>
          <t>Bangalore</t>
        </is>
      </c>
      <c r="L144" s="27" t="inlineStr">
        <is>
          <t>IT</t>
        </is>
      </c>
      <c r="M144" t="inlineStr">
        <is>
          <t>Full-Time</t>
        </is>
      </c>
      <c r="N144" t="inlineStr">
        <is>
          <t>Technical Lead</t>
        </is>
      </c>
      <c r="O144" t="inlineStr">
        <is>
          <t>E4</t>
        </is>
      </c>
      <c r="P144" t="inlineStr">
        <is>
          <t>Technical Lead</t>
        </is>
      </c>
      <c r="Q144" t="inlineStr">
        <is>
          <t>Korivolla Umamahesh (1032896)</t>
        </is>
      </c>
      <c r="R144" s="27" t="n">
        <v>5</v>
      </c>
      <c r="S144" s="1" t="n">
        <v>250000</v>
      </c>
      <c r="T144" s="1">
        <f>ROUND(T_EMPLOYEES[[#This Row],[EMP_CTC1]]/12, 0)</f>
        <v/>
      </c>
      <c r="U144" s="1" t="n">
        <v>150000</v>
      </c>
      <c r="V144" s="1" t="inlineStr">
        <is>
          <t>NH</t>
        </is>
      </c>
      <c r="W144" s="1" t="inlineStr">
        <is>
          <t>NH</t>
        </is>
      </c>
      <c r="X14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4" t="n">
        <v>60000</v>
      </c>
      <c r="Z144" s="29">
        <f>(S144 - U144)/S144 * 100</f>
        <v/>
      </c>
      <c r="AA144">
        <f>IF(T_EMPLOYEES[[#This Row],[EMPLOYEE NUMBER]]="","",ROW(T_EMPLOYEES[[#This Row],[EMPLOYEE LABEL]])-ROW(T_EMPLOYEES[[#Headers],[EMPLOYEE LABEL]]))</f>
        <v/>
      </c>
      <c r="AB144">
        <f>IF(T_EMPLOYEES[[#This Row],[EMPLOYEE NUMBER]]="","",IF(COUNTIF(T_EMPLOYEES[EMPLOYEE NUMBER],T_EMPLOYEES[[#This Row],[EMPLOYEE NUMBER]])&gt;1,1,0))</f>
        <v/>
      </c>
      <c r="AC144">
        <f>IF(T_EMPLOYEES[[#This Row],[EMPLOYEE NUMBER]]="","",IF(AND(T_EMPLOYEES[[#This Row],[DATE OF BIRTH]]&gt;0,T_EMPLOYEES[[#This Row],[DATE OF BIRTH]]&lt;TODAY()),0,1))</f>
        <v/>
      </c>
      <c r="AD144">
        <f>IF(T_EMPLOYEES[[#This Row],[EMPLOYEE NUMBER]]="","",IF(AND(T_EMPLOYEES[[#This Row],[START DATE]]&gt;0,T_EMPLOYEES[[#This Row],[START DATE]]&lt;TODAY()+60),0,1))</f>
        <v/>
      </c>
      <c r="AE144">
        <f>IF(T_EMPLOYEES[[#This Row],[EMPLOYEE NUMBER]]="","",MATCH(T_EMPLOYEES[[#This Row],[GENDER]],L_GENDER,0))</f>
        <v/>
      </c>
      <c r="AF144">
        <f>IF(T_EMPLOYEES[[#This Row],[EMPLOYEE NUMBER]]="","",MATCH(T_EMPLOYEES[[#This Row],[HIRE SOURCE]],L_HIRESOURCE,0))</f>
        <v/>
      </c>
      <c r="AG144">
        <f>IF(T_EMPLOYEES[[#This Row],[EMPLOYEE NUMBER]]="","",MATCH(T_EMPLOYEES[[#This Row],[ETHNICITY]],L_ETHNICITY,0))</f>
        <v/>
      </c>
      <c r="AH144">
        <f>IF(T_EMPLOYEES[[#This Row],[EMPLOYEE NUMBER]]="","",MATCH(T_EMPLOYEES[[#This Row],[LOCATION]],L_LOCATION,0))</f>
        <v/>
      </c>
      <c r="AI144">
        <f>IF(T_EMPLOYEES[[#This Row],[EMPLOYEE NUMBER]]="","",MATCH(T_EMPLOYEES[[#This Row],[DEPARTMENT]],L_DEPARTMENT,0))</f>
        <v/>
      </c>
      <c r="AJ144">
        <f>IF(T_EMPLOYEES[[#This Row],[EMPLOYEE NUMBER]]="","",MATCH(T_EMPLOYEES[[#This Row],[JOB TYPE]],L_JOBTYPE,0))</f>
        <v/>
      </c>
      <c r="AK144">
        <f>IF(T_EMPLOYEES[[#This Row],[EMPLOYEE NUMBER]]="","",MATCH(T_EMPLOYEES[[#This Row],[JOB CATEGORY]],L_JOBCATEGORY,0))</f>
        <v/>
      </c>
      <c r="AL144">
        <f>IF(T_EMPLOYEES[[#This Row],[EMPLOYEE NUMBER]]="","",MATCH(T_EMPLOYEES[[#This Row],[JOB LEVEL]],L_JOBLEVEL,0))</f>
        <v/>
      </c>
      <c r="AM144">
        <f>IF(T_EMPLOYEES[[#This Row],[EMPLOYEE NUMBER]]="","",MATCH(T_EMPLOYEES[[#This Row],[JOB TITLE]],L_JOBTITLE,0))</f>
        <v/>
      </c>
      <c r="AN144">
        <f>IF(T_EMPLOYEES[[#This Row],[EMPLOYEE NUMBER]]="","",MATCH(T_EMPLOYEES[[#This Row],[MANAGER]],L_EMPLABELS,0))</f>
        <v/>
      </c>
      <c r="AO144">
        <f>IF(T_EMPLOYEES[[#This Row],[EMPLOYEE NUMBER]]="","",IF(T_EMPLOYEES[[#This Row],[ERROR]]="",0,1))</f>
        <v/>
      </c>
      <c r="AP14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5">
      <c r="A145" t="inlineStr">
        <is>
          <t>Ashish</t>
        </is>
      </c>
      <c r="B145" t="inlineStr">
        <is>
          <t>Sandu</t>
        </is>
      </c>
      <c r="C145" t="n">
        <v>1033922</v>
      </c>
      <c r="D145" t="inlineStr">
        <is>
          <t>Ashish.Sandu@infinite.com</t>
        </is>
      </c>
      <c r="E145" s="26" t="n">
        <v>32351</v>
      </c>
      <c r="F145" s="26" t="n">
        <v>45247</v>
      </c>
      <c r="H145" t="inlineStr">
        <is>
          <t>Male</t>
        </is>
      </c>
      <c r="I145" t="inlineStr">
        <is>
          <t>Asian</t>
        </is>
      </c>
      <c r="J145" t="inlineStr">
        <is>
          <t>WEBSITE</t>
        </is>
      </c>
      <c r="K145" t="inlineStr">
        <is>
          <t>Chennai</t>
        </is>
      </c>
      <c r="L145" s="27" t="inlineStr">
        <is>
          <t>IT</t>
        </is>
      </c>
      <c r="M145" t="inlineStr">
        <is>
          <t>Full-Time</t>
        </is>
      </c>
      <c r="N145" t="inlineStr">
        <is>
          <t>Technical Support Specialist</t>
        </is>
      </c>
      <c r="O145" t="inlineStr">
        <is>
          <t>E4</t>
        </is>
      </c>
      <c r="P145" t="inlineStr">
        <is>
          <t>Technical Support Specialist</t>
        </is>
      </c>
      <c r="Q145" t="inlineStr">
        <is>
          <t>Someshwara Prabhu Nanje Gowda (1021418)</t>
        </is>
      </c>
      <c r="R145" t="n">
        <v>5</v>
      </c>
      <c r="S145" s="1" t="n">
        <v>250000</v>
      </c>
      <c r="T145" s="1">
        <f>ROUND(T_EMPLOYEES[[#This Row],[EMP_CTC1]]/12, 0)</f>
        <v/>
      </c>
      <c r="U145" s="1" t="n">
        <v>150000</v>
      </c>
      <c r="V145" s="1" t="inlineStr">
        <is>
          <t>NH</t>
        </is>
      </c>
      <c r="W145" s="1" t="inlineStr">
        <is>
          <t>NH</t>
        </is>
      </c>
      <c r="X14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5" t="n">
        <v>60000</v>
      </c>
      <c r="Z145" s="29">
        <f>(S145 - U145)/S145 * 100</f>
        <v/>
      </c>
      <c r="AA145">
        <f>IF(T_EMPLOYEES[[#This Row],[EMPLOYEE NUMBER]]="","",ROW(T_EMPLOYEES[[#This Row],[EMPLOYEE LABEL]])-ROW(T_EMPLOYEES[[#Headers],[EMPLOYEE LABEL]]))</f>
        <v/>
      </c>
      <c r="AB145">
        <f>IF(T_EMPLOYEES[[#This Row],[EMPLOYEE NUMBER]]="","",IF(COUNTIF(T_EMPLOYEES[EMPLOYEE NUMBER],T_EMPLOYEES[[#This Row],[EMPLOYEE NUMBER]])&gt;1,1,0))</f>
        <v/>
      </c>
      <c r="AC145">
        <f>IF(T_EMPLOYEES[[#This Row],[EMPLOYEE NUMBER]]="","",IF(AND(T_EMPLOYEES[[#This Row],[DATE OF BIRTH]]&gt;0,T_EMPLOYEES[[#This Row],[DATE OF BIRTH]]&lt;TODAY()),0,1))</f>
        <v/>
      </c>
      <c r="AD145">
        <f>IF(T_EMPLOYEES[[#This Row],[EMPLOYEE NUMBER]]="","",IF(AND(T_EMPLOYEES[[#This Row],[START DATE]]&gt;0,T_EMPLOYEES[[#This Row],[START DATE]]&lt;TODAY()+60),0,1))</f>
        <v/>
      </c>
      <c r="AE145">
        <f>IF(T_EMPLOYEES[[#This Row],[EMPLOYEE NUMBER]]="","",MATCH(T_EMPLOYEES[[#This Row],[GENDER]],L_GENDER,0))</f>
        <v/>
      </c>
      <c r="AF145">
        <f>IF(T_EMPLOYEES[[#This Row],[EMPLOYEE NUMBER]]="","",MATCH(T_EMPLOYEES[[#This Row],[HIRE SOURCE]],L_HIRESOURCE,0))</f>
        <v/>
      </c>
      <c r="AG145">
        <f>IF(T_EMPLOYEES[[#This Row],[EMPLOYEE NUMBER]]="","",MATCH(T_EMPLOYEES[[#This Row],[ETHNICITY]],L_ETHNICITY,0))</f>
        <v/>
      </c>
      <c r="AH145">
        <f>IF(T_EMPLOYEES[[#This Row],[EMPLOYEE NUMBER]]="","",MATCH(T_EMPLOYEES[[#This Row],[LOCATION]],L_LOCATION,0))</f>
        <v/>
      </c>
      <c r="AI145">
        <f>IF(T_EMPLOYEES[[#This Row],[EMPLOYEE NUMBER]]="","",MATCH(T_EMPLOYEES[[#This Row],[DEPARTMENT]],L_DEPARTMENT,0))</f>
        <v/>
      </c>
      <c r="AJ145">
        <f>IF(T_EMPLOYEES[[#This Row],[EMPLOYEE NUMBER]]="","",MATCH(T_EMPLOYEES[[#This Row],[JOB TYPE]],L_JOBTYPE,0))</f>
        <v/>
      </c>
      <c r="AK145">
        <f>IF(T_EMPLOYEES[[#This Row],[EMPLOYEE NUMBER]]="","",MATCH(T_EMPLOYEES[[#This Row],[JOB CATEGORY]],L_JOBCATEGORY,0))</f>
        <v/>
      </c>
      <c r="AL145">
        <f>IF(T_EMPLOYEES[[#This Row],[EMPLOYEE NUMBER]]="","",MATCH(T_EMPLOYEES[[#This Row],[JOB LEVEL]],L_JOBLEVEL,0))</f>
        <v/>
      </c>
      <c r="AM145">
        <f>IF(T_EMPLOYEES[[#This Row],[EMPLOYEE NUMBER]]="","",MATCH(T_EMPLOYEES[[#This Row],[JOB TITLE]],L_JOBTITLE,0))</f>
        <v/>
      </c>
      <c r="AN145">
        <f>IF(T_EMPLOYEES[[#This Row],[EMPLOYEE NUMBER]]="","",MATCH(T_EMPLOYEES[[#This Row],[MANAGER]],L_EMPLABELS,0))</f>
        <v/>
      </c>
      <c r="AO145">
        <f>IF(T_EMPLOYEES[[#This Row],[EMPLOYEE NUMBER]]="","",IF(T_EMPLOYEES[[#This Row],[ERROR]]="",0,1))</f>
        <v/>
      </c>
      <c r="AP14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6">
      <c r="A146" t="inlineStr">
        <is>
          <t>Jahangir</t>
        </is>
      </c>
      <c r="B146" t="inlineStr">
        <is>
          <t>Pasha Shaik</t>
        </is>
      </c>
      <c r="C146" t="n">
        <v>1023417</v>
      </c>
      <c r="D146" t="inlineStr">
        <is>
          <t>Jahangir.Shaik@infinite.com</t>
        </is>
      </c>
      <c r="E146" s="26" t="n">
        <v>32379</v>
      </c>
      <c r="F146" s="26" t="n">
        <v>44014</v>
      </c>
      <c r="H146" t="inlineStr">
        <is>
          <t>Male</t>
        </is>
      </c>
      <c r="I146" t="inlineStr">
        <is>
          <t>Asian</t>
        </is>
      </c>
      <c r="J146" t="inlineStr">
        <is>
          <t>WEBSITE</t>
        </is>
      </c>
      <c r="K146" t="inlineStr">
        <is>
          <t>Bangalore</t>
        </is>
      </c>
      <c r="L146" s="27" t="inlineStr">
        <is>
          <t>IT</t>
        </is>
      </c>
      <c r="M146" t="inlineStr">
        <is>
          <t>Full-Time</t>
        </is>
      </c>
      <c r="N146" t="inlineStr">
        <is>
          <t>Senior Software Engineer</t>
        </is>
      </c>
      <c r="O146" t="inlineStr">
        <is>
          <t>E3</t>
        </is>
      </c>
      <c r="P146" t="inlineStr">
        <is>
          <t>Senior Software Engineer</t>
        </is>
      </c>
      <c r="Q146" t="inlineStr">
        <is>
          <t>Siddharth Kumar (1027551)</t>
        </is>
      </c>
      <c r="R146" s="27" t="n">
        <v>3</v>
      </c>
      <c r="S146" s="1" t="n">
        <v>250000</v>
      </c>
      <c r="T146" s="1">
        <f>ROUND(T_EMPLOYEES[[#This Row],[EMP_CTC1]]/12, 0)</f>
        <v/>
      </c>
      <c r="U146" s="1" t="n">
        <v>150000</v>
      </c>
      <c r="V146" s="1" t="inlineStr">
        <is>
          <t>NH</t>
        </is>
      </c>
      <c r="W146" s="1" t="inlineStr">
        <is>
          <t>NH</t>
        </is>
      </c>
      <c r="X14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6" t="n">
        <v>60000</v>
      </c>
      <c r="Z146" s="29">
        <f>(S146 - U146)/S146 * 100</f>
        <v/>
      </c>
      <c r="AA146">
        <f>IF(T_EMPLOYEES[[#This Row],[EMPLOYEE NUMBER]]="","",ROW(T_EMPLOYEES[[#This Row],[EMPLOYEE LABEL]])-ROW(T_EMPLOYEES[[#Headers],[EMPLOYEE LABEL]]))</f>
        <v/>
      </c>
      <c r="AB146">
        <f>IF(T_EMPLOYEES[[#This Row],[EMPLOYEE NUMBER]]="","",IF(COUNTIF(T_EMPLOYEES[EMPLOYEE NUMBER],T_EMPLOYEES[[#This Row],[EMPLOYEE NUMBER]])&gt;1,1,0))</f>
        <v/>
      </c>
      <c r="AC146">
        <f>IF(T_EMPLOYEES[[#This Row],[EMPLOYEE NUMBER]]="","",IF(AND(T_EMPLOYEES[[#This Row],[DATE OF BIRTH]]&gt;0,T_EMPLOYEES[[#This Row],[DATE OF BIRTH]]&lt;TODAY()),0,1))</f>
        <v/>
      </c>
      <c r="AD146">
        <f>IF(T_EMPLOYEES[[#This Row],[EMPLOYEE NUMBER]]="","",IF(AND(T_EMPLOYEES[[#This Row],[START DATE]]&gt;0,T_EMPLOYEES[[#This Row],[START DATE]]&lt;TODAY()+60),0,1))</f>
        <v/>
      </c>
      <c r="AE146">
        <f>IF(T_EMPLOYEES[[#This Row],[EMPLOYEE NUMBER]]="","",MATCH(T_EMPLOYEES[[#This Row],[GENDER]],L_GENDER,0))</f>
        <v/>
      </c>
      <c r="AF146">
        <f>IF(T_EMPLOYEES[[#This Row],[EMPLOYEE NUMBER]]="","",MATCH(T_EMPLOYEES[[#This Row],[HIRE SOURCE]],L_HIRESOURCE,0))</f>
        <v/>
      </c>
      <c r="AG146">
        <f>IF(T_EMPLOYEES[[#This Row],[EMPLOYEE NUMBER]]="","",MATCH(T_EMPLOYEES[[#This Row],[ETHNICITY]],L_ETHNICITY,0))</f>
        <v/>
      </c>
      <c r="AH146">
        <f>IF(T_EMPLOYEES[[#This Row],[EMPLOYEE NUMBER]]="","",MATCH(T_EMPLOYEES[[#This Row],[LOCATION]],L_LOCATION,0))</f>
        <v/>
      </c>
      <c r="AI146">
        <f>IF(T_EMPLOYEES[[#This Row],[EMPLOYEE NUMBER]]="","",MATCH(T_EMPLOYEES[[#This Row],[DEPARTMENT]],L_DEPARTMENT,0))</f>
        <v/>
      </c>
      <c r="AJ146">
        <f>IF(T_EMPLOYEES[[#This Row],[EMPLOYEE NUMBER]]="","",MATCH(T_EMPLOYEES[[#This Row],[JOB TYPE]],L_JOBTYPE,0))</f>
        <v/>
      </c>
      <c r="AK146">
        <f>IF(T_EMPLOYEES[[#This Row],[EMPLOYEE NUMBER]]="","",MATCH(T_EMPLOYEES[[#This Row],[JOB CATEGORY]],L_JOBCATEGORY,0))</f>
        <v/>
      </c>
      <c r="AL146">
        <f>IF(T_EMPLOYEES[[#This Row],[EMPLOYEE NUMBER]]="","",MATCH(T_EMPLOYEES[[#This Row],[JOB LEVEL]],L_JOBLEVEL,0))</f>
        <v/>
      </c>
      <c r="AM146">
        <f>IF(T_EMPLOYEES[[#This Row],[EMPLOYEE NUMBER]]="","",MATCH(T_EMPLOYEES[[#This Row],[JOB TITLE]],L_JOBTITLE,0))</f>
        <v/>
      </c>
      <c r="AN146">
        <f>IF(T_EMPLOYEES[[#This Row],[EMPLOYEE NUMBER]]="","",MATCH(T_EMPLOYEES[[#This Row],[MANAGER]],L_EMPLABELS,0))</f>
        <v/>
      </c>
      <c r="AO146">
        <f>IF(T_EMPLOYEES[[#This Row],[EMPLOYEE NUMBER]]="","",IF(T_EMPLOYEES[[#This Row],[ERROR]]="",0,1))</f>
        <v/>
      </c>
      <c r="AP14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7">
      <c r="A147" t="inlineStr">
        <is>
          <t>Shaik</t>
        </is>
      </c>
      <c r="B147" t="inlineStr">
        <is>
          <t>Jabeer Basha</t>
        </is>
      </c>
      <c r="C147" t="n">
        <v>1027017</v>
      </c>
      <c r="D147" t="inlineStr">
        <is>
          <t>Jabeer.Basha@infinite.com</t>
        </is>
      </c>
      <c r="E147" s="26" t="n">
        <v>32380</v>
      </c>
      <c r="F147" s="26" t="n">
        <v>44498</v>
      </c>
      <c r="H147" t="inlineStr">
        <is>
          <t>Male</t>
        </is>
      </c>
      <c r="I147" t="inlineStr">
        <is>
          <t>Asian</t>
        </is>
      </c>
      <c r="J147" t="inlineStr">
        <is>
          <t>WEBSITE</t>
        </is>
      </c>
      <c r="K147" t="inlineStr">
        <is>
          <t>Bangalore</t>
        </is>
      </c>
      <c r="L147" s="27" t="inlineStr">
        <is>
          <t>IT</t>
        </is>
      </c>
      <c r="M147" t="inlineStr">
        <is>
          <t>Full-Time</t>
        </is>
      </c>
      <c r="N147" t="inlineStr">
        <is>
          <t>Technical Lead</t>
        </is>
      </c>
      <c r="O147" t="inlineStr">
        <is>
          <t>E4</t>
        </is>
      </c>
      <c r="P147" t="inlineStr">
        <is>
          <t>Technical Lead</t>
        </is>
      </c>
      <c r="Q147" t="inlineStr">
        <is>
          <t>Sunduru Arun  Jayant (1031825)</t>
        </is>
      </c>
      <c r="R147" t="n">
        <v>5</v>
      </c>
      <c r="S147" s="1" t="n">
        <v>250000</v>
      </c>
      <c r="T147" s="1">
        <f>ROUND(T_EMPLOYEES[[#This Row],[EMP_CTC1]]/12, 0)</f>
        <v/>
      </c>
      <c r="U147" s="1" t="n">
        <v>150000</v>
      </c>
      <c r="V147" s="1" t="inlineStr">
        <is>
          <t>NH</t>
        </is>
      </c>
      <c r="W147" s="1" t="inlineStr">
        <is>
          <t>NH</t>
        </is>
      </c>
      <c r="X14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7" t="n">
        <v>60000</v>
      </c>
      <c r="Z147" s="29">
        <f>(S147 - U147)/S147 * 100</f>
        <v/>
      </c>
      <c r="AA147">
        <f>IF(T_EMPLOYEES[[#This Row],[EMPLOYEE NUMBER]]="","",ROW(T_EMPLOYEES[[#This Row],[EMPLOYEE LABEL]])-ROW(T_EMPLOYEES[[#Headers],[EMPLOYEE LABEL]]))</f>
        <v/>
      </c>
      <c r="AB147">
        <f>IF(T_EMPLOYEES[[#This Row],[EMPLOYEE NUMBER]]="","",IF(COUNTIF(T_EMPLOYEES[EMPLOYEE NUMBER],T_EMPLOYEES[[#This Row],[EMPLOYEE NUMBER]])&gt;1,1,0))</f>
        <v/>
      </c>
      <c r="AC147">
        <f>IF(T_EMPLOYEES[[#This Row],[EMPLOYEE NUMBER]]="","",IF(AND(T_EMPLOYEES[[#This Row],[DATE OF BIRTH]]&gt;0,T_EMPLOYEES[[#This Row],[DATE OF BIRTH]]&lt;TODAY()),0,1))</f>
        <v/>
      </c>
      <c r="AD147">
        <f>IF(T_EMPLOYEES[[#This Row],[EMPLOYEE NUMBER]]="","",IF(AND(T_EMPLOYEES[[#This Row],[START DATE]]&gt;0,T_EMPLOYEES[[#This Row],[START DATE]]&lt;TODAY()+60),0,1))</f>
        <v/>
      </c>
      <c r="AE147">
        <f>IF(T_EMPLOYEES[[#This Row],[EMPLOYEE NUMBER]]="","",MATCH(T_EMPLOYEES[[#This Row],[GENDER]],L_GENDER,0))</f>
        <v/>
      </c>
      <c r="AF147">
        <f>IF(T_EMPLOYEES[[#This Row],[EMPLOYEE NUMBER]]="","",MATCH(T_EMPLOYEES[[#This Row],[HIRE SOURCE]],L_HIRESOURCE,0))</f>
        <v/>
      </c>
      <c r="AG147">
        <f>IF(T_EMPLOYEES[[#This Row],[EMPLOYEE NUMBER]]="","",MATCH(T_EMPLOYEES[[#This Row],[ETHNICITY]],L_ETHNICITY,0))</f>
        <v/>
      </c>
      <c r="AH147">
        <f>IF(T_EMPLOYEES[[#This Row],[EMPLOYEE NUMBER]]="","",MATCH(T_EMPLOYEES[[#This Row],[LOCATION]],L_LOCATION,0))</f>
        <v/>
      </c>
      <c r="AI147">
        <f>IF(T_EMPLOYEES[[#This Row],[EMPLOYEE NUMBER]]="","",MATCH(T_EMPLOYEES[[#This Row],[DEPARTMENT]],L_DEPARTMENT,0))</f>
        <v/>
      </c>
      <c r="AJ147">
        <f>IF(T_EMPLOYEES[[#This Row],[EMPLOYEE NUMBER]]="","",MATCH(T_EMPLOYEES[[#This Row],[JOB TYPE]],L_JOBTYPE,0))</f>
        <v/>
      </c>
      <c r="AK147">
        <f>IF(T_EMPLOYEES[[#This Row],[EMPLOYEE NUMBER]]="","",MATCH(T_EMPLOYEES[[#This Row],[JOB CATEGORY]],L_JOBCATEGORY,0))</f>
        <v/>
      </c>
      <c r="AL147">
        <f>IF(T_EMPLOYEES[[#This Row],[EMPLOYEE NUMBER]]="","",MATCH(T_EMPLOYEES[[#This Row],[JOB LEVEL]],L_JOBLEVEL,0))</f>
        <v/>
      </c>
      <c r="AM147">
        <f>IF(T_EMPLOYEES[[#This Row],[EMPLOYEE NUMBER]]="","",MATCH(T_EMPLOYEES[[#This Row],[JOB TITLE]],L_JOBTITLE,0))</f>
        <v/>
      </c>
      <c r="AN147">
        <f>IF(T_EMPLOYEES[[#This Row],[EMPLOYEE NUMBER]]="","",MATCH(T_EMPLOYEES[[#This Row],[MANAGER]],L_EMPLABELS,0))</f>
        <v/>
      </c>
      <c r="AO147">
        <f>IF(T_EMPLOYEES[[#This Row],[EMPLOYEE NUMBER]]="","",IF(T_EMPLOYEES[[#This Row],[ERROR]]="",0,1))</f>
        <v/>
      </c>
      <c r="AP14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8">
      <c r="A148" t="inlineStr">
        <is>
          <t>Kavita</t>
        </is>
      </c>
      <c r="B148" t="inlineStr">
        <is>
          <t>Doraisamy</t>
        </is>
      </c>
      <c r="C148" t="n">
        <v>1020308</v>
      </c>
      <c r="D148" t="inlineStr">
        <is>
          <t>Kavita.Doraisamy@infinite.com</t>
        </is>
      </c>
      <c r="E148" s="26" t="n">
        <v>32491</v>
      </c>
      <c r="F148" s="26" t="n">
        <v>43171</v>
      </c>
      <c r="H148" t="inlineStr">
        <is>
          <t>Female</t>
        </is>
      </c>
      <c r="I148" t="inlineStr">
        <is>
          <t>Asian</t>
        </is>
      </c>
      <c r="J148" t="inlineStr">
        <is>
          <t>WEBSITE</t>
        </is>
      </c>
      <c r="K148" t="inlineStr">
        <is>
          <t>Bangalore</t>
        </is>
      </c>
      <c r="L148" s="27" t="inlineStr">
        <is>
          <t>IT</t>
        </is>
      </c>
      <c r="M148" t="inlineStr">
        <is>
          <t>Full-Time</t>
        </is>
      </c>
      <c r="N148" t="inlineStr">
        <is>
          <t>Technical Manager</t>
        </is>
      </c>
      <c r="O148" t="inlineStr">
        <is>
          <t>E6</t>
        </is>
      </c>
      <c r="P148" t="inlineStr">
        <is>
          <t>Technical Manager</t>
        </is>
      </c>
      <c r="Q148" t="inlineStr">
        <is>
          <t>Radhakanta  Samantara (1010164)</t>
        </is>
      </c>
      <c r="R148" s="27" t="n">
        <v>7</v>
      </c>
      <c r="S148" s="1" t="n">
        <v>250000</v>
      </c>
      <c r="T148" s="1">
        <f>ROUND(T_EMPLOYEES[[#This Row],[EMP_CTC1]]/12, 0)</f>
        <v/>
      </c>
      <c r="U148" s="1" t="n">
        <v>150000</v>
      </c>
      <c r="V148" s="1" t="inlineStr">
        <is>
          <t>NH</t>
        </is>
      </c>
      <c r="W148" s="1" t="inlineStr">
        <is>
          <t>NH</t>
        </is>
      </c>
      <c r="X14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8" t="n">
        <v>60000</v>
      </c>
      <c r="Z148" s="29">
        <f>(S148 - U148)/S148 * 100</f>
        <v/>
      </c>
      <c r="AA148">
        <f>IF(T_EMPLOYEES[[#This Row],[EMPLOYEE NUMBER]]="","",ROW(T_EMPLOYEES[[#This Row],[EMPLOYEE LABEL]])-ROW(T_EMPLOYEES[[#Headers],[EMPLOYEE LABEL]]))</f>
        <v/>
      </c>
      <c r="AB148">
        <f>IF(T_EMPLOYEES[[#This Row],[EMPLOYEE NUMBER]]="","",IF(COUNTIF(T_EMPLOYEES[EMPLOYEE NUMBER],T_EMPLOYEES[[#This Row],[EMPLOYEE NUMBER]])&gt;1,1,0))</f>
        <v/>
      </c>
      <c r="AC148">
        <f>IF(T_EMPLOYEES[[#This Row],[EMPLOYEE NUMBER]]="","",IF(AND(T_EMPLOYEES[[#This Row],[DATE OF BIRTH]]&gt;0,T_EMPLOYEES[[#This Row],[DATE OF BIRTH]]&lt;TODAY()),0,1))</f>
        <v/>
      </c>
      <c r="AD148">
        <f>IF(T_EMPLOYEES[[#This Row],[EMPLOYEE NUMBER]]="","",IF(AND(T_EMPLOYEES[[#This Row],[START DATE]]&gt;0,T_EMPLOYEES[[#This Row],[START DATE]]&lt;TODAY()+60),0,1))</f>
        <v/>
      </c>
      <c r="AE148">
        <f>IF(T_EMPLOYEES[[#This Row],[EMPLOYEE NUMBER]]="","",MATCH(T_EMPLOYEES[[#This Row],[GENDER]],L_GENDER,0))</f>
        <v/>
      </c>
      <c r="AF148">
        <f>IF(T_EMPLOYEES[[#This Row],[EMPLOYEE NUMBER]]="","",MATCH(T_EMPLOYEES[[#This Row],[HIRE SOURCE]],L_HIRESOURCE,0))</f>
        <v/>
      </c>
      <c r="AG148">
        <f>IF(T_EMPLOYEES[[#This Row],[EMPLOYEE NUMBER]]="","",MATCH(T_EMPLOYEES[[#This Row],[ETHNICITY]],L_ETHNICITY,0))</f>
        <v/>
      </c>
      <c r="AH148">
        <f>IF(T_EMPLOYEES[[#This Row],[EMPLOYEE NUMBER]]="","",MATCH(T_EMPLOYEES[[#This Row],[LOCATION]],L_LOCATION,0))</f>
        <v/>
      </c>
      <c r="AI148">
        <f>IF(T_EMPLOYEES[[#This Row],[EMPLOYEE NUMBER]]="","",MATCH(T_EMPLOYEES[[#This Row],[DEPARTMENT]],L_DEPARTMENT,0))</f>
        <v/>
      </c>
      <c r="AJ148">
        <f>IF(T_EMPLOYEES[[#This Row],[EMPLOYEE NUMBER]]="","",MATCH(T_EMPLOYEES[[#This Row],[JOB TYPE]],L_JOBTYPE,0))</f>
        <v/>
      </c>
      <c r="AK148">
        <f>IF(T_EMPLOYEES[[#This Row],[EMPLOYEE NUMBER]]="","",MATCH(T_EMPLOYEES[[#This Row],[JOB CATEGORY]],L_JOBCATEGORY,0))</f>
        <v/>
      </c>
      <c r="AL148">
        <f>IF(T_EMPLOYEES[[#This Row],[EMPLOYEE NUMBER]]="","",MATCH(T_EMPLOYEES[[#This Row],[JOB LEVEL]],L_JOBLEVEL,0))</f>
        <v/>
      </c>
      <c r="AM148">
        <f>IF(T_EMPLOYEES[[#This Row],[EMPLOYEE NUMBER]]="","",MATCH(T_EMPLOYEES[[#This Row],[JOB TITLE]],L_JOBTITLE,0))</f>
        <v/>
      </c>
      <c r="AN148">
        <f>IF(T_EMPLOYEES[[#This Row],[EMPLOYEE NUMBER]]="","",MATCH(T_EMPLOYEES[[#This Row],[MANAGER]],L_EMPLABELS,0))</f>
        <v/>
      </c>
      <c r="AO148">
        <f>IF(T_EMPLOYEES[[#This Row],[EMPLOYEE NUMBER]]="","",IF(T_EMPLOYEES[[#This Row],[ERROR]]="",0,1))</f>
        <v/>
      </c>
      <c r="AP14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49">
      <c r="A149" t="inlineStr">
        <is>
          <t>Abhishek</t>
        </is>
      </c>
      <c r="B149" t="inlineStr">
        <is>
          <t xml:space="preserve"> Venkatesh</t>
        </is>
      </c>
      <c r="C149" t="n">
        <v>1026567</v>
      </c>
      <c r="D149" t="inlineStr">
        <is>
          <t>Abhishek.Venkatesh@infinite.com</t>
        </is>
      </c>
      <c r="E149" s="26" t="n">
        <v>32503</v>
      </c>
      <c r="F149" s="26" t="n">
        <v>44466</v>
      </c>
      <c r="H149" t="inlineStr">
        <is>
          <t>Male</t>
        </is>
      </c>
      <c r="I149" t="inlineStr">
        <is>
          <t>Asian</t>
        </is>
      </c>
      <c r="J149" t="inlineStr">
        <is>
          <t>WEBSITE</t>
        </is>
      </c>
      <c r="K149" t="inlineStr">
        <is>
          <t>Bangalore</t>
        </is>
      </c>
      <c r="L149" s="27" t="inlineStr">
        <is>
          <t>IT</t>
        </is>
      </c>
      <c r="M149" t="inlineStr">
        <is>
          <t>Full-Time</t>
        </is>
      </c>
      <c r="N149" t="inlineStr">
        <is>
          <t>Senior Software Test Engineer</t>
        </is>
      </c>
      <c r="O149" t="inlineStr">
        <is>
          <t>E3</t>
        </is>
      </c>
      <c r="P149" t="inlineStr">
        <is>
          <t>Senior Software Test Engineer</t>
        </is>
      </c>
      <c r="Q149" t="inlineStr">
        <is>
          <t>Siddharth Kumar (1027551)</t>
        </is>
      </c>
      <c r="R149" t="n">
        <v>3</v>
      </c>
      <c r="S149" s="1" t="n">
        <v>250000</v>
      </c>
      <c r="T149" s="1">
        <f>ROUND(T_EMPLOYEES[[#This Row],[EMP_CTC1]]/12, 0)</f>
        <v/>
      </c>
      <c r="U149" s="1" t="n">
        <v>150000</v>
      </c>
      <c r="V149" s="1" t="inlineStr">
        <is>
          <t>NH</t>
        </is>
      </c>
      <c r="W149" s="1" t="inlineStr">
        <is>
          <t>NH</t>
        </is>
      </c>
      <c r="X14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49" t="n">
        <v>60000</v>
      </c>
      <c r="Z149" s="29">
        <f>(S149 - U149)/S149 * 100</f>
        <v/>
      </c>
      <c r="AA149">
        <f>IF(T_EMPLOYEES[[#This Row],[EMPLOYEE NUMBER]]="","",ROW(T_EMPLOYEES[[#This Row],[EMPLOYEE LABEL]])-ROW(T_EMPLOYEES[[#Headers],[EMPLOYEE LABEL]]))</f>
        <v/>
      </c>
      <c r="AB149">
        <f>IF(T_EMPLOYEES[[#This Row],[EMPLOYEE NUMBER]]="","",IF(COUNTIF(T_EMPLOYEES[EMPLOYEE NUMBER],T_EMPLOYEES[[#This Row],[EMPLOYEE NUMBER]])&gt;1,1,0))</f>
        <v/>
      </c>
      <c r="AC149">
        <f>IF(T_EMPLOYEES[[#This Row],[EMPLOYEE NUMBER]]="","",IF(AND(T_EMPLOYEES[[#This Row],[DATE OF BIRTH]]&gt;0,T_EMPLOYEES[[#This Row],[DATE OF BIRTH]]&lt;TODAY()),0,1))</f>
        <v/>
      </c>
      <c r="AD149">
        <f>IF(T_EMPLOYEES[[#This Row],[EMPLOYEE NUMBER]]="","",IF(AND(T_EMPLOYEES[[#This Row],[START DATE]]&gt;0,T_EMPLOYEES[[#This Row],[START DATE]]&lt;TODAY()+60),0,1))</f>
        <v/>
      </c>
      <c r="AE149">
        <f>IF(T_EMPLOYEES[[#This Row],[EMPLOYEE NUMBER]]="","",MATCH(T_EMPLOYEES[[#This Row],[GENDER]],L_GENDER,0))</f>
        <v/>
      </c>
      <c r="AF149">
        <f>IF(T_EMPLOYEES[[#This Row],[EMPLOYEE NUMBER]]="","",MATCH(T_EMPLOYEES[[#This Row],[HIRE SOURCE]],L_HIRESOURCE,0))</f>
        <v/>
      </c>
      <c r="AG149">
        <f>IF(T_EMPLOYEES[[#This Row],[EMPLOYEE NUMBER]]="","",MATCH(T_EMPLOYEES[[#This Row],[ETHNICITY]],L_ETHNICITY,0))</f>
        <v/>
      </c>
      <c r="AH149">
        <f>IF(T_EMPLOYEES[[#This Row],[EMPLOYEE NUMBER]]="","",MATCH(T_EMPLOYEES[[#This Row],[LOCATION]],L_LOCATION,0))</f>
        <v/>
      </c>
      <c r="AI149">
        <f>IF(T_EMPLOYEES[[#This Row],[EMPLOYEE NUMBER]]="","",MATCH(T_EMPLOYEES[[#This Row],[DEPARTMENT]],L_DEPARTMENT,0))</f>
        <v/>
      </c>
      <c r="AJ149">
        <f>IF(T_EMPLOYEES[[#This Row],[EMPLOYEE NUMBER]]="","",MATCH(T_EMPLOYEES[[#This Row],[JOB TYPE]],L_JOBTYPE,0))</f>
        <v/>
      </c>
      <c r="AK149">
        <f>IF(T_EMPLOYEES[[#This Row],[EMPLOYEE NUMBER]]="","",MATCH(T_EMPLOYEES[[#This Row],[JOB CATEGORY]],L_JOBCATEGORY,0))</f>
        <v/>
      </c>
      <c r="AL149">
        <f>IF(T_EMPLOYEES[[#This Row],[EMPLOYEE NUMBER]]="","",MATCH(T_EMPLOYEES[[#This Row],[JOB LEVEL]],L_JOBLEVEL,0))</f>
        <v/>
      </c>
      <c r="AM149">
        <f>IF(T_EMPLOYEES[[#This Row],[EMPLOYEE NUMBER]]="","",MATCH(T_EMPLOYEES[[#This Row],[JOB TITLE]],L_JOBTITLE,0))</f>
        <v/>
      </c>
      <c r="AN149">
        <f>IF(T_EMPLOYEES[[#This Row],[EMPLOYEE NUMBER]]="","",MATCH(T_EMPLOYEES[[#This Row],[MANAGER]],L_EMPLABELS,0))</f>
        <v/>
      </c>
      <c r="AO149">
        <f>IF(T_EMPLOYEES[[#This Row],[EMPLOYEE NUMBER]]="","",IF(T_EMPLOYEES[[#This Row],[ERROR]]="",0,1))</f>
        <v/>
      </c>
      <c r="AP14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0">
      <c r="A150" t="inlineStr">
        <is>
          <t>R</t>
        </is>
      </c>
      <c r="B150" t="inlineStr">
        <is>
          <t>Sathishkumar  Ramasamy</t>
        </is>
      </c>
      <c r="C150" t="n">
        <v>1030686</v>
      </c>
      <c r="D150" t="inlineStr">
        <is>
          <t>Sathishkumar.Ramasamy@infinite.com</t>
        </is>
      </c>
      <c r="E150" s="26" t="n">
        <v>32510</v>
      </c>
      <c r="F150" s="26" t="n">
        <v>44853</v>
      </c>
      <c r="H150" t="inlineStr">
        <is>
          <t>Male</t>
        </is>
      </c>
      <c r="I150" t="inlineStr">
        <is>
          <t>Asian</t>
        </is>
      </c>
      <c r="J150" t="inlineStr">
        <is>
          <t>WEBSITE</t>
        </is>
      </c>
      <c r="K150" t="inlineStr">
        <is>
          <t>Hyderabad</t>
        </is>
      </c>
      <c r="L150" s="27" t="inlineStr">
        <is>
          <t>IT</t>
        </is>
      </c>
      <c r="M150" t="inlineStr">
        <is>
          <t>Full-Time</t>
        </is>
      </c>
      <c r="N150" t="inlineStr">
        <is>
          <t>Senior Software Engineer</t>
        </is>
      </c>
      <c r="O150" t="inlineStr">
        <is>
          <t>E3</t>
        </is>
      </c>
      <c r="P150" t="inlineStr">
        <is>
          <t>Senior Software Engineer</t>
        </is>
      </c>
      <c r="Q150" t="inlineStr">
        <is>
          <t>Unnikrishnan Chellappan C (1025919)</t>
        </is>
      </c>
      <c r="R150" s="27" t="n">
        <v>3</v>
      </c>
      <c r="S150" s="1" t="n">
        <v>250000</v>
      </c>
      <c r="T150" s="1">
        <f>ROUND(T_EMPLOYEES[[#This Row],[EMP_CTC1]]/12, 0)</f>
        <v/>
      </c>
      <c r="U150" s="1" t="n">
        <v>150000</v>
      </c>
      <c r="V150" s="1" t="inlineStr">
        <is>
          <t>NH</t>
        </is>
      </c>
      <c r="W150" s="1" t="inlineStr">
        <is>
          <t>NH</t>
        </is>
      </c>
      <c r="X15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0" t="n">
        <v>60000</v>
      </c>
      <c r="Z150" s="29">
        <f>(S150 - U150)/S150 * 100</f>
        <v/>
      </c>
      <c r="AA150">
        <f>IF(T_EMPLOYEES[[#This Row],[EMPLOYEE NUMBER]]="","",ROW(T_EMPLOYEES[[#This Row],[EMPLOYEE LABEL]])-ROW(T_EMPLOYEES[[#Headers],[EMPLOYEE LABEL]]))</f>
        <v/>
      </c>
      <c r="AB150">
        <f>IF(T_EMPLOYEES[[#This Row],[EMPLOYEE NUMBER]]="","",IF(COUNTIF(T_EMPLOYEES[EMPLOYEE NUMBER],T_EMPLOYEES[[#This Row],[EMPLOYEE NUMBER]])&gt;1,1,0))</f>
        <v/>
      </c>
      <c r="AC150">
        <f>IF(T_EMPLOYEES[[#This Row],[EMPLOYEE NUMBER]]="","",IF(AND(T_EMPLOYEES[[#This Row],[DATE OF BIRTH]]&gt;0,T_EMPLOYEES[[#This Row],[DATE OF BIRTH]]&lt;TODAY()),0,1))</f>
        <v/>
      </c>
      <c r="AD150">
        <f>IF(T_EMPLOYEES[[#This Row],[EMPLOYEE NUMBER]]="","",IF(AND(T_EMPLOYEES[[#This Row],[START DATE]]&gt;0,T_EMPLOYEES[[#This Row],[START DATE]]&lt;TODAY()+60),0,1))</f>
        <v/>
      </c>
      <c r="AE150">
        <f>IF(T_EMPLOYEES[[#This Row],[EMPLOYEE NUMBER]]="","",MATCH(T_EMPLOYEES[[#This Row],[GENDER]],L_GENDER,0))</f>
        <v/>
      </c>
      <c r="AF150">
        <f>IF(T_EMPLOYEES[[#This Row],[EMPLOYEE NUMBER]]="","",MATCH(T_EMPLOYEES[[#This Row],[HIRE SOURCE]],L_HIRESOURCE,0))</f>
        <v/>
      </c>
      <c r="AG150">
        <f>IF(T_EMPLOYEES[[#This Row],[EMPLOYEE NUMBER]]="","",MATCH(T_EMPLOYEES[[#This Row],[ETHNICITY]],L_ETHNICITY,0))</f>
        <v/>
      </c>
      <c r="AH150">
        <f>IF(T_EMPLOYEES[[#This Row],[EMPLOYEE NUMBER]]="","",MATCH(T_EMPLOYEES[[#This Row],[LOCATION]],L_LOCATION,0))</f>
        <v/>
      </c>
      <c r="AI150">
        <f>IF(T_EMPLOYEES[[#This Row],[EMPLOYEE NUMBER]]="","",MATCH(T_EMPLOYEES[[#This Row],[DEPARTMENT]],L_DEPARTMENT,0))</f>
        <v/>
      </c>
      <c r="AJ150">
        <f>IF(T_EMPLOYEES[[#This Row],[EMPLOYEE NUMBER]]="","",MATCH(T_EMPLOYEES[[#This Row],[JOB TYPE]],L_JOBTYPE,0))</f>
        <v/>
      </c>
      <c r="AK150">
        <f>IF(T_EMPLOYEES[[#This Row],[EMPLOYEE NUMBER]]="","",MATCH(T_EMPLOYEES[[#This Row],[JOB CATEGORY]],L_JOBCATEGORY,0))</f>
        <v/>
      </c>
      <c r="AL150">
        <f>IF(T_EMPLOYEES[[#This Row],[EMPLOYEE NUMBER]]="","",MATCH(T_EMPLOYEES[[#This Row],[JOB LEVEL]],L_JOBLEVEL,0))</f>
        <v/>
      </c>
      <c r="AM150">
        <f>IF(T_EMPLOYEES[[#This Row],[EMPLOYEE NUMBER]]="","",MATCH(T_EMPLOYEES[[#This Row],[JOB TITLE]],L_JOBTITLE,0))</f>
        <v/>
      </c>
      <c r="AN150">
        <f>IF(T_EMPLOYEES[[#This Row],[EMPLOYEE NUMBER]]="","",MATCH(T_EMPLOYEES[[#This Row],[MANAGER]],L_EMPLABELS,0))</f>
        <v/>
      </c>
      <c r="AO150">
        <f>IF(T_EMPLOYEES[[#This Row],[EMPLOYEE NUMBER]]="","",IF(T_EMPLOYEES[[#This Row],[ERROR]]="",0,1))</f>
        <v/>
      </c>
      <c r="AP15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50" t="inlineStr">
        <is>
          <t>ARS</t>
        </is>
      </c>
    </row>
    <row r="151">
      <c r="A151" t="inlineStr">
        <is>
          <t>Vuppuluri</t>
        </is>
      </c>
      <c r="B151" t="inlineStr">
        <is>
          <t>Raghu Rami Reddy</t>
        </is>
      </c>
      <c r="C151" t="n">
        <v>1032730</v>
      </c>
      <c r="D151" t="inlineStr">
        <is>
          <t>Raghu.Reddy@infinite.com</t>
        </is>
      </c>
      <c r="E151" s="26" t="n">
        <v>32590</v>
      </c>
      <c r="F151" s="26" t="n">
        <v>45057</v>
      </c>
      <c r="H151" t="inlineStr">
        <is>
          <t>Male</t>
        </is>
      </c>
      <c r="I151" t="inlineStr">
        <is>
          <t>Asian</t>
        </is>
      </c>
      <c r="J151" t="inlineStr">
        <is>
          <t>WEBSITE</t>
        </is>
      </c>
      <c r="K151" t="inlineStr">
        <is>
          <t>Bangalore</t>
        </is>
      </c>
      <c r="L151" s="27" t="inlineStr">
        <is>
          <t>IT</t>
        </is>
      </c>
      <c r="M151" t="inlineStr">
        <is>
          <t>Full-Time</t>
        </is>
      </c>
      <c r="N151" t="inlineStr">
        <is>
          <t>Senior Executive</t>
        </is>
      </c>
      <c r="O151" t="inlineStr">
        <is>
          <t>E3</t>
        </is>
      </c>
      <c r="P151" t="inlineStr">
        <is>
          <t>Senior Executive</t>
        </is>
      </c>
      <c r="Q151" t="inlineStr">
        <is>
          <t>K Murari Bhat (1008532)</t>
        </is>
      </c>
      <c r="R151" t="n">
        <v>3</v>
      </c>
      <c r="S151" s="1" t="n">
        <v>250000</v>
      </c>
      <c r="T151" s="1">
        <f>ROUND(T_EMPLOYEES[[#This Row],[EMP_CTC1]]/12, 0)</f>
        <v/>
      </c>
      <c r="U151" s="1" t="n">
        <v>150000</v>
      </c>
      <c r="V151" s="1" t="inlineStr">
        <is>
          <t>NH</t>
        </is>
      </c>
      <c r="W151" s="1" t="inlineStr">
        <is>
          <t>NH</t>
        </is>
      </c>
      <c r="X15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1" t="n">
        <v>60000</v>
      </c>
      <c r="Z151" s="29">
        <f>(S151 - U151)/S151 * 100</f>
        <v/>
      </c>
      <c r="AA151">
        <f>IF(T_EMPLOYEES[[#This Row],[EMPLOYEE NUMBER]]="","",ROW(T_EMPLOYEES[[#This Row],[EMPLOYEE LABEL]])-ROW(T_EMPLOYEES[[#Headers],[EMPLOYEE LABEL]]))</f>
        <v/>
      </c>
      <c r="AB151">
        <f>IF(T_EMPLOYEES[[#This Row],[EMPLOYEE NUMBER]]="","",IF(COUNTIF(T_EMPLOYEES[EMPLOYEE NUMBER],T_EMPLOYEES[[#This Row],[EMPLOYEE NUMBER]])&gt;1,1,0))</f>
        <v/>
      </c>
      <c r="AC151">
        <f>IF(T_EMPLOYEES[[#This Row],[EMPLOYEE NUMBER]]="","",IF(AND(T_EMPLOYEES[[#This Row],[DATE OF BIRTH]]&gt;0,T_EMPLOYEES[[#This Row],[DATE OF BIRTH]]&lt;TODAY()),0,1))</f>
        <v/>
      </c>
      <c r="AD151">
        <f>IF(T_EMPLOYEES[[#This Row],[EMPLOYEE NUMBER]]="","",IF(AND(T_EMPLOYEES[[#This Row],[START DATE]]&gt;0,T_EMPLOYEES[[#This Row],[START DATE]]&lt;TODAY()+60),0,1))</f>
        <v/>
      </c>
      <c r="AE151">
        <f>IF(T_EMPLOYEES[[#This Row],[EMPLOYEE NUMBER]]="","",MATCH(T_EMPLOYEES[[#This Row],[GENDER]],L_GENDER,0))</f>
        <v/>
      </c>
      <c r="AF151">
        <f>IF(T_EMPLOYEES[[#This Row],[EMPLOYEE NUMBER]]="","",MATCH(T_EMPLOYEES[[#This Row],[HIRE SOURCE]],L_HIRESOURCE,0))</f>
        <v/>
      </c>
      <c r="AG151">
        <f>IF(T_EMPLOYEES[[#This Row],[EMPLOYEE NUMBER]]="","",MATCH(T_EMPLOYEES[[#This Row],[ETHNICITY]],L_ETHNICITY,0))</f>
        <v/>
      </c>
      <c r="AH151">
        <f>IF(T_EMPLOYEES[[#This Row],[EMPLOYEE NUMBER]]="","",MATCH(T_EMPLOYEES[[#This Row],[LOCATION]],L_LOCATION,0))</f>
        <v/>
      </c>
      <c r="AI151">
        <f>IF(T_EMPLOYEES[[#This Row],[EMPLOYEE NUMBER]]="","",MATCH(T_EMPLOYEES[[#This Row],[DEPARTMENT]],L_DEPARTMENT,0))</f>
        <v/>
      </c>
      <c r="AJ151">
        <f>IF(T_EMPLOYEES[[#This Row],[EMPLOYEE NUMBER]]="","",MATCH(T_EMPLOYEES[[#This Row],[JOB TYPE]],L_JOBTYPE,0))</f>
        <v/>
      </c>
      <c r="AK151">
        <f>IF(T_EMPLOYEES[[#This Row],[EMPLOYEE NUMBER]]="","",MATCH(T_EMPLOYEES[[#This Row],[JOB CATEGORY]],L_JOBCATEGORY,0))</f>
        <v/>
      </c>
      <c r="AL151">
        <f>IF(T_EMPLOYEES[[#This Row],[EMPLOYEE NUMBER]]="","",MATCH(T_EMPLOYEES[[#This Row],[JOB LEVEL]],L_JOBLEVEL,0))</f>
        <v/>
      </c>
      <c r="AM151">
        <f>IF(T_EMPLOYEES[[#This Row],[EMPLOYEE NUMBER]]="","",MATCH(T_EMPLOYEES[[#This Row],[JOB TITLE]],L_JOBTITLE,0))</f>
        <v/>
      </c>
      <c r="AN151">
        <f>IF(T_EMPLOYEES[[#This Row],[EMPLOYEE NUMBER]]="","",MATCH(T_EMPLOYEES[[#This Row],[MANAGER]],L_EMPLABELS,0))</f>
        <v/>
      </c>
      <c r="AO151">
        <f>IF(T_EMPLOYEES[[#This Row],[EMPLOYEE NUMBER]]="","",IF(T_EMPLOYEES[[#This Row],[ERROR]]="",0,1))</f>
        <v/>
      </c>
      <c r="AP15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2">
      <c r="A152" t="inlineStr">
        <is>
          <t>Waseem</t>
        </is>
      </c>
      <c r="B152" t="inlineStr">
        <is>
          <t>M</t>
        </is>
      </c>
      <c r="C152" t="n">
        <v>1021537</v>
      </c>
      <c r="D152" t="inlineStr">
        <is>
          <t>Waseem.Mohammed@infinite.com</t>
        </is>
      </c>
      <c r="E152" s="26" t="n">
        <v>32619</v>
      </c>
      <c r="F152" s="26" t="n">
        <v>43507</v>
      </c>
      <c r="H152" t="inlineStr">
        <is>
          <t>Male</t>
        </is>
      </c>
      <c r="I152" t="inlineStr">
        <is>
          <t>Asian</t>
        </is>
      </c>
      <c r="J152" t="inlineStr">
        <is>
          <t>WEBSITE</t>
        </is>
      </c>
      <c r="K152" t="inlineStr">
        <is>
          <t>Bangalore</t>
        </is>
      </c>
      <c r="L152" t="inlineStr">
        <is>
          <t>Infra</t>
        </is>
      </c>
      <c r="M152" t="inlineStr">
        <is>
          <t>Full-Time</t>
        </is>
      </c>
      <c r="N152" t="inlineStr">
        <is>
          <t>Technical Lead</t>
        </is>
      </c>
      <c r="O152" t="inlineStr">
        <is>
          <t>E4</t>
        </is>
      </c>
      <c r="P152" t="inlineStr">
        <is>
          <t>Technical Lead</t>
        </is>
      </c>
      <c r="Q152" t="inlineStr">
        <is>
          <t>K  Saikumar (1026864)</t>
        </is>
      </c>
      <c r="R152" s="27" t="n">
        <v>5</v>
      </c>
      <c r="S152" s="1" t="n">
        <v>250000</v>
      </c>
      <c r="T152" s="1">
        <f>ROUND(T_EMPLOYEES[[#This Row],[EMP_CTC1]]/12, 0)</f>
        <v/>
      </c>
      <c r="U152" s="1" t="n">
        <v>150000</v>
      </c>
      <c r="V152" s="1" t="inlineStr">
        <is>
          <t>NH</t>
        </is>
      </c>
      <c r="W152" s="1" t="inlineStr">
        <is>
          <t>NH</t>
        </is>
      </c>
      <c r="X15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2" t="n">
        <v>60000</v>
      </c>
      <c r="Z152" s="29">
        <f>(S152 - U152)/S152 * 100</f>
        <v/>
      </c>
      <c r="AA152">
        <f>IF(T_EMPLOYEES[[#This Row],[EMPLOYEE NUMBER]]="","",ROW(T_EMPLOYEES[[#This Row],[EMPLOYEE LABEL]])-ROW(T_EMPLOYEES[[#Headers],[EMPLOYEE LABEL]]))</f>
        <v/>
      </c>
      <c r="AB152">
        <f>IF(T_EMPLOYEES[[#This Row],[EMPLOYEE NUMBER]]="","",IF(COUNTIF(T_EMPLOYEES[EMPLOYEE NUMBER],T_EMPLOYEES[[#This Row],[EMPLOYEE NUMBER]])&gt;1,1,0))</f>
        <v/>
      </c>
      <c r="AC152">
        <f>IF(T_EMPLOYEES[[#This Row],[EMPLOYEE NUMBER]]="","",IF(AND(T_EMPLOYEES[[#This Row],[DATE OF BIRTH]]&gt;0,T_EMPLOYEES[[#This Row],[DATE OF BIRTH]]&lt;TODAY()),0,1))</f>
        <v/>
      </c>
      <c r="AD152">
        <f>IF(T_EMPLOYEES[[#This Row],[EMPLOYEE NUMBER]]="","",IF(AND(T_EMPLOYEES[[#This Row],[START DATE]]&gt;0,T_EMPLOYEES[[#This Row],[START DATE]]&lt;TODAY()+60),0,1))</f>
        <v/>
      </c>
      <c r="AE152">
        <f>IF(T_EMPLOYEES[[#This Row],[EMPLOYEE NUMBER]]="","",MATCH(T_EMPLOYEES[[#This Row],[GENDER]],L_GENDER,0))</f>
        <v/>
      </c>
      <c r="AF152">
        <f>IF(T_EMPLOYEES[[#This Row],[EMPLOYEE NUMBER]]="","",MATCH(T_EMPLOYEES[[#This Row],[HIRE SOURCE]],L_HIRESOURCE,0))</f>
        <v/>
      </c>
      <c r="AG152">
        <f>IF(T_EMPLOYEES[[#This Row],[EMPLOYEE NUMBER]]="","",MATCH(T_EMPLOYEES[[#This Row],[ETHNICITY]],L_ETHNICITY,0))</f>
        <v/>
      </c>
      <c r="AH152">
        <f>IF(T_EMPLOYEES[[#This Row],[EMPLOYEE NUMBER]]="","",MATCH(T_EMPLOYEES[[#This Row],[LOCATION]],L_LOCATION,0))</f>
        <v/>
      </c>
      <c r="AI152">
        <f>IF(T_EMPLOYEES[[#This Row],[EMPLOYEE NUMBER]]="","",MATCH(T_EMPLOYEES[[#This Row],[DEPARTMENT]],L_DEPARTMENT,0))</f>
        <v/>
      </c>
      <c r="AJ152">
        <f>IF(T_EMPLOYEES[[#This Row],[EMPLOYEE NUMBER]]="","",MATCH(T_EMPLOYEES[[#This Row],[JOB TYPE]],L_JOBTYPE,0))</f>
        <v/>
      </c>
      <c r="AK152">
        <f>IF(T_EMPLOYEES[[#This Row],[EMPLOYEE NUMBER]]="","",MATCH(T_EMPLOYEES[[#This Row],[JOB CATEGORY]],L_JOBCATEGORY,0))</f>
        <v/>
      </c>
      <c r="AL152">
        <f>IF(T_EMPLOYEES[[#This Row],[EMPLOYEE NUMBER]]="","",MATCH(T_EMPLOYEES[[#This Row],[JOB LEVEL]],L_JOBLEVEL,0))</f>
        <v/>
      </c>
      <c r="AM152">
        <f>IF(T_EMPLOYEES[[#This Row],[EMPLOYEE NUMBER]]="","",MATCH(T_EMPLOYEES[[#This Row],[JOB TITLE]],L_JOBTITLE,0))</f>
        <v/>
      </c>
      <c r="AN152">
        <f>IF(T_EMPLOYEES[[#This Row],[EMPLOYEE NUMBER]]="","",MATCH(T_EMPLOYEES[[#This Row],[MANAGER]],L_EMPLABELS,0))</f>
        <v/>
      </c>
      <c r="AO152">
        <f>IF(T_EMPLOYEES[[#This Row],[EMPLOYEE NUMBER]]="","",IF(T_EMPLOYEES[[#This Row],[ERROR]]="",0,1))</f>
        <v/>
      </c>
      <c r="AP15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3">
      <c r="A153" t="inlineStr">
        <is>
          <t>Tembhurne</t>
        </is>
      </c>
      <c r="B153" t="inlineStr">
        <is>
          <t>Ashwin Nutandas</t>
        </is>
      </c>
      <c r="C153" t="n">
        <v>1031050</v>
      </c>
      <c r="D153" t="inlineStr">
        <is>
          <t>Ashwin.Tembhurne@infinite.com</t>
        </is>
      </c>
      <c r="E153" s="26" t="n">
        <v>32622</v>
      </c>
      <c r="F153" s="26" t="n">
        <v>44889</v>
      </c>
      <c r="H153" t="inlineStr">
        <is>
          <t>Male</t>
        </is>
      </c>
      <c r="I153" t="inlineStr">
        <is>
          <t>Asian</t>
        </is>
      </c>
      <c r="J153" t="inlineStr">
        <is>
          <t>WEBSITE</t>
        </is>
      </c>
      <c r="K153" t="inlineStr">
        <is>
          <t>Bangalore</t>
        </is>
      </c>
      <c r="L153" s="27" t="inlineStr">
        <is>
          <t>IT</t>
        </is>
      </c>
      <c r="M153" t="inlineStr">
        <is>
          <t>Full-Time</t>
        </is>
      </c>
      <c r="N153" t="inlineStr">
        <is>
          <t>Associate Software Engineer</t>
        </is>
      </c>
      <c r="O153" t="inlineStr">
        <is>
          <t>E1</t>
        </is>
      </c>
      <c r="P153" t="inlineStr">
        <is>
          <t>Associate Software Engineer</t>
        </is>
      </c>
      <c r="Q153" t="inlineStr">
        <is>
          <t>P Vinoth  Kumar (1023066)</t>
        </is>
      </c>
      <c r="R153" t="n">
        <v>0</v>
      </c>
      <c r="S153" s="1" t="n">
        <v>250000</v>
      </c>
      <c r="T153" s="1">
        <f>ROUND(T_EMPLOYEES[[#This Row],[EMP_CTC1]]/12, 0)</f>
        <v/>
      </c>
      <c r="U153" s="1" t="n">
        <v>150000</v>
      </c>
      <c r="V153" s="1" t="inlineStr">
        <is>
          <t>NH</t>
        </is>
      </c>
      <c r="W153" s="1" t="inlineStr">
        <is>
          <t>NH</t>
        </is>
      </c>
      <c r="X15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3" t="n">
        <v>60000</v>
      </c>
      <c r="Z153" s="29">
        <f>(S153 - U153)/S153 * 100</f>
        <v/>
      </c>
      <c r="AA153">
        <f>IF(T_EMPLOYEES[[#This Row],[EMPLOYEE NUMBER]]="","",ROW(T_EMPLOYEES[[#This Row],[EMPLOYEE LABEL]])-ROW(T_EMPLOYEES[[#Headers],[EMPLOYEE LABEL]]))</f>
        <v/>
      </c>
      <c r="AB153">
        <f>IF(T_EMPLOYEES[[#This Row],[EMPLOYEE NUMBER]]="","",IF(COUNTIF(T_EMPLOYEES[EMPLOYEE NUMBER],T_EMPLOYEES[[#This Row],[EMPLOYEE NUMBER]])&gt;1,1,0))</f>
        <v/>
      </c>
      <c r="AC153">
        <f>IF(T_EMPLOYEES[[#This Row],[EMPLOYEE NUMBER]]="","",IF(AND(T_EMPLOYEES[[#This Row],[DATE OF BIRTH]]&gt;0,T_EMPLOYEES[[#This Row],[DATE OF BIRTH]]&lt;TODAY()),0,1))</f>
        <v/>
      </c>
      <c r="AD153">
        <f>IF(T_EMPLOYEES[[#This Row],[EMPLOYEE NUMBER]]="","",IF(AND(T_EMPLOYEES[[#This Row],[START DATE]]&gt;0,T_EMPLOYEES[[#This Row],[START DATE]]&lt;TODAY()+60),0,1))</f>
        <v/>
      </c>
      <c r="AE153">
        <f>IF(T_EMPLOYEES[[#This Row],[EMPLOYEE NUMBER]]="","",MATCH(T_EMPLOYEES[[#This Row],[GENDER]],L_GENDER,0))</f>
        <v/>
      </c>
      <c r="AF153">
        <f>IF(T_EMPLOYEES[[#This Row],[EMPLOYEE NUMBER]]="","",MATCH(T_EMPLOYEES[[#This Row],[HIRE SOURCE]],L_HIRESOURCE,0))</f>
        <v/>
      </c>
      <c r="AG153">
        <f>IF(T_EMPLOYEES[[#This Row],[EMPLOYEE NUMBER]]="","",MATCH(T_EMPLOYEES[[#This Row],[ETHNICITY]],L_ETHNICITY,0))</f>
        <v/>
      </c>
      <c r="AH153">
        <f>IF(T_EMPLOYEES[[#This Row],[EMPLOYEE NUMBER]]="","",MATCH(T_EMPLOYEES[[#This Row],[LOCATION]],L_LOCATION,0))</f>
        <v/>
      </c>
      <c r="AI153">
        <f>IF(T_EMPLOYEES[[#This Row],[EMPLOYEE NUMBER]]="","",MATCH(T_EMPLOYEES[[#This Row],[DEPARTMENT]],L_DEPARTMENT,0))</f>
        <v/>
      </c>
      <c r="AJ153">
        <f>IF(T_EMPLOYEES[[#This Row],[EMPLOYEE NUMBER]]="","",MATCH(T_EMPLOYEES[[#This Row],[JOB TYPE]],L_JOBTYPE,0))</f>
        <v/>
      </c>
      <c r="AK153">
        <f>IF(T_EMPLOYEES[[#This Row],[EMPLOYEE NUMBER]]="","",MATCH(T_EMPLOYEES[[#This Row],[JOB CATEGORY]],L_JOBCATEGORY,0))</f>
        <v/>
      </c>
      <c r="AL153">
        <f>IF(T_EMPLOYEES[[#This Row],[EMPLOYEE NUMBER]]="","",MATCH(T_EMPLOYEES[[#This Row],[JOB LEVEL]],L_JOBLEVEL,0))</f>
        <v/>
      </c>
      <c r="AM153">
        <f>IF(T_EMPLOYEES[[#This Row],[EMPLOYEE NUMBER]]="","",MATCH(T_EMPLOYEES[[#This Row],[JOB TITLE]],L_JOBTITLE,0))</f>
        <v/>
      </c>
      <c r="AN153">
        <f>IF(T_EMPLOYEES[[#This Row],[EMPLOYEE NUMBER]]="","",MATCH(T_EMPLOYEES[[#This Row],[MANAGER]],L_EMPLABELS,0))</f>
        <v/>
      </c>
      <c r="AO153">
        <f>IF(T_EMPLOYEES[[#This Row],[EMPLOYEE NUMBER]]="","",IF(T_EMPLOYEES[[#This Row],[ERROR]]="",0,1))</f>
        <v/>
      </c>
      <c r="AP15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53" t="inlineStr">
        <is>
          <t>Member</t>
        </is>
      </c>
    </row>
    <row r="154">
      <c r="A154" t="inlineStr">
        <is>
          <t>Mudiam</t>
        </is>
      </c>
      <c r="B154" t="inlineStr">
        <is>
          <t>Sreenivasa Reddy</t>
        </is>
      </c>
      <c r="C154" t="n">
        <v>1028789</v>
      </c>
      <c r="D154" t="inlineStr">
        <is>
          <t>Sreenivasa.Mudiam@infinite.com</t>
        </is>
      </c>
      <c r="E154" s="26" t="n">
        <v>32634</v>
      </c>
      <c r="F154" s="26" t="n">
        <v>44659</v>
      </c>
      <c r="H154" t="inlineStr">
        <is>
          <t>Male</t>
        </is>
      </c>
      <c r="I154" t="inlineStr">
        <is>
          <t>Asian</t>
        </is>
      </c>
      <c r="J154" t="inlineStr">
        <is>
          <t>WEBSITE</t>
        </is>
      </c>
      <c r="K154" t="inlineStr">
        <is>
          <t>Bangalore</t>
        </is>
      </c>
      <c r="L154" s="27" t="inlineStr">
        <is>
          <t>IT</t>
        </is>
      </c>
      <c r="M154" t="inlineStr">
        <is>
          <t>Full-Time</t>
        </is>
      </c>
      <c r="N154" t="inlineStr">
        <is>
          <t>Technical Lead</t>
        </is>
      </c>
      <c r="O154" t="inlineStr">
        <is>
          <t>E4</t>
        </is>
      </c>
      <c r="P154" t="inlineStr">
        <is>
          <t>Technical Lead</t>
        </is>
      </c>
      <c r="Q154" t="inlineStr">
        <is>
          <t>Siddharth Kumar (1027551)</t>
        </is>
      </c>
      <c r="R154" s="27" t="n">
        <v>5</v>
      </c>
      <c r="S154" s="1" t="n">
        <v>250000</v>
      </c>
      <c r="T154" s="1">
        <f>ROUND(T_EMPLOYEES[[#This Row],[EMP_CTC1]]/12, 0)</f>
        <v/>
      </c>
      <c r="U154" s="1" t="n">
        <v>150000</v>
      </c>
      <c r="V154" s="1" t="inlineStr">
        <is>
          <t>NH</t>
        </is>
      </c>
      <c r="W154" s="1" t="inlineStr">
        <is>
          <t>NH</t>
        </is>
      </c>
      <c r="X15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4" t="n">
        <v>60000</v>
      </c>
      <c r="Z154" s="29">
        <f>(S154 - U154)/S154 * 100</f>
        <v/>
      </c>
      <c r="AA154">
        <f>IF(T_EMPLOYEES[[#This Row],[EMPLOYEE NUMBER]]="","",ROW(T_EMPLOYEES[[#This Row],[EMPLOYEE LABEL]])-ROW(T_EMPLOYEES[[#Headers],[EMPLOYEE LABEL]]))</f>
        <v/>
      </c>
      <c r="AB154">
        <f>IF(T_EMPLOYEES[[#This Row],[EMPLOYEE NUMBER]]="","",IF(COUNTIF(T_EMPLOYEES[EMPLOYEE NUMBER],T_EMPLOYEES[[#This Row],[EMPLOYEE NUMBER]])&gt;1,1,0))</f>
        <v/>
      </c>
      <c r="AC154">
        <f>IF(T_EMPLOYEES[[#This Row],[EMPLOYEE NUMBER]]="","",IF(AND(T_EMPLOYEES[[#This Row],[DATE OF BIRTH]]&gt;0,T_EMPLOYEES[[#This Row],[DATE OF BIRTH]]&lt;TODAY()),0,1))</f>
        <v/>
      </c>
      <c r="AD154">
        <f>IF(T_EMPLOYEES[[#This Row],[EMPLOYEE NUMBER]]="","",IF(AND(T_EMPLOYEES[[#This Row],[START DATE]]&gt;0,T_EMPLOYEES[[#This Row],[START DATE]]&lt;TODAY()+60),0,1))</f>
        <v/>
      </c>
      <c r="AE154">
        <f>IF(T_EMPLOYEES[[#This Row],[EMPLOYEE NUMBER]]="","",MATCH(T_EMPLOYEES[[#This Row],[GENDER]],L_GENDER,0))</f>
        <v/>
      </c>
      <c r="AF154">
        <f>IF(T_EMPLOYEES[[#This Row],[EMPLOYEE NUMBER]]="","",MATCH(T_EMPLOYEES[[#This Row],[HIRE SOURCE]],L_HIRESOURCE,0))</f>
        <v/>
      </c>
      <c r="AG154">
        <f>IF(T_EMPLOYEES[[#This Row],[EMPLOYEE NUMBER]]="","",MATCH(T_EMPLOYEES[[#This Row],[ETHNICITY]],L_ETHNICITY,0))</f>
        <v/>
      </c>
      <c r="AH154">
        <f>IF(T_EMPLOYEES[[#This Row],[EMPLOYEE NUMBER]]="","",MATCH(T_EMPLOYEES[[#This Row],[LOCATION]],L_LOCATION,0))</f>
        <v/>
      </c>
      <c r="AI154">
        <f>IF(T_EMPLOYEES[[#This Row],[EMPLOYEE NUMBER]]="","",MATCH(T_EMPLOYEES[[#This Row],[DEPARTMENT]],L_DEPARTMENT,0))</f>
        <v/>
      </c>
      <c r="AJ154">
        <f>IF(T_EMPLOYEES[[#This Row],[EMPLOYEE NUMBER]]="","",MATCH(T_EMPLOYEES[[#This Row],[JOB TYPE]],L_JOBTYPE,0))</f>
        <v/>
      </c>
      <c r="AK154">
        <f>IF(T_EMPLOYEES[[#This Row],[EMPLOYEE NUMBER]]="","",MATCH(T_EMPLOYEES[[#This Row],[JOB CATEGORY]],L_JOBCATEGORY,0))</f>
        <v/>
      </c>
      <c r="AL154">
        <f>IF(T_EMPLOYEES[[#This Row],[EMPLOYEE NUMBER]]="","",MATCH(T_EMPLOYEES[[#This Row],[JOB LEVEL]],L_JOBLEVEL,0))</f>
        <v/>
      </c>
      <c r="AM154">
        <f>IF(T_EMPLOYEES[[#This Row],[EMPLOYEE NUMBER]]="","",MATCH(T_EMPLOYEES[[#This Row],[JOB TITLE]],L_JOBTITLE,0))</f>
        <v/>
      </c>
      <c r="AN154">
        <f>IF(T_EMPLOYEES[[#This Row],[EMPLOYEE NUMBER]]="","",MATCH(T_EMPLOYEES[[#This Row],[MANAGER]],L_EMPLABELS,0))</f>
        <v/>
      </c>
      <c r="AO154">
        <f>IF(T_EMPLOYEES[[#This Row],[EMPLOYEE NUMBER]]="","",IF(T_EMPLOYEES[[#This Row],[ERROR]]="",0,1))</f>
        <v/>
      </c>
      <c r="AP15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5">
      <c r="A155" t="inlineStr">
        <is>
          <t>J</t>
        </is>
      </c>
      <c r="B155" t="inlineStr">
        <is>
          <t>Leo</t>
        </is>
      </c>
      <c r="C155" t="n">
        <v>1031849</v>
      </c>
      <c r="D155" t="inlineStr">
        <is>
          <t>Leo.Jeyabal@infinite.com</t>
        </is>
      </c>
      <c r="E155" s="26" t="n">
        <v>32649</v>
      </c>
      <c r="F155" s="26" t="n">
        <v>44914</v>
      </c>
      <c r="H155" t="inlineStr">
        <is>
          <t>Male</t>
        </is>
      </c>
      <c r="I155" t="inlineStr">
        <is>
          <t>Asian</t>
        </is>
      </c>
      <c r="J155" t="inlineStr">
        <is>
          <t>WEBSITE</t>
        </is>
      </c>
      <c r="K155" t="inlineStr">
        <is>
          <t>Bangalore</t>
        </is>
      </c>
      <c r="L155" s="27" t="inlineStr">
        <is>
          <t>IT</t>
        </is>
      </c>
      <c r="M155" t="inlineStr">
        <is>
          <t>Full-Time</t>
        </is>
      </c>
      <c r="N155" t="inlineStr">
        <is>
          <t>Technical Lead</t>
        </is>
      </c>
      <c r="O155" t="inlineStr">
        <is>
          <t>E4</t>
        </is>
      </c>
      <c r="P155" t="inlineStr">
        <is>
          <t>Technical Lead</t>
        </is>
      </c>
      <c r="Q155" t="inlineStr">
        <is>
          <t>Numan Sharieff (1031852)</t>
        </is>
      </c>
      <c r="R155" t="n">
        <v>5</v>
      </c>
      <c r="S155" s="1" t="n">
        <v>250000</v>
      </c>
      <c r="T155" s="1">
        <f>ROUND(T_EMPLOYEES[[#This Row],[EMP_CTC1]]/12, 0)</f>
        <v/>
      </c>
      <c r="U155" s="1" t="n">
        <v>150000</v>
      </c>
      <c r="V155" s="1" t="inlineStr">
        <is>
          <t>NH</t>
        </is>
      </c>
      <c r="W155" s="1" t="inlineStr">
        <is>
          <t>NH</t>
        </is>
      </c>
      <c r="X15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5" t="n">
        <v>60000</v>
      </c>
      <c r="Z155" s="29">
        <f>(S155 - U155)/S155 * 100</f>
        <v/>
      </c>
      <c r="AA155">
        <f>IF(T_EMPLOYEES[[#This Row],[EMPLOYEE NUMBER]]="","",ROW(T_EMPLOYEES[[#This Row],[EMPLOYEE LABEL]])-ROW(T_EMPLOYEES[[#Headers],[EMPLOYEE LABEL]]))</f>
        <v/>
      </c>
      <c r="AB155">
        <f>IF(T_EMPLOYEES[[#This Row],[EMPLOYEE NUMBER]]="","",IF(COUNTIF(T_EMPLOYEES[EMPLOYEE NUMBER],T_EMPLOYEES[[#This Row],[EMPLOYEE NUMBER]])&gt;1,1,0))</f>
        <v/>
      </c>
      <c r="AC155">
        <f>IF(T_EMPLOYEES[[#This Row],[EMPLOYEE NUMBER]]="","",IF(AND(T_EMPLOYEES[[#This Row],[DATE OF BIRTH]]&gt;0,T_EMPLOYEES[[#This Row],[DATE OF BIRTH]]&lt;TODAY()),0,1))</f>
        <v/>
      </c>
      <c r="AD155">
        <f>IF(T_EMPLOYEES[[#This Row],[EMPLOYEE NUMBER]]="","",IF(AND(T_EMPLOYEES[[#This Row],[START DATE]]&gt;0,T_EMPLOYEES[[#This Row],[START DATE]]&lt;TODAY()+60),0,1))</f>
        <v/>
      </c>
      <c r="AE155">
        <f>IF(T_EMPLOYEES[[#This Row],[EMPLOYEE NUMBER]]="","",MATCH(T_EMPLOYEES[[#This Row],[GENDER]],L_GENDER,0))</f>
        <v/>
      </c>
      <c r="AF155">
        <f>IF(T_EMPLOYEES[[#This Row],[EMPLOYEE NUMBER]]="","",MATCH(T_EMPLOYEES[[#This Row],[HIRE SOURCE]],L_HIRESOURCE,0))</f>
        <v/>
      </c>
      <c r="AG155">
        <f>IF(T_EMPLOYEES[[#This Row],[EMPLOYEE NUMBER]]="","",MATCH(T_EMPLOYEES[[#This Row],[ETHNICITY]],L_ETHNICITY,0))</f>
        <v/>
      </c>
      <c r="AH155">
        <f>IF(T_EMPLOYEES[[#This Row],[EMPLOYEE NUMBER]]="","",MATCH(T_EMPLOYEES[[#This Row],[LOCATION]],L_LOCATION,0))</f>
        <v/>
      </c>
      <c r="AI155">
        <f>IF(T_EMPLOYEES[[#This Row],[EMPLOYEE NUMBER]]="","",MATCH(T_EMPLOYEES[[#This Row],[DEPARTMENT]],L_DEPARTMENT,0))</f>
        <v/>
      </c>
      <c r="AJ155">
        <f>IF(T_EMPLOYEES[[#This Row],[EMPLOYEE NUMBER]]="","",MATCH(T_EMPLOYEES[[#This Row],[JOB TYPE]],L_JOBTYPE,0))</f>
        <v/>
      </c>
      <c r="AK155">
        <f>IF(T_EMPLOYEES[[#This Row],[EMPLOYEE NUMBER]]="","",MATCH(T_EMPLOYEES[[#This Row],[JOB CATEGORY]],L_JOBCATEGORY,0))</f>
        <v/>
      </c>
      <c r="AL155">
        <f>IF(T_EMPLOYEES[[#This Row],[EMPLOYEE NUMBER]]="","",MATCH(T_EMPLOYEES[[#This Row],[JOB LEVEL]],L_JOBLEVEL,0))</f>
        <v/>
      </c>
      <c r="AM155">
        <f>IF(T_EMPLOYEES[[#This Row],[EMPLOYEE NUMBER]]="","",MATCH(T_EMPLOYEES[[#This Row],[JOB TITLE]],L_JOBTITLE,0))</f>
        <v/>
      </c>
      <c r="AN155">
        <f>IF(T_EMPLOYEES[[#This Row],[EMPLOYEE NUMBER]]="","",MATCH(T_EMPLOYEES[[#This Row],[MANAGER]],L_EMPLABELS,0))</f>
        <v/>
      </c>
      <c r="AO155">
        <f>IF(T_EMPLOYEES[[#This Row],[EMPLOYEE NUMBER]]="","",IF(T_EMPLOYEES[[#This Row],[ERROR]]="",0,1))</f>
        <v/>
      </c>
      <c r="AP15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6">
      <c r="A156" t="inlineStr">
        <is>
          <t>Maibubsab</t>
        </is>
      </c>
      <c r="B156" t="inlineStr">
        <is>
          <t xml:space="preserve"> Attar</t>
        </is>
      </c>
      <c r="C156" t="n">
        <v>1033995</v>
      </c>
      <c r="D156" t="inlineStr">
        <is>
          <t>Attar.Maibubsab@infinite.com</t>
        </is>
      </c>
      <c r="E156" s="26" t="n">
        <v>32660</v>
      </c>
      <c r="F156" s="26" t="n">
        <v>45264</v>
      </c>
      <c r="H156" t="inlineStr">
        <is>
          <t>Male</t>
        </is>
      </c>
      <c r="I156" t="inlineStr">
        <is>
          <t>Asian</t>
        </is>
      </c>
      <c r="J156" t="inlineStr">
        <is>
          <t>WEBSITE</t>
        </is>
      </c>
      <c r="K156" t="inlineStr">
        <is>
          <t>Hyderabad</t>
        </is>
      </c>
      <c r="L156" s="27" t="inlineStr">
        <is>
          <t>IT</t>
        </is>
      </c>
      <c r="M156" t="inlineStr">
        <is>
          <t>Full-Time</t>
        </is>
      </c>
      <c r="N156" t="inlineStr">
        <is>
          <t>Technical Lead</t>
        </is>
      </c>
      <c r="O156" t="inlineStr">
        <is>
          <t>E4</t>
        </is>
      </c>
      <c r="P156" t="inlineStr">
        <is>
          <t>Technical Lead</t>
        </is>
      </c>
      <c r="Q156" t="inlineStr">
        <is>
          <t>Nagarajan K (1019672)</t>
        </is>
      </c>
      <c r="R156" s="27" t="n">
        <v>5</v>
      </c>
      <c r="S156" s="1" t="n">
        <v>250000</v>
      </c>
      <c r="T156" s="1">
        <f>ROUND(T_EMPLOYEES[[#This Row],[EMP_CTC1]]/12, 0)</f>
        <v/>
      </c>
      <c r="U156" s="1" t="n">
        <v>150000</v>
      </c>
      <c r="V156" s="1" t="inlineStr">
        <is>
          <t>NH</t>
        </is>
      </c>
      <c r="W156" s="1" t="inlineStr">
        <is>
          <t>NH</t>
        </is>
      </c>
      <c r="X15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6" t="n">
        <v>60000</v>
      </c>
      <c r="Z156" s="29">
        <f>(S156 - U156)/S156 * 100</f>
        <v/>
      </c>
      <c r="AA156">
        <f>IF(T_EMPLOYEES[[#This Row],[EMPLOYEE NUMBER]]="","",ROW(T_EMPLOYEES[[#This Row],[EMPLOYEE LABEL]])-ROW(T_EMPLOYEES[[#Headers],[EMPLOYEE LABEL]]))</f>
        <v/>
      </c>
      <c r="AB156">
        <f>IF(T_EMPLOYEES[[#This Row],[EMPLOYEE NUMBER]]="","",IF(COUNTIF(T_EMPLOYEES[EMPLOYEE NUMBER],T_EMPLOYEES[[#This Row],[EMPLOYEE NUMBER]])&gt;1,1,0))</f>
        <v/>
      </c>
      <c r="AC156">
        <f>IF(T_EMPLOYEES[[#This Row],[EMPLOYEE NUMBER]]="","",IF(AND(T_EMPLOYEES[[#This Row],[DATE OF BIRTH]]&gt;0,T_EMPLOYEES[[#This Row],[DATE OF BIRTH]]&lt;TODAY()),0,1))</f>
        <v/>
      </c>
      <c r="AD156">
        <f>IF(T_EMPLOYEES[[#This Row],[EMPLOYEE NUMBER]]="","",IF(AND(T_EMPLOYEES[[#This Row],[START DATE]]&gt;0,T_EMPLOYEES[[#This Row],[START DATE]]&lt;TODAY()+60),0,1))</f>
        <v/>
      </c>
      <c r="AE156">
        <f>IF(T_EMPLOYEES[[#This Row],[EMPLOYEE NUMBER]]="","",MATCH(T_EMPLOYEES[[#This Row],[GENDER]],L_GENDER,0))</f>
        <v/>
      </c>
      <c r="AF156">
        <f>IF(T_EMPLOYEES[[#This Row],[EMPLOYEE NUMBER]]="","",MATCH(T_EMPLOYEES[[#This Row],[HIRE SOURCE]],L_HIRESOURCE,0))</f>
        <v/>
      </c>
      <c r="AG156">
        <f>IF(T_EMPLOYEES[[#This Row],[EMPLOYEE NUMBER]]="","",MATCH(T_EMPLOYEES[[#This Row],[ETHNICITY]],L_ETHNICITY,0))</f>
        <v/>
      </c>
      <c r="AH156">
        <f>IF(T_EMPLOYEES[[#This Row],[EMPLOYEE NUMBER]]="","",MATCH(T_EMPLOYEES[[#This Row],[LOCATION]],L_LOCATION,0))</f>
        <v/>
      </c>
      <c r="AI156">
        <f>IF(T_EMPLOYEES[[#This Row],[EMPLOYEE NUMBER]]="","",MATCH(T_EMPLOYEES[[#This Row],[DEPARTMENT]],L_DEPARTMENT,0))</f>
        <v/>
      </c>
      <c r="AJ156">
        <f>IF(T_EMPLOYEES[[#This Row],[EMPLOYEE NUMBER]]="","",MATCH(T_EMPLOYEES[[#This Row],[JOB TYPE]],L_JOBTYPE,0))</f>
        <v/>
      </c>
      <c r="AK156">
        <f>IF(T_EMPLOYEES[[#This Row],[EMPLOYEE NUMBER]]="","",MATCH(T_EMPLOYEES[[#This Row],[JOB CATEGORY]],L_JOBCATEGORY,0))</f>
        <v/>
      </c>
      <c r="AL156">
        <f>IF(T_EMPLOYEES[[#This Row],[EMPLOYEE NUMBER]]="","",MATCH(T_EMPLOYEES[[#This Row],[JOB LEVEL]],L_JOBLEVEL,0))</f>
        <v/>
      </c>
      <c r="AM156">
        <f>IF(T_EMPLOYEES[[#This Row],[EMPLOYEE NUMBER]]="","",MATCH(T_EMPLOYEES[[#This Row],[JOB TITLE]],L_JOBTITLE,0))</f>
        <v/>
      </c>
      <c r="AN156">
        <f>IF(T_EMPLOYEES[[#This Row],[EMPLOYEE NUMBER]]="","",MATCH(T_EMPLOYEES[[#This Row],[MANAGER]],L_EMPLABELS,0))</f>
        <v/>
      </c>
      <c r="AO156">
        <f>IF(T_EMPLOYEES[[#This Row],[EMPLOYEE NUMBER]]="","",IF(T_EMPLOYEES[[#This Row],[ERROR]]="",0,1))</f>
        <v/>
      </c>
      <c r="AP15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7">
      <c r="A157" t="inlineStr">
        <is>
          <t>Katta</t>
        </is>
      </c>
      <c r="B157" t="inlineStr">
        <is>
          <t xml:space="preserve"> Kavitha</t>
        </is>
      </c>
      <c r="C157" t="n">
        <v>1022282</v>
      </c>
      <c r="D157" t="inlineStr">
        <is>
          <t>Kavitha.Katta@infinite.com</t>
        </is>
      </c>
      <c r="E157" s="26" t="n">
        <v>32669</v>
      </c>
      <c r="F157" s="26" t="n">
        <v>43642</v>
      </c>
      <c r="H157" t="inlineStr">
        <is>
          <t>Female</t>
        </is>
      </c>
      <c r="I157" t="inlineStr">
        <is>
          <t>Asian</t>
        </is>
      </c>
      <c r="J157" t="inlineStr">
        <is>
          <t>WEBSITE</t>
        </is>
      </c>
      <c r="K157" t="inlineStr">
        <is>
          <t>Bangalore</t>
        </is>
      </c>
      <c r="L157" s="27" t="inlineStr">
        <is>
          <t>IT</t>
        </is>
      </c>
      <c r="M157" t="inlineStr">
        <is>
          <t>Full-Time</t>
        </is>
      </c>
      <c r="N157" t="inlineStr">
        <is>
          <t>Senior Software Engineer</t>
        </is>
      </c>
      <c r="O157" t="inlineStr">
        <is>
          <t>E3</t>
        </is>
      </c>
      <c r="P157" t="inlineStr">
        <is>
          <t>Senior Software Engineer</t>
        </is>
      </c>
      <c r="Q157" t="inlineStr">
        <is>
          <t>Siddharth Kumar (1027551)</t>
        </is>
      </c>
      <c r="R157" t="n">
        <v>3</v>
      </c>
      <c r="S157" s="1" t="n">
        <v>250000</v>
      </c>
      <c r="T157" s="1">
        <f>ROUND(T_EMPLOYEES[[#This Row],[EMP_CTC1]]/12, 0)</f>
        <v/>
      </c>
      <c r="U157" s="1" t="n">
        <v>150000</v>
      </c>
      <c r="V157" s="1" t="inlineStr">
        <is>
          <t>NH</t>
        </is>
      </c>
      <c r="W157" s="1" t="inlineStr">
        <is>
          <t>NH</t>
        </is>
      </c>
      <c r="X15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7" t="n">
        <v>60000</v>
      </c>
      <c r="Z157" s="29">
        <f>(S157 - U157)/S157 * 100</f>
        <v/>
      </c>
      <c r="AA157">
        <f>IF(T_EMPLOYEES[[#This Row],[EMPLOYEE NUMBER]]="","",ROW(T_EMPLOYEES[[#This Row],[EMPLOYEE LABEL]])-ROW(T_EMPLOYEES[[#Headers],[EMPLOYEE LABEL]]))</f>
        <v/>
      </c>
      <c r="AB157">
        <f>IF(T_EMPLOYEES[[#This Row],[EMPLOYEE NUMBER]]="","",IF(COUNTIF(T_EMPLOYEES[EMPLOYEE NUMBER],T_EMPLOYEES[[#This Row],[EMPLOYEE NUMBER]])&gt;1,1,0))</f>
        <v/>
      </c>
      <c r="AC157">
        <f>IF(T_EMPLOYEES[[#This Row],[EMPLOYEE NUMBER]]="","",IF(AND(T_EMPLOYEES[[#This Row],[DATE OF BIRTH]]&gt;0,T_EMPLOYEES[[#This Row],[DATE OF BIRTH]]&lt;TODAY()),0,1))</f>
        <v/>
      </c>
      <c r="AD157">
        <f>IF(T_EMPLOYEES[[#This Row],[EMPLOYEE NUMBER]]="","",IF(AND(T_EMPLOYEES[[#This Row],[START DATE]]&gt;0,T_EMPLOYEES[[#This Row],[START DATE]]&lt;TODAY()+60),0,1))</f>
        <v/>
      </c>
      <c r="AE157">
        <f>IF(T_EMPLOYEES[[#This Row],[EMPLOYEE NUMBER]]="","",MATCH(T_EMPLOYEES[[#This Row],[GENDER]],L_GENDER,0))</f>
        <v/>
      </c>
      <c r="AF157">
        <f>IF(T_EMPLOYEES[[#This Row],[EMPLOYEE NUMBER]]="","",MATCH(T_EMPLOYEES[[#This Row],[HIRE SOURCE]],L_HIRESOURCE,0))</f>
        <v/>
      </c>
      <c r="AG157">
        <f>IF(T_EMPLOYEES[[#This Row],[EMPLOYEE NUMBER]]="","",MATCH(T_EMPLOYEES[[#This Row],[ETHNICITY]],L_ETHNICITY,0))</f>
        <v/>
      </c>
      <c r="AH157">
        <f>IF(T_EMPLOYEES[[#This Row],[EMPLOYEE NUMBER]]="","",MATCH(T_EMPLOYEES[[#This Row],[LOCATION]],L_LOCATION,0))</f>
        <v/>
      </c>
      <c r="AI157">
        <f>IF(T_EMPLOYEES[[#This Row],[EMPLOYEE NUMBER]]="","",MATCH(T_EMPLOYEES[[#This Row],[DEPARTMENT]],L_DEPARTMENT,0))</f>
        <v/>
      </c>
      <c r="AJ157">
        <f>IF(T_EMPLOYEES[[#This Row],[EMPLOYEE NUMBER]]="","",MATCH(T_EMPLOYEES[[#This Row],[JOB TYPE]],L_JOBTYPE,0))</f>
        <v/>
      </c>
      <c r="AK157">
        <f>IF(T_EMPLOYEES[[#This Row],[EMPLOYEE NUMBER]]="","",MATCH(T_EMPLOYEES[[#This Row],[JOB CATEGORY]],L_JOBCATEGORY,0))</f>
        <v/>
      </c>
      <c r="AL157">
        <f>IF(T_EMPLOYEES[[#This Row],[EMPLOYEE NUMBER]]="","",MATCH(T_EMPLOYEES[[#This Row],[JOB LEVEL]],L_JOBLEVEL,0))</f>
        <v/>
      </c>
      <c r="AM157">
        <f>IF(T_EMPLOYEES[[#This Row],[EMPLOYEE NUMBER]]="","",MATCH(T_EMPLOYEES[[#This Row],[JOB TITLE]],L_JOBTITLE,0))</f>
        <v/>
      </c>
      <c r="AN157">
        <f>IF(T_EMPLOYEES[[#This Row],[EMPLOYEE NUMBER]]="","",MATCH(T_EMPLOYEES[[#This Row],[MANAGER]],L_EMPLABELS,0))</f>
        <v/>
      </c>
      <c r="AO157">
        <f>IF(T_EMPLOYEES[[#This Row],[EMPLOYEE NUMBER]]="","",IF(T_EMPLOYEES[[#This Row],[ERROR]]="",0,1))</f>
        <v/>
      </c>
      <c r="AP15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8">
      <c r="A158" t="inlineStr">
        <is>
          <t>Gunda</t>
        </is>
      </c>
      <c r="B158" t="inlineStr">
        <is>
          <t>Spandana</t>
        </is>
      </c>
      <c r="C158" t="n">
        <v>1030165</v>
      </c>
      <c r="D158" t="inlineStr">
        <is>
          <t>Gunda.Spandana@infinite.com</t>
        </is>
      </c>
      <c r="E158" s="26" t="n">
        <v>32672</v>
      </c>
      <c r="F158" s="26" t="n">
        <v>44813</v>
      </c>
      <c r="H158" t="inlineStr">
        <is>
          <t>Female</t>
        </is>
      </c>
      <c r="I158" t="inlineStr">
        <is>
          <t>Asian</t>
        </is>
      </c>
      <c r="J158" t="inlineStr">
        <is>
          <t>WEBSITE</t>
        </is>
      </c>
      <c r="K158" t="inlineStr">
        <is>
          <t>Bangalore</t>
        </is>
      </c>
      <c r="L158" s="27" t="inlineStr">
        <is>
          <t>IT</t>
        </is>
      </c>
      <c r="M158" t="inlineStr">
        <is>
          <t>Full-Time</t>
        </is>
      </c>
      <c r="N158" t="inlineStr">
        <is>
          <t>Technical Lead</t>
        </is>
      </c>
      <c r="O158" t="inlineStr">
        <is>
          <t>E4</t>
        </is>
      </c>
      <c r="P158" t="inlineStr">
        <is>
          <t>Technical Lead</t>
        </is>
      </c>
      <c r="Q158" t="inlineStr">
        <is>
          <t>Siddharth Kumar (1027551)</t>
        </is>
      </c>
      <c r="R158" s="27" t="n">
        <v>5</v>
      </c>
      <c r="S158" s="1" t="n">
        <v>250000</v>
      </c>
      <c r="T158" s="1">
        <f>ROUND(T_EMPLOYEES[[#This Row],[EMP_CTC1]]/12, 0)</f>
        <v/>
      </c>
      <c r="U158" s="1" t="n">
        <v>150000</v>
      </c>
      <c r="V158" s="1" t="inlineStr">
        <is>
          <t>NH</t>
        </is>
      </c>
      <c r="W158" s="1" t="inlineStr">
        <is>
          <t>NH</t>
        </is>
      </c>
      <c r="X15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8" t="n">
        <v>60000</v>
      </c>
      <c r="Z158" s="29">
        <f>(S158 - U158)/S158 * 100</f>
        <v/>
      </c>
      <c r="AA158">
        <f>IF(T_EMPLOYEES[[#This Row],[EMPLOYEE NUMBER]]="","",ROW(T_EMPLOYEES[[#This Row],[EMPLOYEE LABEL]])-ROW(T_EMPLOYEES[[#Headers],[EMPLOYEE LABEL]]))</f>
        <v/>
      </c>
      <c r="AB158">
        <f>IF(T_EMPLOYEES[[#This Row],[EMPLOYEE NUMBER]]="","",IF(COUNTIF(T_EMPLOYEES[EMPLOYEE NUMBER],T_EMPLOYEES[[#This Row],[EMPLOYEE NUMBER]])&gt;1,1,0))</f>
        <v/>
      </c>
      <c r="AC158">
        <f>IF(T_EMPLOYEES[[#This Row],[EMPLOYEE NUMBER]]="","",IF(AND(T_EMPLOYEES[[#This Row],[DATE OF BIRTH]]&gt;0,T_EMPLOYEES[[#This Row],[DATE OF BIRTH]]&lt;TODAY()),0,1))</f>
        <v/>
      </c>
      <c r="AD158">
        <f>IF(T_EMPLOYEES[[#This Row],[EMPLOYEE NUMBER]]="","",IF(AND(T_EMPLOYEES[[#This Row],[START DATE]]&gt;0,T_EMPLOYEES[[#This Row],[START DATE]]&lt;TODAY()+60),0,1))</f>
        <v/>
      </c>
      <c r="AE158">
        <f>IF(T_EMPLOYEES[[#This Row],[EMPLOYEE NUMBER]]="","",MATCH(T_EMPLOYEES[[#This Row],[GENDER]],L_GENDER,0))</f>
        <v/>
      </c>
      <c r="AF158">
        <f>IF(T_EMPLOYEES[[#This Row],[EMPLOYEE NUMBER]]="","",MATCH(T_EMPLOYEES[[#This Row],[HIRE SOURCE]],L_HIRESOURCE,0))</f>
        <v/>
      </c>
      <c r="AG158">
        <f>IF(T_EMPLOYEES[[#This Row],[EMPLOYEE NUMBER]]="","",MATCH(T_EMPLOYEES[[#This Row],[ETHNICITY]],L_ETHNICITY,0))</f>
        <v/>
      </c>
      <c r="AH158">
        <f>IF(T_EMPLOYEES[[#This Row],[EMPLOYEE NUMBER]]="","",MATCH(T_EMPLOYEES[[#This Row],[LOCATION]],L_LOCATION,0))</f>
        <v/>
      </c>
      <c r="AI158">
        <f>IF(T_EMPLOYEES[[#This Row],[EMPLOYEE NUMBER]]="","",MATCH(T_EMPLOYEES[[#This Row],[DEPARTMENT]],L_DEPARTMENT,0))</f>
        <v/>
      </c>
      <c r="AJ158">
        <f>IF(T_EMPLOYEES[[#This Row],[EMPLOYEE NUMBER]]="","",MATCH(T_EMPLOYEES[[#This Row],[JOB TYPE]],L_JOBTYPE,0))</f>
        <v/>
      </c>
      <c r="AK158">
        <f>IF(T_EMPLOYEES[[#This Row],[EMPLOYEE NUMBER]]="","",MATCH(T_EMPLOYEES[[#This Row],[JOB CATEGORY]],L_JOBCATEGORY,0))</f>
        <v/>
      </c>
      <c r="AL158">
        <f>IF(T_EMPLOYEES[[#This Row],[EMPLOYEE NUMBER]]="","",MATCH(T_EMPLOYEES[[#This Row],[JOB LEVEL]],L_JOBLEVEL,0))</f>
        <v/>
      </c>
      <c r="AM158">
        <f>IF(T_EMPLOYEES[[#This Row],[EMPLOYEE NUMBER]]="","",MATCH(T_EMPLOYEES[[#This Row],[JOB TITLE]],L_JOBTITLE,0))</f>
        <v/>
      </c>
      <c r="AN158">
        <f>IF(T_EMPLOYEES[[#This Row],[EMPLOYEE NUMBER]]="","",MATCH(T_EMPLOYEES[[#This Row],[MANAGER]],L_EMPLABELS,0))</f>
        <v/>
      </c>
      <c r="AO158">
        <f>IF(T_EMPLOYEES[[#This Row],[EMPLOYEE NUMBER]]="","",IF(T_EMPLOYEES[[#This Row],[ERROR]]="",0,1))</f>
        <v/>
      </c>
      <c r="AP15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59">
      <c r="A159" t="inlineStr">
        <is>
          <t>Kambham</t>
        </is>
      </c>
      <c r="B159" t="inlineStr">
        <is>
          <t xml:space="preserve"> Anusha</t>
        </is>
      </c>
      <c r="C159" t="n">
        <v>1029042</v>
      </c>
      <c r="D159" t="inlineStr">
        <is>
          <t>Kambham.Anusha@infinite.com</t>
        </is>
      </c>
      <c r="E159" s="26" t="n">
        <v>32691</v>
      </c>
      <c r="F159" s="26" t="n">
        <v>44693</v>
      </c>
      <c r="H159" t="inlineStr">
        <is>
          <t>Female</t>
        </is>
      </c>
      <c r="I159" t="inlineStr">
        <is>
          <t>Asian</t>
        </is>
      </c>
      <c r="J159" t="inlineStr">
        <is>
          <t>WEBSITE</t>
        </is>
      </c>
      <c r="K159" t="inlineStr">
        <is>
          <t>Hyderabad</t>
        </is>
      </c>
      <c r="L159" s="27" t="inlineStr">
        <is>
          <t>IT</t>
        </is>
      </c>
      <c r="M159" t="inlineStr">
        <is>
          <t>Full-Time</t>
        </is>
      </c>
      <c r="N159" t="inlineStr">
        <is>
          <t>Senior Software Engineer</t>
        </is>
      </c>
      <c r="O159" t="inlineStr">
        <is>
          <t>E3</t>
        </is>
      </c>
      <c r="P159" t="inlineStr">
        <is>
          <t>Senior Software Engineer</t>
        </is>
      </c>
      <c r="Q159" t="inlineStr">
        <is>
          <t>Unnikrishnan Chellappan C (1025919)</t>
        </is>
      </c>
      <c r="R159" t="n">
        <v>3</v>
      </c>
      <c r="S159" s="1" t="n">
        <v>250000</v>
      </c>
      <c r="T159" s="1">
        <f>ROUND(T_EMPLOYEES[[#This Row],[EMP_CTC1]]/12, 0)</f>
        <v/>
      </c>
      <c r="U159" s="1" t="n">
        <v>150000</v>
      </c>
      <c r="V159" s="1" t="inlineStr">
        <is>
          <t>NH</t>
        </is>
      </c>
      <c r="W159" s="1" t="inlineStr">
        <is>
          <t>NH</t>
        </is>
      </c>
      <c r="X15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59" t="n">
        <v>60000</v>
      </c>
      <c r="Z159" s="29">
        <f>(S159 - U159)/S159 * 100</f>
        <v/>
      </c>
      <c r="AA159">
        <f>IF(T_EMPLOYEES[[#This Row],[EMPLOYEE NUMBER]]="","",ROW(T_EMPLOYEES[[#This Row],[EMPLOYEE LABEL]])-ROW(T_EMPLOYEES[[#Headers],[EMPLOYEE LABEL]]))</f>
        <v/>
      </c>
      <c r="AB159">
        <f>IF(T_EMPLOYEES[[#This Row],[EMPLOYEE NUMBER]]="","",IF(COUNTIF(T_EMPLOYEES[EMPLOYEE NUMBER],T_EMPLOYEES[[#This Row],[EMPLOYEE NUMBER]])&gt;1,1,0))</f>
        <v/>
      </c>
      <c r="AC159">
        <f>IF(T_EMPLOYEES[[#This Row],[EMPLOYEE NUMBER]]="","",IF(AND(T_EMPLOYEES[[#This Row],[DATE OF BIRTH]]&gt;0,T_EMPLOYEES[[#This Row],[DATE OF BIRTH]]&lt;TODAY()),0,1))</f>
        <v/>
      </c>
      <c r="AD159">
        <f>IF(T_EMPLOYEES[[#This Row],[EMPLOYEE NUMBER]]="","",IF(AND(T_EMPLOYEES[[#This Row],[START DATE]]&gt;0,T_EMPLOYEES[[#This Row],[START DATE]]&lt;TODAY()+60),0,1))</f>
        <v/>
      </c>
      <c r="AE159">
        <f>IF(T_EMPLOYEES[[#This Row],[EMPLOYEE NUMBER]]="","",MATCH(T_EMPLOYEES[[#This Row],[GENDER]],L_GENDER,0))</f>
        <v/>
      </c>
      <c r="AF159">
        <f>IF(T_EMPLOYEES[[#This Row],[EMPLOYEE NUMBER]]="","",MATCH(T_EMPLOYEES[[#This Row],[HIRE SOURCE]],L_HIRESOURCE,0))</f>
        <v/>
      </c>
      <c r="AG159">
        <f>IF(T_EMPLOYEES[[#This Row],[EMPLOYEE NUMBER]]="","",MATCH(T_EMPLOYEES[[#This Row],[ETHNICITY]],L_ETHNICITY,0))</f>
        <v/>
      </c>
      <c r="AH159">
        <f>IF(T_EMPLOYEES[[#This Row],[EMPLOYEE NUMBER]]="","",MATCH(T_EMPLOYEES[[#This Row],[LOCATION]],L_LOCATION,0))</f>
        <v/>
      </c>
      <c r="AI159">
        <f>IF(T_EMPLOYEES[[#This Row],[EMPLOYEE NUMBER]]="","",MATCH(T_EMPLOYEES[[#This Row],[DEPARTMENT]],L_DEPARTMENT,0))</f>
        <v/>
      </c>
      <c r="AJ159">
        <f>IF(T_EMPLOYEES[[#This Row],[EMPLOYEE NUMBER]]="","",MATCH(T_EMPLOYEES[[#This Row],[JOB TYPE]],L_JOBTYPE,0))</f>
        <v/>
      </c>
      <c r="AK159">
        <f>IF(T_EMPLOYEES[[#This Row],[EMPLOYEE NUMBER]]="","",MATCH(T_EMPLOYEES[[#This Row],[JOB CATEGORY]],L_JOBCATEGORY,0))</f>
        <v/>
      </c>
      <c r="AL159">
        <f>IF(T_EMPLOYEES[[#This Row],[EMPLOYEE NUMBER]]="","",MATCH(T_EMPLOYEES[[#This Row],[JOB LEVEL]],L_JOBLEVEL,0))</f>
        <v/>
      </c>
      <c r="AM159">
        <f>IF(T_EMPLOYEES[[#This Row],[EMPLOYEE NUMBER]]="","",MATCH(T_EMPLOYEES[[#This Row],[JOB TITLE]],L_JOBTITLE,0))</f>
        <v/>
      </c>
      <c r="AN159">
        <f>IF(T_EMPLOYEES[[#This Row],[EMPLOYEE NUMBER]]="","",MATCH(T_EMPLOYEES[[#This Row],[MANAGER]],L_EMPLABELS,0))</f>
        <v/>
      </c>
      <c r="AO159">
        <f>IF(T_EMPLOYEES[[#This Row],[EMPLOYEE NUMBER]]="","",IF(T_EMPLOYEES[[#This Row],[ERROR]]="",0,1))</f>
        <v/>
      </c>
      <c r="AP15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59" t="inlineStr">
        <is>
          <t>EPSDT</t>
        </is>
      </c>
    </row>
    <row r="160">
      <c r="A160" t="inlineStr">
        <is>
          <t>Rahul</t>
        </is>
      </c>
      <c r="B160" t="inlineStr">
        <is>
          <t>Diwakar Perkiwar</t>
        </is>
      </c>
      <c r="C160" t="n">
        <v>1031845</v>
      </c>
      <c r="D160" t="inlineStr">
        <is>
          <t>Rahul.Perkiwar@infinite.com</t>
        </is>
      </c>
      <c r="E160" s="26" t="n">
        <v>32709</v>
      </c>
      <c r="F160" s="26" t="n">
        <v>44914</v>
      </c>
      <c r="H160" t="inlineStr">
        <is>
          <t>Male</t>
        </is>
      </c>
      <c r="I160" t="inlineStr">
        <is>
          <t>Asian</t>
        </is>
      </c>
      <c r="J160" t="inlineStr">
        <is>
          <t>WEBSITE</t>
        </is>
      </c>
      <c r="K160" t="inlineStr">
        <is>
          <t>Hyderabad</t>
        </is>
      </c>
      <c r="L160" s="27" t="inlineStr">
        <is>
          <t>IT</t>
        </is>
      </c>
      <c r="M160" t="inlineStr">
        <is>
          <t>Full-Time</t>
        </is>
      </c>
      <c r="N160" t="inlineStr">
        <is>
          <t>Software Test Engineer</t>
        </is>
      </c>
      <c r="O160" t="inlineStr">
        <is>
          <t>E2</t>
        </is>
      </c>
      <c r="P160" t="inlineStr">
        <is>
          <t>Software Test Engineer</t>
        </is>
      </c>
      <c r="Q160" t="inlineStr">
        <is>
          <t>Srisha N (1031856)</t>
        </is>
      </c>
      <c r="R160" s="27" t="n">
        <v>3</v>
      </c>
      <c r="S160" s="1" t="n">
        <v>250000</v>
      </c>
      <c r="T160" s="1">
        <f>ROUND(T_EMPLOYEES[[#This Row],[EMP_CTC1]]/12, 0)</f>
        <v/>
      </c>
      <c r="U160" s="1" t="n">
        <v>150000</v>
      </c>
      <c r="V160" s="1" t="inlineStr">
        <is>
          <t>NH</t>
        </is>
      </c>
      <c r="W160" s="1" t="inlineStr">
        <is>
          <t>NH</t>
        </is>
      </c>
      <c r="X16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0" t="n">
        <v>60000</v>
      </c>
      <c r="Z160" s="29">
        <f>(S160 - U160)/S160 * 100</f>
        <v/>
      </c>
      <c r="AA160">
        <f>IF(T_EMPLOYEES[[#This Row],[EMPLOYEE NUMBER]]="","",ROW(T_EMPLOYEES[[#This Row],[EMPLOYEE LABEL]])-ROW(T_EMPLOYEES[[#Headers],[EMPLOYEE LABEL]]))</f>
        <v/>
      </c>
      <c r="AB160">
        <f>IF(T_EMPLOYEES[[#This Row],[EMPLOYEE NUMBER]]="","",IF(COUNTIF(T_EMPLOYEES[EMPLOYEE NUMBER],T_EMPLOYEES[[#This Row],[EMPLOYEE NUMBER]])&gt;1,1,0))</f>
        <v/>
      </c>
      <c r="AC160">
        <f>IF(T_EMPLOYEES[[#This Row],[EMPLOYEE NUMBER]]="","",IF(AND(T_EMPLOYEES[[#This Row],[DATE OF BIRTH]]&gt;0,T_EMPLOYEES[[#This Row],[DATE OF BIRTH]]&lt;TODAY()),0,1))</f>
        <v/>
      </c>
      <c r="AD160">
        <f>IF(T_EMPLOYEES[[#This Row],[EMPLOYEE NUMBER]]="","",IF(AND(T_EMPLOYEES[[#This Row],[START DATE]]&gt;0,T_EMPLOYEES[[#This Row],[START DATE]]&lt;TODAY()+60),0,1))</f>
        <v/>
      </c>
      <c r="AE160">
        <f>IF(T_EMPLOYEES[[#This Row],[EMPLOYEE NUMBER]]="","",MATCH(T_EMPLOYEES[[#This Row],[GENDER]],L_GENDER,0))</f>
        <v/>
      </c>
      <c r="AF160">
        <f>IF(T_EMPLOYEES[[#This Row],[EMPLOYEE NUMBER]]="","",MATCH(T_EMPLOYEES[[#This Row],[HIRE SOURCE]],L_HIRESOURCE,0))</f>
        <v/>
      </c>
      <c r="AG160">
        <f>IF(T_EMPLOYEES[[#This Row],[EMPLOYEE NUMBER]]="","",MATCH(T_EMPLOYEES[[#This Row],[ETHNICITY]],L_ETHNICITY,0))</f>
        <v/>
      </c>
      <c r="AH160">
        <f>IF(T_EMPLOYEES[[#This Row],[EMPLOYEE NUMBER]]="","",MATCH(T_EMPLOYEES[[#This Row],[LOCATION]],L_LOCATION,0))</f>
        <v/>
      </c>
      <c r="AI160">
        <f>IF(T_EMPLOYEES[[#This Row],[EMPLOYEE NUMBER]]="","",MATCH(T_EMPLOYEES[[#This Row],[DEPARTMENT]],L_DEPARTMENT,0))</f>
        <v/>
      </c>
      <c r="AJ160">
        <f>IF(T_EMPLOYEES[[#This Row],[EMPLOYEE NUMBER]]="","",MATCH(T_EMPLOYEES[[#This Row],[JOB TYPE]],L_JOBTYPE,0))</f>
        <v/>
      </c>
      <c r="AK160">
        <f>IF(T_EMPLOYEES[[#This Row],[EMPLOYEE NUMBER]]="","",MATCH(T_EMPLOYEES[[#This Row],[JOB CATEGORY]],L_JOBCATEGORY,0))</f>
        <v/>
      </c>
      <c r="AL160">
        <f>IF(T_EMPLOYEES[[#This Row],[EMPLOYEE NUMBER]]="","",MATCH(T_EMPLOYEES[[#This Row],[JOB LEVEL]],L_JOBLEVEL,0))</f>
        <v/>
      </c>
      <c r="AM160">
        <f>IF(T_EMPLOYEES[[#This Row],[EMPLOYEE NUMBER]]="","",MATCH(T_EMPLOYEES[[#This Row],[JOB TITLE]],L_JOBTITLE,0))</f>
        <v/>
      </c>
      <c r="AN160">
        <f>IF(T_EMPLOYEES[[#This Row],[EMPLOYEE NUMBER]]="","",MATCH(T_EMPLOYEES[[#This Row],[MANAGER]],L_EMPLABELS,0))</f>
        <v/>
      </c>
      <c r="AO160">
        <f>IF(T_EMPLOYEES[[#This Row],[EMPLOYEE NUMBER]]="","",IF(T_EMPLOYEES[[#This Row],[ERROR]]="",0,1))</f>
        <v/>
      </c>
      <c r="AP16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1">
      <c r="A161" t="inlineStr">
        <is>
          <t>D</t>
        </is>
      </c>
      <c r="B161" t="inlineStr">
        <is>
          <t>Vignesh Kannan</t>
        </is>
      </c>
      <c r="C161" t="n">
        <v>1026741</v>
      </c>
      <c r="D161" t="inlineStr">
        <is>
          <t>Vignesh.Kannan@infinite.com</t>
        </is>
      </c>
      <c r="E161" s="26" t="n">
        <v>32727</v>
      </c>
      <c r="F161" s="26" t="n">
        <v>44470</v>
      </c>
      <c r="H161" t="inlineStr">
        <is>
          <t>Male</t>
        </is>
      </c>
      <c r="I161" t="inlineStr">
        <is>
          <t>Asian</t>
        </is>
      </c>
      <c r="J161" t="inlineStr">
        <is>
          <t>WEBSITE</t>
        </is>
      </c>
      <c r="K161" t="inlineStr">
        <is>
          <t>Bangalore</t>
        </is>
      </c>
      <c r="L161" s="27" t="inlineStr">
        <is>
          <t>Infra</t>
        </is>
      </c>
      <c r="M161" t="inlineStr">
        <is>
          <t>Full-Time</t>
        </is>
      </c>
      <c r="N161" t="inlineStr">
        <is>
          <t>Senior Support Engineer</t>
        </is>
      </c>
      <c r="O161" t="inlineStr">
        <is>
          <t>E3</t>
        </is>
      </c>
      <c r="P161" t="inlineStr">
        <is>
          <t>Senior Support Engineer</t>
        </is>
      </c>
      <c r="Q161" t="inlineStr">
        <is>
          <t>K  Saikumar (1026864)</t>
        </is>
      </c>
      <c r="R161" t="n">
        <v>3</v>
      </c>
      <c r="S161" s="1" t="n">
        <v>250000</v>
      </c>
      <c r="T161" s="1">
        <f>ROUND(T_EMPLOYEES[[#This Row],[EMP_CTC1]]/12, 0)</f>
        <v/>
      </c>
      <c r="U161" s="1" t="n">
        <v>150000</v>
      </c>
      <c r="V161" s="1" t="inlineStr">
        <is>
          <t>NH</t>
        </is>
      </c>
      <c r="W161" s="1" t="inlineStr">
        <is>
          <t>NH</t>
        </is>
      </c>
      <c r="X16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1" t="n">
        <v>60000</v>
      </c>
      <c r="Z161" s="29">
        <f>(S161 - U161)/S161 * 100</f>
        <v/>
      </c>
      <c r="AA161">
        <f>IF(T_EMPLOYEES[[#This Row],[EMPLOYEE NUMBER]]="","",ROW(T_EMPLOYEES[[#This Row],[EMPLOYEE LABEL]])-ROW(T_EMPLOYEES[[#Headers],[EMPLOYEE LABEL]]))</f>
        <v/>
      </c>
      <c r="AB161">
        <f>IF(T_EMPLOYEES[[#This Row],[EMPLOYEE NUMBER]]="","",IF(COUNTIF(T_EMPLOYEES[EMPLOYEE NUMBER],T_EMPLOYEES[[#This Row],[EMPLOYEE NUMBER]])&gt;1,1,0))</f>
        <v/>
      </c>
      <c r="AC161">
        <f>IF(T_EMPLOYEES[[#This Row],[EMPLOYEE NUMBER]]="","",IF(AND(T_EMPLOYEES[[#This Row],[DATE OF BIRTH]]&gt;0,T_EMPLOYEES[[#This Row],[DATE OF BIRTH]]&lt;TODAY()),0,1))</f>
        <v/>
      </c>
      <c r="AD161">
        <f>IF(T_EMPLOYEES[[#This Row],[EMPLOYEE NUMBER]]="","",IF(AND(T_EMPLOYEES[[#This Row],[START DATE]]&gt;0,T_EMPLOYEES[[#This Row],[START DATE]]&lt;TODAY()+60),0,1))</f>
        <v/>
      </c>
      <c r="AE161">
        <f>IF(T_EMPLOYEES[[#This Row],[EMPLOYEE NUMBER]]="","",MATCH(T_EMPLOYEES[[#This Row],[GENDER]],L_GENDER,0))</f>
        <v/>
      </c>
      <c r="AF161">
        <f>IF(T_EMPLOYEES[[#This Row],[EMPLOYEE NUMBER]]="","",MATCH(T_EMPLOYEES[[#This Row],[HIRE SOURCE]],L_HIRESOURCE,0))</f>
        <v/>
      </c>
      <c r="AG161">
        <f>IF(T_EMPLOYEES[[#This Row],[EMPLOYEE NUMBER]]="","",MATCH(T_EMPLOYEES[[#This Row],[ETHNICITY]],L_ETHNICITY,0))</f>
        <v/>
      </c>
      <c r="AH161">
        <f>IF(T_EMPLOYEES[[#This Row],[EMPLOYEE NUMBER]]="","",MATCH(T_EMPLOYEES[[#This Row],[LOCATION]],L_LOCATION,0))</f>
        <v/>
      </c>
      <c r="AI161">
        <f>IF(T_EMPLOYEES[[#This Row],[EMPLOYEE NUMBER]]="","",MATCH(T_EMPLOYEES[[#This Row],[DEPARTMENT]],L_DEPARTMENT,0))</f>
        <v/>
      </c>
      <c r="AJ161">
        <f>IF(T_EMPLOYEES[[#This Row],[EMPLOYEE NUMBER]]="","",MATCH(T_EMPLOYEES[[#This Row],[JOB TYPE]],L_JOBTYPE,0))</f>
        <v/>
      </c>
      <c r="AK161">
        <f>IF(T_EMPLOYEES[[#This Row],[EMPLOYEE NUMBER]]="","",MATCH(T_EMPLOYEES[[#This Row],[JOB CATEGORY]],L_JOBCATEGORY,0))</f>
        <v/>
      </c>
      <c r="AL161">
        <f>IF(T_EMPLOYEES[[#This Row],[EMPLOYEE NUMBER]]="","",MATCH(T_EMPLOYEES[[#This Row],[JOB LEVEL]],L_JOBLEVEL,0))</f>
        <v/>
      </c>
      <c r="AM161">
        <f>IF(T_EMPLOYEES[[#This Row],[EMPLOYEE NUMBER]]="","",MATCH(T_EMPLOYEES[[#This Row],[JOB TITLE]],L_JOBTITLE,0))</f>
        <v/>
      </c>
      <c r="AN161">
        <f>IF(T_EMPLOYEES[[#This Row],[EMPLOYEE NUMBER]]="","",MATCH(T_EMPLOYEES[[#This Row],[MANAGER]],L_EMPLABELS,0))</f>
        <v/>
      </c>
      <c r="AO161">
        <f>IF(T_EMPLOYEES[[#This Row],[EMPLOYEE NUMBER]]="","",IF(T_EMPLOYEES[[#This Row],[ERROR]]="",0,1))</f>
        <v/>
      </c>
      <c r="AP16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2">
      <c r="A162" t="inlineStr">
        <is>
          <t>Nirosha</t>
        </is>
      </c>
      <c r="B162" t="inlineStr">
        <is>
          <t xml:space="preserve"> V</t>
        </is>
      </c>
      <c r="C162" t="n">
        <v>1024184</v>
      </c>
      <c r="D162" t="inlineStr">
        <is>
          <t>Nirosha.Vijayaraghavan@infinite.com</t>
        </is>
      </c>
      <c r="E162" s="26" t="n">
        <v>32792</v>
      </c>
      <c r="F162" s="26" t="n">
        <v>44179</v>
      </c>
      <c r="H162" t="inlineStr">
        <is>
          <t>Female</t>
        </is>
      </c>
      <c r="I162" t="inlineStr">
        <is>
          <t>Asian</t>
        </is>
      </c>
      <c r="J162" t="inlineStr">
        <is>
          <t>WEBSITE</t>
        </is>
      </c>
      <c r="K162" t="inlineStr">
        <is>
          <t>Bangalore</t>
        </is>
      </c>
      <c r="L162" s="27" t="inlineStr">
        <is>
          <t>IT</t>
        </is>
      </c>
      <c r="M162" t="inlineStr">
        <is>
          <t>Full-Time</t>
        </is>
      </c>
      <c r="N162" t="inlineStr">
        <is>
          <t>Technical Support Specialist</t>
        </is>
      </c>
      <c r="O162" t="inlineStr">
        <is>
          <t>E4</t>
        </is>
      </c>
      <c r="P162" t="inlineStr">
        <is>
          <t>Technical Support Specialist</t>
        </is>
      </c>
      <c r="Q162" t="inlineStr">
        <is>
          <t>Neha  Rajput (1020112)</t>
        </is>
      </c>
      <c r="R162" s="27" t="n">
        <v>5</v>
      </c>
      <c r="S162" s="1" t="n">
        <v>250000</v>
      </c>
      <c r="T162" s="1">
        <f>ROUND(T_EMPLOYEES[[#This Row],[EMP_CTC1]]/12, 0)</f>
        <v/>
      </c>
      <c r="U162" s="1" t="n">
        <v>150000</v>
      </c>
      <c r="V162" s="1" t="inlineStr">
        <is>
          <t>NH</t>
        </is>
      </c>
      <c r="W162" s="1" t="inlineStr">
        <is>
          <t>NH</t>
        </is>
      </c>
      <c r="X16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2" t="n">
        <v>60000</v>
      </c>
      <c r="Z162" s="29">
        <f>(S162 - U162)/S162 * 100</f>
        <v/>
      </c>
      <c r="AA162">
        <f>IF(T_EMPLOYEES[[#This Row],[EMPLOYEE NUMBER]]="","",ROW(T_EMPLOYEES[[#This Row],[EMPLOYEE LABEL]])-ROW(T_EMPLOYEES[[#Headers],[EMPLOYEE LABEL]]))</f>
        <v/>
      </c>
      <c r="AB162">
        <f>IF(T_EMPLOYEES[[#This Row],[EMPLOYEE NUMBER]]="","",IF(COUNTIF(T_EMPLOYEES[EMPLOYEE NUMBER],T_EMPLOYEES[[#This Row],[EMPLOYEE NUMBER]])&gt;1,1,0))</f>
        <v/>
      </c>
      <c r="AC162">
        <f>IF(T_EMPLOYEES[[#This Row],[EMPLOYEE NUMBER]]="","",IF(AND(T_EMPLOYEES[[#This Row],[DATE OF BIRTH]]&gt;0,T_EMPLOYEES[[#This Row],[DATE OF BIRTH]]&lt;TODAY()),0,1))</f>
        <v/>
      </c>
      <c r="AD162">
        <f>IF(T_EMPLOYEES[[#This Row],[EMPLOYEE NUMBER]]="","",IF(AND(T_EMPLOYEES[[#This Row],[START DATE]]&gt;0,T_EMPLOYEES[[#This Row],[START DATE]]&lt;TODAY()+60),0,1))</f>
        <v/>
      </c>
      <c r="AE162">
        <f>IF(T_EMPLOYEES[[#This Row],[EMPLOYEE NUMBER]]="","",MATCH(T_EMPLOYEES[[#This Row],[GENDER]],L_GENDER,0))</f>
        <v/>
      </c>
      <c r="AF162">
        <f>IF(T_EMPLOYEES[[#This Row],[EMPLOYEE NUMBER]]="","",MATCH(T_EMPLOYEES[[#This Row],[HIRE SOURCE]],L_HIRESOURCE,0))</f>
        <v/>
      </c>
      <c r="AG162">
        <f>IF(T_EMPLOYEES[[#This Row],[EMPLOYEE NUMBER]]="","",MATCH(T_EMPLOYEES[[#This Row],[ETHNICITY]],L_ETHNICITY,0))</f>
        <v/>
      </c>
      <c r="AH162">
        <f>IF(T_EMPLOYEES[[#This Row],[EMPLOYEE NUMBER]]="","",MATCH(T_EMPLOYEES[[#This Row],[LOCATION]],L_LOCATION,0))</f>
        <v/>
      </c>
      <c r="AI162">
        <f>IF(T_EMPLOYEES[[#This Row],[EMPLOYEE NUMBER]]="","",MATCH(T_EMPLOYEES[[#This Row],[DEPARTMENT]],L_DEPARTMENT,0))</f>
        <v/>
      </c>
      <c r="AJ162">
        <f>IF(T_EMPLOYEES[[#This Row],[EMPLOYEE NUMBER]]="","",MATCH(T_EMPLOYEES[[#This Row],[JOB TYPE]],L_JOBTYPE,0))</f>
        <v/>
      </c>
      <c r="AK162">
        <f>IF(T_EMPLOYEES[[#This Row],[EMPLOYEE NUMBER]]="","",MATCH(T_EMPLOYEES[[#This Row],[JOB CATEGORY]],L_JOBCATEGORY,0))</f>
        <v/>
      </c>
      <c r="AL162">
        <f>IF(T_EMPLOYEES[[#This Row],[EMPLOYEE NUMBER]]="","",MATCH(T_EMPLOYEES[[#This Row],[JOB LEVEL]],L_JOBLEVEL,0))</f>
        <v/>
      </c>
      <c r="AM162">
        <f>IF(T_EMPLOYEES[[#This Row],[EMPLOYEE NUMBER]]="","",MATCH(T_EMPLOYEES[[#This Row],[JOB TITLE]],L_JOBTITLE,0))</f>
        <v/>
      </c>
      <c r="AN162">
        <f>IF(T_EMPLOYEES[[#This Row],[EMPLOYEE NUMBER]]="","",MATCH(T_EMPLOYEES[[#This Row],[MANAGER]],L_EMPLABELS,0))</f>
        <v/>
      </c>
      <c r="AO162">
        <f>IF(T_EMPLOYEES[[#This Row],[EMPLOYEE NUMBER]]="","",IF(T_EMPLOYEES[[#This Row],[ERROR]]="",0,1))</f>
        <v/>
      </c>
      <c r="AP16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3">
      <c r="A163" t="inlineStr">
        <is>
          <t>Bhuvaneshwari</t>
        </is>
      </c>
      <c r="B163" t="inlineStr">
        <is>
          <t>D</t>
        </is>
      </c>
      <c r="C163" t="n">
        <v>1030579</v>
      </c>
      <c r="D163" t="inlineStr">
        <is>
          <t>Bhuvaneshwari.Danappa@infinite.com</t>
        </is>
      </c>
      <c r="E163" s="26" t="n">
        <v>32872</v>
      </c>
      <c r="F163" s="26" t="n">
        <v>44844</v>
      </c>
      <c r="H163" t="inlineStr">
        <is>
          <t>Female</t>
        </is>
      </c>
      <c r="I163" t="inlineStr">
        <is>
          <t>Asian</t>
        </is>
      </c>
      <c r="J163" t="inlineStr">
        <is>
          <t>WEBSITE</t>
        </is>
      </c>
      <c r="K163" t="inlineStr">
        <is>
          <t>Bangalore</t>
        </is>
      </c>
      <c r="L163" s="27" t="inlineStr">
        <is>
          <t>IT</t>
        </is>
      </c>
      <c r="M163" t="inlineStr">
        <is>
          <t>Full-Time</t>
        </is>
      </c>
      <c r="N163" t="inlineStr">
        <is>
          <t>Test Lead</t>
        </is>
      </c>
      <c r="O163" t="inlineStr">
        <is>
          <t>E4</t>
        </is>
      </c>
      <c r="P163" t="inlineStr">
        <is>
          <t>Test Lead</t>
        </is>
      </c>
      <c r="Q163" t="inlineStr">
        <is>
          <t>Prabhakar Janardhanam (1031867)</t>
        </is>
      </c>
      <c r="R163" t="n">
        <v>5</v>
      </c>
      <c r="S163" s="1" t="n">
        <v>250000</v>
      </c>
      <c r="T163" s="1">
        <f>ROUND(T_EMPLOYEES[[#This Row],[EMP_CTC1]]/12, 0)</f>
        <v/>
      </c>
      <c r="U163" s="1" t="n">
        <v>150000</v>
      </c>
      <c r="V163" s="1" t="inlineStr">
        <is>
          <t>NH</t>
        </is>
      </c>
      <c r="W163" s="1" t="inlineStr">
        <is>
          <t>NH</t>
        </is>
      </c>
      <c r="X16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3" t="n">
        <v>60000</v>
      </c>
      <c r="Z163" s="29">
        <f>(S163 - U163)/S163 * 100</f>
        <v/>
      </c>
      <c r="AA163">
        <f>IF(T_EMPLOYEES[[#This Row],[EMPLOYEE NUMBER]]="","",ROW(T_EMPLOYEES[[#This Row],[EMPLOYEE LABEL]])-ROW(T_EMPLOYEES[[#Headers],[EMPLOYEE LABEL]]))</f>
        <v/>
      </c>
      <c r="AB163">
        <f>IF(T_EMPLOYEES[[#This Row],[EMPLOYEE NUMBER]]="","",IF(COUNTIF(T_EMPLOYEES[EMPLOYEE NUMBER],T_EMPLOYEES[[#This Row],[EMPLOYEE NUMBER]])&gt;1,1,0))</f>
        <v/>
      </c>
      <c r="AC163">
        <f>IF(T_EMPLOYEES[[#This Row],[EMPLOYEE NUMBER]]="","",IF(AND(T_EMPLOYEES[[#This Row],[DATE OF BIRTH]]&gt;0,T_EMPLOYEES[[#This Row],[DATE OF BIRTH]]&lt;TODAY()),0,1))</f>
        <v/>
      </c>
      <c r="AD163">
        <f>IF(T_EMPLOYEES[[#This Row],[EMPLOYEE NUMBER]]="","",IF(AND(T_EMPLOYEES[[#This Row],[START DATE]]&gt;0,T_EMPLOYEES[[#This Row],[START DATE]]&lt;TODAY()+60),0,1))</f>
        <v/>
      </c>
      <c r="AE163">
        <f>IF(T_EMPLOYEES[[#This Row],[EMPLOYEE NUMBER]]="","",MATCH(T_EMPLOYEES[[#This Row],[GENDER]],L_GENDER,0))</f>
        <v/>
      </c>
      <c r="AF163">
        <f>IF(T_EMPLOYEES[[#This Row],[EMPLOYEE NUMBER]]="","",MATCH(T_EMPLOYEES[[#This Row],[HIRE SOURCE]],L_HIRESOURCE,0))</f>
        <v/>
      </c>
      <c r="AG163">
        <f>IF(T_EMPLOYEES[[#This Row],[EMPLOYEE NUMBER]]="","",MATCH(T_EMPLOYEES[[#This Row],[ETHNICITY]],L_ETHNICITY,0))</f>
        <v/>
      </c>
      <c r="AH163">
        <f>IF(T_EMPLOYEES[[#This Row],[EMPLOYEE NUMBER]]="","",MATCH(T_EMPLOYEES[[#This Row],[LOCATION]],L_LOCATION,0))</f>
        <v/>
      </c>
      <c r="AI163">
        <f>IF(T_EMPLOYEES[[#This Row],[EMPLOYEE NUMBER]]="","",MATCH(T_EMPLOYEES[[#This Row],[DEPARTMENT]],L_DEPARTMENT,0))</f>
        <v/>
      </c>
      <c r="AJ163">
        <f>IF(T_EMPLOYEES[[#This Row],[EMPLOYEE NUMBER]]="","",MATCH(T_EMPLOYEES[[#This Row],[JOB TYPE]],L_JOBTYPE,0))</f>
        <v/>
      </c>
      <c r="AK163">
        <f>IF(T_EMPLOYEES[[#This Row],[EMPLOYEE NUMBER]]="","",MATCH(T_EMPLOYEES[[#This Row],[JOB CATEGORY]],L_JOBCATEGORY,0))</f>
        <v/>
      </c>
      <c r="AL163">
        <f>IF(T_EMPLOYEES[[#This Row],[EMPLOYEE NUMBER]]="","",MATCH(T_EMPLOYEES[[#This Row],[JOB LEVEL]],L_JOBLEVEL,0))</f>
        <v/>
      </c>
      <c r="AM163">
        <f>IF(T_EMPLOYEES[[#This Row],[EMPLOYEE NUMBER]]="","",MATCH(T_EMPLOYEES[[#This Row],[JOB TITLE]],L_JOBTITLE,0))</f>
        <v/>
      </c>
      <c r="AN163">
        <f>IF(T_EMPLOYEES[[#This Row],[EMPLOYEE NUMBER]]="","",MATCH(T_EMPLOYEES[[#This Row],[MANAGER]],L_EMPLABELS,0))</f>
        <v/>
      </c>
      <c r="AO163">
        <f>IF(T_EMPLOYEES[[#This Row],[EMPLOYEE NUMBER]]="","",IF(T_EMPLOYEES[[#This Row],[ERROR]]="",0,1))</f>
        <v/>
      </c>
      <c r="AP16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4">
      <c r="A164" t="inlineStr">
        <is>
          <t>Nidhin</t>
        </is>
      </c>
      <c r="B164" t="inlineStr">
        <is>
          <t>C N</t>
        </is>
      </c>
      <c r="C164" t="n">
        <v>1031862</v>
      </c>
      <c r="D164" t="inlineStr">
        <is>
          <t>Nidhin.C@infinite.com</t>
        </is>
      </c>
      <c r="E164" s="26" t="n">
        <v>32904</v>
      </c>
      <c r="F164" s="26" t="n">
        <v>44914</v>
      </c>
      <c r="H164" t="inlineStr">
        <is>
          <t>Male</t>
        </is>
      </c>
      <c r="I164" t="inlineStr">
        <is>
          <t>Asian</t>
        </is>
      </c>
      <c r="J164" t="inlineStr">
        <is>
          <t>WEBSITE</t>
        </is>
      </c>
      <c r="K164" t="inlineStr">
        <is>
          <t>Bangalore</t>
        </is>
      </c>
      <c r="L164" s="27" t="inlineStr">
        <is>
          <t>IT</t>
        </is>
      </c>
      <c r="M164" t="inlineStr">
        <is>
          <t>Full-Time</t>
        </is>
      </c>
      <c r="N164" t="inlineStr">
        <is>
          <t>Test Lead</t>
        </is>
      </c>
      <c r="O164" t="inlineStr">
        <is>
          <t>E4</t>
        </is>
      </c>
      <c r="P164" t="inlineStr">
        <is>
          <t>Test Lead</t>
        </is>
      </c>
      <c r="Q164" t="inlineStr">
        <is>
          <t>Sunitha Panguluri (1031865)</t>
        </is>
      </c>
      <c r="R164" s="27" t="n">
        <v>5</v>
      </c>
      <c r="S164" s="1" t="n">
        <v>250000</v>
      </c>
      <c r="T164" s="1">
        <f>ROUND(T_EMPLOYEES[[#This Row],[EMP_CTC1]]/12, 0)</f>
        <v/>
      </c>
      <c r="U164" s="1" t="n">
        <v>150000</v>
      </c>
      <c r="V164" s="1" t="inlineStr">
        <is>
          <t>NH</t>
        </is>
      </c>
      <c r="W164" s="1" t="inlineStr">
        <is>
          <t>NH</t>
        </is>
      </c>
      <c r="X16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4" t="n">
        <v>60000</v>
      </c>
      <c r="Z164" s="29">
        <f>(S164 - U164)/S164 * 100</f>
        <v/>
      </c>
      <c r="AA164">
        <f>IF(T_EMPLOYEES[[#This Row],[EMPLOYEE NUMBER]]="","",ROW(T_EMPLOYEES[[#This Row],[EMPLOYEE LABEL]])-ROW(T_EMPLOYEES[[#Headers],[EMPLOYEE LABEL]]))</f>
        <v/>
      </c>
      <c r="AB164">
        <f>IF(T_EMPLOYEES[[#This Row],[EMPLOYEE NUMBER]]="","",IF(COUNTIF(T_EMPLOYEES[EMPLOYEE NUMBER],T_EMPLOYEES[[#This Row],[EMPLOYEE NUMBER]])&gt;1,1,0))</f>
        <v/>
      </c>
      <c r="AC164">
        <f>IF(T_EMPLOYEES[[#This Row],[EMPLOYEE NUMBER]]="","",IF(AND(T_EMPLOYEES[[#This Row],[DATE OF BIRTH]]&gt;0,T_EMPLOYEES[[#This Row],[DATE OF BIRTH]]&lt;TODAY()),0,1))</f>
        <v/>
      </c>
      <c r="AD164">
        <f>IF(T_EMPLOYEES[[#This Row],[EMPLOYEE NUMBER]]="","",IF(AND(T_EMPLOYEES[[#This Row],[START DATE]]&gt;0,T_EMPLOYEES[[#This Row],[START DATE]]&lt;TODAY()+60),0,1))</f>
        <v/>
      </c>
      <c r="AE164">
        <f>IF(T_EMPLOYEES[[#This Row],[EMPLOYEE NUMBER]]="","",MATCH(T_EMPLOYEES[[#This Row],[GENDER]],L_GENDER,0))</f>
        <v/>
      </c>
      <c r="AF164">
        <f>IF(T_EMPLOYEES[[#This Row],[EMPLOYEE NUMBER]]="","",MATCH(T_EMPLOYEES[[#This Row],[HIRE SOURCE]],L_HIRESOURCE,0))</f>
        <v/>
      </c>
      <c r="AG164">
        <f>IF(T_EMPLOYEES[[#This Row],[EMPLOYEE NUMBER]]="","",MATCH(T_EMPLOYEES[[#This Row],[ETHNICITY]],L_ETHNICITY,0))</f>
        <v/>
      </c>
      <c r="AH164">
        <f>IF(T_EMPLOYEES[[#This Row],[EMPLOYEE NUMBER]]="","",MATCH(T_EMPLOYEES[[#This Row],[LOCATION]],L_LOCATION,0))</f>
        <v/>
      </c>
      <c r="AI164">
        <f>IF(T_EMPLOYEES[[#This Row],[EMPLOYEE NUMBER]]="","",MATCH(T_EMPLOYEES[[#This Row],[DEPARTMENT]],L_DEPARTMENT,0))</f>
        <v/>
      </c>
      <c r="AJ164">
        <f>IF(T_EMPLOYEES[[#This Row],[EMPLOYEE NUMBER]]="","",MATCH(T_EMPLOYEES[[#This Row],[JOB TYPE]],L_JOBTYPE,0))</f>
        <v/>
      </c>
      <c r="AK164">
        <f>IF(T_EMPLOYEES[[#This Row],[EMPLOYEE NUMBER]]="","",MATCH(T_EMPLOYEES[[#This Row],[JOB CATEGORY]],L_JOBCATEGORY,0))</f>
        <v/>
      </c>
      <c r="AL164">
        <f>IF(T_EMPLOYEES[[#This Row],[EMPLOYEE NUMBER]]="","",MATCH(T_EMPLOYEES[[#This Row],[JOB LEVEL]],L_JOBLEVEL,0))</f>
        <v/>
      </c>
      <c r="AM164">
        <f>IF(T_EMPLOYEES[[#This Row],[EMPLOYEE NUMBER]]="","",MATCH(T_EMPLOYEES[[#This Row],[JOB TITLE]],L_JOBTITLE,0))</f>
        <v/>
      </c>
      <c r="AN164">
        <f>IF(T_EMPLOYEES[[#This Row],[EMPLOYEE NUMBER]]="","",MATCH(T_EMPLOYEES[[#This Row],[MANAGER]],L_EMPLABELS,0))</f>
        <v/>
      </c>
      <c r="AO164">
        <f>IF(T_EMPLOYEES[[#This Row],[EMPLOYEE NUMBER]]="","",IF(T_EMPLOYEES[[#This Row],[ERROR]]="",0,1))</f>
        <v/>
      </c>
      <c r="AP16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5">
      <c r="A165" t="inlineStr">
        <is>
          <t>Vadde</t>
        </is>
      </c>
      <c r="B165" t="inlineStr">
        <is>
          <t>Vijay Kumar</t>
        </is>
      </c>
      <c r="C165" t="n">
        <v>1026219</v>
      </c>
      <c r="D165" t="inlineStr">
        <is>
          <t>Vijaykumar.Vadde@infinite.com</t>
        </is>
      </c>
      <c r="E165" s="26" t="n">
        <v>32932</v>
      </c>
      <c r="F165" s="26" t="n">
        <v>44431</v>
      </c>
      <c r="H165" t="inlineStr">
        <is>
          <t>Male</t>
        </is>
      </c>
      <c r="I165" t="inlineStr">
        <is>
          <t>Asian</t>
        </is>
      </c>
      <c r="J165" t="inlineStr">
        <is>
          <t>WEBSITE</t>
        </is>
      </c>
      <c r="K165" t="inlineStr">
        <is>
          <t>Bangalore</t>
        </is>
      </c>
      <c r="L165" s="27" t="inlineStr">
        <is>
          <t>Core</t>
        </is>
      </c>
      <c r="M165" t="inlineStr">
        <is>
          <t>Full-Time</t>
        </is>
      </c>
      <c r="N165" t="inlineStr">
        <is>
          <t>Senior Business Analyst</t>
        </is>
      </c>
      <c r="O165" t="inlineStr">
        <is>
          <t>E3</t>
        </is>
      </c>
      <c r="P165" t="inlineStr">
        <is>
          <t>Senior Business Analyst</t>
        </is>
      </c>
      <c r="Q165" t="inlineStr">
        <is>
          <t>Dipakbhai Motibhai Tandel (1027230)</t>
        </is>
      </c>
      <c r="R165" t="n">
        <v>3</v>
      </c>
      <c r="S165" s="1" t="n">
        <v>250000</v>
      </c>
      <c r="T165" s="1">
        <f>ROUND(T_EMPLOYEES[[#This Row],[EMP_CTC1]]/12, 0)</f>
        <v/>
      </c>
      <c r="U165" s="1" t="n">
        <v>150000</v>
      </c>
      <c r="V165" s="1" t="inlineStr">
        <is>
          <t>NH</t>
        </is>
      </c>
      <c r="W165" s="1" t="inlineStr">
        <is>
          <t>NH</t>
        </is>
      </c>
      <c r="X16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5" t="n">
        <v>60000</v>
      </c>
      <c r="Z165" s="29">
        <f>(S165 - U165)/S165 * 100</f>
        <v/>
      </c>
      <c r="AA165">
        <f>IF(T_EMPLOYEES[[#This Row],[EMPLOYEE NUMBER]]="","",ROW(T_EMPLOYEES[[#This Row],[EMPLOYEE LABEL]])-ROW(T_EMPLOYEES[[#Headers],[EMPLOYEE LABEL]]))</f>
        <v/>
      </c>
      <c r="AB165">
        <f>IF(T_EMPLOYEES[[#This Row],[EMPLOYEE NUMBER]]="","",IF(COUNTIF(T_EMPLOYEES[EMPLOYEE NUMBER],T_EMPLOYEES[[#This Row],[EMPLOYEE NUMBER]])&gt;1,1,0))</f>
        <v/>
      </c>
      <c r="AC165">
        <f>IF(T_EMPLOYEES[[#This Row],[EMPLOYEE NUMBER]]="","",IF(AND(T_EMPLOYEES[[#This Row],[DATE OF BIRTH]]&gt;0,T_EMPLOYEES[[#This Row],[DATE OF BIRTH]]&lt;TODAY()),0,1))</f>
        <v/>
      </c>
      <c r="AD165">
        <f>IF(T_EMPLOYEES[[#This Row],[EMPLOYEE NUMBER]]="","",IF(AND(T_EMPLOYEES[[#This Row],[START DATE]]&gt;0,T_EMPLOYEES[[#This Row],[START DATE]]&lt;TODAY()+60),0,1))</f>
        <v/>
      </c>
      <c r="AE165">
        <f>IF(T_EMPLOYEES[[#This Row],[EMPLOYEE NUMBER]]="","",MATCH(T_EMPLOYEES[[#This Row],[GENDER]],L_GENDER,0))</f>
        <v/>
      </c>
      <c r="AF165">
        <f>IF(T_EMPLOYEES[[#This Row],[EMPLOYEE NUMBER]]="","",MATCH(T_EMPLOYEES[[#This Row],[HIRE SOURCE]],L_HIRESOURCE,0))</f>
        <v/>
      </c>
      <c r="AG165">
        <f>IF(T_EMPLOYEES[[#This Row],[EMPLOYEE NUMBER]]="","",MATCH(T_EMPLOYEES[[#This Row],[ETHNICITY]],L_ETHNICITY,0))</f>
        <v/>
      </c>
      <c r="AH165">
        <f>IF(T_EMPLOYEES[[#This Row],[EMPLOYEE NUMBER]]="","",MATCH(T_EMPLOYEES[[#This Row],[LOCATION]],L_LOCATION,0))</f>
        <v/>
      </c>
      <c r="AI165">
        <f>IF(T_EMPLOYEES[[#This Row],[EMPLOYEE NUMBER]]="","",MATCH(T_EMPLOYEES[[#This Row],[DEPARTMENT]],L_DEPARTMENT,0))</f>
        <v/>
      </c>
      <c r="AJ165">
        <f>IF(T_EMPLOYEES[[#This Row],[EMPLOYEE NUMBER]]="","",MATCH(T_EMPLOYEES[[#This Row],[JOB TYPE]],L_JOBTYPE,0))</f>
        <v/>
      </c>
      <c r="AK165">
        <f>IF(T_EMPLOYEES[[#This Row],[EMPLOYEE NUMBER]]="","",MATCH(T_EMPLOYEES[[#This Row],[JOB CATEGORY]],L_JOBCATEGORY,0))</f>
        <v/>
      </c>
      <c r="AL165">
        <f>IF(T_EMPLOYEES[[#This Row],[EMPLOYEE NUMBER]]="","",MATCH(T_EMPLOYEES[[#This Row],[JOB LEVEL]],L_JOBLEVEL,0))</f>
        <v/>
      </c>
      <c r="AM165">
        <f>IF(T_EMPLOYEES[[#This Row],[EMPLOYEE NUMBER]]="","",MATCH(T_EMPLOYEES[[#This Row],[JOB TITLE]],L_JOBTITLE,0))</f>
        <v/>
      </c>
      <c r="AN165">
        <f>IF(T_EMPLOYEES[[#This Row],[EMPLOYEE NUMBER]]="","",MATCH(T_EMPLOYEES[[#This Row],[MANAGER]],L_EMPLABELS,0))</f>
        <v/>
      </c>
      <c r="AO165">
        <f>IF(T_EMPLOYEES[[#This Row],[EMPLOYEE NUMBER]]="","",IF(T_EMPLOYEES[[#This Row],[ERROR]]="",0,1))</f>
        <v/>
      </c>
      <c r="AP16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6">
      <c r="A166" t="inlineStr">
        <is>
          <t>Surya</t>
        </is>
      </c>
      <c r="B166" t="inlineStr">
        <is>
          <t>Prasad Gupta</t>
        </is>
      </c>
      <c r="C166" t="n">
        <v>1030719</v>
      </c>
      <c r="D166" t="inlineStr">
        <is>
          <t>Suryaprasad.Gupta@infinite.com</t>
        </is>
      </c>
      <c r="E166" s="26" t="n">
        <v>32942</v>
      </c>
      <c r="F166" s="26" t="n">
        <v>44859</v>
      </c>
      <c r="H166" t="inlineStr">
        <is>
          <t>Male</t>
        </is>
      </c>
      <c r="I166" t="inlineStr">
        <is>
          <t>Asian</t>
        </is>
      </c>
      <c r="J166" t="inlineStr">
        <is>
          <t>WEBSITE</t>
        </is>
      </c>
      <c r="K166" t="inlineStr">
        <is>
          <t>Bangalore</t>
        </is>
      </c>
      <c r="L166" s="27" t="inlineStr">
        <is>
          <t>IT</t>
        </is>
      </c>
      <c r="M166" t="inlineStr">
        <is>
          <t>Full-Time</t>
        </is>
      </c>
      <c r="N166" t="inlineStr">
        <is>
          <t>Senior Software Engineer</t>
        </is>
      </c>
      <c r="O166" t="inlineStr">
        <is>
          <t>E3</t>
        </is>
      </c>
      <c r="P166" t="inlineStr">
        <is>
          <t>Senior Software Engineer</t>
        </is>
      </c>
      <c r="Q166" t="inlineStr">
        <is>
          <t>Niranjan Reddy G (1032824)</t>
        </is>
      </c>
      <c r="R166" s="27" t="n">
        <v>3</v>
      </c>
      <c r="S166" s="1" t="n">
        <v>250000</v>
      </c>
      <c r="T166" s="1">
        <f>ROUND(T_EMPLOYEES[[#This Row],[EMP_CTC1]]/12, 0)</f>
        <v/>
      </c>
      <c r="U166" s="1" t="n">
        <v>150000</v>
      </c>
      <c r="V166" s="1" t="inlineStr">
        <is>
          <t>NH</t>
        </is>
      </c>
      <c r="W166" s="1" t="inlineStr">
        <is>
          <t>NH</t>
        </is>
      </c>
      <c r="X16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6" t="n">
        <v>60000</v>
      </c>
      <c r="Z166" s="29">
        <f>(S166 - U166)/S166 * 100</f>
        <v/>
      </c>
      <c r="AA166">
        <f>IF(T_EMPLOYEES[[#This Row],[EMPLOYEE NUMBER]]="","",ROW(T_EMPLOYEES[[#This Row],[EMPLOYEE LABEL]])-ROW(T_EMPLOYEES[[#Headers],[EMPLOYEE LABEL]]))</f>
        <v/>
      </c>
      <c r="AB166">
        <f>IF(T_EMPLOYEES[[#This Row],[EMPLOYEE NUMBER]]="","",IF(COUNTIF(T_EMPLOYEES[EMPLOYEE NUMBER],T_EMPLOYEES[[#This Row],[EMPLOYEE NUMBER]])&gt;1,1,0))</f>
        <v/>
      </c>
      <c r="AC166">
        <f>IF(T_EMPLOYEES[[#This Row],[EMPLOYEE NUMBER]]="","",IF(AND(T_EMPLOYEES[[#This Row],[DATE OF BIRTH]]&gt;0,T_EMPLOYEES[[#This Row],[DATE OF BIRTH]]&lt;TODAY()),0,1))</f>
        <v/>
      </c>
      <c r="AD166">
        <f>IF(T_EMPLOYEES[[#This Row],[EMPLOYEE NUMBER]]="","",IF(AND(T_EMPLOYEES[[#This Row],[START DATE]]&gt;0,T_EMPLOYEES[[#This Row],[START DATE]]&lt;TODAY()+60),0,1))</f>
        <v/>
      </c>
      <c r="AE166">
        <f>IF(T_EMPLOYEES[[#This Row],[EMPLOYEE NUMBER]]="","",MATCH(T_EMPLOYEES[[#This Row],[GENDER]],L_GENDER,0))</f>
        <v/>
      </c>
      <c r="AF166">
        <f>IF(T_EMPLOYEES[[#This Row],[EMPLOYEE NUMBER]]="","",MATCH(T_EMPLOYEES[[#This Row],[HIRE SOURCE]],L_HIRESOURCE,0))</f>
        <v/>
      </c>
      <c r="AG166">
        <f>IF(T_EMPLOYEES[[#This Row],[EMPLOYEE NUMBER]]="","",MATCH(T_EMPLOYEES[[#This Row],[ETHNICITY]],L_ETHNICITY,0))</f>
        <v/>
      </c>
      <c r="AH166">
        <f>IF(T_EMPLOYEES[[#This Row],[EMPLOYEE NUMBER]]="","",MATCH(T_EMPLOYEES[[#This Row],[LOCATION]],L_LOCATION,0))</f>
        <v/>
      </c>
      <c r="AI166">
        <f>IF(T_EMPLOYEES[[#This Row],[EMPLOYEE NUMBER]]="","",MATCH(T_EMPLOYEES[[#This Row],[DEPARTMENT]],L_DEPARTMENT,0))</f>
        <v/>
      </c>
      <c r="AJ166">
        <f>IF(T_EMPLOYEES[[#This Row],[EMPLOYEE NUMBER]]="","",MATCH(T_EMPLOYEES[[#This Row],[JOB TYPE]],L_JOBTYPE,0))</f>
        <v/>
      </c>
      <c r="AK166">
        <f>IF(T_EMPLOYEES[[#This Row],[EMPLOYEE NUMBER]]="","",MATCH(T_EMPLOYEES[[#This Row],[JOB CATEGORY]],L_JOBCATEGORY,0))</f>
        <v/>
      </c>
      <c r="AL166">
        <f>IF(T_EMPLOYEES[[#This Row],[EMPLOYEE NUMBER]]="","",MATCH(T_EMPLOYEES[[#This Row],[JOB LEVEL]],L_JOBLEVEL,0))</f>
        <v/>
      </c>
      <c r="AM166">
        <f>IF(T_EMPLOYEES[[#This Row],[EMPLOYEE NUMBER]]="","",MATCH(T_EMPLOYEES[[#This Row],[JOB TITLE]],L_JOBTITLE,0))</f>
        <v/>
      </c>
      <c r="AN166">
        <f>IF(T_EMPLOYEES[[#This Row],[EMPLOYEE NUMBER]]="","",MATCH(T_EMPLOYEES[[#This Row],[MANAGER]],L_EMPLABELS,0))</f>
        <v/>
      </c>
      <c r="AO166">
        <f>IF(T_EMPLOYEES[[#This Row],[EMPLOYEE NUMBER]]="","",IF(T_EMPLOYEES[[#This Row],[ERROR]]="",0,1))</f>
        <v/>
      </c>
      <c r="AP16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7">
      <c r="A167" t="inlineStr">
        <is>
          <t>Irfana</t>
        </is>
      </c>
      <c r="B167" t="inlineStr">
        <is>
          <t>Anjum</t>
        </is>
      </c>
      <c r="C167" t="n">
        <v>1031857</v>
      </c>
      <c r="D167" t="inlineStr">
        <is>
          <t>Irfana.Anjum@infinite.com</t>
        </is>
      </c>
      <c r="E167" s="26" t="n">
        <v>32953</v>
      </c>
      <c r="F167" s="26" t="n">
        <v>44914</v>
      </c>
      <c r="H167" t="inlineStr">
        <is>
          <t>Female</t>
        </is>
      </c>
      <c r="I167" t="inlineStr">
        <is>
          <t>Asian</t>
        </is>
      </c>
      <c r="J167" t="inlineStr">
        <is>
          <t>WEBSITE</t>
        </is>
      </c>
      <c r="K167" t="inlineStr">
        <is>
          <t>Bangalore</t>
        </is>
      </c>
      <c r="L167" s="27" t="inlineStr">
        <is>
          <t>IT</t>
        </is>
      </c>
      <c r="M167" t="inlineStr">
        <is>
          <t>Full-Time</t>
        </is>
      </c>
      <c r="N167" t="inlineStr">
        <is>
          <t>Test Lead</t>
        </is>
      </c>
      <c r="O167" t="inlineStr">
        <is>
          <t>E4</t>
        </is>
      </c>
      <c r="P167" t="inlineStr">
        <is>
          <t>Test Lead</t>
        </is>
      </c>
      <c r="Q167" t="inlineStr">
        <is>
          <t>Srisha N (1031856)</t>
        </is>
      </c>
      <c r="R167" t="n">
        <v>5</v>
      </c>
      <c r="S167" s="1" t="n">
        <v>250000</v>
      </c>
      <c r="T167" s="1">
        <f>ROUND(T_EMPLOYEES[[#This Row],[EMP_CTC1]]/12, 0)</f>
        <v/>
      </c>
      <c r="U167" s="1" t="n">
        <v>150000</v>
      </c>
      <c r="V167" s="1" t="inlineStr">
        <is>
          <t>NH</t>
        </is>
      </c>
      <c r="W167" s="1" t="inlineStr">
        <is>
          <t>NH</t>
        </is>
      </c>
      <c r="X16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7" t="n">
        <v>60000</v>
      </c>
      <c r="Z167" s="29">
        <f>(S167 - U167)/S167 * 100</f>
        <v/>
      </c>
      <c r="AA167">
        <f>IF(T_EMPLOYEES[[#This Row],[EMPLOYEE NUMBER]]="","",ROW(T_EMPLOYEES[[#This Row],[EMPLOYEE LABEL]])-ROW(T_EMPLOYEES[[#Headers],[EMPLOYEE LABEL]]))</f>
        <v/>
      </c>
      <c r="AB167">
        <f>IF(T_EMPLOYEES[[#This Row],[EMPLOYEE NUMBER]]="","",IF(COUNTIF(T_EMPLOYEES[EMPLOYEE NUMBER],T_EMPLOYEES[[#This Row],[EMPLOYEE NUMBER]])&gt;1,1,0))</f>
        <v/>
      </c>
      <c r="AC167">
        <f>IF(T_EMPLOYEES[[#This Row],[EMPLOYEE NUMBER]]="","",IF(AND(T_EMPLOYEES[[#This Row],[DATE OF BIRTH]]&gt;0,T_EMPLOYEES[[#This Row],[DATE OF BIRTH]]&lt;TODAY()),0,1))</f>
        <v/>
      </c>
      <c r="AD167">
        <f>IF(T_EMPLOYEES[[#This Row],[EMPLOYEE NUMBER]]="","",IF(AND(T_EMPLOYEES[[#This Row],[START DATE]]&gt;0,T_EMPLOYEES[[#This Row],[START DATE]]&lt;TODAY()+60),0,1))</f>
        <v/>
      </c>
      <c r="AE167">
        <f>IF(T_EMPLOYEES[[#This Row],[EMPLOYEE NUMBER]]="","",MATCH(T_EMPLOYEES[[#This Row],[GENDER]],L_GENDER,0))</f>
        <v/>
      </c>
      <c r="AF167">
        <f>IF(T_EMPLOYEES[[#This Row],[EMPLOYEE NUMBER]]="","",MATCH(T_EMPLOYEES[[#This Row],[HIRE SOURCE]],L_HIRESOURCE,0))</f>
        <v/>
      </c>
      <c r="AG167">
        <f>IF(T_EMPLOYEES[[#This Row],[EMPLOYEE NUMBER]]="","",MATCH(T_EMPLOYEES[[#This Row],[ETHNICITY]],L_ETHNICITY,0))</f>
        <v/>
      </c>
      <c r="AH167">
        <f>IF(T_EMPLOYEES[[#This Row],[EMPLOYEE NUMBER]]="","",MATCH(T_EMPLOYEES[[#This Row],[LOCATION]],L_LOCATION,0))</f>
        <v/>
      </c>
      <c r="AI167">
        <f>IF(T_EMPLOYEES[[#This Row],[EMPLOYEE NUMBER]]="","",MATCH(T_EMPLOYEES[[#This Row],[DEPARTMENT]],L_DEPARTMENT,0))</f>
        <v/>
      </c>
      <c r="AJ167">
        <f>IF(T_EMPLOYEES[[#This Row],[EMPLOYEE NUMBER]]="","",MATCH(T_EMPLOYEES[[#This Row],[JOB TYPE]],L_JOBTYPE,0))</f>
        <v/>
      </c>
      <c r="AK167">
        <f>IF(T_EMPLOYEES[[#This Row],[EMPLOYEE NUMBER]]="","",MATCH(T_EMPLOYEES[[#This Row],[JOB CATEGORY]],L_JOBCATEGORY,0))</f>
        <v/>
      </c>
      <c r="AL167">
        <f>IF(T_EMPLOYEES[[#This Row],[EMPLOYEE NUMBER]]="","",MATCH(T_EMPLOYEES[[#This Row],[JOB LEVEL]],L_JOBLEVEL,0))</f>
        <v/>
      </c>
      <c r="AM167">
        <f>IF(T_EMPLOYEES[[#This Row],[EMPLOYEE NUMBER]]="","",MATCH(T_EMPLOYEES[[#This Row],[JOB TITLE]],L_JOBTITLE,0))</f>
        <v/>
      </c>
      <c r="AN167">
        <f>IF(T_EMPLOYEES[[#This Row],[EMPLOYEE NUMBER]]="","",MATCH(T_EMPLOYEES[[#This Row],[MANAGER]],L_EMPLABELS,0))</f>
        <v/>
      </c>
      <c r="AO167">
        <f>IF(T_EMPLOYEES[[#This Row],[EMPLOYEE NUMBER]]="","",IF(T_EMPLOYEES[[#This Row],[ERROR]]="",0,1))</f>
        <v/>
      </c>
      <c r="AP16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8">
      <c r="A168" t="inlineStr">
        <is>
          <t>Ashwitha</t>
        </is>
      </c>
      <c r="B168" t="inlineStr">
        <is>
          <t>Kumari H</t>
        </is>
      </c>
      <c r="C168" t="n">
        <v>1031863</v>
      </c>
      <c r="D168" t="inlineStr">
        <is>
          <t>Ashwitha.Kumari@infinite.com</t>
        </is>
      </c>
      <c r="E168" s="26" t="n">
        <v>33003</v>
      </c>
      <c r="F168" s="26" t="n">
        <v>44914</v>
      </c>
      <c r="H168" t="inlineStr">
        <is>
          <t>Female</t>
        </is>
      </c>
      <c r="I168" t="inlineStr">
        <is>
          <t>Asian</t>
        </is>
      </c>
      <c r="J168" t="inlineStr">
        <is>
          <t>WEBSITE</t>
        </is>
      </c>
      <c r="K168" t="inlineStr">
        <is>
          <t>Hyderabad</t>
        </is>
      </c>
      <c r="L168" s="27" t="inlineStr">
        <is>
          <t>IT</t>
        </is>
      </c>
      <c r="M168" t="inlineStr">
        <is>
          <t>Full-Time</t>
        </is>
      </c>
      <c r="N168" t="inlineStr">
        <is>
          <t>Senior Software Engineer</t>
        </is>
      </c>
      <c r="O168" t="inlineStr">
        <is>
          <t>E3</t>
        </is>
      </c>
      <c r="P168" t="inlineStr">
        <is>
          <t>Senior Software Engineer</t>
        </is>
      </c>
      <c r="Q168" t="inlineStr">
        <is>
          <t>Numan Sharieff (1031852)</t>
        </is>
      </c>
      <c r="R168" s="27" t="n">
        <v>3</v>
      </c>
      <c r="S168" s="1" t="n">
        <v>250000</v>
      </c>
      <c r="T168" s="1">
        <f>ROUND(T_EMPLOYEES[[#This Row],[EMP_CTC1]]/12, 0)</f>
        <v/>
      </c>
      <c r="U168" s="1" t="n">
        <v>150000</v>
      </c>
      <c r="V168" s="1" t="inlineStr">
        <is>
          <t>NH</t>
        </is>
      </c>
      <c r="W168" s="1" t="inlineStr">
        <is>
          <t>NH</t>
        </is>
      </c>
      <c r="X16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8" t="n">
        <v>60000</v>
      </c>
      <c r="Z168" s="29">
        <f>(S168 - U168)/S168 * 100</f>
        <v/>
      </c>
      <c r="AA168">
        <f>IF(T_EMPLOYEES[[#This Row],[EMPLOYEE NUMBER]]="","",ROW(T_EMPLOYEES[[#This Row],[EMPLOYEE LABEL]])-ROW(T_EMPLOYEES[[#Headers],[EMPLOYEE LABEL]]))</f>
        <v/>
      </c>
      <c r="AB168">
        <f>IF(T_EMPLOYEES[[#This Row],[EMPLOYEE NUMBER]]="","",IF(COUNTIF(T_EMPLOYEES[EMPLOYEE NUMBER],T_EMPLOYEES[[#This Row],[EMPLOYEE NUMBER]])&gt;1,1,0))</f>
        <v/>
      </c>
      <c r="AC168">
        <f>IF(T_EMPLOYEES[[#This Row],[EMPLOYEE NUMBER]]="","",IF(AND(T_EMPLOYEES[[#This Row],[DATE OF BIRTH]]&gt;0,T_EMPLOYEES[[#This Row],[DATE OF BIRTH]]&lt;TODAY()),0,1))</f>
        <v/>
      </c>
      <c r="AD168">
        <f>IF(T_EMPLOYEES[[#This Row],[EMPLOYEE NUMBER]]="","",IF(AND(T_EMPLOYEES[[#This Row],[START DATE]]&gt;0,T_EMPLOYEES[[#This Row],[START DATE]]&lt;TODAY()+60),0,1))</f>
        <v/>
      </c>
      <c r="AE168">
        <f>IF(T_EMPLOYEES[[#This Row],[EMPLOYEE NUMBER]]="","",MATCH(T_EMPLOYEES[[#This Row],[GENDER]],L_GENDER,0))</f>
        <v/>
      </c>
      <c r="AF168">
        <f>IF(T_EMPLOYEES[[#This Row],[EMPLOYEE NUMBER]]="","",MATCH(T_EMPLOYEES[[#This Row],[HIRE SOURCE]],L_HIRESOURCE,0))</f>
        <v/>
      </c>
      <c r="AG168">
        <f>IF(T_EMPLOYEES[[#This Row],[EMPLOYEE NUMBER]]="","",MATCH(T_EMPLOYEES[[#This Row],[ETHNICITY]],L_ETHNICITY,0))</f>
        <v/>
      </c>
      <c r="AH168">
        <f>IF(T_EMPLOYEES[[#This Row],[EMPLOYEE NUMBER]]="","",MATCH(T_EMPLOYEES[[#This Row],[LOCATION]],L_LOCATION,0))</f>
        <v/>
      </c>
      <c r="AI168">
        <f>IF(T_EMPLOYEES[[#This Row],[EMPLOYEE NUMBER]]="","",MATCH(T_EMPLOYEES[[#This Row],[DEPARTMENT]],L_DEPARTMENT,0))</f>
        <v/>
      </c>
      <c r="AJ168">
        <f>IF(T_EMPLOYEES[[#This Row],[EMPLOYEE NUMBER]]="","",MATCH(T_EMPLOYEES[[#This Row],[JOB TYPE]],L_JOBTYPE,0))</f>
        <v/>
      </c>
      <c r="AK168">
        <f>IF(T_EMPLOYEES[[#This Row],[EMPLOYEE NUMBER]]="","",MATCH(T_EMPLOYEES[[#This Row],[JOB CATEGORY]],L_JOBCATEGORY,0))</f>
        <v/>
      </c>
      <c r="AL168">
        <f>IF(T_EMPLOYEES[[#This Row],[EMPLOYEE NUMBER]]="","",MATCH(T_EMPLOYEES[[#This Row],[JOB LEVEL]],L_JOBLEVEL,0))</f>
        <v/>
      </c>
      <c r="AM168">
        <f>IF(T_EMPLOYEES[[#This Row],[EMPLOYEE NUMBER]]="","",MATCH(T_EMPLOYEES[[#This Row],[JOB TITLE]],L_JOBTITLE,0))</f>
        <v/>
      </c>
      <c r="AN168">
        <f>IF(T_EMPLOYEES[[#This Row],[EMPLOYEE NUMBER]]="","",MATCH(T_EMPLOYEES[[#This Row],[MANAGER]],L_EMPLABELS,0))</f>
        <v/>
      </c>
      <c r="AO168">
        <f>IF(T_EMPLOYEES[[#This Row],[EMPLOYEE NUMBER]]="","",IF(T_EMPLOYEES[[#This Row],[ERROR]]="",0,1))</f>
        <v/>
      </c>
      <c r="AP16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69">
      <c r="A169" t="inlineStr">
        <is>
          <t>Shaik</t>
        </is>
      </c>
      <c r="B169" t="inlineStr">
        <is>
          <t>Mastan</t>
        </is>
      </c>
      <c r="C169" t="n">
        <v>1029925</v>
      </c>
      <c r="D169" t="inlineStr">
        <is>
          <t>Shaik.Mastan@infinite.com</t>
        </is>
      </c>
      <c r="E169" s="26" t="n">
        <v>33022</v>
      </c>
      <c r="F169" s="26" t="n">
        <v>44792</v>
      </c>
      <c r="H169" t="inlineStr">
        <is>
          <t>Male</t>
        </is>
      </c>
      <c r="I169" t="inlineStr">
        <is>
          <t>Asian</t>
        </is>
      </c>
      <c r="J169" t="inlineStr">
        <is>
          <t>WEBSITE</t>
        </is>
      </c>
      <c r="K169" t="inlineStr">
        <is>
          <t>Bangalore</t>
        </is>
      </c>
      <c r="L169" s="27" t="inlineStr">
        <is>
          <t>IT</t>
        </is>
      </c>
      <c r="M169" t="inlineStr">
        <is>
          <t>Full-Time</t>
        </is>
      </c>
      <c r="N169" t="inlineStr">
        <is>
          <t>Senior Software Test Engineer</t>
        </is>
      </c>
      <c r="O169" t="inlineStr">
        <is>
          <t>E3</t>
        </is>
      </c>
      <c r="P169" t="inlineStr">
        <is>
          <t>Senior Software Test Engineer</t>
        </is>
      </c>
      <c r="Q169" t="inlineStr">
        <is>
          <t>Santhosh B K (1025129)</t>
        </is>
      </c>
      <c r="R169" t="n">
        <v>3</v>
      </c>
      <c r="S169" s="1" t="n">
        <v>250000</v>
      </c>
      <c r="T169" s="1">
        <f>ROUND(T_EMPLOYEES[[#This Row],[EMP_CTC1]]/12, 0)</f>
        <v/>
      </c>
      <c r="U169" s="1" t="n">
        <v>150000</v>
      </c>
      <c r="V169" s="1" t="inlineStr">
        <is>
          <t>NH</t>
        </is>
      </c>
      <c r="W169" s="1" t="inlineStr">
        <is>
          <t>NH</t>
        </is>
      </c>
      <c r="X16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69" t="n">
        <v>60000</v>
      </c>
      <c r="Z169" s="29">
        <f>(S169 - U169)/S169 * 100</f>
        <v/>
      </c>
      <c r="AA169">
        <f>IF(T_EMPLOYEES[[#This Row],[EMPLOYEE NUMBER]]="","",ROW(T_EMPLOYEES[[#This Row],[EMPLOYEE LABEL]])-ROW(T_EMPLOYEES[[#Headers],[EMPLOYEE LABEL]]))</f>
        <v/>
      </c>
      <c r="AB169">
        <f>IF(T_EMPLOYEES[[#This Row],[EMPLOYEE NUMBER]]="","",IF(COUNTIF(T_EMPLOYEES[EMPLOYEE NUMBER],T_EMPLOYEES[[#This Row],[EMPLOYEE NUMBER]])&gt;1,1,0))</f>
        <v/>
      </c>
      <c r="AC169">
        <f>IF(T_EMPLOYEES[[#This Row],[EMPLOYEE NUMBER]]="","",IF(AND(T_EMPLOYEES[[#This Row],[DATE OF BIRTH]]&gt;0,T_EMPLOYEES[[#This Row],[DATE OF BIRTH]]&lt;TODAY()),0,1))</f>
        <v/>
      </c>
      <c r="AD169">
        <f>IF(T_EMPLOYEES[[#This Row],[EMPLOYEE NUMBER]]="","",IF(AND(T_EMPLOYEES[[#This Row],[START DATE]]&gt;0,T_EMPLOYEES[[#This Row],[START DATE]]&lt;TODAY()+60),0,1))</f>
        <v/>
      </c>
      <c r="AE169">
        <f>IF(T_EMPLOYEES[[#This Row],[EMPLOYEE NUMBER]]="","",MATCH(T_EMPLOYEES[[#This Row],[GENDER]],L_GENDER,0))</f>
        <v/>
      </c>
      <c r="AF169">
        <f>IF(T_EMPLOYEES[[#This Row],[EMPLOYEE NUMBER]]="","",MATCH(T_EMPLOYEES[[#This Row],[HIRE SOURCE]],L_HIRESOURCE,0))</f>
        <v/>
      </c>
      <c r="AG169">
        <f>IF(T_EMPLOYEES[[#This Row],[EMPLOYEE NUMBER]]="","",MATCH(T_EMPLOYEES[[#This Row],[ETHNICITY]],L_ETHNICITY,0))</f>
        <v/>
      </c>
      <c r="AH169">
        <f>IF(T_EMPLOYEES[[#This Row],[EMPLOYEE NUMBER]]="","",MATCH(T_EMPLOYEES[[#This Row],[LOCATION]],L_LOCATION,0))</f>
        <v/>
      </c>
      <c r="AI169">
        <f>IF(T_EMPLOYEES[[#This Row],[EMPLOYEE NUMBER]]="","",MATCH(T_EMPLOYEES[[#This Row],[DEPARTMENT]],L_DEPARTMENT,0))</f>
        <v/>
      </c>
      <c r="AJ169">
        <f>IF(T_EMPLOYEES[[#This Row],[EMPLOYEE NUMBER]]="","",MATCH(T_EMPLOYEES[[#This Row],[JOB TYPE]],L_JOBTYPE,0))</f>
        <v/>
      </c>
      <c r="AK169">
        <f>IF(T_EMPLOYEES[[#This Row],[EMPLOYEE NUMBER]]="","",MATCH(T_EMPLOYEES[[#This Row],[JOB CATEGORY]],L_JOBCATEGORY,0))</f>
        <v/>
      </c>
      <c r="AL169">
        <f>IF(T_EMPLOYEES[[#This Row],[EMPLOYEE NUMBER]]="","",MATCH(T_EMPLOYEES[[#This Row],[JOB LEVEL]],L_JOBLEVEL,0))</f>
        <v/>
      </c>
      <c r="AM169">
        <f>IF(T_EMPLOYEES[[#This Row],[EMPLOYEE NUMBER]]="","",MATCH(T_EMPLOYEES[[#This Row],[JOB TITLE]],L_JOBTITLE,0))</f>
        <v/>
      </c>
      <c r="AN169">
        <f>IF(T_EMPLOYEES[[#This Row],[EMPLOYEE NUMBER]]="","",MATCH(T_EMPLOYEES[[#This Row],[MANAGER]],L_EMPLABELS,0))</f>
        <v/>
      </c>
      <c r="AO169">
        <f>IF(T_EMPLOYEES[[#This Row],[EMPLOYEE NUMBER]]="","",IF(T_EMPLOYEES[[#This Row],[ERROR]]="",0,1))</f>
        <v/>
      </c>
      <c r="AP16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0">
      <c r="A170" t="inlineStr">
        <is>
          <t>Shashi</t>
        </is>
      </c>
      <c r="B170" t="inlineStr">
        <is>
          <t>Kumar D</t>
        </is>
      </c>
      <c r="C170" t="n">
        <v>1028007</v>
      </c>
      <c r="D170" t="inlineStr">
        <is>
          <t>Shashi.Kumar@infinite.com</t>
        </is>
      </c>
      <c r="E170" s="26" t="n">
        <v>34277</v>
      </c>
      <c r="F170" s="26" t="n">
        <v>44573</v>
      </c>
      <c r="H170" t="inlineStr">
        <is>
          <t>Male</t>
        </is>
      </c>
      <c r="I170" t="inlineStr">
        <is>
          <t>Asian</t>
        </is>
      </c>
      <c r="J170" t="inlineStr">
        <is>
          <t>WEBSITE</t>
        </is>
      </c>
      <c r="K170" t="inlineStr">
        <is>
          <t>Bangalore</t>
        </is>
      </c>
      <c r="L170" s="27" t="inlineStr">
        <is>
          <t>Informatica</t>
        </is>
      </c>
      <c r="M170" t="inlineStr">
        <is>
          <t>Full-Time</t>
        </is>
      </c>
      <c r="N170" t="inlineStr">
        <is>
          <t>Technical Lead</t>
        </is>
      </c>
      <c r="O170" t="inlineStr">
        <is>
          <t>E4</t>
        </is>
      </c>
      <c r="P170" t="inlineStr">
        <is>
          <t>Technical Lead</t>
        </is>
      </c>
      <c r="Q170" t="inlineStr">
        <is>
          <t>Kishore Kumar N (1019765)</t>
        </is>
      </c>
      <c r="R170" s="27" t="n">
        <v>5</v>
      </c>
      <c r="S170" s="1" t="n">
        <v>250000</v>
      </c>
      <c r="T170" s="1">
        <f>ROUND(T_EMPLOYEES[[#This Row],[EMP_CTC1]]/12, 0)</f>
        <v/>
      </c>
      <c r="U170" s="1" t="n">
        <v>150000</v>
      </c>
      <c r="V170" s="1" t="inlineStr">
        <is>
          <t>NH</t>
        </is>
      </c>
      <c r="W170" s="1" t="inlineStr">
        <is>
          <t>NH</t>
        </is>
      </c>
      <c r="X17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0" t="n">
        <v>60000</v>
      </c>
      <c r="Z170" s="29">
        <f>(S170 - U170)/S170 * 100</f>
        <v/>
      </c>
      <c r="AA170">
        <f>IF(T_EMPLOYEES[[#This Row],[EMPLOYEE NUMBER]]="","",ROW(T_EMPLOYEES[[#This Row],[EMPLOYEE LABEL]])-ROW(T_EMPLOYEES[[#Headers],[EMPLOYEE LABEL]]))</f>
        <v/>
      </c>
      <c r="AB170">
        <f>IF(T_EMPLOYEES[[#This Row],[EMPLOYEE NUMBER]]="","",IF(COUNTIF(T_EMPLOYEES[EMPLOYEE NUMBER],T_EMPLOYEES[[#This Row],[EMPLOYEE NUMBER]])&gt;1,1,0))</f>
        <v/>
      </c>
      <c r="AC170">
        <f>IF(T_EMPLOYEES[[#This Row],[EMPLOYEE NUMBER]]="","",IF(AND(T_EMPLOYEES[[#This Row],[DATE OF BIRTH]]&gt;0,T_EMPLOYEES[[#This Row],[DATE OF BIRTH]]&lt;TODAY()),0,1))</f>
        <v/>
      </c>
      <c r="AD170">
        <f>IF(T_EMPLOYEES[[#This Row],[EMPLOYEE NUMBER]]="","",IF(AND(T_EMPLOYEES[[#This Row],[START DATE]]&gt;0,T_EMPLOYEES[[#This Row],[START DATE]]&lt;TODAY()+60),0,1))</f>
        <v/>
      </c>
      <c r="AE170">
        <f>IF(T_EMPLOYEES[[#This Row],[EMPLOYEE NUMBER]]="","",MATCH(T_EMPLOYEES[[#This Row],[GENDER]],L_GENDER,0))</f>
        <v/>
      </c>
      <c r="AF170">
        <f>IF(T_EMPLOYEES[[#This Row],[EMPLOYEE NUMBER]]="","",MATCH(T_EMPLOYEES[[#This Row],[HIRE SOURCE]],L_HIRESOURCE,0))</f>
        <v/>
      </c>
      <c r="AG170">
        <f>IF(T_EMPLOYEES[[#This Row],[EMPLOYEE NUMBER]]="","",MATCH(T_EMPLOYEES[[#This Row],[ETHNICITY]],L_ETHNICITY,0))</f>
        <v/>
      </c>
      <c r="AH170">
        <f>IF(T_EMPLOYEES[[#This Row],[EMPLOYEE NUMBER]]="","",MATCH(T_EMPLOYEES[[#This Row],[LOCATION]],L_LOCATION,0))</f>
        <v/>
      </c>
      <c r="AI170">
        <f>IF(T_EMPLOYEES[[#This Row],[EMPLOYEE NUMBER]]="","",MATCH(T_EMPLOYEES[[#This Row],[DEPARTMENT]],L_DEPARTMENT,0))</f>
        <v/>
      </c>
      <c r="AJ170">
        <f>IF(T_EMPLOYEES[[#This Row],[EMPLOYEE NUMBER]]="","",MATCH(T_EMPLOYEES[[#This Row],[JOB TYPE]],L_JOBTYPE,0))</f>
        <v/>
      </c>
      <c r="AK170">
        <f>IF(T_EMPLOYEES[[#This Row],[EMPLOYEE NUMBER]]="","",MATCH(T_EMPLOYEES[[#This Row],[JOB CATEGORY]],L_JOBCATEGORY,0))</f>
        <v/>
      </c>
      <c r="AL170">
        <f>IF(T_EMPLOYEES[[#This Row],[EMPLOYEE NUMBER]]="","",MATCH(T_EMPLOYEES[[#This Row],[JOB LEVEL]],L_JOBLEVEL,0))</f>
        <v/>
      </c>
      <c r="AM170">
        <f>IF(T_EMPLOYEES[[#This Row],[EMPLOYEE NUMBER]]="","",MATCH(T_EMPLOYEES[[#This Row],[JOB TITLE]],L_JOBTITLE,0))</f>
        <v/>
      </c>
      <c r="AN170">
        <f>IF(T_EMPLOYEES[[#This Row],[EMPLOYEE NUMBER]]="","",MATCH(T_EMPLOYEES[[#This Row],[MANAGER]],L_EMPLABELS,0))</f>
        <v/>
      </c>
      <c r="AO170">
        <f>IF(T_EMPLOYEES[[#This Row],[EMPLOYEE NUMBER]]="","",IF(T_EMPLOYEES[[#This Row],[ERROR]]="",0,1))</f>
        <v/>
      </c>
      <c r="AP17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1">
      <c r="A171" t="inlineStr">
        <is>
          <t>Parameshwar</t>
        </is>
      </c>
      <c r="C171" t="n">
        <v>1029181</v>
      </c>
      <c r="D171" t="inlineStr">
        <is>
          <t>Parameshwar.Hede@infinite.com</t>
        </is>
      </c>
      <c r="E171" s="26" t="n">
        <v>33032</v>
      </c>
      <c r="F171" s="26" t="n">
        <v>44713</v>
      </c>
      <c r="H171" t="inlineStr">
        <is>
          <t>Male</t>
        </is>
      </c>
      <c r="I171" t="inlineStr">
        <is>
          <t>Asian</t>
        </is>
      </c>
      <c r="J171" t="inlineStr">
        <is>
          <t>WEBSITE</t>
        </is>
      </c>
      <c r="K171" t="inlineStr">
        <is>
          <t>Hyderabad</t>
        </is>
      </c>
      <c r="L171" s="27" t="inlineStr">
        <is>
          <t>IT</t>
        </is>
      </c>
      <c r="M171" t="inlineStr">
        <is>
          <t>Full-Time</t>
        </is>
      </c>
      <c r="N171" t="inlineStr">
        <is>
          <t>Senior Software Engineer</t>
        </is>
      </c>
      <c r="O171" t="inlineStr">
        <is>
          <t>E3</t>
        </is>
      </c>
      <c r="P171" t="inlineStr">
        <is>
          <t>Senior Software Engineer</t>
        </is>
      </c>
      <c r="Q171" t="inlineStr">
        <is>
          <t>Sunitha Panguluri (1031865)</t>
        </is>
      </c>
      <c r="R171" t="n">
        <v>3</v>
      </c>
      <c r="S171" s="1" t="n">
        <v>250000</v>
      </c>
      <c r="T171" s="1">
        <f>ROUND(T_EMPLOYEES[[#This Row],[EMP_CTC1]]/12, 0)</f>
        <v/>
      </c>
      <c r="U171" s="1" t="n">
        <v>150000</v>
      </c>
      <c r="V171" s="1" t="inlineStr">
        <is>
          <t>NH</t>
        </is>
      </c>
      <c r="W171" s="1" t="inlineStr">
        <is>
          <t>NH</t>
        </is>
      </c>
      <c r="X17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1" t="n">
        <v>60000</v>
      </c>
      <c r="Z171" s="29">
        <f>(S171 - U171)/S171 * 100</f>
        <v/>
      </c>
      <c r="AA171">
        <f>IF(T_EMPLOYEES[[#This Row],[EMPLOYEE NUMBER]]="","",ROW(T_EMPLOYEES[[#This Row],[EMPLOYEE LABEL]])-ROW(T_EMPLOYEES[[#Headers],[EMPLOYEE LABEL]]))</f>
        <v/>
      </c>
      <c r="AB171">
        <f>IF(T_EMPLOYEES[[#This Row],[EMPLOYEE NUMBER]]="","",IF(COUNTIF(T_EMPLOYEES[EMPLOYEE NUMBER],T_EMPLOYEES[[#This Row],[EMPLOYEE NUMBER]])&gt;1,1,0))</f>
        <v/>
      </c>
      <c r="AC171">
        <f>IF(T_EMPLOYEES[[#This Row],[EMPLOYEE NUMBER]]="","",IF(AND(T_EMPLOYEES[[#This Row],[DATE OF BIRTH]]&gt;0,T_EMPLOYEES[[#This Row],[DATE OF BIRTH]]&lt;TODAY()),0,1))</f>
        <v/>
      </c>
      <c r="AD171">
        <f>IF(T_EMPLOYEES[[#This Row],[EMPLOYEE NUMBER]]="","",IF(AND(T_EMPLOYEES[[#This Row],[START DATE]]&gt;0,T_EMPLOYEES[[#This Row],[START DATE]]&lt;TODAY()+60),0,1))</f>
        <v/>
      </c>
      <c r="AE171">
        <f>IF(T_EMPLOYEES[[#This Row],[EMPLOYEE NUMBER]]="","",MATCH(T_EMPLOYEES[[#This Row],[GENDER]],L_GENDER,0))</f>
        <v/>
      </c>
      <c r="AF171">
        <f>IF(T_EMPLOYEES[[#This Row],[EMPLOYEE NUMBER]]="","",MATCH(T_EMPLOYEES[[#This Row],[HIRE SOURCE]],L_HIRESOURCE,0))</f>
        <v/>
      </c>
      <c r="AG171">
        <f>IF(T_EMPLOYEES[[#This Row],[EMPLOYEE NUMBER]]="","",MATCH(T_EMPLOYEES[[#This Row],[ETHNICITY]],L_ETHNICITY,0))</f>
        <v/>
      </c>
      <c r="AH171">
        <f>IF(T_EMPLOYEES[[#This Row],[EMPLOYEE NUMBER]]="","",MATCH(T_EMPLOYEES[[#This Row],[LOCATION]],L_LOCATION,0))</f>
        <v/>
      </c>
      <c r="AI171">
        <f>IF(T_EMPLOYEES[[#This Row],[EMPLOYEE NUMBER]]="","",MATCH(T_EMPLOYEES[[#This Row],[DEPARTMENT]],L_DEPARTMENT,0))</f>
        <v/>
      </c>
      <c r="AJ171">
        <f>IF(T_EMPLOYEES[[#This Row],[EMPLOYEE NUMBER]]="","",MATCH(T_EMPLOYEES[[#This Row],[JOB TYPE]],L_JOBTYPE,0))</f>
        <v/>
      </c>
      <c r="AK171">
        <f>IF(T_EMPLOYEES[[#This Row],[EMPLOYEE NUMBER]]="","",MATCH(T_EMPLOYEES[[#This Row],[JOB CATEGORY]],L_JOBCATEGORY,0))</f>
        <v/>
      </c>
      <c r="AL171">
        <f>IF(T_EMPLOYEES[[#This Row],[EMPLOYEE NUMBER]]="","",MATCH(T_EMPLOYEES[[#This Row],[JOB LEVEL]],L_JOBLEVEL,0))</f>
        <v/>
      </c>
      <c r="AM171">
        <f>IF(T_EMPLOYEES[[#This Row],[EMPLOYEE NUMBER]]="","",MATCH(T_EMPLOYEES[[#This Row],[JOB TITLE]],L_JOBTITLE,0))</f>
        <v/>
      </c>
      <c r="AN171">
        <f>IF(T_EMPLOYEES[[#This Row],[EMPLOYEE NUMBER]]="","",MATCH(T_EMPLOYEES[[#This Row],[MANAGER]],L_EMPLABELS,0))</f>
        <v/>
      </c>
      <c r="AO171">
        <f>IF(T_EMPLOYEES[[#This Row],[EMPLOYEE NUMBER]]="","",IF(T_EMPLOYEES[[#This Row],[ERROR]]="",0,1))</f>
        <v/>
      </c>
      <c r="AP17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2">
      <c r="A172" t="inlineStr">
        <is>
          <t>Balabadruni</t>
        </is>
      </c>
      <c r="B172" t="inlineStr">
        <is>
          <t xml:space="preserve"> Asrita</t>
        </is>
      </c>
      <c r="C172" t="n">
        <v>1028321</v>
      </c>
      <c r="D172" t="inlineStr">
        <is>
          <t>Asrita.Balabadruni@infinite.com</t>
        </is>
      </c>
      <c r="E172" s="26" t="n">
        <v>33033</v>
      </c>
      <c r="F172" s="26" t="n">
        <v>44603</v>
      </c>
      <c r="H172" t="inlineStr">
        <is>
          <t>Female</t>
        </is>
      </c>
      <c r="I172" t="inlineStr">
        <is>
          <t>Asian</t>
        </is>
      </c>
      <c r="J172" t="inlineStr">
        <is>
          <t>WEBSITE</t>
        </is>
      </c>
      <c r="K172" t="inlineStr">
        <is>
          <t>Bangalore</t>
        </is>
      </c>
      <c r="L172" s="27" t="inlineStr">
        <is>
          <t>Core</t>
        </is>
      </c>
      <c r="M172" t="inlineStr">
        <is>
          <t>Full-Time</t>
        </is>
      </c>
      <c r="N172" t="inlineStr">
        <is>
          <t>Senior Software Engineer</t>
        </is>
      </c>
      <c r="O172" t="inlineStr">
        <is>
          <t>E3</t>
        </is>
      </c>
      <c r="P172" t="inlineStr">
        <is>
          <t>Senior Software Engineer</t>
        </is>
      </c>
      <c r="Q172" t="inlineStr">
        <is>
          <t>Anil Kumar Khamari (1013201)</t>
        </is>
      </c>
      <c r="R172" s="27" t="n">
        <v>3</v>
      </c>
      <c r="S172" s="1" t="n">
        <v>250000</v>
      </c>
      <c r="T172" s="1">
        <f>ROUND(T_EMPLOYEES[[#This Row],[EMP_CTC1]]/12, 0)</f>
        <v/>
      </c>
      <c r="U172" s="1" t="n">
        <v>150000</v>
      </c>
      <c r="V172" s="1" t="inlineStr">
        <is>
          <t>NH</t>
        </is>
      </c>
      <c r="W172" s="1" t="inlineStr">
        <is>
          <t>NH</t>
        </is>
      </c>
      <c r="X17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2" t="n">
        <v>60000</v>
      </c>
      <c r="Z172" s="29">
        <f>(S172 - U172)/S172 * 100</f>
        <v/>
      </c>
      <c r="AA172">
        <f>IF(T_EMPLOYEES[[#This Row],[EMPLOYEE NUMBER]]="","",ROW(T_EMPLOYEES[[#This Row],[EMPLOYEE LABEL]])-ROW(T_EMPLOYEES[[#Headers],[EMPLOYEE LABEL]]))</f>
        <v/>
      </c>
      <c r="AB172">
        <f>IF(T_EMPLOYEES[[#This Row],[EMPLOYEE NUMBER]]="","",IF(COUNTIF(T_EMPLOYEES[EMPLOYEE NUMBER],T_EMPLOYEES[[#This Row],[EMPLOYEE NUMBER]])&gt;1,1,0))</f>
        <v/>
      </c>
      <c r="AC172">
        <f>IF(T_EMPLOYEES[[#This Row],[EMPLOYEE NUMBER]]="","",IF(AND(T_EMPLOYEES[[#This Row],[DATE OF BIRTH]]&gt;0,T_EMPLOYEES[[#This Row],[DATE OF BIRTH]]&lt;TODAY()),0,1))</f>
        <v/>
      </c>
      <c r="AD172">
        <f>IF(T_EMPLOYEES[[#This Row],[EMPLOYEE NUMBER]]="","",IF(AND(T_EMPLOYEES[[#This Row],[START DATE]]&gt;0,T_EMPLOYEES[[#This Row],[START DATE]]&lt;TODAY()+60),0,1))</f>
        <v/>
      </c>
      <c r="AE172">
        <f>IF(T_EMPLOYEES[[#This Row],[EMPLOYEE NUMBER]]="","",MATCH(T_EMPLOYEES[[#This Row],[GENDER]],L_GENDER,0))</f>
        <v/>
      </c>
      <c r="AF172">
        <f>IF(T_EMPLOYEES[[#This Row],[EMPLOYEE NUMBER]]="","",MATCH(T_EMPLOYEES[[#This Row],[HIRE SOURCE]],L_HIRESOURCE,0))</f>
        <v/>
      </c>
      <c r="AG172">
        <f>IF(T_EMPLOYEES[[#This Row],[EMPLOYEE NUMBER]]="","",MATCH(T_EMPLOYEES[[#This Row],[ETHNICITY]],L_ETHNICITY,0))</f>
        <v/>
      </c>
      <c r="AH172">
        <f>IF(T_EMPLOYEES[[#This Row],[EMPLOYEE NUMBER]]="","",MATCH(T_EMPLOYEES[[#This Row],[LOCATION]],L_LOCATION,0))</f>
        <v/>
      </c>
      <c r="AI172">
        <f>IF(T_EMPLOYEES[[#This Row],[EMPLOYEE NUMBER]]="","",MATCH(T_EMPLOYEES[[#This Row],[DEPARTMENT]],L_DEPARTMENT,0))</f>
        <v/>
      </c>
      <c r="AJ172">
        <f>IF(T_EMPLOYEES[[#This Row],[EMPLOYEE NUMBER]]="","",MATCH(T_EMPLOYEES[[#This Row],[JOB TYPE]],L_JOBTYPE,0))</f>
        <v/>
      </c>
      <c r="AK172">
        <f>IF(T_EMPLOYEES[[#This Row],[EMPLOYEE NUMBER]]="","",MATCH(T_EMPLOYEES[[#This Row],[JOB CATEGORY]],L_JOBCATEGORY,0))</f>
        <v/>
      </c>
      <c r="AL172">
        <f>IF(T_EMPLOYEES[[#This Row],[EMPLOYEE NUMBER]]="","",MATCH(T_EMPLOYEES[[#This Row],[JOB LEVEL]],L_JOBLEVEL,0))</f>
        <v/>
      </c>
      <c r="AM172">
        <f>IF(T_EMPLOYEES[[#This Row],[EMPLOYEE NUMBER]]="","",MATCH(T_EMPLOYEES[[#This Row],[JOB TITLE]],L_JOBTITLE,0))</f>
        <v/>
      </c>
      <c r="AN172">
        <f>IF(T_EMPLOYEES[[#This Row],[EMPLOYEE NUMBER]]="","",MATCH(T_EMPLOYEES[[#This Row],[MANAGER]],L_EMPLABELS,0))</f>
        <v/>
      </c>
      <c r="AO172">
        <f>IF(T_EMPLOYEES[[#This Row],[EMPLOYEE NUMBER]]="","",IF(T_EMPLOYEES[[#This Row],[ERROR]]="",0,1))</f>
        <v/>
      </c>
      <c r="AP17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3">
      <c r="A173" t="inlineStr">
        <is>
          <t>Samaleti</t>
        </is>
      </c>
      <c r="B173" t="inlineStr">
        <is>
          <t xml:space="preserve"> Srikanth</t>
        </is>
      </c>
      <c r="C173" t="n">
        <v>1033992</v>
      </c>
      <c r="D173" t="inlineStr">
        <is>
          <t>Srikanth.Samaleti@infinite.com</t>
        </is>
      </c>
      <c r="E173" s="26" t="n">
        <v>30657</v>
      </c>
      <c r="F173" s="26" t="n">
        <v>45264</v>
      </c>
      <c r="H173" t="inlineStr">
        <is>
          <t>Male</t>
        </is>
      </c>
      <c r="I173" t="inlineStr">
        <is>
          <t>Asian</t>
        </is>
      </c>
      <c r="J173" t="inlineStr">
        <is>
          <t>WEBSITE</t>
        </is>
      </c>
      <c r="K173" t="inlineStr">
        <is>
          <t>Bangalore</t>
        </is>
      </c>
      <c r="L173" s="27" t="inlineStr">
        <is>
          <t>Core</t>
        </is>
      </c>
      <c r="M173" t="inlineStr">
        <is>
          <t>Full-Time</t>
        </is>
      </c>
      <c r="N173" t="inlineStr">
        <is>
          <t>Technical Lead</t>
        </is>
      </c>
      <c r="O173" t="inlineStr">
        <is>
          <t>E4</t>
        </is>
      </c>
      <c r="P173" t="inlineStr">
        <is>
          <t>Technical Lead</t>
        </is>
      </c>
      <c r="Q173" t="inlineStr">
        <is>
          <t>Kishore Kumar N (1019765)</t>
        </is>
      </c>
      <c r="R173" t="n">
        <v>5</v>
      </c>
      <c r="S173" s="1" t="n">
        <v>250000</v>
      </c>
      <c r="T173" s="1">
        <f>ROUND(T_EMPLOYEES[[#This Row],[EMP_CTC1]]/12, 0)</f>
        <v/>
      </c>
      <c r="U173" s="1" t="n">
        <v>150000</v>
      </c>
      <c r="V173" s="1" t="inlineStr">
        <is>
          <t>NH</t>
        </is>
      </c>
      <c r="W173" s="1" t="inlineStr">
        <is>
          <t>NH</t>
        </is>
      </c>
      <c r="X17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3" t="n">
        <v>60000</v>
      </c>
      <c r="Z173" s="29">
        <f>(S173 - U173)/S173 * 100</f>
        <v/>
      </c>
      <c r="AA173">
        <f>IF(T_EMPLOYEES[[#This Row],[EMPLOYEE NUMBER]]="","",ROW(T_EMPLOYEES[[#This Row],[EMPLOYEE LABEL]])-ROW(T_EMPLOYEES[[#Headers],[EMPLOYEE LABEL]]))</f>
        <v/>
      </c>
      <c r="AB173">
        <f>IF(T_EMPLOYEES[[#This Row],[EMPLOYEE NUMBER]]="","",IF(COUNTIF(T_EMPLOYEES[EMPLOYEE NUMBER],T_EMPLOYEES[[#This Row],[EMPLOYEE NUMBER]])&gt;1,1,0))</f>
        <v/>
      </c>
      <c r="AC173">
        <f>IF(T_EMPLOYEES[[#This Row],[EMPLOYEE NUMBER]]="","",IF(AND(T_EMPLOYEES[[#This Row],[DATE OF BIRTH]]&gt;0,T_EMPLOYEES[[#This Row],[DATE OF BIRTH]]&lt;TODAY()),0,1))</f>
        <v/>
      </c>
      <c r="AD173">
        <f>IF(T_EMPLOYEES[[#This Row],[EMPLOYEE NUMBER]]="","",IF(AND(T_EMPLOYEES[[#This Row],[START DATE]]&gt;0,T_EMPLOYEES[[#This Row],[START DATE]]&lt;TODAY()+60),0,1))</f>
        <v/>
      </c>
      <c r="AE173">
        <f>IF(T_EMPLOYEES[[#This Row],[EMPLOYEE NUMBER]]="","",MATCH(T_EMPLOYEES[[#This Row],[GENDER]],L_GENDER,0))</f>
        <v/>
      </c>
      <c r="AF173">
        <f>IF(T_EMPLOYEES[[#This Row],[EMPLOYEE NUMBER]]="","",MATCH(T_EMPLOYEES[[#This Row],[HIRE SOURCE]],L_HIRESOURCE,0))</f>
        <v/>
      </c>
      <c r="AG173">
        <f>IF(T_EMPLOYEES[[#This Row],[EMPLOYEE NUMBER]]="","",MATCH(T_EMPLOYEES[[#This Row],[ETHNICITY]],L_ETHNICITY,0))</f>
        <v/>
      </c>
      <c r="AH173">
        <f>IF(T_EMPLOYEES[[#This Row],[EMPLOYEE NUMBER]]="","",MATCH(T_EMPLOYEES[[#This Row],[LOCATION]],L_LOCATION,0))</f>
        <v/>
      </c>
      <c r="AI173">
        <f>IF(T_EMPLOYEES[[#This Row],[EMPLOYEE NUMBER]]="","",MATCH(T_EMPLOYEES[[#This Row],[DEPARTMENT]],L_DEPARTMENT,0))</f>
        <v/>
      </c>
      <c r="AJ173">
        <f>IF(T_EMPLOYEES[[#This Row],[EMPLOYEE NUMBER]]="","",MATCH(T_EMPLOYEES[[#This Row],[JOB TYPE]],L_JOBTYPE,0))</f>
        <v/>
      </c>
      <c r="AK173">
        <f>IF(T_EMPLOYEES[[#This Row],[EMPLOYEE NUMBER]]="","",MATCH(T_EMPLOYEES[[#This Row],[JOB CATEGORY]],L_JOBCATEGORY,0))</f>
        <v/>
      </c>
      <c r="AL173">
        <f>IF(T_EMPLOYEES[[#This Row],[EMPLOYEE NUMBER]]="","",MATCH(T_EMPLOYEES[[#This Row],[JOB LEVEL]],L_JOBLEVEL,0))</f>
        <v/>
      </c>
      <c r="AM173">
        <f>IF(T_EMPLOYEES[[#This Row],[EMPLOYEE NUMBER]]="","",MATCH(T_EMPLOYEES[[#This Row],[JOB TITLE]],L_JOBTITLE,0))</f>
        <v/>
      </c>
      <c r="AN173">
        <f>IF(T_EMPLOYEES[[#This Row],[EMPLOYEE NUMBER]]="","",MATCH(T_EMPLOYEES[[#This Row],[MANAGER]],L_EMPLABELS,0))</f>
        <v/>
      </c>
      <c r="AO173">
        <f>IF(T_EMPLOYEES[[#This Row],[EMPLOYEE NUMBER]]="","",IF(T_EMPLOYEES[[#This Row],[ERROR]]="",0,1))</f>
        <v/>
      </c>
      <c r="AP17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73" t="inlineStr">
        <is>
          <t>Benefit Plan</t>
        </is>
      </c>
    </row>
    <row r="174">
      <c r="A174" t="inlineStr">
        <is>
          <t>A</t>
        </is>
      </c>
      <c r="B174" t="inlineStr">
        <is>
          <t>Gopal Reddy</t>
        </is>
      </c>
      <c r="C174" t="n">
        <v>1016264</v>
      </c>
      <c r="D174" t="inlineStr">
        <is>
          <t>Gopal.Reddy@infinite.com</t>
        </is>
      </c>
      <c r="E174" s="26" t="n">
        <v>33053</v>
      </c>
      <c r="F174" s="26" t="n">
        <v>41970</v>
      </c>
      <c r="H174" t="inlineStr">
        <is>
          <t>Male</t>
        </is>
      </c>
      <c r="I174" t="inlineStr">
        <is>
          <t>Asian</t>
        </is>
      </c>
      <c r="J174" t="inlineStr">
        <is>
          <t>WEBSITE</t>
        </is>
      </c>
      <c r="K174" t="inlineStr">
        <is>
          <t>Bangalore</t>
        </is>
      </c>
      <c r="L174" s="27" t="inlineStr">
        <is>
          <t>IT</t>
        </is>
      </c>
      <c r="M174" t="inlineStr">
        <is>
          <t>Full-Time</t>
        </is>
      </c>
      <c r="N174" t="inlineStr">
        <is>
          <t>Senior Technical Lead</t>
        </is>
      </c>
      <c r="O174" t="inlineStr">
        <is>
          <t>E5</t>
        </is>
      </c>
      <c r="P174" t="inlineStr">
        <is>
          <t>Senior Technical Lead</t>
        </is>
      </c>
      <c r="Q174" t="inlineStr">
        <is>
          <t>Unnikrishnan Chellappan C (1025919)</t>
        </is>
      </c>
      <c r="R174" s="27" t="n">
        <v>7</v>
      </c>
      <c r="S174" s="1" t="n">
        <v>250000</v>
      </c>
      <c r="T174" s="1">
        <f>ROUND(T_EMPLOYEES[[#This Row],[EMP_CTC1]]/12, 0)</f>
        <v/>
      </c>
      <c r="U174" s="1" t="n">
        <v>150000</v>
      </c>
      <c r="V174" s="1" t="inlineStr">
        <is>
          <t>NH</t>
        </is>
      </c>
      <c r="W174" s="1" t="inlineStr">
        <is>
          <t>NH</t>
        </is>
      </c>
      <c r="X17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4" t="n">
        <v>60000</v>
      </c>
      <c r="Z174" s="29">
        <f>(S174 - U174)/S174 * 100</f>
        <v/>
      </c>
      <c r="AA174">
        <f>IF(T_EMPLOYEES[[#This Row],[EMPLOYEE NUMBER]]="","",ROW(T_EMPLOYEES[[#This Row],[EMPLOYEE LABEL]])-ROW(T_EMPLOYEES[[#Headers],[EMPLOYEE LABEL]]))</f>
        <v/>
      </c>
      <c r="AB174">
        <f>IF(T_EMPLOYEES[[#This Row],[EMPLOYEE NUMBER]]="","",IF(COUNTIF(T_EMPLOYEES[EMPLOYEE NUMBER],T_EMPLOYEES[[#This Row],[EMPLOYEE NUMBER]])&gt;1,1,0))</f>
        <v/>
      </c>
      <c r="AC174">
        <f>IF(T_EMPLOYEES[[#This Row],[EMPLOYEE NUMBER]]="","",IF(AND(T_EMPLOYEES[[#This Row],[DATE OF BIRTH]]&gt;0,T_EMPLOYEES[[#This Row],[DATE OF BIRTH]]&lt;TODAY()),0,1))</f>
        <v/>
      </c>
      <c r="AD174">
        <f>IF(T_EMPLOYEES[[#This Row],[EMPLOYEE NUMBER]]="","",IF(AND(T_EMPLOYEES[[#This Row],[START DATE]]&gt;0,T_EMPLOYEES[[#This Row],[START DATE]]&lt;TODAY()+60),0,1))</f>
        <v/>
      </c>
      <c r="AE174">
        <f>IF(T_EMPLOYEES[[#This Row],[EMPLOYEE NUMBER]]="","",MATCH(T_EMPLOYEES[[#This Row],[GENDER]],L_GENDER,0))</f>
        <v/>
      </c>
      <c r="AF174">
        <f>IF(T_EMPLOYEES[[#This Row],[EMPLOYEE NUMBER]]="","",MATCH(T_EMPLOYEES[[#This Row],[HIRE SOURCE]],L_HIRESOURCE,0))</f>
        <v/>
      </c>
      <c r="AG174">
        <f>IF(T_EMPLOYEES[[#This Row],[EMPLOYEE NUMBER]]="","",MATCH(T_EMPLOYEES[[#This Row],[ETHNICITY]],L_ETHNICITY,0))</f>
        <v/>
      </c>
      <c r="AH174">
        <f>IF(T_EMPLOYEES[[#This Row],[EMPLOYEE NUMBER]]="","",MATCH(T_EMPLOYEES[[#This Row],[LOCATION]],L_LOCATION,0))</f>
        <v/>
      </c>
      <c r="AI174">
        <f>IF(T_EMPLOYEES[[#This Row],[EMPLOYEE NUMBER]]="","",MATCH(T_EMPLOYEES[[#This Row],[DEPARTMENT]],L_DEPARTMENT,0))</f>
        <v/>
      </c>
      <c r="AJ174">
        <f>IF(T_EMPLOYEES[[#This Row],[EMPLOYEE NUMBER]]="","",MATCH(T_EMPLOYEES[[#This Row],[JOB TYPE]],L_JOBTYPE,0))</f>
        <v/>
      </c>
      <c r="AK174">
        <f>IF(T_EMPLOYEES[[#This Row],[EMPLOYEE NUMBER]]="","",MATCH(T_EMPLOYEES[[#This Row],[JOB CATEGORY]],L_JOBCATEGORY,0))</f>
        <v/>
      </c>
      <c r="AL174">
        <f>IF(T_EMPLOYEES[[#This Row],[EMPLOYEE NUMBER]]="","",MATCH(T_EMPLOYEES[[#This Row],[JOB LEVEL]],L_JOBLEVEL,0))</f>
        <v/>
      </c>
      <c r="AM174">
        <f>IF(T_EMPLOYEES[[#This Row],[EMPLOYEE NUMBER]]="","",MATCH(T_EMPLOYEES[[#This Row],[JOB TITLE]],L_JOBTITLE,0))</f>
        <v/>
      </c>
      <c r="AN174">
        <f>IF(T_EMPLOYEES[[#This Row],[EMPLOYEE NUMBER]]="","",MATCH(T_EMPLOYEES[[#This Row],[MANAGER]],L_EMPLABELS,0))</f>
        <v/>
      </c>
      <c r="AO174">
        <f>IF(T_EMPLOYEES[[#This Row],[EMPLOYEE NUMBER]]="","",IF(T_EMPLOYEES[[#This Row],[ERROR]]="",0,1))</f>
        <v/>
      </c>
      <c r="AP17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5">
      <c r="A175" t="inlineStr">
        <is>
          <t>LakshmiVasavi</t>
        </is>
      </c>
      <c r="B175" t="inlineStr">
        <is>
          <t>Bezavada</t>
        </is>
      </c>
      <c r="C175" t="n">
        <v>1028929</v>
      </c>
      <c r="D175" t="inlineStr">
        <is>
          <t>Lakshmivasavi.Bezavada@infinite.com</t>
        </is>
      </c>
      <c r="E175" s="26" t="n">
        <v>33055</v>
      </c>
      <c r="F175" s="26" t="n">
        <v>44676</v>
      </c>
      <c r="H175" t="inlineStr">
        <is>
          <t>Female</t>
        </is>
      </c>
      <c r="I175" t="inlineStr">
        <is>
          <t>Asian</t>
        </is>
      </c>
      <c r="J175" t="inlineStr">
        <is>
          <t>WEBSITE</t>
        </is>
      </c>
      <c r="K175" t="inlineStr">
        <is>
          <t>Hyderabad</t>
        </is>
      </c>
      <c r="L175" s="27" t="inlineStr">
        <is>
          <t>IT</t>
        </is>
      </c>
      <c r="M175" t="inlineStr">
        <is>
          <t>Full-Time</t>
        </is>
      </c>
      <c r="N175" t="inlineStr">
        <is>
          <t>Senior Software Engineer</t>
        </is>
      </c>
      <c r="O175" t="inlineStr">
        <is>
          <t>E3</t>
        </is>
      </c>
      <c r="P175" t="inlineStr">
        <is>
          <t>Senior Software Engineer</t>
        </is>
      </c>
      <c r="Q175" t="inlineStr">
        <is>
          <t>T  Muthukumar (1022795)</t>
        </is>
      </c>
      <c r="R175" t="n">
        <v>3</v>
      </c>
      <c r="S175" s="1" t="n">
        <v>250000</v>
      </c>
      <c r="T175" s="1">
        <f>ROUND(T_EMPLOYEES[[#This Row],[EMP_CTC1]]/12, 0)</f>
        <v/>
      </c>
      <c r="U175" s="1" t="n">
        <v>150000</v>
      </c>
      <c r="V175" s="1" t="inlineStr">
        <is>
          <t>NH</t>
        </is>
      </c>
      <c r="W175" s="1" t="inlineStr">
        <is>
          <t>NH Projects</t>
        </is>
      </c>
      <c r="X17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5" t="n">
        <v>60000</v>
      </c>
      <c r="Z175" s="29">
        <f>(S175 - U175)/S175 * 100</f>
        <v/>
      </c>
      <c r="AA175">
        <f>IF(T_EMPLOYEES[[#This Row],[EMPLOYEE NUMBER]]="","",ROW(T_EMPLOYEES[[#This Row],[EMPLOYEE LABEL]])-ROW(T_EMPLOYEES[[#Headers],[EMPLOYEE LABEL]]))</f>
        <v/>
      </c>
      <c r="AB175">
        <f>IF(T_EMPLOYEES[[#This Row],[EMPLOYEE NUMBER]]="","",IF(COUNTIF(T_EMPLOYEES[EMPLOYEE NUMBER],T_EMPLOYEES[[#This Row],[EMPLOYEE NUMBER]])&gt;1,1,0))</f>
        <v/>
      </c>
      <c r="AC175">
        <f>IF(T_EMPLOYEES[[#This Row],[EMPLOYEE NUMBER]]="","",IF(AND(T_EMPLOYEES[[#This Row],[DATE OF BIRTH]]&gt;0,T_EMPLOYEES[[#This Row],[DATE OF BIRTH]]&lt;TODAY()),0,1))</f>
        <v/>
      </c>
      <c r="AD175">
        <f>IF(T_EMPLOYEES[[#This Row],[EMPLOYEE NUMBER]]="","",IF(AND(T_EMPLOYEES[[#This Row],[START DATE]]&gt;0,T_EMPLOYEES[[#This Row],[START DATE]]&lt;TODAY()+60),0,1))</f>
        <v/>
      </c>
      <c r="AE175">
        <f>IF(T_EMPLOYEES[[#This Row],[EMPLOYEE NUMBER]]="","",MATCH(T_EMPLOYEES[[#This Row],[GENDER]],L_GENDER,0))</f>
        <v/>
      </c>
      <c r="AF175">
        <f>IF(T_EMPLOYEES[[#This Row],[EMPLOYEE NUMBER]]="","",MATCH(T_EMPLOYEES[[#This Row],[HIRE SOURCE]],L_HIRESOURCE,0))</f>
        <v/>
      </c>
      <c r="AG175">
        <f>IF(T_EMPLOYEES[[#This Row],[EMPLOYEE NUMBER]]="","",MATCH(T_EMPLOYEES[[#This Row],[ETHNICITY]],L_ETHNICITY,0))</f>
        <v/>
      </c>
      <c r="AH175">
        <f>IF(T_EMPLOYEES[[#This Row],[EMPLOYEE NUMBER]]="","",MATCH(T_EMPLOYEES[[#This Row],[LOCATION]],L_LOCATION,0))</f>
        <v/>
      </c>
      <c r="AI175">
        <f>IF(T_EMPLOYEES[[#This Row],[EMPLOYEE NUMBER]]="","",MATCH(T_EMPLOYEES[[#This Row],[DEPARTMENT]],L_DEPARTMENT,0))</f>
        <v/>
      </c>
      <c r="AJ175">
        <f>IF(T_EMPLOYEES[[#This Row],[EMPLOYEE NUMBER]]="","",MATCH(T_EMPLOYEES[[#This Row],[JOB TYPE]],L_JOBTYPE,0))</f>
        <v/>
      </c>
      <c r="AK175">
        <f>IF(T_EMPLOYEES[[#This Row],[EMPLOYEE NUMBER]]="","",MATCH(T_EMPLOYEES[[#This Row],[JOB CATEGORY]],L_JOBCATEGORY,0))</f>
        <v/>
      </c>
      <c r="AL175">
        <f>IF(T_EMPLOYEES[[#This Row],[EMPLOYEE NUMBER]]="","",MATCH(T_EMPLOYEES[[#This Row],[JOB LEVEL]],L_JOBLEVEL,0))</f>
        <v/>
      </c>
      <c r="AM175">
        <f>IF(T_EMPLOYEES[[#This Row],[EMPLOYEE NUMBER]]="","",MATCH(T_EMPLOYEES[[#This Row],[JOB TITLE]],L_JOBTITLE,0))</f>
        <v/>
      </c>
      <c r="AN175">
        <f>IF(T_EMPLOYEES[[#This Row],[EMPLOYEE NUMBER]]="","",MATCH(T_EMPLOYEES[[#This Row],[MANAGER]],L_EMPLABELS,0))</f>
        <v/>
      </c>
      <c r="AO175">
        <f>IF(T_EMPLOYEES[[#This Row],[EMPLOYEE NUMBER]]="","",IF(T_EMPLOYEES[[#This Row],[ERROR]]="",0,1))</f>
        <v/>
      </c>
      <c r="AP17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6">
      <c r="A176" t="inlineStr">
        <is>
          <t>Sachin</t>
        </is>
      </c>
      <c r="B176" t="inlineStr">
        <is>
          <t>S Joshi</t>
        </is>
      </c>
      <c r="C176" t="n">
        <v>1029820</v>
      </c>
      <c r="D176" t="inlineStr">
        <is>
          <t>Sachin.Joshi@infinite.com</t>
        </is>
      </c>
      <c r="E176" s="26" t="n">
        <v>33086</v>
      </c>
      <c r="F176" s="26" t="n">
        <v>44785</v>
      </c>
      <c r="H176" t="inlineStr">
        <is>
          <t>Male</t>
        </is>
      </c>
      <c r="I176" t="inlineStr">
        <is>
          <t>Asian</t>
        </is>
      </c>
      <c r="J176" t="inlineStr">
        <is>
          <t>WEBSITE</t>
        </is>
      </c>
      <c r="K176" t="inlineStr">
        <is>
          <t>Bangalore</t>
        </is>
      </c>
      <c r="L176" s="27" t="inlineStr">
        <is>
          <t>IT</t>
        </is>
      </c>
      <c r="M176" t="inlineStr">
        <is>
          <t>Full-Time</t>
        </is>
      </c>
      <c r="N176" t="inlineStr">
        <is>
          <t>Software Test Engineer</t>
        </is>
      </c>
      <c r="O176" t="inlineStr">
        <is>
          <t>E2</t>
        </is>
      </c>
      <c r="P176" t="inlineStr">
        <is>
          <t>Software Test Engineer</t>
        </is>
      </c>
      <c r="Q176" t="inlineStr">
        <is>
          <t>Someshwara Prabhu Nanje Gowda (1021418)</t>
        </is>
      </c>
      <c r="R176" s="27" t="n">
        <v>3</v>
      </c>
      <c r="S176" s="1" t="n">
        <v>250000</v>
      </c>
      <c r="T176" s="1">
        <f>ROUND(T_EMPLOYEES[[#This Row],[EMP_CTC1]]/12, 0)</f>
        <v/>
      </c>
      <c r="U176" s="1" t="n">
        <v>150000</v>
      </c>
      <c r="V176" s="1" t="inlineStr">
        <is>
          <t>NH</t>
        </is>
      </c>
      <c r="W176" s="1" t="inlineStr">
        <is>
          <t>NH</t>
        </is>
      </c>
      <c r="X17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6" t="n">
        <v>60000</v>
      </c>
      <c r="Z176" s="29">
        <f>(S176 - U176)/S176 * 100</f>
        <v/>
      </c>
      <c r="AA176">
        <f>IF(T_EMPLOYEES[[#This Row],[EMPLOYEE NUMBER]]="","",ROW(T_EMPLOYEES[[#This Row],[EMPLOYEE LABEL]])-ROW(T_EMPLOYEES[[#Headers],[EMPLOYEE LABEL]]))</f>
        <v/>
      </c>
      <c r="AB176">
        <f>IF(T_EMPLOYEES[[#This Row],[EMPLOYEE NUMBER]]="","",IF(COUNTIF(T_EMPLOYEES[EMPLOYEE NUMBER],T_EMPLOYEES[[#This Row],[EMPLOYEE NUMBER]])&gt;1,1,0))</f>
        <v/>
      </c>
      <c r="AC176">
        <f>IF(T_EMPLOYEES[[#This Row],[EMPLOYEE NUMBER]]="","",IF(AND(T_EMPLOYEES[[#This Row],[DATE OF BIRTH]]&gt;0,T_EMPLOYEES[[#This Row],[DATE OF BIRTH]]&lt;TODAY()),0,1))</f>
        <v/>
      </c>
      <c r="AD176">
        <f>IF(T_EMPLOYEES[[#This Row],[EMPLOYEE NUMBER]]="","",IF(AND(T_EMPLOYEES[[#This Row],[START DATE]]&gt;0,T_EMPLOYEES[[#This Row],[START DATE]]&lt;TODAY()+60),0,1))</f>
        <v/>
      </c>
      <c r="AE176">
        <f>IF(T_EMPLOYEES[[#This Row],[EMPLOYEE NUMBER]]="","",MATCH(T_EMPLOYEES[[#This Row],[GENDER]],L_GENDER,0))</f>
        <v/>
      </c>
      <c r="AF176">
        <f>IF(T_EMPLOYEES[[#This Row],[EMPLOYEE NUMBER]]="","",MATCH(T_EMPLOYEES[[#This Row],[HIRE SOURCE]],L_HIRESOURCE,0))</f>
        <v/>
      </c>
      <c r="AG176">
        <f>IF(T_EMPLOYEES[[#This Row],[EMPLOYEE NUMBER]]="","",MATCH(T_EMPLOYEES[[#This Row],[ETHNICITY]],L_ETHNICITY,0))</f>
        <v/>
      </c>
      <c r="AH176">
        <f>IF(T_EMPLOYEES[[#This Row],[EMPLOYEE NUMBER]]="","",MATCH(T_EMPLOYEES[[#This Row],[LOCATION]],L_LOCATION,0))</f>
        <v/>
      </c>
      <c r="AI176">
        <f>IF(T_EMPLOYEES[[#This Row],[EMPLOYEE NUMBER]]="","",MATCH(T_EMPLOYEES[[#This Row],[DEPARTMENT]],L_DEPARTMENT,0))</f>
        <v/>
      </c>
      <c r="AJ176">
        <f>IF(T_EMPLOYEES[[#This Row],[EMPLOYEE NUMBER]]="","",MATCH(T_EMPLOYEES[[#This Row],[JOB TYPE]],L_JOBTYPE,0))</f>
        <v/>
      </c>
      <c r="AK176">
        <f>IF(T_EMPLOYEES[[#This Row],[EMPLOYEE NUMBER]]="","",MATCH(T_EMPLOYEES[[#This Row],[JOB CATEGORY]],L_JOBCATEGORY,0))</f>
        <v/>
      </c>
      <c r="AL176">
        <f>IF(T_EMPLOYEES[[#This Row],[EMPLOYEE NUMBER]]="","",MATCH(T_EMPLOYEES[[#This Row],[JOB LEVEL]],L_JOBLEVEL,0))</f>
        <v/>
      </c>
      <c r="AM176">
        <f>IF(T_EMPLOYEES[[#This Row],[EMPLOYEE NUMBER]]="","",MATCH(T_EMPLOYEES[[#This Row],[JOB TITLE]],L_JOBTITLE,0))</f>
        <v/>
      </c>
      <c r="AN176">
        <f>IF(T_EMPLOYEES[[#This Row],[EMPLOYEE NUMBER]]="","",MATCH(T_EMPLOYEES[[#This Row],[MANAGER]],L_EMPLABELS,0))</f>
        <v/>
      </c>
      <c r="AO176">
        <f>IF(T_EMPLOYEES[[#This Row],[EMPLOYEE NUMBER]]="","",IF(T_EMPLOYEES[[#This Row],[ERROR]]="",0,1))</f>
        <v/>
      </c>
      <c r="AP17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7">
      <c r="A177" t="inlineStr">
        <is>
          <t>T</t>
        </is>
      </c>
      <c r="B177" t="inlineStr">
        <is>
          <t xml:space="preserve"> Swathi</t>
        </is>
      </c>
      <c r="C177" t="n">
        <v>1025177</v>
      </c>
      <c r="D177" t="inlineStr">
        <is>
          <t>Swathi.Talluri@infinite.com</t>
        </is>
      </c>
      <c r="E177" s="26" t="n">
        <v>33100</v>
      </c>
      <c r="F177" s="26" t="n">
        <v>44319</v>
      </c>
      <c r="H177" t="inlineStr">
        <is>
          <t>Female</t>
        </is>
      </c>
      <c r="I177" t="inlineStr">
        <is>
          <t>Asian</t>
        </is>
      </c>
      <c r="J177" t="inlineStr">
        <is>
          <t>WEBSITE</t>
        </is>
      </c>
      <c r="K177" t="inlineStr">
        <is>
          <t>Bangalore</t>
        </is>
      </c>
      <c r="L177" s="27" t="inlineStr">
        <is>
          <t>IT</t>
        </is>
      </c>
      <c r="M177" t="inlineStr">
        <is>
          <t>Full-Time</t>
        </is>
      </c>
      <c r="N177" t="inlineStr">
        <is>
          <t>Test Lead</t>
        </is>
      </c>
      <c r="O177" t="inlineStr">
        <is>
          <t>E4</t>
        </is>
      </c>
      <c r="P177" t="inlineStr">
        <is>
          <t>Test Lead</t>
        </is>
      </c>
      <c r="Q177" t="inlineStr">
        <is>
          <t>Arnav  Chattopadhyay (1025126)</t>
        </is>
      </c>
      <c r="R177" t="n">
        <v>5</v>
      </c>
      <c r="S177" s="1" t="n">
        <v>250000</v>
      </c>
      <c r="T177" s="1">
        <f>ROUND(T_EMPLOYEES[[#This Row],[EMP_CTC1]]/12, 0)</f>
        <v/>
      </c>
      <c r="U177" s="1" t="n">
        <v>150000</v>
      </c>
      <c r="V177" s="1" t="inlineStr">
        <is>
          <t>NH</t>
        </is>
      </c>
      <c r="W177" s="1" t="inlineStr">
        <is>
          <t>NH</t>
        </is>
      </c>
      <c r="X17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7" t="n">
        <v>60000</v>
      </c>
      <c r="Z177" s="29">
        <f>(S177 - U177)/S177 * 100</f>
        <v/>
      </c>
      <c r="AA177">
        <f>IF(T_EMPLOYEES[[#This Row],[EMPLOYEE NUMBER]]="","",ROW(T_EMPLOYEES[[#This Row],[EMPLOYEE LABEL]])-ROW(T_EMPLOYEES[[#Headers],[EMPLOYEE LABEL]]))</f>
        <v/>
      </c>
      <c r="AB177">
        <f>IF(T_EMPLOYEES[[#This Row],[EMPLOYEE NUMBER]]="","",IF(COUNTIF(T_EMPLOYEES[EMPLOYEE NUMBER],T_EMPLOYEES[[#This Row],[EMPLOYEE NUMBER]])&gt;1,1,0))</f>
        <v/>
      </c>
      <c r="AC177">
        <f>IF(T_EMPLOYEES[[#This Row],[EMPLOYEE NUMBER]]="","",IF(AND(T_EMPLOYEES[[#This Row],[DATE OF BIRTH]]&gt;0,T_EMPLOYEES[[#This Row],[DATE OF BIRTH]]&lt;TODAY()),0,1))</f>
        <v/>
      </c>
      <c r="AD177">
        <f>IF(T_EMPLOYEES[[#This Row],[EMPLOYEE NUMBER]]="","",IF(AND(T_EMPLOYEES[[#This Row],[START DATE]]&gt;0,T_EMPLOYEES[[#This Row],[START DATE]]&lt;TODAY()+60),0,1))</f>
        <v/>
      </c>
      <c r="AE177">
        <f>IF(T_EMPLOYEES[[#This Row],[EMPLOYEE NUMBER]]="","",MATCH(T_EMPLOYEES[[#This Row],[GENDER]],L_GENDER,0))</f>
        <v/>
      </c>
      <c r="AF177">
        <f>IF(T_EMPLOYEES[[#This Row],[EMPLOYEE NUMBER]]="","",MATCH(T_EMPLOYEES[[#This Row],[HIRE SOURCE]],L_HIRESOURCE,0))</f>
        <v/>
      </c>
      <c r="AG177">
        <f>IF(T_EMPLOYEES[[#This Row],[EMPLOYEE NUMBER]]="","",MATCH(T_EMPLOYEES[[#This Row],[ETHNICITY]],L_ETHNICITY,0))</f>
        <v/>
      </c>
      <c r="AH177">
        <f>IF(T_EMPLOYEES[[#This Row],[EMPLOYEE NUMBER]]="","",MATCH(T_EMPLOYEES[[#This Row],[LOCATION]],L_LOCATION,0))</f>
        <v/>
      </c>
      <c r="AI177">
        <f>IF(T_EMPLOYEES[[#This Row],[EMPLOYEE NUMBER]]="","",MATCH(T_EMPLOYEES[[#This Row],[DEPARTMENT]],L_DEPARTMENT,0))</f>
        <v/>
      </c>
      <c r="AJ177">
        <f>IF(T_EMPLOYEES[[#This Row],[EMPLOYEE NUMBER]]="","",MATCH(T_EMPLOYEES[[#This Row],[JOB TYPE]],L_JOBTYPE,0))</f>
        <v/>
      </c>
      <c r="AK177">
        <f>IF(T_EMPLOYEES[[#This Row],[EMPLOYEE NUMBER]]="","",MATCH(T_EMPLOYEES[[#This Row],[JOB CATEGORY]],L_JOBCATEGORY,0))</f>
        <v/>
      </c>
      <c r="AL177">
        <f>IF(T_EMPLOYEES[[#This Row],[EMPLOYEE NUMBER]]="","",MATCH(T_EMPLOYEES[[#This Row],[JOB LEVEL]],L_JOBLEVEL,0))</f>
        <v/>
      </c>
      <c r="AM177">
        <f>IF(T_EMPLOYEES[[#This Row],[EMPLOYEE NUMBER]]="","",MATCH(T_EMPLOYEES[[#This Row],[JOB TITLE]],L_JOBTITLE,0))</f>
        <v/>
      </c>
      <c r="AN177">
        <f>IF(T_EMPLOYEES[[#This Row],[EMPLOYEE NUMBER]]="","",MATCH(T_EMPLOYEES[[#This Row],[MANAGER]],L_EMPLABELS,0))</f>
        <v/>
      </c>
      <c r="AO177">
        <f>IF(T_EMPLOYEES[[#This Row],[EMPLOYEE NUMBER]]="","",IF(T_EMPLOYEES[[#This Row],[ERROR]]="",0,1))</f>
        <v/>
      </c>
      <c r="AP17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8">
      <c r="A178" t="inlineStr">
        <is>
          <t>Vempuluru</t>
        </is>
      </c>
      <c r="B178" t="inlineStr">
        <is>
          <t xml:space="preserve"> Chandrasekhar</t>
        </is>
      </c>
      <c r="C178" t="n">
        <v>1025043</v>
      </c>
      <c r="D178" t="inlineStr">
        <is>
          <t>Vempuluru.Chandrasekhar@infinite.com</t>
        </is>
      </c>
      <c r="E178" s="26" t="n">
        <v>31213</v>
      </c>
      <c r="F178" s="26" t="n">
        <v>44300</v>
      </c>
      <c r="H178" t="inlineStr">
        <is>
          <t>Male</t>
        </is>
      </c>
      <c r="I178" t="inlineStr">
        <is>
          <t>Asian</t>
        </is>
      </c>
      <c r="J178" t="inlineStr">
        <is>
          <t>WEBSITE</t>
        </is>
      </c>
      <c r="K178" t="inlineStr">
        <is>
          <t>Bangalore</t>
        </is>
      </c>
      <c r="L178" s="27" t="inlineStr">
        <is>
          <t>Core</t>
        </is>
      </c>
      <c r="M178" t="inlineStr">
        <is>
          <t>Full-Time</t>
        </is>
      </c>
      <c r="N178" t="inlineStr">
        <is>
          <t>Senior Technical Lead</t>
        </is>
      </c>
      <c r="O178" t="inlineStr">
        <is>
          <t>E5</t>
        </is>
      </c>
      <c r="P178" t="inlineStr">
        <is>
          <t>Senior Technical Lead</t>
        </is>
      </c>
      <c r="Q178" t="inlineStr">
        <is>
          <t>Kishore Kumar N (1019765)</t>
        </is>
      </c>
      <c r="R178" s="27" t="n">
        <v>7</v>
      </c>
      <c r="S178" s="1" t="n">
        <v>250000</v>
      </c>
      <c r="T178" s="1">
        <f>ROUND(T_EMPLOYEES[[#This Row],[EMP_CTC1]]/12, 0)</f>
        <v/>
      </c>
      <c r="U178" s="1" t="n">
        <v>150000</v>
      </c>
      <c r="V178" s="1" t="inlineStr">
        <is>
          <t>NH</t>
        </is>
      </c>
      <c r="W178" s="1" t="inlineStr">
        <is>
          <t>NH</t>
        </is>
      </c>
      <c r="X17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8" t="n">
        <v>100000</v>
      </c>
      <c r="Z178" s="29">
        <f>(S178 - U178)/S178 * 100</f>
        <v/>
      </c>
      <c r="AA178">
        <f>IF(T_EMPLOYEES[[#This Row],[EMPLOYEE NUMBER]]="","",ROW(T_EMPLOYEES[[#This Row],[EMPLOYEE LABEL]])-ROW(T_EMPLOYEES[[#Headers],[EMPLOYEE LABEL]]))</f>
        <v/>
      </c>
      <c r="AB178">
        <f>IF(T_EMPLOYEES[[#This Row],[EMPLOYEE NUMBER]]="","",IF(COUNTIF(T_EMPLOYEES[EMPLOYEE NUMBER],T_EMPLOYEES[[#This Row],[EMPLOYEE NUMBER]])&gt;1,1,0))</f>
        <v/>
      </c>
      <c r="AC178">
        <f>IF(T_EMPLOYEES[[#This Row],[EMPLOYEE NUMBER]]="","",IF(AND(T_EMPLOYEES[[#This Row],[DATE OF BIRTH]]&gt;0,T_EMPLOYEES[[#This Row],[DATE OF BIRTH]]&lt;TODAY()),0,1))</f>
        <v/>
      </c>
      <c r="AD178">
        <f>IF(T_EMPLOYEES[[#This Row],[EMPLOYEE NUMBER]]="","",IF(AND(T_EMPLOYEES[[#This Row],[START DATE]]&gt;0,T_EMPLOYEES[[#This Row],[START DATE]]&lt;TODAY()+60),0,1))</f>
        <v/>
      </c>
      <c r="AE178">
        <f>IF(T_EMPLOYEES[[#This Row],[EMPLOYEE NUMBER]]="","",MATCH(T_EMPLOYEES[[#This Row],[GENDER]],L_GENDER,0))</f>
        <v/>
      </c>
      <c r="AF178">
        <f>IF(T_EMPLOYEES[[#This Row],[EMPLOYEE NUMBER]]="","",MATCH(T_EMPLOYEES[[#This Row],[HIRE SOURCE]],L_HIRESOURCE,0))</f>
        <v/>
      </c>
      <c r="AG178">
        <f>IF(T_EMPLOYEES[[#This Row],[EMPLOYEE NUMBER]]="","",MATCH(T_EMPLOYEES[[#This Row],[ETHNICITY]],L_ETHNICITY,0))</f>
        <v/>
      </c>
      <c r="AH178">
        <f>IF(T_EMPLOYEES[[#This Row],[EMPLOYEE NUMBER]]="","",MATCH(T_EMPLOYEES[[#This Row],[LOCATION]],L_LOCATION,0))</f>
        <v/>
      </c>
      <c r="AI178">
        <f>IF(T_EMPLOYEES[[#This Row],[EMPLOYEE NUMBER]]="","",MATCH(T_EMPLOYEES[[#This Row],[DEPARTMENT]],L_DEPARTMENT,0))</f>
        <v/>
      </c>
      <c r="AJ178">
        <f>IF(T_EMPLOYEES[[#This Row],[EMPLOYEE NUMBER]]="","",MATCH(T_EMPLOYEES[[#This Row],[JOB TYPE]],L_JOBTYPE,0))</f>
        <v/>
      </c>
      <c r="AK178">
        <f>IF(T_EMPLOYEES[[#This Row],[EMPLOYEE NUMBER]]="","",MATCH(T_EMPLOYEES[[#This Row],[JOB CATEGORY]],L_JOBCATEGORY,0))</f>
        <v/>
      </c>
      <c r="AL178">
        <f>IF(T_EMPLOYEES[[#This Row],[EMPLOYEE NUMBER]]="","",MATCH(T_EMPLOYEES[[#This Row],[JOB LEVEL]],L_JOBLEVEL,0))</f>
        <v/>
      </c>
      <c r="AM178">
        <f>IF(T_EMPLOYEES[[#This Row],[EMPLOYEE NUMBER]]="","",MATCH(T_EMPLOYEES[[#This Row],[JOB TITLE]],L_JOBTITLE,0))</f>
        <v/>
      </c>
      <c r="AN178">
        <f>IF(T_EMPLOYEES[[#This Row],[EMPLOYEE NUMBER]]="","",MATCH(T_EMPLOYEES[[#This Row],[MANAGER]],L_EMPLABELS,0))</f>
        <v/>
      </c>
      <c r="AO178">
        <f>IF(T_EMPLOYEES[[#This Row],[EMPLOYEE NUMBER]]="","",IF(T_EMPLOYEES[[#This Row],[ERROR]]="",0,1))</f>
        <v/>
      </c>
      <c r="AP17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79">
      <c r="A179" t="inlineStr">
        <is>
          <t>Appalla</t>
        </is>
      </c>
      <c r="B179" t="inlineStr">
        <is>
          <t>Sasanka</t>
        </is>
      </c>
      <c r="C179" t="n">
        <v>1026054</v>
      </c>
      <c r="D179" t="inlineStr">
        <is>
          <t>Sasanka.Appalla@infinite.com</t>
        </is>
      </c>
      <c r="E179" s="26" t="n">
        <v>33111</v>
      </c>
      <c r="F179" s="26" t="n">
        <v>44417</v>
      </c>
      <c r="H179" t="inlineStr">
        <is>
          <t>Male</t>
        </is>
      </c>
      <c r="I179" t="inlineStr">
        <is>
          <t>Asian</t>
        </is>
      </c>
      <c r="J179" t="inlineStr">
        <is>
          <t>WEBSITE</t>
        </is>
      </c>
      <c r="K179" t="inlineStr">
        <is>
          <t>Hyderabad</t>
        </is>
      </c>
      <c r="L179" s="27" t="inlineStr">
        <is>
          <t>IT</t>
        </is>
      </c>
      <c r="M179" t="inlineStr">
        <is>
          <t>Full-Time</t>
        </is>
      </c>
      <c r="N179" t="inlineStr">
        <is>
          <t>Senior Software Engineer</t>
        </is>
      </c>
      <c r="O179" t="inlineStr">
        <is>
          <t>E3</t>
        </is>
      </c>
      <c r="P179" t="inlineStr">
        <is>
          <t>Senior Software Engineer</t>
        </is>
      </c>
      <c r="Q179" t="inlineStr">
        <is>
          <t>D N Rajesh (1028375)</t>
        </is>
      </c>
      <c r="R179" t="n">
        <v>3</v>
      </c>
      <c r="S179" s="1" t="n">
        <v>250000</v>
      </c>
      <c r="T179" s="1">
        <f>ROUND(T_EMPLOYEES[[#This Row],[EMP_CTC1]]/12, 0)</f>
        <v/>
      </c>
      <c r="U179" s="1" t="n">
        <v>150000</v>
      </c>
      <c r="V179" s="1" t="inlineStr">
        <is>
          <t>NH</t>
        </is>
      </c>
      <c r="W179" s="1" t="inlineStr">
        <is>
          <t>NH</t>
        </is>
      </c>
      <c r="X17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79" t="n">
        <v>100000</v>
      </c>
      <c r="Z179" s="29">
        <f>(S179 - U179)/S179 * 100</f>
        <v/>
      </c>
      <c r="AA179">
        <f>IF(T_EMPLOYEES[[#This Row],[EMPLOYEE NUMBER]]="","",ROW(T_EMPLOYEES[[#This Row],[EMPLOYEE LABEL]])-ROW(T_EMPLOYEES[[#Headers],[EMPLOYEE LABEL]]))</f>
        <v/>
      </c>
      <c r="AB179">
        <f>IF(T_EMPLOYEES[[#This Row],[EMPLOYEE NUMBER]]="","",IF(COUNTIF(T_EMPLOYEES[EMPLOYEE NUMBER],T_EMPLOYEES[[#This Row],[EMPLOYEE NUMBER]])&gt;1,1,0))</f>
        <v/>
      </c>
      <c r="AC179">
        <f>IF(T_EMPLOYEES[[#This Row],[EMPLOYEE NUMBER]]="","",IF(AND(T_EMPLOYEES[[#This Row],[DATE OF BIRTH]]&gt;0,T_EMPLOYEES[[#This Row],[DATE OF BIRTH]]&lt;TODAY()),0,1))</f>
        <v/>
      </c>
      <c r="AD179">
        <f>IF(T_EMPLOYEES[[#This Row],[EMPLOYEE NUMBER]]="","",IF(AND(T_EMPLOYEES[[#This Row],[START DATE]]&gt;0,T_EMPLOYEES[[#This Row],[START DATE]]&lt;TODAY()+60),0,1))</f>
        <v/>
      </c>
      <c r="AE179">
        <f>IF(T_EMPLOYEES[[#This Row],[EMPLOYEE NUMBER]]="","",MATCH(T_EMPLOYEES[[#This Row],[GENDER]],L_GENDER,0))</f>
        <v/>
      </c>
      <c r="AF179">
        <f>IF(T_EMPLOYEES[[#This Row],[EMPLOYEE NUMBER]]="","",MATCH(T_EMPLOYEES[[#This Row],[HIRE SOURCE]],L_HIRESOURCE,0))</f>
        <v/>
      </c>
      <c r="AG179">
        <f>IF(T_EMPLOYEES[[#This Row],[EMPLOYEE NUMBER]]="","",MATCH(T_EMPLOYEES[[#This Row],[ETHNICITY]],L_ETHNICITY,0))</f>
        <v/>
      </c>
      <c r="AH179">
        <f>IF(T_EMPLOYEES[[#This Row],[EMPLOYEE NUMBER]]="","",MATCH(T_EMPLOYEES[[#This Row],[LOCATION]],L_LOCATION,0))</f>
        <v/>
      </c>
      <c r="AI179">
        <f>IF(T_EMPLOYEES[[#This Row],[EMPLOYEE NUMBER]]="","",MATCH(T_EMPLOYEES[[#This Row],[DEPARTMENT]],L_DEPARTMENT,0))</f>
        <v/>
      </c>
      <c r="AJ179">
        <f>IF(T_EMPLOYEES[[#This Row],[EMPLOYEE NUMBER]]="","",MATCH(T_EMPLOYEES[[#This Row],[JOB TYPE]],L_JOBTYPE,0))</f>
        <v/>
      </c>
      <c r="AK179">
        <f>IF(T_EMPLOYEES[[#This Row],[EMPLOYEE NUMBER]]="","",MATCH(T_EMPLOYEES[[#This Row],[JOB CATEGORY]],L_JOBCATEGORY,0))</f>
        <v/>
      </c>
      <c r="AL179">
        <f>IF(T_EMPLOYEES[[#This Row],[EMPLOYEE NUMBER]]="","",MATCH(T_EMPLOYEES[[#This Row],[JOB LEVEL]],L_JOBLEVEL,0))</f>
        <v/>
      </c>
      <c r="AM179">
        <f>IF(T_EMPLOYEES[[#This Row],[EMPLOYEE NUMBER]]="","",MATCH(T_EMPLOYEES[[#This Row],[JOB TITLE]],L_JOBTITLE,0))</f>
        <v/>
      </c>
      <c r="AN179">
        <f>IF(T_EMPLOYEES[[#This Row],[EMPLOYEE NUMBER]]="","",MATCH(T_EMPLOYEES[[#This Row],[MANAGER]],L_EMPLABELS,0))</f>
        <v/>
      </c>
      <c r="AO179">
        <f>IF(T_EMPLOYEES[[#This Row],[EMPLOYEE NUMBER]]="","",IF(T_EMPLOYEES[[#This Row],[ERROR]]="",0,1))</f>
        <v/>
      </c>
      <c r="AP17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79" t="inlineStr">
        <is>
          <t>Claims Payment</t>
        </is>
      </c>
    </row>
    <row r="180">
      <c r="A180" t="inlineStr">
        <is>
          <t>Vikas</t>
        </is>
      </c>
      <c r="B180" t="inlineStr">
        <is>
          <t>Kokanay</t>
        </is>
      </c>
      <c r="C180" t="n">
        <v>1031873</v>
      </c>
      <c r="D180" t="inlineStr">
        <is>
          <t>Vikas.Kokanay@infinite.com</t>
        </is>
      </c>
      <c r="E180" s="26" t="n">
        <v>33117</v>
      </c>
      <c r="F180" s="26" t="n">
        <v>44914</v>
      </c>
      <c r="H180" t="inlineStr">
        <is>
          <t>Male</t>
        </is>
      </c>
      <c r="I180" t="inlineStr">
        <is>
          <t>Asian</t>
        </is>
      </c>
      <c r="J180" t="inlineStr">
        <is>
          <t>WEBSITE</t>
        </is>
      </c>
      <c r="K180" t="inlineStr">
        <is>
          <t>Hyderabad</t>
        </is>
      </c>
      <c r="L180" s="27" t="inlineStr">
        <is>
          <t>IT</t>
        </is>
      </c>
      <c r="M180" t="inlineStr">
        <is>
          <t>Full-Time</t>
        </is>
      </c>
      <c r="N180" t="inlineStr">
        <is>
          <t>Senior Lead System Engineer</t>
        </is>
      </c>
      <c r="O180" t="inlineStr">
        <is>
          <t>E5</t>
        </is>
      </c>
      <c r="P180" t="inlineStr">
        <is>
          <t>Senior Lead System Engineer</t>
        </is>
      </c>
      <c r="Q180" t="inlineStr">
        <is>
          <t>Numan Sharieff (1031852)</t>
        </is>
      </c>
      <c r="R180" s="27" t="n">
        <v>7</v>
      </c>
      <c r="S180" s="1" t="n">
        <v>250000</v>
      </c>
      <c r="T180" s="1">
        <f>ROUND(T_EMPLOYEES[[#This Row],[EMP_CTC1]]/12, 0)</f>
        <v/>
      </c>
      <c r="U180" s="1" t="n">
        <v>150000</v>
      </c>
      <c r="V180" s="1" t="inlineStr">
        <is>
          <t>NH</t>
        </is>
      </c>
      <c r="W180" s="1" t="inlineStr">
        <is>
          <t>NH</t>
        </is>
      </c>
      <c r="X18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0" t="n">
        <v>100000</v>
      </c>
      <c r="Z180" s="29">
        <f>(S180 - U180)/S180 * 100</f>
        <v/>
      </c>
      <c r="AA180">
        <f>IF(T_EMPLOYEES[[#This Row],[EMPLOYEE NUMBER]]="","",ROW(T_EMPLOYEES[[#This Row],[EMPLOYEE LABEL]])-ROW(T_EMPLOYEES[[#Headers],[EMPLOYEE LABEL]]))</f>
        <v/>
      </c>
      <c r="AB180">
        <f>IF(T_EMPLOYEES[[#This Row],[EMPLOYEE NUMBER]]="","",IF(COUNTIF(T_EMPLOYEES[EMPLOYEE NUMBER],T_EMPLOYEES[[#This Row],[EMPLOYEE NUMBER]])&gt;1,1,0))</f>
        <v/>
      </c>
      <c r="AC180">
        <f>IF(T_EMPLOYEES[[#This Row],[EMPLOYEE NUMBER]]="","",IF(AND(T_EMPLOYEES[[#This Row],[DATE OF BIRTH]]&gt;0,T_EMPLOYEES[[#This Row],[DATE OF BIRTH]]&lt;TODAY()),0,1))</f>
        <v/>
      </c>
      <c r="AD180">
        <f>IF(T_EMPLOYEES[[#This Row],[EMPLOYEE NUMBER]]="","",IF(AND(T_EMPLOYEES[[#This Row],[START DATE]]&gt;0,T_EMPLOYEES[[#This Row],[START DATE]]&lt;TODAY()+60),0,1))</f>
        <v/>
      </c>
      <c r="AE180">
        <f>IF(T_EMPLOYEES[[#This Row],[EMPLOYEE NUMBER]]="","",MATCH(T_EMPLOYEES[[#This Row],[GENDER]],L_GENDER,0))</f>
        <v/>
      </c>
      <c r="AF180">
        <f>IF(T_EMPLOYEES[[#This Row],[EMPLOYEE NUMBER]]="","",MATCH(T_EMPLOYEES[[#This Row],[HIRE SOURCE]],L_HIRESOURCE,0))</f>
        <v/>
      </c>
      <c r="AG180">
        <f>IF(T_EMPLOYEES[[#This Row],[EMPLOYEE NUMBER]]="","",MATCH(T_EMPLOYEES[[#This Row],[ETHNICITY]],L_ETHNICITY,0))</f>
        <v/>
      </c>
      <c r="AH180">
        <f>IF(T_EMPLOYEES[[#This Row],[EMPLOYEE NUMBER]]="","",MATCH(T_EMPLOYEES[[#This Row],[LOCATION]],L_LOCATION,0))</f>
        <v/>
      </c>
      <c r="AI180">
        <f>IF(T_EMPLOYEES[[#This Row],[EMPLOYEE NUMBER]]="","",MATCH(T_EMPLOYEES[[#This Row],[DEPARTMENT]],L_DEPARTMENT,0))</f>
        <v/>
      </c>
      <c r="AJ180">
        <f>IF(T_EMPLOYEES[[#This Row],[EMPLOYEE NUMBER]]="","",MATCH(T_EMPLOYEES[[#This Row],[JOB TYPE]],L_JOBTYPE,0))</f>
        <v/>
      </c>
      <c r="AK180">
        <f>IF(T_EMPLOYEES[[#This Row],[EMPLOYEE NUMBER]]="","",MATCH(T_EMPLOYEES[[#This Row],[JOB CATEGORY]],L_JOBCATEGORY,0))</f>
        <v/>
      </c>
      <c r="AL180">
        <f>IF(T_EMPLOYEES[[#This Row],[EMPLOYEE NUMBER]]="","",MATCH(T_EMPLOYEES[[#This Row],[JOB LEVEL]],L_JOBLEVEL,0))</f>
        <v/>
      </c>
      <c r="AM180">
        <f>IF(T_EMPLOYEES[[#This Row],[EMPLOYEE NUMBER]]="","",MATCH(T_EMPLOYEES[[#This Row],[JOB TITLE]],L_JOBTITLE,0))</f>
        <v/>
      </c>
      <c r="AN180">
        <f>IF(T_EMPLOYEES[[#This Row],[EMPLOYEE NUMBER]]="","",MATCH(T_EMPLOYEES[[#This Row],[MANAGER]],L_EMPLABELS,0))</f>
        <v/>
      </c>
      <c r="AO180">
        <f>IF(T_EMPLOYEES[[#This Row],[EMPLOYEE NUMBER]]="","",IF(T_EMPLOYEES[[#This Row],[ERROR]]="",0,1))</f>
        <v/>
      </c>
      <c r="AP18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1">
      <c r="A181" t="inlineStr">
        <is>
          <t>SK</t>
        </is>
      </c>
      <c r="B181" t="inlineStr">
        <is>
          <t>Nasim</t>
        </is>
      </c>
      <c r="C181" t="n">
        <v>1020016</v>
      </c>
      <c r="D181" t="inlineStr">
        <is>
          <t>Nasim.Sekh@infinite.com</t>
        </is>
      </c>
      <c r="E181" s="26" t="n">
        <v>33125</v>
      </c>
      <c r="F181" s="26" t="n">
        <v>43068</v>
      </c>
      <c r="H181" t="inlineStr">
        <is>
          <t>Male</t>
        </is>
      </c>
      <c r="I181" t="inlineStr">
        <is>
          <t>Asian</t>
        </is>
      </c>
      <c r="J181" t="inlineStr">
        <is>
          <t>WEBSITE</t>
        </is>
      </c>
      <c r="K181" t="inlineStr">
        <is>
          <t>Hyderabad</t>
        </is>
      </c>
      <c r="L181" s="27" t="inlineStr">
        <is>
          <t>IT</t>
        </is>
      </c>
      <c r="M181" t="inlineStr">
        <is>
          <t>Full-Time</t>
        </is>
      </c>
      <c r="N181" t="inlineStr">
        <is>
          <t>Senior Software Test Engineer</t>
        </is>
      </c>
      <c r="O181" t="inlineStr">
        <is>
          <t>E3</t>
        </is>
      </c>
      <c r="P181" t="inlineStr">
        <is>
          <t>Senior Software Test Engineer</t>
        </is>
      </c>
      <c r="Q181" t="inlineStr">
        <is>
          <t>Richa Sharma (1031870)</t>
        </is>
      </c>
      <c r="R181" t="n">
        <v>3</v>
      </c>
      <c r="S181" s="1" t="n">
        <v>250000</v>
      </c>
      <c r="T181" s="1">
        <f>ROUND(T_EMPLOYEES[[#This Row],[EMP_CTC1]]/12, 0)</f>
        <v/>
      </c>
      <c r="U181" s="1" t="n">
        <v>150000</v>
      </c>
      <c r="V181" s="1" t="inlineStr">
        <is>
          <t>NH</t>
        </is>
      </c>
      <c r="W181" s="1" t="inlineStr">
        <is>
          <t>NH</t>
        </is>
      </c>
      <c r="X18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1" t="n">
        <v>100000</v>
      </c>
      <c r="Z181" s="29">
        <f>(S181 - U181)/S181 * 100</f>
        <v/>
      </c>
      <c r="AA181">
        <f>IF(T_EMPLOYEES[[#This Row],[EMPLOYEE NUMBER]]="","",ROW(T_EMPLOYEES[[#This Row],[EMPLOYEE LABEL]])-ROW(T_EMPLOYEES[[#Headers],[EMPLOYEE LABEL]]))</f>
        <v/>
      </c>
      <c r="AB181">
        <f>IF(T_EMPLOYEES[[#This Row],[EMPLOYEE NUMBER]]="","",IF(COUNTIF(T_EMPLOYEES[EMPLOYEE NUMBER],T_EMPLOYEES[[#This Row],[EMPLOYEE NUMBER]])&gt;1,1,0))</f>
        <v/>
      </c>
      <c r="AC181">
        <f>IF(T_EMPLOYEES[[#This Row],[EMPLOYEE NUMBER]]="","",IF(AND(T_EMPLOYEES[[#This Row],[DATE OF BIRTH]]&gt;0,T_EMPLOYEES[[#This Row],[DATE OF BIRTH]]&lt;TODAY()),0,1))</f>
        <v/>
      </c>
      <c r="AD181">
        <f>IF(T_EMPLOYEES[[#This Row],[EMPLOYEE NUMBER]]="","",IF(AND(T_EMPLOYEES[[#This Row],[START DATE]]&gt;0,T_EMPLOYEES[[#This Row],[START DATE]]&lt;TODAY()+60),0,1))</f>
        <v/>
      </c>
      <c r="AE181">
        <f>IF(T_EMPLOYEES[[#This Row],[EMPLOYEE NUMBER]]="","",MATCH(T_EMPLOYEES[[#This Row],[GENDER]],L_GENDER,0))</f>
        <v/>
      </c>
      <c r="AF181">
        <f>IF(T_EMPLOYEES[[#This Row],[EMPLOYEE NUMBER]]="","",MATCH(T_EMPLOYEES[[#This Row],[HIRE SOURCE]],L_HIRESOURCE,0))</f>
        <v/>
      </c>
      <c r="AG181">
        <f>IF(T_EMPLOYEES[[#This Row],[EMPLOYEE NUMBER]]="","",MATCH(T_EMPLOYEES[[#This Row],[ETHNICITY]],L_ETHNICITY,0))</f>
        <v/>
      </c>
      <c r="AH181">
        <f>IF(T_EMPLOYEES[[#This Row],[EMPLOYEE NUMBER]]="","",MATCH(T_EMPLOYEES[[#This Row],[LOCATION]],L_LOCATION,0))</f>
        <v/>
      </c>
      <c r="AI181">
        <f>IF(T_EMPLOYEES[[#This Row],[EMPLOYEE NUMBER]]="","",MATCH(T_EMPLOYEES[[#This Row],[DEPARTMENT]],L_DEPARTMENT,0))</f>
        <v/>
      </c>
      <c r="AJ181">
        <f>IF(T_EMPLOYEES[[#This Row],[EMPLOYEE NUMBER]]="","",MATCH(T_EMPLOYEES[[#This Row],[JOB TYPE]],L_JOBTYPE,0))</f>
        <v/>
      </c>
      <c r="AK181">
        <f>IF(T_EMPLOYEES[[#This Row],[EMPLOYEE NUMBER]]="","",MATCH(T_EMPLOYEES[[#This Row],[JOB CATEGORY]],L_JOBCATEGORY,0))</f>
        <v/>
      </c>
      <c r="AL181">
        <f>IF(T_EMPLOYEES[[#This Row],[EMPLOYEE NUMBER]]="","",MATCH(T_EMPLOYEES[[#This Row],[JOB LEVEL]],L_JOBLEVEL,0))</f>
        <v/>
      </c>
      <c r="AM181">
        <f>IF(T_EMPLOYEES[[#This Row],[EMPLOYEE NUMBER]]="","",MATCH(T_EMPLOYEES[[#This Row],[JOB TITLE]],L_JOBTITLE,0))</f>
        <v/>
      </c>
      <c r="AN181">
        <f>IF(T_EMPLOYEES[[#This Row],[EMPLOYEE NUMBER]]="","",MATCH(T_EMPLOYEES[[#This Row],[MANAGER]],L_EMPLABELS,0))</f>
        <v/>
      </c>
      <c r="AO181">
        <f>IF(T_EMPLOYEES[[#This Row],[EMPLOYEE NUMBER]]="","",IF(T_EMPLOYEES[[#This Row],[ERROR]]="",0,1))</f>
        <v/>
      </c>
      <c r="AP18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2">
      <c r="A182" t="inlineStr">
        <is>
          <t>Richa</t>
        </is>
      </c>
      <c r="B182" t="inlineStr">
        <is>
          <t>Sharma</t>
        </is>
      </c>
      <c r="C182" t="n">
        <v>1031870</v>
      </c>
      <c r="D182" t="inlineStr">
        <is>
          <t>Richa.Sharma@infinite.com</t>
        </is>
      </c>
      <c r="E182" s="26" t="n">
        <v>33138</v>
      </c>
      <c r="F182" s="26" t="n">
        <v>44914</v>
      </c>
      <c r="H182" t="inlineStr">
        <is>
          <t>Female</t>
        </is>
      </c>
      <c r="I182" t="inlineStr">
        <is>
          <t>Asian</t>
        </is>
      </c>
      <c r="J182" t="inlineStr">
        <is>
          <t>WEBSITE</t>
        </is>
      </c>
      <c r="K182" t="inlineStr">
        <is>
          <t>Bangalore</t>
        </is>
      </c>
      <c r="L182" s="27" t="inlineStr">
        <is>
          <t>IT</t>
        </is>
      </c>
      <c r="M182" t="inlineStr">
        <is>
          <t>Full-Time</t>
        </is>
      </c>
      <c r="N182" t="inlineStr">
        <is>
          <t>Technical Manager</t>
        </is>
      </c>
      <c r="O182" t="inlineStr">
        <is>
          <t>E6</t>
        </is>
      </c>
      <c r="P182" t="inlineStr">
        <is>
          <t>Technical Manager</t>
        </is>
      </c>
      <c r="Q182" t="inlineStr">
        <is>
          <t>Srisha N (1031856)</t>
        </is>
      </c>
      <c r="R182" s="27" t="n">
        <v>7</v>
      </c>
      <c r="S182" s="1" t="n">
        <v>250000</v>
      </c>
      <c r="T182" s="1">
        <f>ROUND(T_EMPLOYEES[[#This Row],[EMP_CTC1]]/12, 0)</f>
        <v/>
      </c>
      <c r="U182" s="1" t="n">
        <v>150000</v>
      </c>
      <c r="V182" s="1" t="inlineStr">
        <is>
          <t>NH</t>
        </is>
      </c>
      <c r="W182" s="1" t="inlineStr">
        <is>
          <t>NH</t>
        </is>
      </c>
      <c r="X18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2" t="n">
        <v>100000</v>
      </c>
      <c r="Z182" s="29">
        <f>(S182 - U182)/S182 * 100</f>
        <v/>
      </c>
      <c r="AA182">
        <f>IF(T_EMPLOYEES[[#This Row],[EMPLOYEE NUMBER]]="","",ROW(T_EMPLOYEES[[#This Row],[EMPLOYEE LABEL]])-ROW(T_EMPLOYEES[[#Headers],[EMPLOYEE LABEL]]))</f>
        <v/>
      </c>
      <c r="AB182">
        <f>IF(T_EMPLOYEES[[#This Row],[EMPLOYEE NUMBER]]="","",IF(COUNTIF(T_EMPLOYEES[EMPLOYEE NUMBER],T_EMPLOYEES[[#This Row],[EMPLOYEE NUMBER]])&gt;1,1,0))</f>
        <v/>
      </c>
      <c r="AC182">
        <f>IF(T_EMPLOYEES[[#This Row],[EMPLOYEE NUMBER]]="","",IF(AND(T_EMPLOYEES[[#This Row],[DATE OF BIRTH]]&gt;0,T_EMPLOYEES[[#This Row],[DATE OF BIRTH]]&lt;TODAY()),0,1))</f>
        <v/>
      </c>
      <c r="AD182">
        <f>IF(T_EMPLOYEES[[#This Row],[EMPLOYEE NUMBER]]="","",IF(AND(T_EMPLOYEES[[#This Row],[START DATE]]&gt;0,T_EMPLOYEES[[#This Row],[START DATE]]&lt;TODAY()+60),0,1))</f>
        <v/>
      </c>
      <c r="AE182">
        <f>IF(T_EMPLOYEES[[#This Row],[EMPLOYEE NUMBER]]="","",MATCH(T_EMPLOYEES[[#This Row],[GENDER]],L_GENDER,0))</f>
        <v/>
      </c>
      <c r="AF182">
        <f>IF(T_EMPLOYEES[[#This Row],[EMPLOYEE NUMBER]]="","",MATCH(T_EMPLOYEES[[#This Row],[HIRE SOURCE]],L_HIRESOURCE,0))</f>
        <v/>
      </c>
      <c r="AG182">
        <f>IF(T_EMPLOYEES[[#This Row],[EMPLOYEE NUMBER]]="","",MATCH(T_EMPLOYEES[[#This Row],[ETHNICITY]],L_ETHNICITY,0))</f>
        <v/>
      </c>
      <c r="AH182">
        <f>IF(T_EMPLOYEES[[#This Row],[EMPLOYEE NUMBER]]="","",MATCH(T_EMPLOYEES[[#This Row],[LOCATION]],L_LOCATION,0))</f>
        <v/>
      </c>
      <c r="AI182">
        <f>IF(T_EMPLOYEES[[#This Row],[EMPLOYEE NUMBER]]="","",MATCH(T_EMPLOYEES[[#This Row],[DEPARTMENT]],L_DEPARTMENT,0))</f>
        <v/>
      </c>
      <c r="AJ182">
        <f>IF(T_EMPLOYEES[[#This Row],[EMPLOYEE NUMBER]]="","",MATCH(T_EMPLOYEES[[#This Row],[JOB TYPE]],L_JOBTYPE,0))</f>
        <v/>
      </c>
      <c r="AK182">
        <f>IF(T_EMPLOYEES[[#This Row],[EMPLOYEE NUMBER]]="","",MATCH(T_EMPLOYEES[[#This Row],[JOB CATEGORY]],L_JOBCATEGORY,0))</f>
        <v/>
      </c>
      <c r="AL182">
        <f>IF(T_EMPLOYEES[[#This Row],[EMPLOYEE NUMBER]]="","",MATCH(T_EMPLOYEES[[#This Row],[JOB LEVEL]],L_JOBLEVEL,0))</f>
        <v/>
      </c>
      <c r="AM182">
        <f>IF(T_EMPLOYEES[[#This Row],[EMPLOYEE NUMBER]]="","",MATCH(T_EMPLOYEES[[#This Row],[JOB TITLE]],L_JOBTITLE,0))</f>
        <v/>
      </c>
      <c r="AN182">
        <f>IF(T_EMPLOYEES[[#This Row],[EMPLOYEE NUMBER]]="","",MATCH(T_EMPLOYEES[[#This Row],[MANAGER]],L_EMPLABELS,0))</f>
        <v/>
      </c>
      <c r="AO182">
        <f>IF(T_EMPLOYEES[[#This Row],[EMPLOYEE NUMBER]]="","",IF(T_EMPLOYEES[[#This Row],[ERROR]]="",0,1))</f>
        <v/>
      </c>
      <c r="AP18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3">
      <c r="A183" t="inlineStr">
        <is>
          <t>Vattam</t>
        </is>
      </c>
      <c r="B183" t="inlineStr">
        <is>
          <t xml:space="preserve">Saikrishna </t>
        </is>
      </c>
      <c r="C183" t="n">
        <v>1029944</v>
      </c>
      <c r="D183" t="inlineStr">
        <is>
          <t>Saikrishna.Vattam@infinite.com</t>
        </is>
      </c>
      <c r="E183" s="26" t="n">
        <v>33144</v>
      </c>
      <c r="F183" s="26" t="n">
        <v>44795</v>
      </c>
      <c r="H183" t="inlineStr">
        <is>
          <t>Male</t>
        </is>
      </c>
      <c r="I183" t="inlineStr">
        <is>
          <t>Asian</t>
        </is>
      </c>
      <c r="J183" t="inlineStr">
        <is>
          <t>WEBSITE</t>
        </is>
      </c>
      <c r="K183" t="inlineStr">
        <is>
          <t>Bangalore</t>
        </is>
      </c>
      <c r="L183" s="27" t="inlineStr">
        <is>
          <t>Core</t>
        </is>
      </c>
      <c r="M183" t="inlineStr">
        <is>
          <t>Full-Time</t>
        </is>
      </c>
      <c r="N183" t="inlineStr">
        <is>
          <t>Senior Software Engineer</t>
        </is>
      </c>
      <c r="O183" t="inlineStr">
        <is>
          <t>E3</t>
        </is>
      </c>
      <c r="P183" t="inlineStr">
        <is>
          <t>Senior Software Engineer</t>
        </is>
      </c>
      <c r="Q183" t="inlineStr">
        <is>
          <t>Dipakbhai Motibhai Tandel (1027230)</t>
        </is>
      </c>
      <c r="R183" t="n">
        <v>3</v>
      </c>
      <c r="S183" s="1" t="n">
        <v>250000</v>
      </c>
      <c r="T183" s="1">
        <f>ROUND(T_EMPLOYEES[[#This Row],[EMP_CTC1]]/12, 0)</f>
        <v/>
      </c>
      <c r="U183" s="1" t="n">
        <v>150000</v>
      </c>
      <c r="V183" s="1" t="inlineStr">
        <is>
          <t>NH</t>
        </is>
      </c>
      <c r="W183" s="1" t="inlineStr">
        <is>
          <t>NH</t>
        </is>
      </c>
      <c r="X18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3" t="n">
        <v>100000</v>
      </c>
      <c r="Z183" s="29">
        <f>(S183 - U183)/S183 * 100</f>
        <v/>
      </c>
      <c r="AA183">
        <f>IF(T_EMPLOYEES[[#This Row],[EMPLOYEE NUMBER]]="","",ROW(T_EMPLOYEES[[#This Row],[EMPLOYEE LABEL]])-ROW(T_EMPLOYEES[[#Headers],[EMPLOYEE LABEL]]))</f>
        <v/>
      </c>
      <c r="AB183">
        <f>IF(T_EMPLOYEES[[#This Row],[EMPLOYEE NUMBER]]="","",IF(COUNTIF(T_EMPLOYEES[EMPLOYEE NUMBER],T_EMPLOYEES[[#This Row],[EMPLOYEE NUMBER]])&gt;1,1,0))</f>
        <v/>
      </c>
      <c r="AC183">
        <f>IF(T_EMPLOYEES[[#This Row],[EMPLOYEE NUMBER]]="","",IF(AND(T_EMPLOYEES[[#This Row],[DATE OF BIRTH]]&gt;0,T_EMPLOYEES[[#This Row],[DATE OF BIRTH]]&lt;TODAY()),0,1))</f>
        <v/>
      </c>
      <c r="AD183">
        <f>IF(T_EMPLOYEES[[#This Row],[EMPLOYEE NUMBER]]="","",IF(AND(T_EMPLOYEES[[#This Row],[START DATE]]&gt;0,T_EMPLOYEES[[#This Row],[START DATE]]&lt;TODAY()+60),0,1))</f>
        <v/>
      </c>
      <c r="AE183">
        <f>IF(T_EMPLOYEES[[#This Row],[EMPLOYEE NUMBER]]="","",MATCH(T_EMPLOYEES[[#This Row],[GENDER]],L_GENDER,0))</f>
        <v/>
      </c>
      <c r="AF183">
        <f>IF(T_EMPLOYEES[[#This Row],[EMPLOYEE NUMBER]]="","",MATCH(T_EMPLOYEES[[#This Row],[HIRE SOURCE]],L_HIRESOURCE,0))</f>
        <v/>
      </c>
      <c r="AG183">
        <f>IF(T_EMPLOYEES[[#This Row],[EMPLOYEE NUMBER]]="","",MATCH(T_EMPLOYEES[[#This Row],[ETHNICITY]],L_ETHNICITY,0))</f>
        <v/>
      </c>
      <c r="AH183">
        <f>IF(T_EMPLOYEES[[#This Row],[EMPLOYEE NUMBER]]="","",MATCH(T_EMPLOYEES[[#This Row],[LOCATION]],L_LOCATION,0))</f>
        <v/>
      </c>
      <c r="AI183">
        <f>IF(T_EMPLOYEES[[#This Row],[EMPLOYEE NUMBER]]="","",MATCH(T_EMPLOYEES[[#This Row],[DEPARTMENT]],L_DEPARTMENT,0))</f>
        <v/>
      </c>
      <c r="AJ183">
        <f>IF(T_EMPLOYEES[[#This Row],[EMPLOYEE NUMBER]]="","",MATCH(T_EMPLOYEES[[#This Row],[JOB TYPE]],L_JOBTYPE,0))</f>
        <v/>
      </c>
      <c r="AK183">
        <f>IF(T_EMPLOYEES[[#This Row],[EMPLOYEE NUMBER]]="","",MATCH(T_EMPLOYEES[[#This Row],[JOB CATEGORY]],L_JOBCATEGORY,0))</f>
        <v/>
      </c>
      <c r="AL183">
        <f>IF(T_EMPLOYEES[[#This Row],[EMPLOYEE NUMBER]]="","",MATCH(T_EMPLOYEES[[#This Row],[JOB LEVEL]],L_JOBLEVEL,0))</f>
        <v/>
      </c>
      <c r="AM183">
        <f>IF(T_EMPLOYEES[[#This Row],[EMPLOYEE NUMBER]]="","",MATCH(T_EMPLOYEES[[#This Row],[JOB TITLE]],L_JOBTITLE,0))</f>
        <v/>
      </c>
      <c r="AN183">
        <f>IF(T_EMPLOYEES[[#This Row],[EMPLOYEE NUMBER]]="","",MATCH(T_EMPLOYEES[[#This Row],[MANAGER]],L_EMPLABELS,0))</f>
        <v/>
      </c>
      <c r="AO183">
        <f>IF(T_EMPLOYEES[[#This Row],[EMPLOYEE NUMBER]]="","",IF(T_EMPLOYEES[[#This Row],[ERROR]]="",0,1))</f>
        <v/>
      </c>
      <c r="AP18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4">
      <c r="A184" t="inlineStr">
        <is>
          <t>Swati</t>
        </is>
      </c>
      <c r="B184" t="inlineStr">
        <is>
          <t>Sharma</t>
        </is>
      </c>
      <c r="C184" t="n">
        <v>1031869</v>
      </c>
      <c r="D184" t="inlineStr">
        <is>
          <t>Swati.Sharma@infinite.com</t>
        </is>
      </c>
      <c r="E184" s="26" t="n">
        <v>33150</v>
      </c>
      <c r="F184" s="26" t="n">
        <v>44914</v>
      </c>
      <c r="H184" t="inlineStr">
        <is>
          <t>Female</t>
        </is>
      </c>
      <c r="I184" t="inlineStr">
        <is>
          <t>Asian</t>
        </is>
      </c>
      <c r="J184" t="inlineStr">
        <is>
          <t>WEBSITE</t>
        </is>
      </c>
      <c r="K184" t="inlineStr">
        <is>
          <t>Bangalore</t>
        </is>
      </c>
      <c r="L184" s="27" t="inlineStr">
        <is>
          <t>IT</t>
        </is>
      </c>
      <c r="M184" t="inlineStr">
        <is>
          <t>Full-Time</t>
        </is>
      </c>
      <c r="N184" t="inlineStr">
        <is>
          <t>Technical Lead</t>
        </is>
      </c>
      <c r="O184" t="inlineStr">
        <is>
          <t>E4</t>
        </is>
      </c>
      <c r="P184" t="inlineStr">
        <is>
          <t>Technical Lead</t>
        </is>
      </c>
      <c r="Q184" t="inlineStr">
        <is>
          <t>Srisha N (1031856)</t>
        </is>
      </c>
      <c r="R184" s="27" t="n">
        <v>5</v>
      </c>
      <c r="S184" s="1" t="n">
        <v>250000</v>
      </c>
      <c r="T184" s="1">
        <f>ROUND(T_EMPLOYEES[[#This Row],[EMP_CTC1]]/12, 0)</f>
        <v/>
      </c>
      <c r="U184" s="1" t="n">
        <v>150000</v>
      </c>
      <c r="V184" s="1" t="inlineStr">
        <is>
          <t>NH</t>
        </is>
      </c>
      <c r="W184" s="1" t="inlineStr">
        <is>
          <t>NH</t>
        </is>
      </c>
      <c r="X18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4" t="n">
        <v>100000</v>
      </c>
      <c r="Z184" s="29">
        <f>(S184 - U184)/S184 * 100</f>
        <v/>
      </c>
      <c r="AA184">
        <f>IF(T_EMPLOYEES[[#This Row],[EMPLOYEE NUMBER]]="","",ROW(T_EMPLOYEES[[#This Row],[EMPLOYEE LABEL]])-ROW(T_EMPLOYEES[[#Headers],[EMPLOYEE LABEL]]))</f>
        <v/>
      </c>
      <c r="AB184">
        <f>IF(T_EMPLOYEES[[#This Row],[EMPLOYEE NUMBER]]="","",IF(COUNTIF(T_EMPLOYEES[EMPLOYEE NUMBER],T_EMPLOYEES[[#This Row],[EMPLOYEE NUMBER]])&gt;1,1,0))</f>
        <v/>
      </c>
      <c r="AC184">
        <f>IF(T_EMPLOYEES[[#This Row],[EMPLOYEE NUMBER]]="","",IF(AND(T_EMPLOYEES[[#This Row],[DATE OF BIRTH]]&gt;0,T_EMPLOYEES[[#This Row],[DATE OF BIRTH]]&lt;TODAY()),0,1))</f>
        <v/>
      </c>
      <c r="AD184">
        <f>IF(T_EMPLOYEES[[#This Row],[EMPLOYEE NUMBER]]="","",IF(AND(T_EMPLOYEES[[#This Row],[START DATE]]&gt;0,T_EMPLOYEES[[#This Row],[START DATE]]&lt;TODAY()+60),0,1))</f>
        <v/>
      </c>
      <c r="AE184">
        <f>IF(T_EMPLOYEES[[#This Row],[EMPLOYEE NUMBER]]="","",MATCH(T_EMPLOYEES[[#This Row],[GENDER]],L_GENDER,0))</f>
        <v/>
      </c>
      <c r="AF184">
        <f>IF(T_EMPLOYEES[[#This Row],[EMPLOYEE NUMBER]]="","",MATCH(T_EMPLOYEES[[#This Row],[HIRE SOURCE]],L_HIRESOURCE,0))</f>
        <v/>
      </c>
      <c r="AG184">
        <f>IF(T_EMPLOYEES[[#This Row],[EMPLOYEE NUMBER]]="","",MATCH(T_EMPLOYEES[[#This Row],[ETHNICITY]],L_ETHNICITY,0))</f>
        <v/>
      </c>
      <c r="AH184">
        <f>IF(T_EMPLOYEES[[#This Row],[EMPLOYEE NUMBER]]="","",MATCH(T_EMPLOYEES[[#This Row],[LOCATION]],L_LOCATION,0))</f>
        <v/>
      </c>
      <c r="AI184">
        <f>IF(T_EMPLOYEES[[#This Row],[EMPLOYEE NUMBER]]="","",MATCH(T_EMPLOYEES[[#This Row],[DEPARTMENT]],L_DEPARTMENT,0))</f>
        <v/>
      </c>
      <c r="AJ184">
        <f>IF(T_EMPLOYEES[[#This Row],[EMPLOYEE NUMBER]]="","",MATCH(T_EMPLOYEES[[#This Row],[JOB TYPE]],L_JOBTYPE,0))</f>
        <v/>
      </c>
      <c r="AK184">
        <f>IF(T_EMPLOYEES[[#This Row],[EMPLOYEE NUMBER]]="","",MATCH(T_EMPLOYEES[[#This Row],[JOB CATEGORY]],L_JOBCATEGORY,0))</f>
        <v/>
      </c>
      <c r="AL184">
        <f>IF(T_EMPLOYEES[[#This Row],[EMPLOYEE NUMBER]]="","",MATCH(T_EMPLOYEES[[#This Row],[JOB LEVEL]],L_JOBLEVEL,0))</f>
        <v/>
      </c>
      <c r="AM184">
        <f>IF(T_EMPLOYEES[[#This Row],[EMPLOYEE NUMBER]]="","",MATCH(T_EMPLOYEES[[#This Row],[JOB TITLE]],L_JOBTITLE,0))</f>
        <v/>
      </c>
      <c r="AN184">
        <f>IF(T_EMPLOYEES[[#This Row],[EMPLOYEE NUMBER]]="","",MATCH(T_EMPLOYEES[[#This Row],[MANAGER]],L_EMPLABELS,0))</f>
        <v/>
      </c>
      <c r="AO184">
        <f>IF(T_EMPLOYEES[[#This Row],[EMPLOYEE NUMBER]]="","",IF(T_EMPLOYEES[[#This Row],[ERROR]]="",0,1))</f>
        <v/>
      </c>
      <c r="AP18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5">
      <c r="A185" t="inlineStr">
        <is>
          <t>K</t>
        </is>
      </c>
      <c r="B185" t="inlineStr">
        <is>
          <t>Rengaraj</t>
        </is>
      </c>
      <c r="C185" t="n">
        <v>1029329</v>
      </c>
      <c r="D185" t="inlineStr">
        <is>
          <t>Rengaraj.Kulasekara@infinite.com</t>
        </is>
      </c>
      <c r="E185" s="26" t="n">
        <v>33165</v>
      </c>
      <c r="F185" s="26" t="n">
        <v>44732</v>
      </c>
      <c r="H185" t="inlineStr">
        <is>
          <t>Male</t>
        </is>
      </c>
      <c r="I185" t="inlineStr">
        <is>
          <t>Asian</t>
        </is>
      </c>
      <c r="J185" t="inlineStr">
        <is>
          <t>WEBSITE</t>
        </is>
      </c>
      <c r="K185" t="inlineStr">
        <is>
          <t>Bangalore</t>
        </is>
      </c>
      <c r="L185" s="27" t="inlineStr">
        <is>
          <t>IT</t>
        </is>
      </c>
      <c r="M185" t="inlineStr">
        <is>
          <t>Full-Time</t>
        </is>
      </c>
      <c r="N185" t="inlineStr">
        <is>
          <t>Senior Software Engineer</t>
        </is>
      </c>
      <c r="O185" t="inlineStr">
        <is>
          <t>E3</t>
        </is>
      </c>
      <c r="P185" t="inlineStr">
        <is>
          <t>Senior Software Engineer</t>
        </is>
      </c>
      <c r="Q185" t="inlineStr">
        <is>
          <t>Someshwara Prabhu Nanje Gowda (1021418)</t>
        </is>
      </c>
      <c r="R185" t="n">
        <v>3</v>
      </c>
      <c r="S185" s="1" t="n">
        <v>250000</v>
      </c>
      <c r="T185" s="1">
        <f>ROUND(T_EMPLOYEES[[#This Row],[EMP_CTC1]]/12, 0)</f>
        <v/>
      </c>
      <c r="U185" s="1" t="n">
        <v>150000</v>
      </c>
      <c r="V185" s="1" t="inlineStr">
        <is>
          <t>NH</t>
        </is>
      </c>
      <c r="W185" s="1" t="inlineStr">
        <is>
          <t>NH</t>
        </is>
      </c>
      <c r="X18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5" t="n">
        <v>100000</v>
      </c>
      <c r="Z185" s="29">
        <f>(S185 - U185)/S185 * 100</f>
        <v/>
      </c>
      <c r="AA185">
        <f>IF(T_EMPLOYEES[[#This Row],[EMPLOYEE NUMBER]]="","",ROW(T_EMPLOYEES[[#This Row],[EMPLOYEE LABEL]])-ROW(T_EMPLOYEES[[#Headers],[EMPLOYEE LABEL]]))</f>
        <v/>
      </c>
      <c r="AB185">
        <f>IF(T_EMPLOYEES[[#This Row],[EMPLOYEE NUMBER]]="","",IF(COUNTIF(T_EMPLOYEES[EMPLOYEE NUMBER],T_EMPLOYEES[[#This Row],[EMPLOYEE NUMBER]])&gt;1,1,0))</f>
        <v/>
      </c>
      <c r="AC185">
        <f>IF(T_EMPLOYEES[[#This Row],[EMPLOYEE NUMBER]]="","",IF(AND(T_EMPLOYEES[[#This Row],[DATE OF BIRTH]]&gt;0,T_EMPLOYEES[[#This Row],[DATE OF BIRTH]]&lt;TODAY()),0,1))</f>
        <v/>
      </c>
      <c r="AD185">
        <f>IF(T_EMPLOYEES[[#This Row],[EMPLOYEE NUMBER]]="","",IF(AND(T_EMPLOYEES[[#This Row],[START DATE]]&gt;0,T_EMPLOYEES[[#This Row],[START DATE]]&lt;TODAY()+60),0,1))</f>
        <v/>
      </c>
      <c r="AE185">
        <f>IF(T_EMPLOYEES[[#This Row],[EMPLOYEE NUMBER]]="","",MATCH(T_EMPLOYEES[[#This Row],[GENDER]],L_GENDER,0))</f>
        <v/>
      </c>
      <c r="AF185">
        <f>IF(T_EMPLOYEES[[#This Row],[EMPLOYEE NUMBER]]="","",MATCH(T_EMPLOYEES[[#This Row],[HIRE SOURCE]],L_HIRESOURCE,0))</f>
        <v/>
      </c>
      <c r="AG185">
        <f>IF(T_EMPLOYEES[[#This Row],[EMPLOYEE NUMBER]]="","",MATCH(T_EMPLOYEES[[#This Row],[ETHNICITY]],L_ETHNICITY,0))</f>
        <v/>
      </c>
      <c r="AH185">
        <f>IF(T_EMPLOYEES[[#This Row],[EMPLOYEE NUMBER]]="","",MATCH(T_EMPLOYEES[[#This Row],[LOCATION]],L_LOCATION,0))</f>
        <v/>
      </c>
      <c r="AI185">
        <f>IF(T_EMPLOYEES[[#This Row],[EMPLOYEE NUMBER]]="","",MATCH(T_EMPLOYEES[[#This Row],[DEPARTMENT]],L_DEPARTMENT,0))</f>
        <v/>
      </c>
      <c r="AJ185">
        <f>IF(T_EMPLOYEES[[#This Row],[EMPLOYEE NUMBER]]="","",MATCH(T_EMPLOYEES[[#This Row],[JOB TYPE]],L_JOBTYPE,0))</f>
        <v/>
      </c>
      <c r="AK185">
        <f>IF(T_EMPLOYEES[[#This Row],[EMPLOYEE NUMBER]]="","",MATCH(T_EMPLOYEES[[#This Row],[JOB CATEGORY]],L_JOBCATEGORY,0))</f>
        <v/>
      </c>
      <c r="AL185">
        <f>IF(T_EMPLOYEES[[#This Row],[EMPLOYEE NUMBER]]="","",MATCH(T_EMPLOYEES[[#This Row],[JOB LEVEL]],L_JOBLEVEL,0))</f>
        <v/>
      </c>
      <c r="AM185">
        <f>IF(T_EMPLOYEES[[#This Row],[EMPLOYEE NUMBER]]="","",MATCH(T_EMPLOYEES[[#This Row],[JOB TITLE]],L_JOBTITLE,0))</f>
        <v/>
      </c>
      <c r="AN185">
        <f>IF(T_EMPLOYEES[[#This Row],[EMPLOYEE NUMBER]]="","",MATCH(T_EMPLOYEES[[#This Row],[MANAGER]],L_EMPLABELS,0))</f>
        <v/>
      </c>
      <c r="AO185">
        <f>IF(T_EMPLOYEES[[#This Row],[EMPLOYEE NUMBER]]="","",IF(T_EMPLOYEES[[#This Row],[ERROR]]="",0,1))</f>
        <v/>
      </c>
      <c r="AP18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6">
      <c r="A186" t="inlineStr">
        <is>
          <t>Chilakala</t>
        </is>
      </c>
      <c r="B186" t="inlineStr">
        <is>
          <t xml:space="preserve"> Srikanth Reddy</t>
        </is>
      </c>
      <c r="C186" t="n">
        <v>1027289</v>
      </c>
      <c r="D186" t="inlineStr">
        <is>
          <t>Srikanth.Chilakala@infinite.com</t>
        </is>
      </c>
      <c r="E186" s="26" t="n">
        <v>33181</v>
      </c>
      <c r="F186" s="26" t="n">
        <v>44522</v>
      </c>
      <c r="H186" t="inlineStr">
        <is>
          <t>Male</t>
        </is>
      </c>
      <c r="I186" t="inlineStr">
        <is>
          <t>Asian</t>
        </is>
      </c>
      <c r="J186" t="inlineStr">
        <is>
          <t>WEBSITE</t>
        </is>
      </c>
      <c r="K186" t="inlineStr">
        <is>
          <t>Bangalore</t>
        </is>
      </c>
      <c r="L186" s="27" t="inlineStr">
        <is>
          <t>QA</t>
        </is>
      </c>
      <c r="M186" t="inlineStr">
        <is>
          <t>Full-Time</t>
        </is>
      </c>
      <c r="N186" t="inlineStr">
        <is>
          <t>Senior Software Test Engineer</t>
        </is>
      </c>
      <c r="O186" t="inlineStr">
        <is>
          <t>E3</t>
        </is>
      </c>
      <c r="P186" t="inlineStr">
        <is>
          <t>Senior Software Test Engineer</t>
        </is>
      </c>
      <c r="Q186" t="inlineStr">
        <is>
          <t>Siva Kumar  Shada (1000177)</t>
        </is>
      </c>
      <c r="R186" s="27" t="n">
        <v>3</v>
      </c>
      <c r="S186" s="1" t="n">
        <v>250000</v>
      </c>
      <c r="T186" s="1">
        <f>ROUND(T_EMPLOYEES[[#This Row],[EMP_CTC1]]/12, 0)</f>
        <v/>
      </c>
      <c r="U186" s="1" t="n">
        <v>150000</v>
      </c>
      <c r="V186" s="1" t="inlineStr">
        <is>
          <t>NH</t>
        </is>
      </c>
      <c r="W186" s="1" t="inlineStr">
        <is>
          <t>NH</t>
        </is>
      </c>
      <c r="X18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6" t="n">
        <v>100000</v>
      </c>
      <c r="Z186" s="29">
        <f>(S186 - U186)/S186 * 100</f>
        <v/>
      </c>
      <c r="AA186">
        <f>IF(T_EMPLOYEES[[#This Row],[EMPLOYEE NUMBER]]="","",ROW(T_EMPLOYEES[[#This Row],[EMPLOYEE LABEL]])-ROW(T_EMPLOYEES[[#Headers],[EMPLOYEE LABEL]]))</f>
        <v/>
      </c>
      <c r="AB186">
        <f>IF(T_EMPLOYEES[[#This Row],[EMPLOYEE NUMBER]]="","",IF(COUNTIF(T_EMPLOYEES[EMPLOYEE NUMBER],T_EMPLOYEES[[#This Row],[EMPLOYEE NUMBER]])&gt;1,1,0))</f>
        <v/>
      </c>
      <c r="AC186">
        <f>IF(T_EMPLOYEES[[#This Row],[EMPLOYEE NUMBER]]="","",IF(AND(T_EMPLOYEES[[#This Row],[DATE OF BIRTH]]&gt;0,T_EMPLOYEES[[#This Row],[DATE OF BIRTH]]&lt;TODAY()),0,1))</f>
        <v/>
      </c>
      <c r="AD186">
        <f>IF(T_EMPLOYEES[[#This Row],[EMPLOYEE NUMBER]]="","",IF(AND(T_EMPLOYEES[[#This Row],[START DATE]]&gt;0,T_EMPLOYEES[[#This Row],[START DATE]]&lt;TODAY()+60),0,1))</f>
        <v/>
      </c>
      <c r="AE186">
        <f>IF(T_EMPLOYEES[[#This Row],[EMPLOYEE NUMBER]]="","",MATCH(T_EMPLOYEES[[#This Row],[GENDER]],L_GENDER,0))</f>
        <v/>
      </c>
      <c r="AF186">
        <f>IF(T_EMPLOYEES[[#This Row],[EMPLOYEE NUMBER]]="","",MATCH(T_EMPLOYEES[[#This Row],[HIRE SOURCE]],L_HIRESOURCE,0))</f>
        <v/>
      </c>
      <c r="AG186">
        <f>IF(T_EMPLOYEES[[#This Row],[EMPLOYEE NUMBER]]="","",MATCH(T_EMPLOYEES[[#This Row],[ETHNICITY]],L_ETHNICITY,0))</f>
        <v/>
      </c>
      <c r="AH186">
        <f>IF(T_EMPLOYEES[[#This Row],[EMPLOYEE NUMBER]]="","",MATCH(T_EMPLOYEES[[#This Row],[LOCATION]],L_LOCATION,0))</f>
        <v/>
      </c>
      <c r="AI186">
        <f>IF(T_EMPLOYEES[[#This Row],[EMPLOYEE NUMBER]]="","",MATCH(T_EMPLOYEES[[#This Row],[DEPARTMENT]],L_DEPARTMENT,0))</f>
        <v/>
      </c>
      <c r="AJ186">
        <f>IF(T_EMPLOYEES[[#This Row],[EMPLOYEE NUMBER]]="","",MATCH(T_EMPLOYEES[[#This Row],[JOB TYPE]],L_JOBTYPE,0))</f>
        <v/>
      </c>
      <c r="AK186">
        <f>IF(T_EMPLOYEES[[#This Row],[EMPLOYEE NUMBER]]="","",MATCH(T_EMPLOYEES[[#This Row],[JOB CATEGORY]],L_JOBCATEGORY,0))</f>
        <v/>
      </c>
      <c r="AL186">
        <f>IF(T_EMPLOYEES[[#This Row],[EMPLOYEE NUMBER]]="","",MATCH(T_EMPLOYEES[[#This Row],[JOB LEVEL]],L_JOBLEVEL,0))</f>
        <v/>
      </c>
      <c r="AM186">
        <f>IF(T_EMPLOYEES[[#This Row],[EMPLOYEE NUMBER]]="","",MATCH(T_EMPLOYEES[[#This Row],[JOB TITLE]],L_JOBTITLE,0))</f>
        <v/>
      </c>
      <c r="AN186">
        <f>IF(T_EMPLOYEES[[#This Row],[EMPLOYEE NUMBER]]="","",MATCH(T_EMPLOYEES[[#This Row],[MANAGER]],L_EMPLABELS,0))</f>
        <v/>
      </c>
      <c r="AO186">
        <f>IF(T_EMPLOYEES[[#This Row],[EMPLOYEE NUMBER]]="","",IF(T_EMPLOYEES[[#This Row],[ERROR]]="",0,1))</f>
        <v/>
      </c>
      <c r="AP18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7">
      <c r="A187" t="inlineStr">
        <is>
          <t>Sirikonda</t>
        </is>
      </c>
      <c r="B187" t="inlineStr">
        <is>
          <t>Venkata Rupesh Siddartha</t>
        </is>
      </c>
      <c r="C187" t="n">
        <v>1030027</v>
      </c>
      <c r="D187" t="inlineStr">
        <is>
          <t>Rupesh.Sirikonda@infinite.com</t>
        </is>
      </c>
      <c r="E187" s="26" t="n">
        <v>33184</v>
      </c>
      <c r="F187" s="26" t="n">
        <v>44802</v>
      </c>
      <c r="H187" t="inlineStr">
        <is>
          <t>Male</t>
        </is>
      </c>
      <c r="I187" t="inlineStr">
        <is>
          <t>Asian</t>
        </is>
      </c>
      <c r="J187" t="inlineStr">
        <is>
          <t>WEBSITE</t>
        </is>
      </c>
      <c r="K187" t="inlineStr">
        <is>
          <t>Bangalore</t>
        </is>
      </c>
      <c r="L187" s="27" t="inlineStr">
        <is>
          <t>IT</t>
        </is>
      </c>
      <c r="M187" t="inlineStr">
        <is>
          <t>Full-Time</t>
        </is>
      </c>
      <c r="N187" t="inlineStr">
        <is>
          <t>Lead Business Analyst</t>
        </is>
      </c>
      <c r="O187" t="inlineStr">
        <is>
          <t>E4</t>
        </is>
      </c>
      <c r="P187" t="inlineStr">
        <is>
          <t>Lead Business Analyst</t>
        </is>
      </c>
      <c r="Q187" t="inlineStr">
        <is>
          <t>Gangadhar Chiluka (1022458)</t>
        </is>
      </c>
      <c r="R187" t="n">
        <v>5</v>
      </c>
      <c r="S187" s="1" t="n">
        <v>250000</v>
      </c>
      <c r="T187" s="1">
        <f>ROUND(T_EMPLOYEES[[#This Row],[EMP_CTC1]]/12, 0)</f>
        <v/>
      </c>
      <c r="U187" s="1" t="n">
        <v>150000</v>
      </c>
      <c r="V187" s="1" t="inlineStr">
        <is>
          <t>NH</t>
        </is>
      </c>
      <c r="W187" s="1" t="inlineStr">
        <is>
          <t>NH</t>
        </is>
      </c>
      <c r="X18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7" t="n">
        <v>100000</v>
      </c>
      <c r="Z187" s="29">
        <f>(S187 - U187)/S187 * 100</f>
        <v/>
      </c>
      <c r="AA187">
        <f>IF(T_EMPLOYEES[[#This Row],[EMPLOYEE NUMBER]]="","",ROW(T_EMPLOYEES[[#This Row],[EMPLOYEE LABEL]])-ROW(T_EMPLOYEES[[#Headers],[EMPLOYEE LABEL]]))</f>
        <v/>
      </c>
      <c r="AB187">
        <f>IF(T_EMPLOYEES[[#This Row],[EMPLOYEE NUMBER]]="","",IF(COUNTIF(T_EMPLOYEES[EMPLOYEE NUMBER],T_EMPLOYEES[[#This Row],[EMPLOYEE NUMBER]])&gt;1,1,0))</f>
        <v/>
      </c>
      <c r="AC187">
        <f>IF(T_EMPLOYEES[[#This Row],[EMPLOYEE NUMBER]]="","",IF(AND(T_EMPLOYEES[[#This Row],[DATE OF BIRTH]]&gt;0,T_EMPLOYEES[[#This Row],[DATE OF BIRTH]]&lt;TODAY()),0,1))</f>
        <v/>
      </c>
      <c r="AD187">
        <f>IF(T_EMPLOYEES[[#This Row],[EMPLOYEE NUMBER]]="","",IF(AND(T_EMPLOYEES[[#This Row],[START DATE]]&gt;0,T_EMPLOYEES[[#This Row],[START DATE]]&lt;TODAY()+60),0,1))</f>
        <v/>
      </c>
      <c r="AE187">
        <f>IF(T_EMPLOYEES[[#This Row],[EMPLOYEE NUMBER]]="","",MATCH(T_EMPLOYEES[[#This Row],[GENDER]],L_GENDER,0))</f>
        <v/>
      </c>
      <c r="AF187">
        <f>IF(T_EMPLOYEES[[#This Row],[EMPLOYEE NUMBER]]="","",MATCH(T_EMPLOYEES[[#This Row],[HIRE SOURCE]],L_HIRESOURCE,0))</f>
        <v/>
      </c>
      <c r="AG187">
        <f>IF(T_EMPLOYEES[[#This Row],[EMPLOYEE NUMBER]]="","",MATCH(T_EMPLOYEES[[#This Row],[ETHNICITY]],L_ETHNICITY,0))</f>
        <v/>
      </c>
      <c r="AH187">
        <f>IF(T_EMPLOYEES[[#This Row],[EMPLOYEE NUMBER]]="","",MATCH(T_EMPLOYEES[[#This Row],[LOCATION]],L_LOCATION,0))</f>
        <v/>
      </c>
      <c r="AI187">
        <f>IF(T_EMPLOYEES[[#This Row],[EMPLOYEE NUMBER]]="","",MATCH(T_EMPLOYEES[[#This Row],[DEPARTMENT]],L_DEPARTMENT,0))</f>
        <v/>
      </c>
      <c r="AJ187">
        <f>IF(T_EMPLOYEES[[#This Row],[EMPLOYEE NUMBER]]="","",MATCH(T_EMPLOYEES[[#This Row],[JOB TYPE]],L_JOBTYPE,0))</f>
        <v/>
      </c>
      <c r="AK187">
        <f>IF(T_EMPLOYEES[[#This Row],[EMPLOYEE NUMBER]]="","",MATCH(T_EMPLOYEES[[#This Row],[JOB CATEGORY]],L_JOBCATEGORY,0))</f>
        <v/>
      </c>
      <c r="AL187">
        <f>IF(T_EMPLOYEES[[#This Row],[EMPLOYEE NUMBER]]="","",MATCH(T_EMPLOYEES[[#This Row],[JOB LEVEL]],L_JOBLEVEL,0))</f>
        <v/>
      </c>
      <c r="AM187">
        <f>IF(T_EMPLOYEES[[#This Row],[EMPLOYEE NUMBER]]="","",MATCH(T_EMPLOYEES[[#This Row],[JOB TITLE]],L_JOBTITLE,0))</f>
        <v/>
      </c>
      <c r="AN187">
        <f>IF(T_EMPLOYEES[[#This Row],[EMPLOYEE NUMBER]]="","",MATCH(T_EMPLOYEES[[#This Row],[MANAGER]],L_EMPLABELS,0))</f>
        <v/>
      </c>
      <c r="AO187">
        <f>IF(T_EMPLOYEES[[#This Row],[EMPLOYEE NUMBER]]="","",IF(T_EMPLOYEES[[#This Row],[ERROR]]="",0,1))</f>
        <v/>
      </c>
      <c r="AP18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88">
      <c r="A188" t="inlineStr">
        <is>
          <t>Sayli</t>
        </is>
      </c>
      <c r="B188" t="inlineStr">
        <is>
          <t>Susmit Pisal</t>
        </is>
      </c>
      <c r="C188" t="n">
        <v>1031850</v>
      </c>
      <c r="D188" t="inlineStr">
        <is>
          <t>Sayli.Pisal@infinite.com</t>
        </is>
      </c>
      <c r="E188" s="26" t="n">
        <v>33184</v>
      </c>
      <c r="F188" s="26" t="n">
        <v>44914</v>
      </c>
      <c r="H188" t="inlineStr">
        <is>
          <t>Female</t>
        </is>
      </c>
      <c r="I188" t="inlineStr">
        <is>
          <t>Asian</t>
        </is>
      </c>
      <c r="J188" t="inlineStr">
        <is>
          <t>WEBSITE</t>
        </is>
      </c>
      <c r="K188" t="inlineStr">
        <is>
          <t>Bangalore</t>
        </is>
      </c>
      <c r="L188" s="27" t="inlineStr">
        <is>
          <t>IT</t>
        </is>
      </c>
      <c r="M188" t="inlineStr">
        <is>
          <t>Full-Time</t>
        </is>
      </c>
      <c r="N188" t="inlineStr">
        <is>
          <t>Senior Software Engineer</t>
        </is>
      </c>
      <c r="O188" t="inlineStr">
        <is>
          <t>E3</t>
        </is>
      </c>
      <c r="P188" t="inlineStr">
        <is>
          <t>Senior Software Engineer</t>
        </is>
      </c>
      <c r="Q188" t="inlineStr">
        <is>
          <t>Sunitha Panguluri (1031865)</t>
        </is>
      </c>
      <c r="R188" s="27" t="n">
        <v>3</v>
      </c>
      <c r="S188" s="1" t="n">
        <v>250000</v>
      </c>
      <c r="T188" s="1">
        <f>ROUND(T_EMPLOYEES[[#This Row],[EMP_CTC1]]/12, 0)</f>
        <v/>
      </c>
      <c r="U188" s="1" t="n">
        <v>150000</v>
      </c>
      <c r="V188" s="1" t="inlineStr">
        <is>
          <t>NH</t>
        </is>
      </c>
      <c r="W188" s="1" t="inlineStr">
        <is>
          <t>NH</t>
        </is>
      </c>
      <c r="X18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8" t="n">
        <v>100000</v>
      </c>
      <c r="Z188" s="29">
        <f>(S188 - U188)/S188 * 100</f>
        <v/>
      </c>
      <c r="AA188">
        <f>IF(T_EMPLOYEES[[#This Row],[EMPLOYEE NUMBER]]="","",ROW(T_EMPLOYEES[[#This Row],[EMPLOYEE LABEL]])-ROW(T_EMPLOYEES[[#Headers],[EMPLOYEE LABEL]]))</f>
        <v/>
      </c>
      <c r="AB188">
        <f>IF(T_EMPLOYEES[[#This Row],[EMPLOYEE NUMBER]]="","",IF(COUNTIF(T_EMPLOYEES[EMPLOYEE NUMBER],T_EMPLOYEES[[#This Row],[EMPLOYEE NUMBER]])&gt;1,1,0))</f>
        <v/>
      </c>
      <c r="AC188">
        <f>IF(T_EMPLOYEES[[#This Row],[EMPLOYEE NUMBER]]="","",IF(AND(T_EMPLOYEES[[#This Row],[DATE OF BIRTH]]&gt;0,T_EMPLOYEES[[#This Row],[DATE OF BIRTH]]&lt;TODAY()),0,1))</f>
        <v/>
      </c>
      <c r="AD188">
        <f>IF(T_EMPLOYEES[[#This Row],[EMPLOYEE NUMBER]]="","",IF(AND(T_EMPLOYEES[[#This Row],[START DATE]]&gt;0,T_EMPLOYEES[[#This Row],[START DATE]]&lt;TODAY()+60),0,1))</f>
        <v/>
      </c>
      <c r="AE188">
        <f>IF(T_EMPLOYEES[[#This Row],[EMPLOYEE NUMBER]]="","",MATCH(T_EMPLOYEES[[#This Row],[GENDER]],L_GENDER,0))</f>
        <v/>
      </c>
      <c r="AF188">
        <f>IF(T_EMPLOYEES[[#This Row],[EMPLOYEE NUMBER]]="","",MATCH(T_EMPLOYEES[[#This Row],[HIRE SOURCE]],L_HIRESOURCE,0))</f>
        <v/>
      </c>
      <c r="AG188">
        <f>IF(T_EMPLOYEES[[#This Row],[EMPLOYEE NUMBER]]="","",MATCH(T_EMPLOYEES[[#This Row],[ETHNICITY]],L_ETHNICITY,0))</f>
        <v/>
      </c>
      <c r="AH188">
        <f>IF(T_EMPLOYEES[[#This Row],[EMPLOYEE NUMBER]]="","",MATCH(T_EMPLOYEES[[#This Row],[LOCATION]],L_LOCATION,0))</f>
        <v/>
      </c>
      <c r="AI188">
        <f>IF(T_EMPLOYEES[[#This Row],[EMPLOYEE NUMBER]]="","",MATCH(T_EMPLOYEES[[#This Row],[DEPARTMENT]],L_DEPARTMENT,0))</f>
        <v/>
      </c>
      <c r="AJ188">
        <f>IF(T_EMPLOYEES[[#This Row],[EMPLOYEE NUMBER]]="","",MATCH(T_EMPLOYEES[[#This Row],[JOB TYPE]],L_JOBTYPE,0))</f>
        <v/>
      </c>
      <c r="AK188">
        <f>IF(T_EMPLOYEES[[#This Row],[EMPLOYEE NUMBER]]="","",MATCH(T_EMPLOYEES[[#This Row],[JOB CATEGORY]],L_JOBCATEGORY,0))</f>
        <v/>
      </c>
      <c r="AL188">
        <f>IF(T_EMPLOYEES[[#This Row],[EMPLOYEE NUMBER]]="","",MATCH(T_EMPLOYEES[[#This Row],[JOB LEVEL]],L_JOBLEVEL,0))</f>
        <v/>
      </c>
      <c r="AM188">
        <f>IF(T_EMPLOYEES[[#This Row],[EMPLOYEE NUMBER]]="","",MATCH(T_EMPLOYEES[[#This Row],[JOB TITLE]],L_JOBTITLE,0))</f>
        <v/>
      </c>
      <c r="AN188">
        <f>IF(T_EMPLOYEES[[#This Row],[EMPLOYEE NUMBER]]="","",MATCH(T_EMPLOYEES[[#This Row],[MANAGER]],L_EMPLABELS,0))</f>
        <v/>
      </c>
      <c r="AO188">
        <f>IF(T_EMPLOYEES[[#This Row],[EMPLOYEE NUMBER]]="","",IF(T_EMPLOYEES[[#This Row],[ERROR]]="",0,1))</f>
        <v/>
      </c>
      <c r="AP18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188" t="inlineStr">
        <is>
          <t>Contact Management</t>
        </is>
      </c>
    </row>
    <row r="189">
      <c r="A189" t="inlineStr">
        <is>
          <t>Avnendra</t>
        </is>
      </c>
      <c r="B189" t="inlineStr">
        <is>
          <t xml:space="preserve"> Bhadauria</t>
        </is>
      </c>
      <c r="C189" t="n">
        <v>1034093</v>
      </c>
      <c r="D189" t="inlineStr">
        <is>
          <t>Avnendra.Bhadauria@infinite.com</t>
        </is>
      </c>
      <c r="E189" s="26" t="n">
        <v>33188</v>
      </c>
      <c r="F189" s="26" t="n">
        <v>45295</v>
      </c>
      <c r="H189" t="inlineStr">
        <is>
          <t>Male</t>
        </is>
      </c>
      <c r="I189" t="inlineStr">
        <is>
          <t>Asian</t>
        </is>
      </c>
      <c r="J189" t="inlineStr">
        <is>
          <t>WEBSITE</t>
        </is>
      </c>
      <c r="K189" t="inlineStr">
        <is>
          <t>Hyderabad</t>
        </is>
      </c>
      <c r="L189" s="27" t="inlineStr">
        <is>
          <t>IT</t>
        </is>
      </c>
      <c r="M189" t="inlineStr">
        <is>
          <t>Full-Time</t>
        </is>
      </c>
      <c r="N189" t="inlineStr">
        <is>
          <t>Senior Technical Lead</t>
        </is>
      </c>
      <c r="O189" t="inlineStr">
        <is>
          <t>E5</t>
        </is>
      </c>
      <c r="P189" t="inlineStr">
        <is>
          <t>Senior Technical Lead</t>
        </is>
      </c>
      <c r="Q189" t="inlineStr">
        <is>
          <t>Nagarajan K (1019672)</t>
        </is>
      </c>
      <c r="R189" t="n">
        <v>7</v>
      </c>
      <c r="S189" s="1" t="n">
        <v>250000</v>
      </c>
      <c r="T189" s="1">
        <f>ROUND(T_EMPLOYEES[[#This Row],[EMP_CTC1]]/12, 0)</f>
        <v/>
      </c>
      <c r="U189" s="1" t="n">
        <v>150000</v>
      </c>
      <c r="V189" s="1" t="inlineStr">
        <is>
          <t>NH</t>
        </is>
      </c>
      <c r="W189" s="1" t="inlineStr">
        <is>
          <t>NH</t>
        </is>
      </c>
      <c r="X18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89" t="n">
        <v>100000</v>
      </c>
      <c r="Z189" s="29">
        <f>(S189 - U189)/S189 * 100</f>
        <v/>
      </c>
      <c r="AA189">
        <f>IF(T_EMPLOYEES[[#This Row],[EMPLOYEE NUMBER]]="","",ROW(T_EMPLOYEES[[#This Row],[EMPLOYEE LABEL]])-ROW(T_EMPLOYEES[[#Headers],[EMPLOYEE LABEL]]))</f>
        <v/>
      </c>
      <c r="AB189">
        <f>IF(T_EMPLOYEES[[#This Row],[EMPLOYEE NUMBER]]="","",IF(COUNTIF(T_EMPLOYEES[EMPLOYEE NUMBER],T_EMPLOYEES[[#This Row],[EMPLOYEE NUMBER]])&gt;1,1,0))</f>
        <v/>
      </c>
      <c r="AC189">
        <f>IF(T_EMPLOYEES[[#This Row],[EMPLOYEE NUMBER]]="","",IF(AND(T_EMPLOYEES[[#This Row],[DATE OF BIRTH]]&gt;0,T_EMPLOYEES[[#This Row],[DATE OF BIRTH]]&lt;TODAY()),0,1))</f>
        <v/>
      </c>
      <c r="AD189">
        <f>IF(T_EMPLOYEES[[#This Row],[EMPLOYEE NUMBER]]="","",IF(AND(T_EMPLOYEES[[#This Row],[START DATE]]&gt;0,T_EMPLOYEES[[#This Row],[START DATE]]&lt;TODAY()+60),0,1))</f>
        <v/>
      </c>
      <c r="AE189">
        <f>IF(T_EMPLOYEES[[#This Row],[EMPLOYEE NUMBER]]="","",MATCH(T_EMPLOYEES[[#This Row],[GENDER]],L_GENDER,0))</f>
        <v/>
      </c>
      <c r="AF189">
        <f>IF(T_EMPLOYEES[[#This Row],[EMPLOYEE NUMBER]]="","",MATCH(T_EMPLOYEES[[#This Row],[HIRE SOURCE]],L_HIRESOURCE,0))</f>
        <v/>
      </c>
      <c r="AG189">
        <f>IF(T_EMPLOYEES[[#This Row],[EMPLOYEE NUMBER]]="","",MATCH(T_EMPLOYEES[[#This Row],[ETHNICITY]],L_ETHNICITY,0))</f>
        <v/>
      </c>
      <c r="AH189">
        <f>IF(T_EMPLOYEES[[#This Row],[EMPLOYEE NUMBER]]="","",MATCH(T_EMPLOYEES[[#This Row],[LOCATION]],L_LOCATION,0))</f>
        <v/>
      </c>
      <c r="AI189">
        <f>IF(T_EMPLOYEES[[#This Row],[EMPLOYEE NUMBER]]="","",MATCH(T_EMPLOYEES[[#This Row],[DEPARTMENT]],L_DEPARTMENT,0))</f>
        <v/>
      </c>
      <c r="AJ189">
        <f>IF(T_EMPLOYEES[[#This Row],[EMPLOYEE NUMBER]]="","",MATCH(T_EMPLOYEES[[#This Row],[JOB TYPE]],L_JOBTYPE,0))</f>
        <v/>
      </c>
      <c r="AK189">
        <f>IF(T_EMPLOYEES[[#This Row],[EMPLOYEE NUMBER]]="","",MATCH(T_EMPLOYEES[[#This Row],[JOB CATEGORY]],L_JOBCATEGORY,0))</f>
        <v/>
      </c>
      <c r="AL189">
        <f>IF(T_EMPLOYEES[[#This Row],[EMPLOYEE NUMBER]]="","",MATCH(T_EMPLOYEES[[#This Row],[JOB LEVEL]],L_JOBLEVEL,0))</f>
        <v/>
      </c>
      <c r="AM189">
        <f>IF(T_EMPLOYEES[[#This Row],[EMPLOYEE NUMBER]]="","",MATCH(T_EMPLOYEES[[#This Row],[JOB TITLE]],L_JOBTITLE,0))</f>
        <v/>
      </c>
      <c r="AN189">
        <f>IF(T_EMPLOYEES[[#This Row],[EMPLOYEE NUMBER]]="","",MATCH(T_EMPLOYEES[[#This Row],[MANAGER]],L_EMPLABELS,0))</f>
        <v/>
      </c>
      <c r="AO189">
        <f>IF(T_EMPLOYEES[[#This Row],[EMPLOYEE NUMBER]]="","",IF(T_EMPLOYEES[[#This Row],[ERROR]]="",0,1))</f>
        <v/>
      </c>
      <c r="AP18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0">
      <c r="A190" t="inlineStr">
        <is>
          <t>YEDLAPALLI</t>
        </is>
      </c>
      <c r="B190" t="inlineStr">
        <is>
          <t>RAJASEKHAR</t>
        </is>
      </c>
      <c r="C190" t="n">
        <v>1029158</v>
      </c>
      <c r="D190" t="inlineStr">
        <is>
          <t>Rajasekhar.Yedlapalli@infinite.com</t>
        </is>
      </c>
      <c r="E190" s="26" t="n">
        <v>33200</v>
      </c>
      <c r="F190" s="26" t="n">
        <v>44711</v>
      </c>
      <c r="H190" t="inlineStr">
        <is>
          <t>Male</t>
        </is>
      </c>
      <c r="I190" t="inlineStr">
        <is>
          <t>Asian</t>
        </is>
      </c>
      <c r="J190" t="inlineStr">
        <is>
          <t>WEBSITE</t>
        </is>
      </c>
      <c r="K190" t="inlineStr">
        <is>
          <t>Bangalore</t>
        </is>
      </c>
      <c r="L190" s="27" t="inlineStr">
        <is>
          <t>IT</t>
        </is>
      </c>
      <c r="M190" t="inlineStr">
        <is>
          <t>Full-Time</t>
        </is>
      </c>
      <c r="N190" t="inlineStr">
        <is>
          <t>Senior Software Engineer</t>
        </is>
      </c>
      <c r="O190" t="inlineStr">
        <is>
          <t>E3</t>
        </is>
      </c>
      <c r="P190" t="inlineStr">
        <is>
          <t>Senior Software Engineer</t>
        </is>
      </c>
      <c r="Q190" t="inlineStr">
        <is>
          <t>Siddharth Kumar (1027551)</t>
        </is>
      </c>
      <c r="R190" s="27" t="n">
        <v>3</v>
      </c>
      <c r="S190" s="1" t="n">
        <v>250000</v>
      </c>
      <c r="T190" s="1">
        <f>ROUND(T_EMPLOYEES[[#This Row],[EMP_CTC1]]/12, 0)</f>
        <v/>
      </c>
      <c r="U190" s="1" t="n">
        <v>150000</v>
      </c>
      <c r="V190" s="1" t="inlineStr">
        <is>
          <t>NH</t>
        </is>
      </c>
      <c r="W190" s="1" t="inlineStr">
        <is>
          <t>NH</t>
        </is>
      </c>
      <c r="X19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0" t="n">
        <v>100000</v>
      </c>
      <c r="Z190" s="29">
        <f>(S190 - U190)/S190 * 100</f>
        <v/>
      </c>
      <c r="AA190">
        <f>IF(T_EMPLOYEES[[#This Row],[EMPLOYEE NUMBER]]="","",ROW(T_EMPLOYEES[[#This Row],[EMPLOYEE LABEL]])-ROW(T_EMPLOYEES[[#Headers],[EMPLOYEE LABEL]]))</f>
        <v/>
      </c>
      <c r="AB190">
        <f>IF(T_EMPLOYEES[[#This Row],[EMPLOYEE NUMBER]]="","",IF(COUNTIF(T_EMPLOYEES[EMPLOYEE NUMBER],T_EMPLOYEES[[#This Row],[EMPLOYEE NUMBER]])&gt;1,1,0))</f>
        <v/>
      </c>
      <c r="AC190">
        <f>IF(T_EMPLOYEES[[#This Row],[EMPLOYEE NUMBER]]="","",IF(AND(T_EMPLOYEES[[#This Row],[DATE OF BIRTH]]&gt;0,T_EMPLOYEES[[#This Row],[DATE OF BIRTH]]&lt;TODAY()),0,1))</f>
        <v/>
      </c>
      <c r="AD190">
        <f>IF(T_EMPLOYEES[[#This Row],[EMPLOYEE NUMBER]]="","",IF(AND(T_EMPLOYEES[[#This Row],[START DATE]]&gt;0,T_EMPLOYEES[[#This Row],[START DATE]]&lt;TODAY()+60),0,1))</f>
        <v/>
      </c>
      <c r="AE190">
        <f>IF(T_EMPLOYEES[[#This Row],[EMPLOYEE NUMBER]]="","",MATCH(T_EMPLOYEES[[#This Row],[GENDER]],L_GENDER,0))</f>
        <v/>
      </c>
      <c r="AF190">
        <f>IF(T_EMPLOYEES[[#This Row],[EMPLOYEE NUMBER]]="","",MATCH(T_EMPLOYEES[[#This Row],[HIRE SOURCE]],L_HIRESOURCE,0))</f>
        <v/>
      </c>
      <c r="AG190">
        <f>IF(T_EMPLOYEES[[#This Row],[EMPLOYEE NUMBER]]="","",MATCH(T_EMPLOYEES[[#This Row],[ETHNICITY]],L_ETHNICITY,0))</f>
        <v/>
      </c>
      <c r="AH190">
        <f>IF(T_EMPLOYEES[[#This Row],[EMPLOYEE NUMBER]]="","",MATCH(T_EMPLOYEES[[#This Row],[LOCATION]],L_LOCATION,0))</f>
        <v/>
      </c>
      <c r="AI190">
        <f>IF(T_EMPLOYEES[[#This Row],[EMPLOYEE NUMBER]]="","",MATCH(T_EMPLOYEES[[#This Row],[DEPARTMENT]],L_DEPARTMENT,0))</f>
        <v/>
      </c>
      <c r="AJ190">
        <f>IF(T_EMPLOYEES[[#This Row],[EMPLOYEE NUMBER]]="","",MATCH(T_EMPLOYEES[[#This Row],[JOB TYPE]],L_JOBTYPE,0))</f>
        <v/>
      </c>
      <c r="AK190">
        <f>IF(T_EMPLOYEES[[#This Row],[EMPLOYEE NUMBER]]="","",MATCH(T_EMPLOYEES[[#This Row],[JOB CATEGORY]],L_JOBCATEGORY,0))</f>
        <v/>
      </c>
      <c r="AL190">
        <f>IF(T_EMPLOYEES[[#This Row],[EMPLOYEE NUMBER]]="","",MATCH(T_EMPLOYEES[[#This Row],[JOB LEVEL]],L_JOBLEVEL,0))</f>
        <v/>
      </c>
      <c r="AM190">
        <f>IF(T_EMPLOYEES[[#This Row],[EMPLOYEE NUMBER]]="","",MATCH(T_EMPLOYEES[[#This Row],[JOB TITLE]],L_JOBTITLE,0))</f>
        <v/>
      </c>
      <c r="AN190">
        <f>IF(T_EMPLOYEES[[#This Row],[EMPLOYEE NUMBER]]="","",MATCH(T_EMPLOYEES[[#This Row],[MANAGER]],L_EMPLABELS,0))</f>
        <v/>
      </c>
      <c r="AO190">
        <f>IF(T_EMPLOYEES[[#This Row],[EMPLOYEE NUMBER]]="","",IF(T_EMPLOYEES[[#This Row],[ERROR]]="",0,1))</f>
        <v/>
      </c>
      <c r="AP19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1">
      <c r="A191" t="inlineStr">
        <is>
          <t>Abhishek</t>
        </is>
      </c>
      <c r="B191" t="inlineStr">
        <is>
          <t xml:space="preserve"> Kumar</t>
        </is>
      </c>
      <c r="C191" t="n">
        <v>1024012</v>
      </c>
      <c r="D191" t="inlineStr">
        <is>
          <t>Abhishek.Kumar5@infinite.com</t>
        </is>
      </c>
      <c r="E191" s="26" t="n">
        <v>33234</v>
      </c>
      <c r="F191" s="26" t="n">
        <v>44132</v>
      </c>
      <c r="H191" t="inlineStr">
        <is>
          <t>Male</t>
        </is>
      </c>
      <c r="I191" t="inlineStr">
        <is>
          <t>Asian</t>
        </is>
      </c>
      <c r="J191" t="inlineStr">
        <is>
          <t>WEBSITE</t>
        </is>
      </c>
      <c r="K191" t="inlineStr">
        <is>
          <t>Bangalore</t>
        </is>
      </c>
      <c r="L191" s="27" t="inlineStr">
        <is>
          <t>IT</t>
        </is>
      </c>
      <c r="M191" t="inlineStr">
        <is>
          <t>Full-Time</t>
        </is>
      </c>
      <c r="N191" t="inlineStr">
        <is>
          <t>Senior Software Test Engineer</t>
        </is>
      </c>
      <c r="O191" t="inlineStr">
        <is>
          <t>E3</t>
        </is>
      </c>
      <c r="P191" t="inlineStr">
        <is>
          <t>Senior Software Test Engineer</t>
        </is>
      </c>
      <c r="Q191" t="inlineStr">
        <is>
          <t>Sunduru Arun  Jayant (1031825)</t>
        </is>
      </c>
      <c r="R191" t="n">
        <v>3</v>
      </c>
      <c r="S191" s="1" t="n">
        <v>250000</v>
      </c>
      <c r="T191" s="1">
        <f>ROUND(T_EMPLOYEES[[#This Row],[EMP_CTC1]]/12, 0)</f>
        <v/>
      </c>
      <c r="U191" s="1" t="n">
        <v>150000</v>
      </c>
      <c r="V191" s="1" t="inlineStr">
        <is>
          <t>NH</t>
        </is>
      </c>
      <c r="W191" s="1" t="inlineStr">
        <is>
          <t>NH</t>
        </is>
      </c>
      <c r="X19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1" t="n">
        <v>100000</v>
      </c>
      <c r="Z191" s="29">
        <f>(S191 - U191)/S191 * 100</f>
        <v/>
      </c>
      <c r="AA191">
        <f>IF(T_EMPLOYEES[[#This Row],[EMPLOYEE NUMBER]]="","",ROW(T_EMPLOYEES[[#This Row],[EMPLOYEE LABEL]])-ROW(T_EMPLOYEES[[#Headers],[EMPLOYEE LABEL]]))</f>
        <v/>
      </c>
      <c r="AB191">
        <f>IF(T_EMPLOYEES[[#This Row],[EMPLOYEE NUMBER]]="","",IF(COUNTIF(T_EMPLOYEES[EMPLOYEE NUMBER],T_EMPLOYEES[[#This Row],[EMPLOYEE NUMBER]])&gt;1,1,0))</f>
        <v/>
      </c>
      <c r="AC191">
        <f>IF(T_EMPLOYEES[[#This Row],[EMPLOYEE NUMBER]]="","",IF(AND(T_EMPLOYEES[[#This Row],[DATE OF BIRTH]]&gt;0,T_EMPLOYEES[[#This Row],[DATE OF BIRTH]]&lt;TODAY()),0,1))</f>
        <v/>
      </c>
      <c r="AD191">
        <f>IF(T_EMPLOYEES[[#This Row],[EMPLOYEE NUMBER]]="","",IF(AND(T_EMPLOYEES[[#This Row],[START DATE]]&gt;0,T_EMPLOYEES[[#This Row],[START DATE]]&lt;TODAY()+60),0,1))</f>
        <v/>
      </c>
      <c r="AE191">
        <f>IF(T_EMPLOYEES[[#This Row],[EMPLOYEE NUMBER]]="","",MATCH(T_EMPLOYEES[[#This Row],[GENDER]],L_GENDER,0))</f>
        <v/>
      </c>
      <c r="AF191">
        <f>IF(T_EMPLOYEES[[#This Row],[EMPLOYEE NUMBER]]="","",MATCH(T_EMPLOYEES[[#This Row],[HIRE SOURCE]],L_HIRESOURCE,0))</f>
        <v/>
      </c>
      <c r="AG191">
        <f>IF(T_EMPLOYEES[[#This Row],[EMPLOYEE NUMBER]]="","",MATCH(T_EMPLOYEES[[#This Row],[ETHNICITY]],L_ETHNICITY,0))</f>
        <v/>
      </c>
      <c r="AH191">
        <f>IF(T_EMPLOYEES[[#This Row],[EMPLOYEE NUMBER]]="","",MATCH(T_EMPLOYEES[[#This Row],[LOCATION]],L_LOCATION,0))</f>
        <v/>
      </c>
      <c r="AI191">
        <f>IF(T_EMPLOYEES[[#This Row],[EMPLOYEE NUMBER]]="","",MATCH(T_EMPLOYEES[[#This Row],[DEPARTMENT]],L_DEPARTMENT,0))</f>
        <v/>
      </c>
      <c r="AJ191">
        <f>IF(T_EMPLOYEES[[#This Row],[EMPLOYEE NUMBER]]="","",MATCH(T_EMPLOYEES[[#This Row],[JOB TYPE]],L_JOBTYPE,0))</f>
        <v/>
      </c>
      <c r="AK191">
        <f>IF(T_EMPLOYEES[[#This Row],[EMPLOYEE NUMBER]]="","",MATCH(T_EMPLOYEES[[#This Row],[JOB CATEGORY]],L_JOBCATEGORY,0))</f>
        <v/>
      </c>
      <c r="AL191">
        <f>IF(T_EMPLOYEES[[#This Row],[EMPLOYEE NUMBER]]="","",MATCH(T_EMPLOYEES[[#This Row],[JOB LEVEL]],L_JOBLEVEL,0))</f>
        <v/>
      </c>
      <c r="AM191">
        <f>IF(T_EMPLOYEES[[#This Row],[EMPLOYEE NUMBER]]="","",MATCH(T_EMPLOYEES[[#This Row],[JOB TITLE]],L_JOBTITLE,0))</f>
        <v/>
      </c>
      <c r="AN191">
        <f>IF(T_EMPLOYEES[[#This Row],[EMPLOYEE NUMBER]]="","",MATCH(T_EMPLOYEES[[#This Row],[MANAGER]],L_EMPLABELS,0))</f>
        <v/>
      </c>
      <c r="AO191">
        <f>IF(T_EMPLOYEES[[#This Row],[EMPLOYEE NUMBER]]="","",IF(T_EMPLOYEES[[#This Row],[ERROR]]="",0,1))</f>
        <v/>
      </c>
      <c r="AP19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2">
      <c r="A192" t="inlineStr">
        <is>
          <t>Manikandan</t>
        </is>
      </c>
      <c r="C192" t="n">
        <v>1031878</v>
      </c>
      <c r="D192" t="inlineStr">
        <is>
          <t>Manikandan.R@infinite.com</t>
        </is>
      </c>
      <c r="E192" s="26" t="n">
        <v>33237</v>
      </c>
      <c r="F192" s="26" t="n">
        <v>44914</v>
      </c>
      <c r="H192" t="inlineStr">
        <is>
          <t>Male</t>
        </is>
      </c>
      <c r="I192" t="inlineStr">
        <is>
          <t>Asian</t>
        </is>
      </c>
      <c r="J192" t="inlineStr">
        <is>
          <t>WEBSITE</t>
        </is>
      </c>
      <c r="K192" t="inlineStr">
        <is>
          <t>Bangalore</t>
        </is>
      </c>
      <c r="L192" s="27" t="inlineStr">
        <is>
          <t>IT</t>
        </is>
      </c>
      <c r="M192" t="inlineStr">
        <is>
          <t>Full-Time</t>
        </is>
      </c>
      <c r="N192" t="inlineStr">
        <is>
          <t>Senior Technical Lead</t>
        </is>
      </c>
      <c r="O192" t="inlineStr">
        <is>
          <t>E5</t>
        </is>
      </c>
      <c r="P192" t="inlineStr">
        <is>
          <t>Senior Technical Lead</t>
        </is>
      </c>
      <c r="Q192" t="inlineStr">
        <is>
          <t>Prabhakar Janardhanam (1031867)</t>
        </is>
      </c>
      <c r="R192" s="27" t="n">
        <v>7</v>
      </c>
      <c r="S192" s="1" t="n">
        <v>250000</v>
      </c>
      <c r="T192" s="1">
        <f>ROUND(T_EMPLOYEES[[#This Row],[EMP_CTC1]]/12, 0)</f>
        <v/>
      </c>
      <c r="U192" s="1" t="n">
        <v>150000</v>
      </c>
      <c r="V192" s="1" t="inlineStr">
        <is>
          <t>NH</t>
        </is>
      </c>
      <c r="W192" s="1" t="inlineStr">
        <is>
          <t>NH</t>
        </is>
      </c>
      <c r="X19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2" t="n">
        <v>100000</v>
      </c>
      <c r="Z192" s="29">
        <f>(S192 - U192)/S192 * 100</f>
        <v/>
      </c>
      <c r="AA192">
        <f>IF(T_EMPLOYEES[[#This Row],[EMPLOYEE NUMBER]]="","",ROW(T_EMPLOYEES[[#This Row],[EMPLOYEE LABEL]])-ROW(T_EMPLOYEES[[#Headers],[EMPLOYEE LABEL]]))</f>
        <v/>
      </c>
      <c r="AB192">
        <f>IF(T_EMPLOYEES[[#This Row],[EMPLOYEE NUMBER]]="","",IF(COUNTIF(T_EMPLOYEES[EMPLOYEE NUMBER],T_EMPLOYEES[[#This Row],[EMPLOYEE NUMBER]])&gt;1,1,0))</f>
        <v/>
      </c>
      <c r="AC192">
        <f>IF(T_EMPLOYEES[[#This Row],[EMPLOYEE NUMBER]]="","",IF(AND(T_EMPLOYEES[[#This Row],[DATE OF BIRTH]]&gt;0,T_EMPLOYEES[[#This Row],[DATE OF BIRTH]]&lt;TODAY()),0,1))</f>
        <v/>
      </c>
      <c r="AD192">
        <f>IF(T_EMPLOYEES[[#This Row],[EMPLOYEE NUMBER]]="","",IF(AND(T_EMPLOYEES[[#This Row],[START DATE]]&gt;0,T_EMPLOYEES[[#This Row],[START DATE]]&lt;TODAY()+60),0,1))</f>
        <v/>
      </c>
      <c r="AE192">
        <f>IF(T_EMPLOYEES[[#This Row],[EMPLOYEE NUMBER]]="","",MATCH(T_EMPLOYEES[[#This Row],[GENDER]],L_GENDER,0))</f>
        <v/>
      </c>
      <c r="AF192">
        <f>IF(T_EMPLOYEES[[#This Row],[EMPLOYEE NUMBER]]="","",MATCH(T_EMPLOYEES[[#This Row],[HIRE SOURCE]],L_HIRESOURCE,0))</f>
        <v/>
      </c>
      <c r="AG192">
        <f>IF(T_EMPLOYEES[[#This Row],[EMPLOYEE NUMBER]]="","",MATCH(T_EMPLOYEES[[#This Row],[ETHNICITY]],L_ETHNICITY,0))</f>
        <v/>
      </c>
      <c r="AH192">
        <f>IF(T_EMPLOYEES[[#This Row],[EMPLOYEE NUMBER]]="","",MATCH(T_EMPLOYEES[[#This Row],[LOCATION]],L_LOCATION,0))</f>
        <v/>
      </c>
      <c r="AI192">
        <f>IF(T_EMPLOYEES[[#This Row],[EMPLOYEE NUMBER]]="","",MATCH(T_EMPLOYEES[[#This Row],[DEPARTMENT]],L_DEPARTMENT,0))</f>
        <v/>
      </c>
      <c r="AJ192">
        <f>IF(T_EMPLOYEES[[#This Row],[EMPLOYEE NUMBER]]="","",MATCH(T_EMPLOYEES[[#This Row],[JOB TYPE]],L_JOBTYPE,0))</f>
        <v/>
      </c>
      <c r="AK192">
        <f>IF(T_EMPLOYEES[[#This Row],[EMPLOYEE NUMBER]]="","",MATCH(T_EMPLOYEES[[#This Row],[JOB CATEGORY]],L_JOBCATEGORY,0))</f>
        <v/>
      </c>
      <c r="AL192">
        <f>IF(T_EMPLOYEES[[#This Row],[EMPLOYEE NUMBER]]="","",MATCH(T_EMPLOYEES[[#This Row],[JOB LEVEL]],L_JOBLEVEL,0))</f>
        <v/>
      </c>
      <c r="AM192">
        <f>IF(T_EMPLOYEES[[#This Row],[EMPLOYEE NUMBER]]="","",MATCH(T_EMPLOYEES[[#This Row],[JOB TITLE]],L_JOBTITLE,0))</f>
        <v/>
      </c>
      <c r="AN192">
        <f>IF(T_EMPLOYEES[[#This Row],[EMPLOYEE NUMBER]]="","",MATCH(T_EMPLOYEES[[#This Row],[MANAGER]],L_EMPLABELS,0))</f>
        <v/>
      </c>
      <c r="AO192">
        <f>IF(T_EMPLOYEES[[#This Row],[EMPLOYEE NUMBER]]="","",IF(T_EMPLOYEES[[#This Row],[ERROR]]="",0,1))</f>
        <v/>
      </c>
      <c r="AP19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3">
      <c r="A193" t="inlineStr">
        <is>
          <t>Sreenidhi</t>
        </is>
      </c>
      <c r="B193" t="inlineStr">
        <is>
          <t>B K</t>
        </is>
      </c>
      <c r="C193" t="n">
        <v>1025016</v>
      </c>
      <c r="D193" t="inlineStr">
        <is>
          <t>Sreenidhi.Krishna@infinite.com</t>
        </is>
      </c>
      <c r="E193" s="26" t="n">
        <v>33241</v>
      </c>
      <c r="F193" s="26" t="n">
        <v>44295</v>
      </c>
      <c r="H193" t="inlineStr">
        <is>
          <t>Male</t>
        </is>
      </c>
      <c r="I193" t="inlineStr">
        <is>
          <t>Asian</t>
        </is>
      </c>
      <c r="J193" t="inlineStr">
        <is>
          <t>WEBSITE</t>
        </is>
      </c>
      <c r="K193" t="inlineStr">
        <is>
          <t>Hyderabad</t>
        </is>
      </c>
      <c r="L193" s="27" t="inlineStr">
        <is>
          <t>IT</t>
        </is>
      </c>
      <c r="M193" t="inlineStr">
        <is>
          <t>Full-Time</t>
        </is>
      </c>
      <c r="N193" t="inlineStr">
        <is>
          <t>Senior Software Test Engineer</t>
        </is>
      </c>
      <c r="O193" t="inlineStr">
        <is>
          <t>E3</t>
        </is>
      </c>
      <c r="P193" t="inlineStr">
        <is>
          <t>Senior Software Test Engineer</t>
        </is>
      </c>
      <c r="Q193" t="inlineStr">
        <is>
          <t>Banuka  Hari Prasad (1026788)</t>
        </is>
      </c>
      <c r="R193" t="n">
        <v>3</v>
      </c>
      <c r="S193" s="1" t="n">
        <v>250000</v>
      </c>
      <c r="T193" s="1">
        <f>ROUND(T_EMPLOYEES[[#This Row],[EMP_CTC1]]/12, 0)</f>
        <v/>
      </c>
      <c r="U193" s="1" t="n">
        <v>150000</v>
      </c>
      <c r="V193" s="1" t="inlineStr">
        <is>
          <t>NH</t>
        </is>
      </c>
      <c r="W193" s="1" t="inlineStr">
        <is>
          <t>NH</t>
        </is>
      </c>
      <c r="X19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3" t="n">
        <v>100000</v>
      </c>
      <c r="Z193" s="29">
        <f>(S193 - U193)/S193 * 100</f>
        <v/>
      </c>
      <c r="AA193">
        <f>IF(T_EMPLOYEES[[#This Row],[EMPLOYEE NUMBER]]="","",ROW(T_EMPLOYEES[[#This Row],[EMPLOYEE LABEL]])-ROW(T_EMPLOYEES[[#Headers],[EMPLOYEE LABEL]]))</f>
        <v/>
      </c>
      <c r="AB193">
        <f>IF(T_EMPLOYEES[[#This Row],[EMPLOYEE NUMBER]]="","",IF(COUNTIF(T_EMPLOYEES[EMPLOYEE NUMBER],T_EMPLOYEES[[#This Row],[EMPLOYEE NUMBER]])&gt;1,1,0))</f>
        <v/>
      </c>
      <c r="AC193">
        <f>IF(T_EMPLOYEES[[#This Row],[EMPLOYEE NUMBER]]="","",IF(AND(T_EMPLOYEES[[#This Row],[DATE OF BIRTH]]&gt;0,T_EMPLOYEES[[#This Row],[DATE OF BIRTH]]&lt;TODAY()),0,1))</f>
        <v/>
      </c>
      <c r="AD193">
        <f>IF(T_EMPLOYEES[[#This Row],[EMPLOYEE NUMBER]]="","",IF(AND(T_EMPLOYEES[[#This Row],[START DATE]]&gt;0,T_EMPLOYEES[[#This Row],[START DATE]]&lt;TODAY()+60),0,1))</f>
        <v/>
      </c>
      <c r="AE193">
        <f>IF(T_EMPLOYEES[[#This Row],[EMPLOYEE NUMBER]]="","",MATCH(T_EMPLOYEES[[#This Row],[GENDER]],L_GENDER,0))</f>
        <v/>
      </c>
      <c r="AF193">
        <f>IF(T_EMPLOYEES[[#This Row],[EMPLOYEE NUMBER]]="","",MATCH(T_EMPLOYEES[[#This Row],[HIRE SOURCE]],L_HIRESOURCE,0))</f>
        <v/>
      </c>
      <c r="AG193">
        <f>IF(T_EMPLOYEES[[#This Row],[EMPLOYEE NUMBER]]="","",MATCH(T_EMPLOYEES[[#This Row],[ETHNICITY]],L_ETHNICITY,0))</f>
        <v/>
      </c>
      <c r="AH193">
        <f>IF(T_EMPLOYEES[[#This Row],[EMPLOYEE NUMBER]]="","",MATCH(T_EMPLOYEES[[#This Row],[LOCATION]],L_LOCATION,0))</f>
        <v/>
      </c>
      <c r="AI193">
        <f>IF(T_EMPLOYEES[[#This Row],[EMPLOYEE NUMBER]]="","",MATCH(T_EMPLOYEES[[#This Row],[DEPARTMENT]],L_DEPARTMENT,0))</f>
        <v/>
      </c>
      <c r="AJ193">
        <f>IF(T_EMPLOYEES[[#This Row],[EMPLOYEE NUMBER]]="","",MATCH(T_EMPLOYEES[[#This Row],[JOB TYPE]],L_JOBTYPE,0))</f>
        <v/>
      </c>
      <c r="AK193">
        <f>IF(T_EMPLOYEES[[#This Row],[EMPLOYEE NUMBER]]="","",MATCH(T_EMPLOYEES[[#This Row],[JOB CATEGORY]],L_JOBCATEGORY,0))</f>
        <v/>
      </c>
      <c r="AL193">
        <f>IF(T_EMPLOYEES[[#This Row],[EMPLOYEE NUMBER]]="","",MATCH(T_EMPLOYEES[[#This Row],[JOB LEVEL]],L_JOBLEVEL,0))</f>
        <v/>
      </c>
      <c r="AM193">
        <f>IF(T_EMPLOYEES[[#This Row],[EMPLOYEE NUMBER]]="","",MATCH(T_EMPLOYEES[[#This Row],[JOB TITLE]],L_JOBTITLE,0))</f>
        <v/>
      </c>
      <c r="AN193">
        <f>IF(T_EMPLOYEES[[#This Row],[EMPLOYEE NUMBER]]="","",MATCH(T_EMPLOYEES[[#This Row],[MANAGER]],L_EMPLABELS,0))</f>
        <v/>
      </c>
      <c r="AO193">
        <f>IF(T_EMPLOYEES[[#This Row],[EMPLOYEE NUMBER]]="","",IF(T_EMPLOYEES[[#This Row],[ERROR]]="",0,1))</f>
        <v/>
      </c>
      <c r="AP19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4">
      <c r="A194" t="inlineStr">
        <is>
          <t>Mudigolam</t>
        </is>
      </c>
      <c r="B194" t="inlineStr">
        <is>
          <t xml:space="preserve"> Silpa</t>
        </is>
      </c>
      <c r="C194" t="n">
        <v>1020749</v>
      </c>
      <c r="D194" t="inlineStr">
        <is>
          <t>Silpa.Mudigolam@infinite.com</t>
        </is>
      </c>
      <c r="E194" s="26" t="n">
        <v>33297</v>
      </c>
      <c r="F194" s="26" t="n">
        <v>43311</v>
      </c>
      <c r="H194" t="inlineStr">
        <is>
          <t>Female</t>
        </is>
      </c>
      <c r="I194" t="inlineStr">
        <is>
          <t>Asian</t>
        </is>
      </c>
      <c r="J194" t="inlineStr">
        <is>
          <t>WEBSITE</t>
        </is>
      </c>
      <c r="K194" t="inlineStr">
        <is>
          <t>Bangalore</t>
        </is>
      </c>
      <c r="L194" s="27" t="inlineStr">
        <is>
          <t>IT</t>
        </is>
      </c>
      <c r="M194" t="inlineStr">
        <is>
          <t>Full-Time</t>
        </is>
      </c>
      <c r="N194" t="inlineStr">
        <is>
          <t>Technical Lead</t>
        </is>
      </c>
      <c r="O194" t="inlineStr">
        <is>
          <t>E4</t>
        </is>
      </c>
      <c r="P194" t="inlineStr">
        <is>
          <t>Technical Lead</t>
        </is>
      </c>
      <c r="Q194" t="inlineStr">
        <is>
          <t>T  Muthukumar (1022795)</t>
        </is>
      </c>
      <c r="R194" s="27" t="n">
        <v>5</v>
      </c>
      <c r="S194" s="1" t="n">
        <v>250000</v>
      </c>
      <c r="T194" s="1">
        <f>ROUND(T_EMPLOYEES[[#This Row],[EMP_CTC1]]/12, 0)</f>
        <v/>
      </c>
      <c r="U194" s="1" t="n">
        <v>150000</v>
      </c>
      <c r="V194" s="1" t="inlineStr">
        <is>
          <t>NH</t>
        </is>
      </c>
      <c r="W194" s="1" t="inlineStr">
        <is>
          <t>NH Projects</t>
        </is>
      </c>
      <c r="X19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4" t="n">
        <v>100000</v>
      </c>
      <c r="Z194" s="29">
        <f>(S194 - U194)/S194 * 100</f>
        <v/>
      </c>
      <c r="AA194">
        <f>IF(T_EMPLOYEES[[#This Row],[EMPLOYEE NUMBER]]="","",ROW(T_EMPLOYEES[[#This Row],[EMPLOYEE LABEL]])-ROW(T_EMPLOYEES[[#Headers],[EMPLOYEE LABEL]]))</f>
        <v/>
      </c>
      <c r="AB194">
        <f>IF(T_EMPLOYEES[[#This Row],[EMPLOYEE NUMBER]]="","",IF(COUNTIF(T_EMPLOYEES[EMPLOYEE NUMBER],T_EMPLOYEES[[#This Row],[EMPLOYEE NUMBER]])&gt;1,1,0))</f>
        <v/>
      </c>
      <c r="AC194">
        <f>IF(T_EMPLOYEES[[#This Row],[EMPLOYEE NUMBER]]="","",IF(AND(T_EMPLOYEES[[#This Row],[DATE OF BIRTH]]&gt;0,T_EMPLOYEES[[#This Row],[DATE OF BIRTH]]&lt;TODAY()),0,1))</f>
        <v/>
      </c>
      <c r="AD194">
        <f>IF(T_EMPLOYEES[[#This Row],[EMPLOYEE NUMBER]]="","",IF(AND(T_EMPLOYEES[[#This Row],[START DATE]]&gt;0,T_EMPLOYEES[[#This Row],[START DATE]]&lt;TODAY()+60),0,1))</f>
        <v/>
      </c>
      <c r="AE194">
        <f>IF(T_EMPLOYEES[[#This Row],[EMPLOYEE NUMBER]]="","",MATCH(T_EMPLOYEES[[#This Row],[GENDER]],L_GENDER,0))</f>
        <v/>
      </c>
      <c r="AF194">
        <f>IF(T_EMPLOYEES[[#This Row],[EMPLOYEE NUMBER]]="","",MATCH(T_EMPLOYEES[[#This Row],[HIRE SOURCE]],L_HIRESOURCE,0))</f>
        <v/>
      </c>
      <c r="AG194">
        <f>IF(T_EMPLOYEES[[#This Row],[EMPLOYEE NUMBER]]="","",MATCH(T_EMPLOYEES[[#This Row],[ETHNICITY]],L_ETHNICITY,0))</f>
        <v/>
      </c>
      <c r="AH194">
        <f>IF(T_EMPLOYEES[[#This Row],[EMPLOYEE NUMBER]]="","",MATCH(T_EMPLOYEES[[#This Row],[LOCATION]],L_LOCATION,0))</f>
        <v/>
      </c>
      <c r="AI194">
        <f>IF(T_EMPLOYEES[[#This Row],[EMPLOYEE NUMBER]]="","",MATCH(T_EMPLOYEES[[#This Row],[DEPARTMENT]],L_DEPARTMENT,0))</f>
        <v/>
      </c>
      <c r="AJ194">
        <f>IF(T_EMPLOYEES[[#This Row],[EMPLOYEE NUMBER]]="","",MATCH(T_EMPLOYEES[[#This Row],[JOB TYPE]],L_JOBTYPE,0))</f>
        <v/>
      </c>
      <c r="AK194">
        <f>IF(T_EMPLOYEES[[#This Row],[EMPLOYEE NUMBER]]="","",MATCH(T_EMPLOYEES[[#This Row],[JOB CATEGORY]],L_JOBCATEGORY,0))</f>
        <v/>
      </c>
      <c r="AL194">
        <f>IF(T_EMPLOYEES[[#This Row],[EMPLOYEE NUMBER]]="","",MATCH(T_EMPLOYEES[[#This Row],[JOB LEVEL]],L_JOBLEVEL,0))</f>
        <v/>
      </c>
      <c r="AM194">
        <f>IF(T_EMPLOYEES[[#This Row],[EMPLOYEE NUMBER]]="","",MATCH(T_EMPLOYEES[[#This Row],[JOB TITLE]],L_JOBTITLE,0))</f>
        <v/>
      </c>
      <c r="AN194">
        <f>IF(T_EMPLOYEES[[#This Row],[EMPLOYEE NUMBER]]="","",MATCH(T_EMPLOYEES[[#This Row],[MANAGER]],L_EMPLABELS,0))</f>
        <v/>
      </c>
      <c r="AO194">
        <f>IF(T_EMPLOYEES[[#This Row],[EMPLOYEE NUMBER]]="","",IF(T_EMPLOYEES[[#This Row],[ERROR]]="",0,1))</f>
        <v/>
      </c>
      <c r="AP19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5">
      <c r="A195" t="inlineStr">
        <is>
          <t>Vikash</t>
        </is>
      </c>
      <c r="B195" t="inlineStr">
        <is>
          <t xml:space="preserve"> Kumar</t>
        </is>
      </c>
      <c r="C195" t="n">
        <v>1028711</v>
      </c>
      <c r="D195" t="inlineStr">
        <is>
          <t>Vikash.Kumar2@infinite.com</t>
        </is>
      </c>
      <c r="E195" s="26" t="n">
        <v>33297</v>
      </c>
      <c r="F195" s="26" t="n">
        <v>44650</v>
      </c>
      <c r="H195" t="inlineStr">
        <is>
          <t>Male</t>
        </is>
      </c>
      <c r="I195" t="inlineStr">
        <is>
          <t>Asian</t>
        </is>
      </c>
      <c r="J195" t="inlineStr">
        <is>
          <t>WEBSITE</t>
        </is>
      </c>
      <c r="K195" t="inlineStr">
        <is>
          <t>Bangalore</t>
        </is>
      </c>
      <c r="L195" s="27" t="inlineStr">
        <is>
          <t>IT</t>
        </is>
      </c>
      <c r="M195" t="inlineStr">
        <is>
          <t>Full-Time</t>
        </is>
      </c>
      <c r="N195" t="inlineStr">
        <is>
          <t>Senior Business Analyst</t>
        </is>
      </c>
      <c r="O195" t="inlineStr">
        <is>
          <t>E3</t>
        </is>
      </c>
      <c r="P195" t="inlineStr">
        <is>
          <t>Senior Business Analyst</t>
        </is>
      </c>
      <c r="Q195" t="inlineStr">
        <is>
          <t>Gangadhar Chiluka (1022458)</t>
        </is>
      </c>
      <c r="R195" t="n">
        <v>3</v>
      </c>
      <c r="S195" s="1" t="n">
        <v>250000</v>
      </c>
      <c r="T195" s="1">
        <f>ROUND(T_EMPLOYEES[[#This Row],[EMP_CTC1]]/12, 0)</f>
        <v/>
      </c>
      <c r="U195" s="1" t="n">
        <v>150000</v>
      </c>
      <c r="V195" s="1" t="inlineStr">
        <is>
          <t>NH</t>
        </is>
      </c>
      <c r="W195" s="1" t="inlineStr">
        <is>
          <t>NH</t>
        </is>
      </c>
      <c r="X19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5" t="n">
        <v>100000</v>
      </c>
      <c r="Z195" s="29">
        <f>(S195 - U195)/S195 * 100</f>
        <v/>
      </c>
      <c r="AA195">
        <f>IF(T_EMPLOYEES[[#This Row],[EMPLOYEE NUMBER]]="","",ROW(T_EMPLOYEES[[#This Row],[EMPLOYEE LABEL]])-ROW(T_EMPLOYEES[[#Headers],[EMPLOYEE LABEL]]))</f>
        <v/>
      </c>
      <c r="AB195">
        <f>IF(T_EMPLOYEES[[#This Row],[EMPLOYEE NUMBER]]="","",IF(COUNTIF(T_EMPLOYEES[EMPLOYEE NUMBER],T_EMPLOYEES[[#This Row],[EMPLOYEE NUMBER]])&gt;1,1,0))</f>
        <v/>
      </c>
      <c r="AC195">
        <f>IF(T_EMPLOYEES[[#This Row],[EMPLOYEE NUMBER]]="","",IF(AND(T_EMPLOYEES[[#This Row],[DATE OF BIRTH]]&gt;0,T_EMPLOYEES[[#This Row],[DATE OF BIRTH]]&lt;TODAY()),0,1))</f>
        <v/>
      </c>
      <c r="AD195">
        <f>IF(T_EMPLOYEES[[#This Row],[EMPLOYEE NUMBER]]="","",IF(AND(T_EMPLOYEES[[#This Row],[START DATE]]&gt;0,T_EMPLOYEES[[#This Row],[START DATE]]&lt;TODAY()+60),0,1))</f>
        <v/>
      </c>
      <c r="AE195">
        <f>IF(T_EMPLOYEES[[#This Row],[EMPLOYEE NUMBER]]="","",MATCH(T_EMPLOYEES[[#This Row],[GENDER]],L_GENDER,0))</f>
        <v/>
      </c>
      <c r="AF195">
        <f>IF(T_EMPLOYEES[[#This Row],[EMPLOYEE NUMBER]]="","",MATCH(T_EMPLOYEES[[#This Row],[HIRE SOURCE]],L_HIRESOURCE,0))</f>
        <v/>
      </c>
      <c r="AG195">
        <f>IF(T_EMPLOYEES[[#This Row],[EMPLOYEE NUMBER]]="","",MATCH(T_EMPLOYEES[[#This Row],[ETHNICITY]],L_ETHNICITY,0))</f>
        <v/>
      </c>
      <c r="AH195">
        <f>IF(T_EMPLOYEES[[#This Row],[EMPLOYEE NUMBER]]="","",MATCH(T_EMPLOYEES[[#This Row],[LOCATION]],L_LOCATION,0))</f>
        <v/>
      </c>
      <c r="AI195">
        <f>IF(T_EMPLOYEES[[#This Row],[EMPLOYEE NUMBER]]="","",MATCH(T_EMPLOYEES[[#This Row],[DEPARTMENT]],L_DEPARTMENT,0))</f>
        <v/>
      </c>
      <c r="AJ195">
        <f>IF(T_EMPLOYEES[[#This Row],[EMPLOYEE NUMBER]]="","",MATCH(T_EMPLOYEES[[#This Row],[JOB TYPE]],L_JOBTYPE,0))</f>
        <v/>
      </c>
      <c r="AK195">
        <f>IF(T_EMPLOYEES[[#This Row],[EMPLOYEE NUMBER]]="","",MATCH(T_EMPLOYEES[[#This Row],[JOB CATEGORY]],L_JOBCATEGORY,0))</f>
        <v/>
      </c>
      <c r="AL195">
        <f>IF(T_EMPLOYEES[[#This Row],[EMPLOYEE NUMBER]]="","",MATCH(T_EMPLOYEES[[#This Row],[JOB LEVEL]],L_JOBLEVEL,0))</f>
        <v/>
      </c>
      <c r="AM195">
        <f>IF(T_EMPLOYEES[[#This Row],[EMPLOYEE NUMBER]]="","",MATCH(T_EMPLOYEES[[#This Row],[JOB TITLE]],L_JOBTITLE,0))</f>
        <v/>
      </c>
      <c r="AN195">
        <f>IF(T_EMPLOYEES[[#This Row],[EMPLOYEE NUMBER]]="","",MATCH(T_EMPLOYEES[[#This Row],[MANAGER]],L_EMPLABELS,0))</f>
        <v/>
      </c>
      <c r="AO195">
        <f>IF(T_EMPLOYEES[[#This Row],[EMPLOYEE NUMBER]]="","",IF(T_EMPLOYEES[[#This Row],[ERROR]]="",0,1))</f>
        <v/>
      </c>
      <c r="AP19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6">
      <c r="A196" t="inlineStr">
        <is>
          <t>Pasunoori</t>
        </is>
      </c>
      <c r="B196" t="inlineStr">
        <is>
          <t xml:space="preserve"> Vijaykumar</t>
        </is>
      </c>
      <c r="C196" t="n">
        <v>1024823</v>
      </c>
      <c r="D196" t="inlineStr">
        <is>
          <t>Vijaykumar.Pasunoori@infinite.com</t>
        </is>
      </c>
      <c r="E196" s="26" t="n">
        <v>33334</v>
      </c>
      <c r="F196" s="26" t="n">
        <v>44273</v>
      </c>
      <c r="H196" t="inlineStr">
        <is>
          <t>Male</t>
        </is>
      </c>
      <c r="I196" t="inlineStr">
        <is>
          <t>Asian</t>
        </is>
      </c>
      <c r="J196" t="inlineStr">
        <is>
          <t>WEBSITE</t>
        </is>
      </c>
      <c r="K196" t="inlineStr">
        <is>
          <t>Bangalore</t>
        </is>
      </c>
      <c r="L196" s="27" t="inlineStr">
        <is>
          <t>IT</t>
        </is>
      </c>
      <c r="M196" t="inlineStr">
        <is>
          <t>Full-Time</t>
        </is>
      </c>
      <c r="N196" t="inlineStr">
        <is>
          <t>Senior Software Test Engineer</t>
        </is>
      </c>
      <c r="O196" t="inlineStr">
        <is>
          <t>E3</t>
        </is>
      </c>
      <c r="P196" t="inlineStr">
        <is>
          <t>Senior Software Test Engineer</t>
        </is>
      </c>
      <c r="Q196" t="inlineStr">
        <is>
          <t>Maddipati Mohan Chowdary (1025070)</t>
        </is>
      </c>
      <c r="R196" s="27" t="n">
        <v>3</v>
      </c>
      <c r="S196" s="1" t="n">
        <v>250000</v>
      </c>
      <c r="T196" s="1">
        <f>ROUND(T_EMPLOYEES[[#This Row],[EMP_CTC1]]/12, 0)</f>
        <v/>
      </c>
      <c r="U196" s="1" t="n">
        <v>150000</v>
      </c>
      <c r="V196" s="1" t="inlineStr">
        <is>
          <t>NH</t>
        </is>
      </c>
      <c r="W196" s="1" t="inlineStr">
        <is>
          <t>NH</t>
        </is>
      </c>
      <c r="X19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6" t="n">
        <v>100000</v>
      </c>
      <c r="Z196" s="29">
        <f>(S196 - U196)/S196 * 100</f>
        <v/>
      </c>
      <c r="AA196">
        <f>IF(T_EMPLOYEES[[#This Row],[EMPLOYEE NUMBER]]="","",ROW(T_EMPLOYEES[[#This Row],[EMPLOYEE LABEL]])-ROW(T_EMPLOYEES[[#Headers],[EMPLOYEE LABEL]]))</f>
        <v/>
      </c>
      <c r="AB196">
        <f>IF(T_EMPLOYEES[[#This Row],[EMPLOYEE NUMBER]]="","",IF(COUNTIF(T_EMPLOYEES[EMPLOYEE NUMBER],T_EMPLOYEES[[#This Row],[EMPLOYEE NUMBER]])&gt;1,1,0))</f>
        <v/>
      </c>
      <c r="AC196">
        <f>IF(T_EMPLOYEES[[#This Row],[EMPLOYEE NUMBER]]="","",IF(AND(T_EMPLOYEES[[#This Row],[DATE OF BIRTH]]&gt;0,T_EMPLOYEES[[#This Row],[DATE OF BIRTH]]&lt;TODAY()),0,1))</f>
        <v/>
      </c>
      <c r="AD196">
        <f>IF(T_EMPLOYEES[[#This Row],[EMPLOYEE NUMBER]]="","",IF(AND(T_EMPLOYEES[[#This Row],[START DATE]]&gt;0,T_EMPLOYEES[[#This Row],[START DATE]]&lt;TODAY()+60),0,1))</f>
        <v/>
      </c>
      <c r="AE196">
        <f>IF(T_EMPLOYEES[[#This Row],[EMPLOYEE NUMBER]]="","",MATCH(T_EMPLOYEES[[#This Row],[GENDER]],L_GENDER,0))</f>
        <v/>
      </c>
      <c r="AF196">
        <f>IF(T_EMPLOYEES[[#This Row],[EMPLOYEE NUMBER]]="","",MATCH(T_EMPLOYEES[[#This Row],[HIRE SOURCE]],L_HIRESOURCE,0))</f>
        <v/>
      </c>
      <c r="AG196">
        <f>IF(T_EMPLOYEES[[#This Row],[EMPLOYEE NUMBER]]="","",MATCH(T_EMPLOYEES[[#This Row],[ETHNICITY]],L_ETHNICITY,0))</f>
        <v/>
      </c>
      <c r="AH196">
        <f>IF(T_EMPLOYEES[[#This Row],[EMPLOYEE NUMBER]]="","",MATCH(T_EMPLOYEES[[#This Row],[LOCATION]],L_LOCATION,0))</f>
        <v/>
      </c>
      <c r="AI196">
        <f>IF(T_EMPLOYEES[[#This Row],[EMPLOYEE NUMBER]]="","",MATCH(T_EMPLOYEES[[#This Row],[DEPARTMENT]],L_DEPARTMENT,0))</f>
        <v/>
      </c>
      <c r="AJ196">
        <f>IF(T_EMPLOYEES[[#This Row],[EMPLOYEE NUMBER]]="","",MATCH(T_EMPLOYEES[[#This Row],[JOB TYPE]],L_JOBTYPE,0))</f>
        <v/>
      </c>
      <c r="AK196">
        <f>IF(T_EMPLOYEES[[#This Row],[EMPLOYEE NUMBER]]="","",MATCH(T_EMPLOYEES[[#This Row],[JOB CATEGORY]],L_JOBCATEGORY,0))</f>
        <v/>
      </c>
      <c r="AL196">
        <f>IF(T_EMPLOYEES[[#This Row],[EMPLOYEE NUMBER]]="","",MATCH(T_EMPLOYEES[[#This Row],[JOB LEVEL]],L_JOBLEVEL,0))</f>
        <v/>
      </c>
      <c r="AM196">
        <f>IF(T_EMPLOYEES[[#This Row],[EMPLOYEE NUMBER]]="","",MATCH(T_EMPLOYEES[[#This Row],[JOB TITLE]],L_JOBTITLE,0))</f>
        <v/>
      </c>
      <c r="AN196">
        <f>IF(T_EMPLOYEES[[#This Row],[EMPLOYEE NUMBER]]="","",MATCH(T_EMPLOYEES[[#This Row],[MANAGER]],L_EMPLABELS,0))</f>
        <v/>
      </c>
      <c r="AO196">
        <f>IF(T_EMPLOYEES[[#This Row],[EMPLOYEE NUMBER]]="","",IF(T_EMPLOYEES[[#This Row],[ERROR]]="",0,1))</f>
        <v/>
      </c>
      <c r="AP19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7">
      <c r="A197" t="inlineStr">
        <is>
          <t>Koppala</t>
        </is>
      </c>
      <c r="B197" t="inlineStr">
        <is>
          <t>Bayapu Reddy</t>
        </is>
      </c>
      <c r="C197" t="n">
        <v>1022330</v>
      </c>
      <c r="D197" t="inlineStr">
        <is>
          <t>Bayapu.Reddy@infinite.com</t>
        </is>
      </c>
      <c r="E197" s="26" t="n">
        <v>33342</v>
      </c>
      <c r="F197" s="26" t="n">
        <v>43649</v>
      </c>
      <c r="H197" t="inlineStr">
        <is>
          <t>Male</t>
        </is>
      </c>
      <c r="I197" t="inlineStr">
        <is>
          <t>Asian</t>
        </is>
      </c>
      <c r="J197" t="inlineStr">
        <is>
          <t>WEBSITE</t>
        </is>
      </c>
      <c r="K197" t="inlineStr">
        <is>
          <t>Bangalore</t>
        </is>
      </c>
      <c r="L197" s="27" t="inlineStr">
        <is>
          <t>IT</t>
        </is>
      </c>
      <c r="M197" t="inlineStr">
        <is>
          <t>Full-Time</t>
        </is>
      </c>
      <c r="N197" t="inlineStr">
        <is>
          <t>Technical Lead</t>
        </is>
      </c>
      <c r="O197" t="inlineStr">
        <is>
          <t>E4</t>
        </is>
      </c>
      <c r="P197" t="inlineStr">
        <is>
          <t>Technical Lead</t>
        </is>
      </c>
      <c r="Q197" t="inlineStr">
        <is>
          <t>Rashmi  Manchanda (1023573)</t>
        </is>
      </c>
      <c r="R197" t="n">
        <v>5</v>
      </c>
      <c r="S197" s="1" t="n">
        <v>250000</v>
      </c>
      <c r="T197" s="1">
        <f>ROUND(T_EMPLOYEES[[#This Row],[EMP_CTC1]]/12, 0)</f>
        <v/>
      </c>
      <c r="U197" s="1" t="n">
        <v>150000</v>
      </c>
      <c r="V197" s="1" t="inlineStr">
        <is>
          <t>NH</t>
        </is>
      </c>
      <c r="W197" s="1" t="inlineStr">
        <is>
          <t>NH</t>
        </is>
      </c>
      <c r="X19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7" t="n">
        <v>100000</v>
      </c>
      <c r="Z197" s="29">
        <f>(S197 - U197)/S197 * 100</f>
        <v/>
      </c>
      <c r="AA197">
        <f>IF(T_EMPLOYEES[[#This Row],[EMPLOYEE NUMBER]]="","",ROW(T_EMPLOYEES[[#This Row],[EMPLOYEE LABEL]])-ROW(T_EMPLOYEES[[#Headers],[EMPLOYEE LABEL]]))</f>
        <v/>
      </c>
      <c r="AB197">
        <f>IF(T_EMPLOYEES[[#This Row],[EMPLOYEE NUMBER]]="","",IF(COUNTIF(T_EMPLOYEES[EMPLOYEE NUMBER],T_EMPLOYEES[[#This Row],[EMPLOYEE NUMBER]])&gt;1,1,0))</f>
        <v/>
      </c>
      <c r="AC197">
        <f>IF(T_EMPLOYEES[[#This Row],[EMPLOYEE NUMBER]]="","",IF(AND(T_EMPLOYEES[[#This Row],[DATE OF BIRTH]]&gt;0,T_EMPLOYEES[[#This Row],[DATE OF BIRTH]]&lt;TODAY()),0,1))</f>
        <v/>
      </c>
      <c r="AD197">
        <f>IF(T_EMPLOYEES[[#This Row],[EMPLOYEE NUMBER]]="","",IF(AND(T_EMPLOYEES[[#This Row],[START DATE]]&gt;0,T_EMPLOYEES[[#This Row],[START DATE]]&lt;TODAY()+60),0,1))</f>
        <v/>
      </c>
      <c r="AE197">
        <f>IF(T_EMPLOYEES[[#This Row],[EMPLOYEE NUMBER]]="","",MATCH(T_EMPLOYEES[[#This Row],[GENDER]],L_GENDER,0))</f>
        <v/>
      </c>
      <c r="AF197">
        <f>IF(T_EMPLOYEES[[#This Row],[EMPLOYEE NUMBER]]="","",MATCH(T_EMPLOYEES[[#This Row],[HIRE SOURCE]],L_HIRESOURCE,0))</f>
        <v/>
      </c>
      <c r="AG197">
        <f>IF(T_EMPLOYEES[[#This Row],[EMPLOYEE NUMBER]]="","",MATCH(T_EMPLOYEES[[#This Row],[ETHNICITY]],L_ETHNICITY,0))</f>
        <v/>
      </c>
      <c r="AH197">
        <f>IF(T_EMPLOYEES[[#This Row],[EMPLOYEE NUMBER]]="","",MATCH(T_EMPLOYEES[[#This Row],[LOCATION]],L_LOCATION,0))</f>
        <v/>
      </c>
      <c r="AI197">
        <f>IF(T_EMPLOYEES[[#This Row],[EMPLOYEE NUMBER]]="","",MATCH(T_EMPLOYEES[[#This Row],[DEPARTMENT]],L_DEPARTMENT,0))</f>
        <v/>
      </c>
      <c r="AJ197">
        <f>IF(T_EMPLOYEES[[#This Row],[EMPLOYEE NUMBER]]="","",MATCH(T_EMPLOYEES[[#This Row],[JOB TYPE]],L_JOBTYPE,0))</f>
        <v/>
      </c>
      <c r="AK197">
        <f>IF(T_EMPLOYEES[[#This Row],[EMPLOYEE NUMBER]]="","",MATCH(T_EMPLOYEES[[#This Row],[JOB CATEGORY]],L_JOBCATEGORY,0))</f>
        <v/>
      </c>
      <c r="AL197">
        <f>IF(T_EMPLOYEES[[#This Row],[EMPLOYEE NUMBER]]="","",MATCH(T_EMPLOYEES[[#This Row],[JOB LEVEL]],L_JOBLEVEL,0))</f>
        <v/>
      </c>
      <c r="AM197">
        <f>IF(T_EMPLOYEES[[#This Row],[EMPLOYEE NUMBER]]="","",MATCH(T_EMPLOYEES[[#This Row],[JOB TITLE]],L_JOBTITLE,0))</f>
        <v/>
      </c>
      <c r="AN197">
        <f>IF(T_EMPLOYEES[[#This Row],[EMPLOYEE NUMBER]]="","",MATCH(T_EMPLOYEES[[#This Row],[MANAGER]],L_EMPLABELS,0))</f>
        <v/>
      </c>
      <c r="AO197">
        <f>IF(T_EMPLOYEES[[#This Row],[EMPLOYEE NUMBER]]="","",IF(T_EMPLOYEES[[#This Row],[ERROR]]="",0,1))</f>
        <v/>
      </c>
      <c r="AP19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8">
      <c r="A198" t="inlineStr">
        <is>
          <t>Jayasudha</t>
        </is>
      </c>
      <c r="B198" t="inlineStr">
        <is>
          <t xml:space="preserve"> T</t>
        </is>
      </c>
      <c r="C198" t="n">
        <v>1033588</v>
      </c>
      <c r="D198" t="inlineStr">
        <is>
          <t>Jayasudha.Thirusangu@infinite.com</t>
        </is>
      </c>
      <c r="E198" s="26" t="n">
        <v>33399</v>
      </c>
      <c r="F198" s="26" t="n">
        <v>45194</v>
      </c>
      <c r="H198" t="inlineStr">
        <is>
          <t>Female</t>
        </is>
      </c>
      <c r="I198" t="inlineStr">
        <is>
          <t>Asian</t>
        </is>
      </c>
      <c r="J198" t="inlineStr">
        <is>
          <t>WEBSITE</t>
        </is>
      </c>
      <c r="K198" t="inlineStr">
        <is>
          <t>Bangalore</t>
        </is>
      </c>
      <c r="L198" s="27" t="inlineStr">
        <is>
          <t>IT</t>
        </is>
      </c>
      <c r="M198" t="inlineStr">
        <is>
          <t>Full-Time</t>
        </is>
      </c>
      <c r="N198" t="inlineStr">
        <is>
          <t>Technical Lead</t>
        </is>
      </c>
      <c r="O198" t="inlineStr">
        <is>
          <t>E4</t>
        </is>
      </c>
      <c r="P198" t="inlineStr">
        <is>
          <t>Technical Lead</t>
        </is>
      </c>
      <c r="Q198" t="inlineStr">
        <is>
          <t>Avdhut Sunil Kavdikar (1032836)</t>
        </is>
      </c>
      <c r="R198" s="27" t="n">
        <v>5</v>
      </c>
      <c r="S198" s="1" t="n">
        <v>250000</v>
      </c>
      <c r="T198" s="1">
        <f>ROUND(T_EMPLOYEES[[#This Row],[EMP_CTC1]]/12, 0)</f>
        <v/>
      </c>
      <c r="U198" s="1" t="n">
        <v>150000</v>
      </c>
      <c r="V198" s="1" t="inlineStr">
        <is>
          <t>NH</t>
        </is>
      </c>
      <c r="W198" s="1" t="inlineStr">
        <is>
          <t>NH</t>
        </is>
      </c>
      <c r="X19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8" t="n">
        <v>100000</v>
      </c>
      <c r="Z198" s="29">
        <f>(S198 - U198)/S198 * 100</f>
        <v/>
      </c>
      <c r="AA198">
        <f>IF(T_EMPLOYEES[[#This Row],[EMPLOYEE NUMBER]]="","",ROW(T_EMPLOYEES[[#This Row],[EMPLOYEE LABEL]])-ROW(T_EMPLOYEES[[#Headers],[EMPLOYEE LABEL]]))</f>
        <v/>
      </c>
      <c r="AB198">
        <f>IF(T_EMPLOYEES[[#This Row],[EMPLOYEE NUMBER]]="","",IF(COUNTIF(T_EMPLOYEES[EMPLOYEE NUMBER],T_EMPLOYEES[[#This Row],[EMPLOYEE NUMBER]])&gt;1,1,0))</f>
        <v/>
      </c>
      <c r="AC198">
        <f>IF(T_EMPLOYEES[[#This Row],[EMPLOYEE NUMBER]]="","",IF(AND(T_EMPLOYEES[[#This Row],[DATE OF BIRTH]]&gt;0,T_EMPLOYEES[[#This Row],[DATE OF BIRTH]]&lt;TODAY()),0,1))</f>
        <v/>
      </c>
      <c r="AD198">
        <f>IF(T_EMPLOYEES[[#This Row],[EMPLOYEE NUMBER]]="","",IF(AND(T_EMPLOYEES[[#This Row],[START DATE]]&gt;0,T_EMPLOYEES[[#This Row],[START DATE]]&lt;TODAY()+60),0,1))</f>
        <v/>
      </c>
      <c r="AE198">
        <f>IF(T_EMPLOYEES[[#This Row],[EMPLOYEE NUMBER]]="","",MATCH(T_EMPLOYEES[[#This Row],[GENDER]],L_GENDER,0))</f>
        <v/>
      </c>
      <c r="AF198">
        <f>IF(T_EMPLOYEES[[#This Row],[EMPLOYEE NUMBER]]="","",MATCH(T_EMPLOYEES[[#This Row],[HIRE SOURCE]],L_HIRESOURCE,0))</f>
        <v/>
      </c>
      <c r="AG198">
        <f>IF(T_EMPLOYEES[[#This Row],[EMPLOYEE NUMBER]]="","",MATCH(T_EMPLOYEES[[#This Row],[ETHNICITY]],L_ETHNICITY,0))</f>
        <v/>
      </c>
      <c r="AH198">
        <f>IF(T_EMPLOYEES[[#This Row],[EMPLOYEE NUMBER]]="","",MATCH(T_EMPLOYEES[[#This Row],[LOCATION]],L_LOCATION,0))</f>
        <v/>
      </c>
      <c r="AI198">
        <f>IF(T_EMPLOYEES[[#This Row],[EMPLOYEE NUMBER]]="","",MATCH(T_EMPLOYEES[[#This Row],[DEPARTMENT]],L_DEPARTMENT,0))</f>
        <v/>
      </c>
      <c r="AJ198">
        <f>IF(T_EMPLOYEES[[#This Row],[EMPLOYEE NUMBER]]="","",MATCH(T_EMPLOYEES[[#This Row],[JOB TYPE]],L_JOBTYPE,0))</f>
        <v/>
      </c>
      <c r="AK198">
        <f>IF(T_EMPLOYEES[[#This Row],[EMPLOYEE NUMBER]]="","",MATCH(T_EMPLOYEES[[#This Row],[JOB CATEGORY]],L_JOBCATEGORY,0))</f>
        <v/>
      </c>
      <c r="AL198">
        <f>IF(T_EMPLOYEES[[#This Row],[EMPLOYEE NUMBER]]="","",MATCH(T_EMPLOYEES[[#This Row],[JOB LEVEL]],L_JOBLEVEL,0))</f>
        <v/>
      </c>
      <c r="AM198">
        <f>IF(T_EMPLOYEES[[#This Row],[EMPLOYEE NUMBER]]="","",MATCH(T_EMPLOYEES[[#This Row],[JOB TITLE]],L_JOBTITLE,0))</f>
        <v/>
      </c>
      <c r="AN198">
        <f>IF(T_EMPLOYEES[[#This Row],[EMPLOYEE NUMBER]]="","",MATCH(T_EMPLOYEES[[#This Row],[MANAGER]],L_EMPLABELS,0))</f>
        <v/>
      </c>
      <c r="AO198">
        <f>IF(T_EMPLOYEES[[#This Row],[EMPLOYEE NUMBER]]="","",IF(T_EMPLOYEES[[#This Row],[ERROR]]="",0,1))</f>
        <v/>
      </c>
      <c r="AP19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199">
      <c r="A199" t="inlineStr">
        <is>
          <t>Shahensha</t>
        </is>
      </c>
      <c r="B199" t="inlineStr">
        <is>
          <t>Shaik Mahaboob</t>
        </is>
      </c>
      <c r="C199" t="n">
        <v>1031851</v>
      </c>
      <c r="D199" t="inlineStr">
        <is>
          <t>Shahensha.Shaikmahaboob@infinite.com</t>
        </is>
      </c>
      <c r="E199" s="26" t="n">
        <v>33408</v>
      </c>
      <c r="F199" s="26" t="n">
        <v>44914</v>
      </c>
      <c r="H199" t="inlineStr">
        <is>
          <t>Male</t>
        </is>
      </c>
      <c r="I199" t="inlineStr">
        <is>
          <t>Asian</t>
        </is>
      </c>
      <c r="J199" t="inlineStr">
        <is>
          <t>WEBSITE</t>
        </is>
      </c>
      <c r="K199" t="inlineStr">
        <is>
          <t>Bangalore</t>
        </is>
      </c>
      <c r="L199" s="27" t="inlineStr">
        <is>
          <t>IT</t>
        </is>
      </c>
      <c r="M199" t="inlineStr">
        <is>
          <t>Full-Time</t>
        </is>
      </c>
      <c r="N199" t="inlineStr">
        <is>
          <t>Lead System Engineer</t>
        </is>
      </c>
      <c r="O199" t="inlineStr">
        <is>
          <t>E4</t>
        </is>
      </c>
      <c r="P199" t="inlineStr">
        <is>
          <t>Lead System Engineer</t>
        </is>
      </c>
      <c r="Q199" t="inlineStr">
        <is>
          <t>Numan Sharieff (1031852)</t>
        </is>
      </c>
      <c r="R199" t="n">
        <v>5</v>
      </c>
      <c r="S199" s="1" t="n">
        <v>250000</v>
      </c>
      <c r="T199" s="1">
        <f>ROUND(T_EMPLOYEES[[#This Row],[EMP_CTC1]]/12, 0)</f>
        <v/>
      </c>
      <c r="U199" s="1" t="n">
        <v>150000</v>
      </c>
      <c r="V199" s="1" t="inlineStr">
        <is>
          <t>NH</t>
        </is>
      </c>
      <c r="W199" s="1" t="inlineStr">
        <is>
          <t>NH</t>
        </is>
      </c>
      <c r="X19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199" t="n">
        <v>100000</v>
      </c>
      <c r="Z199" s="29">
        <f>(S199 - U199)/S199 * 100</f>
        <v/>
      </c>
      <c r="AA199">
        <f>IF(T_EMPLOYEES[[#This Row],[EMPLOYEE NUMBER]]="","",ROW(T_EMPLOYEES[[#This Row],[EMPLOYEE LABEL]])-ROW(T_EMPLOYEES[[#Headers],[EMPLOYEE LABEL]]))</f>
        <v/>
      </c>
      <c r="AB199">
        <f>IF(T_EMPLOYEES[[#This Row],[EMPLOYEE NUMBER]]="","",IF(COUNTIF(T_EMPLOYEES[EMPLOYEE NUMBER],T_EMPLOYEES[[#This Row],[EMPLOYEE NUMBER]])&gt;1,1,0))</f>
        <v/>
      </c>
      <c r="AC199">
        <f>IF(T_EMPLOYEES[[#This Row],[EMPLOYEE NUMBER]]="","",IF(AND(T_EMPLOYEES[[#This Row],[DATE OF BIRTH]]&gt;0,T_EMPLOYEES[[#This Row],[DATE OF BIRTH]]&lt;TODAY()),0,1))</f>
        <v/>
      </c>
      <c r="AD199">
        <f>IF(T_EMPLOYEES[[#This Row],[EMPLOYEE NUMBER]]="","",IF(AND(T_EMPLOYEES[[#This Row],[START DATE]]&gt;0,T_EMPLOYEES[[#This Row],[START DATE]]&lt;TODAY()+60),0,1))</f>
        <v/>
      </c>
      <c r="AE199">
        <f>IF(T_EMPLOYEES[[#This Row],[EMPLOYEE NUMBER]]="","",MATCH(T_EMPLOYEES[[#This Row],[GENDER]],L_GENDER,0))</f>
        <v/>
      </c>
      <c r="AF199">
        <f>IF(T_EMPLOYEES[[#This Row],[EMPLOYEE NUMBER]]="","",MATCH(T_EMPLOYEES[[#This Row],[HIRE SOURCE]],L_HIRESOURCE,0))</f>
        <v/>
      </c>
      <c r="AG199">
        <f>IF(T_EMPLOYEES[[#This Row],[EMPLOYEE NUMBER]]="","",MATCH(T_EMPLOYEES[[#This Row],[ETHNICITY]],L_ETHNICITY,0))</f>
        <v/>
      </c>
      <c r="AH199">
        <f>IF(T_EMPLOYEES[[#This Row],[EMPLOYEE NUMBER]]="","",MATCH(T_EMPLOYEES[[#This Row],[LOCATION]],L_LOCATION,0))</f>
        <v/>
      </c>
      <c r="AI199">
        <f>IF(T_EMPLOYEES[[#This Row],[EMPLOYEE NUMBER]]="","",MATCH(T_EMPLOYEES[[#This Row],[DEPARTMENT]],L_DEPARTMENT,0))</f>
        <v/>
      </c>
      <c r="AJ199">
        <f>IF(T_EMPLOYEES[[#This Row],[EMPLOYEE NUMBER]]="","",MATCH(T_EMPLOYEES[[#This Row],[JOB TYPE]],L_JOBTYPE,0))</f>
        <v/>
      </c>
      <c r="AK199">
        <f>IF(T_EMPLOYEES[[#This Row],[EMPLOYEE NUMBER]]="","",MATCH(T_EMPLOYEES[[#This Row],[JOB CATEGORY]],L_JOBCATEGORY,0))</f>
        <v/>
      </c>
      <c r="AL199">
        <f>IF(T_EMPLOYEES[[#This Row],[EMPLOYEE NUMBER]]="","",MATCH(T_EMPLOYEES[[#This Row],[JOB LEVEL]],L_JOBLEVEL,0))</f>
        <v/>
      </c>
      <c r="AM199">
        <f>IF(T_EMPLOYEES[[#This Row],[EMPLOYEE NUMBER]]="","",MATCH(T_EMPLOYEES[[#This Row],[JOB TITLE]],L_JOBTITLE,0))</f>
        <v/>
      </c>
      <c r="AN199">
        <f>IF(T_EMPLOYEES[[#This Row],[EMPLOYEE NUMBER]]="","",MATCH(T_EMPLOYEES[[#This Row],[MANAGER]],L_EMPLABELS,0))</f>
        <v/>
      </c>
      <c r="AO199">
        <f>IF(T_EMPLOYEES[[#This Row],[EMPLOYEE NUMBER]]="","",IF(T_EMPLOYEES[[#This Row],[ERROR]]="",0,1))</f>
        <v/>
      </c>
      <c r="AP19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0">
      <c r="A200" t="inlineStr">
        <is>
          <t>Hajgude</t>
        </is>
      </c>
      <c r="B200" t="inlineStr">
        <is>
          <t>Rajkumar Shankar</t>
        </is>
      </c>
      <c r="C200" t="n">
        <v>1029699</v>
      </c>
      <c r="D200" t="inlineStr">
        <is>
          <t>Rajkumar.Shankar@infinite.com</t>
        </is>
      </c>
      <c r="E200" s="26" t="n">
        <v>33414</v>
      </c>
      <c r="F200" s="26" t="n">
        <v>44774</v>
      </c>
      <c r="H200" t="inlineStr">
        <is>
          <t>Male</t>
        </is>
      </c>
      <c r="I200" t="inlineStr">
        <is>
          <t>Asian</t>
        </is>
      </c>
      <c r="J200" t="inlineStr">
        <is>
          <t>WEBSITE</t>
        </is>
      </c>
      <c r="K200" t="inlineStr">
        <is>
          <t>Hyderabad</t>
        </is>
      </c>
      <c r="L200" s="27" t="inlineStr">
        <is>
          <t>IT</t>
        </is>
      </c>
      <c r="M200" t="inlineStr">
        <is>
          <t>Full-Time</t>
        </is>
      </c>
      <c r="N200" t="inlineStr">
        <is>
          <t>Technical Lead</t>
        </is>
      </c>
      <c r="O200" t="inlineStr">
        <is>
          <t>E4</t>
        </is>
      </c>
      <c r="P200" t="inlineStr">
        <is>
          <t>Technical Lead</t>
        </is>
      </c>
      <c r="Q200" t="inlineStr">
        <is>
          <t>Unnikrishnan Chellappan C (1025919)</t>
        </is>
      </c>
      <c r="R200" s="27" t="n">
        <v>5</v>
      </c>
      <c r="S200" s="1" t="n">
        <v>250000</v>
      </c>
      <c r="T200" s="1">
        <f>ROUND(T_EMPLOYEES[[#This Row],[EMP_CTC1]]/12, 0)</f>
        <v/>
      </c>
      <c r="U200" s="1" t="n">
        <v>150000</v>
      </c>
      <c r="V200" s="1" t="inlineStr">
        <is>
          <t>NH</t>
        </is>
      </c>
      <c r="W200" s="1" t="inlineStr">
        <is>
          <t>NH</t>
        </is>
      </c>
      <c r="X20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0" t="n">
        <v>100000</v>
      </c>
      <c r="Z200" s="29">
        <f>(S200 - U200)/S200 * 100</f>
        <v/>
      </c>
      <c r="AA200">
        <f>IF(T_EMPLOYEES[[#This Row],[EMPLOYEE NUMBER]]="","",ROW(T_EMPLOYEES[[#This Row],[EMPLOYEE LABEL]])-ROW(T_EMPLOYEES[[#Headers],[EMPLOYEE LABEL]]))</f>
        <v/>
      </c>
      <c r="AB200">
        <f>IF(T_EMPLOYEES[[#This Row],[EMPLOYEE NUMBER]]="","",IF(COUNTIF(T_EMPLOYEES[EMPLOYEE NUMBER],T_EMPLOYEES[[#This Row],[EMPLOYEE NUMBER]])&gt;1,1,0))</f>
        <v/>
      </c>
      <c r="AC200">
        <f>IF(T_EMPLOYEES[[#This Row],[EMPLOYEE NUMBER]]="","",IF(AND(T_EMPLOYEES[[#This Row],[DATE OF BIRTH]]&gt;0,T_EMPLOYEES[[#This Row],[DATE OF BIRTH]]&lt;TODAY()),0,1))</f>
        <v/>
      </c>
      <c r="AD200">
        <f>IF(T_EMPLOYEES[[#This Row],[EMPLOYEE NUMBER]]="","",IF(AND(T_EMPLOYEES[[#This Row],[START DATE]]&gt;0,T_EMPLOYEES[[#This Row],[START DATE]]&lt;TODAY()+60),0,1))</f>
        <v/>
      </c>
      <c r="AE200">
        <f>IF(T_EMPLOYEES[[#This Row],[EMPLOYEE NUMBER]]="","",MATCH(T_EMPLOYEES[[#This Row],[GENDER]],L_GENDER,0))</f>
        <v/>
      </c>
      <c r="AF200">
        <f>IF(T_EMPLOYEES[[#This Row],[EMPLOYEE NUMBER]]="","",MATCH(T_EMPLOYEES[[#This Row],[HIRE SOURCE]],L_HIRESOURCE,0))</f>
        <v/>
      </c>
      <c r="AG200">
        <f>IF(T_EMPLOYEES[[#This Row],[EMPLOYEE NUMBER]]="","",MATCH(T_EMPLOYEES[[#This Row],[ETHNICITY]],L_ETHNICITY,0))</f>
        <v/>
      </c>
      <c r="AH200">
        <f>IF(T_EMPLOYEES[[#This Row],[EMPLOYEE NUMBER]]="","",MATCH(T_EMPLOYEES[[#This Row],[LOCATION]],L_LOCATION,0))</f>
        <v/>
      </c>
      <c r="AI200">
        <f>IF(T_EMPLOYEES[[#This Row],[EMPLOYEE NUMBER]]="","",MATCH(T_EMPLOYEES[[#This Row],[DEPARTMENT]],L_DEPARTMENT,0))</f>
        <v/>
      </c>
      <c r="AJ200">
        <f>IF(T_EMPLOYEES[[#This Row],[EMPLOYEE NUMBER]]="","",MATCH(T_EMPLOYEES[[#This Row],[JOB TYPE]],L_JOBTYPE,0))</f>
        <v/>
      </c>
      <c r="AK200">
        <f>IF(T_EMPLOYEES[[#This Row],[EMPLOYEE NUMBER]]="","",MATCH(T_EMPLOYEES[[#This Row],[JOB CATEGORY]],L_JOBCATEGORY,0))</f>
        <v/>
      </c>
      <c r="AL200">
        <f>IF(T_EMPLOYEES[[#This Row],[EMPLOYEE NUMBER]]="","",MATCH(T_EMPLOYEES[[#This Row],[JOB LEVEL]],L_JOBLEVEL,0))</f>
        <v/>
      </c>
      <c r="AM200">
        <f>IF(T_EMPLOYEES[[#This Row],[EMPLOYEE NUMBER]]="","",MATCH(T_EMPLOYEES[[#This Row],[JOB TITLE]],L_JOBTITLE,0))</f>
        <v/>
      </c>
      <c r="AN200">
        <f>IF(T_EMPLOYEES[[#This Row],[EMPLOYEE NUMBER]]="","",MATCH(T_EMPLOYEES[[#This Row],[MANAGER]],L_EMPLABELS,0))</f>
        <v/>
      </c>
      <c r="AO200">
        <f>IF(T_EMPLOYEES[[#This Row],[EMPLOYEE NUMBER]]="","",IF(T_EMPLOYEES[[#This Row],[ERROR]]="",0,1))</f>
        <v/>
      </c>
      <c r="AP20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1">
      <c r="A201" t="inlineStr">
        <is>
          <t>Maddipati</t>
        </is>
      </c>
      <c r="B201" t="inlineStr">
        <is>
          <t>Mohan Chowdary</t>
        </is>
      </c>
      <c r="C201" t="n">
        <v>1025070</v>
      </c>
      <c r="D201" t="inlineStr">
        <is>
          <t>Mohan.Chowdary@infinite.com</t>
        </is>
      </c>
      <c r="E201" s="26" t="n">
        <v>33416</v>
      </c>
      <c r="F201" s="26" t="n">
        <v>44302</v>
      </c>
      <c r="H201" t="inlineStr">
        <is>
          <t>Male</t>
        </is>
      </c>
      <c r="I201" t="inlineStr">
        <is>
          <t>Asian</t>
        </is>
      </c>
      <c r="J201" t="inlineStr">
        <is>
          <t>WEBSITE</t>
        </is>
      </c>
      <c r="K201" t="inlineStr">
        <is>
          <t>Bangalore</t>
        </is>
      </c>
      <c r="L201" s="27" t="inlineStr">
        <is>
          <t>IT</t>
        </is>
      </c>
      <c r="M201" t="inlineStr">
        <is>
          <t>Full-Time</t>
        </is>
      </c>
      <c r="N201" t="inlineStr">
        <is>
          <t>Test Lead</t>
        </is>
      </c>
      <c r="O201" t="inlineStr">
        <is>
          <t>E4</t>
        </is>
      </c>
      <c r="P201" t="inlineStr">
        <is>
          <t>Test Lead</t>
        </is>
      </c>
      <c r="Q201" t="inlineStr">
        <is>
          <t>Someshwara Prabhu Nanje Gowda (1021418)</t>
        </is>
      </c>
      <c r="R201" t="n">
        <v>5</v>
      </c>
      <c r="S201" s="1" t="n">
        <v>250000</v>
      </c>
      <c r="T201" s="1">
        <f>ROUND(T_EMPLOYEES[[#This Row],[EMP_CTC1]]/12, 0)</f>
        <v/>
      </c>
      <c r="U201" s="1" t="n">
        <v>150000</v>
      </c>
      <c r="V201" s="1" t="inlineStr">
        <is>
          <t>NH</t>
        </is>
      </c>
      <c r="W201" s="1" t="inlineStr">
        <is>
          <t>NH</t>
        </is>
      </c>
      <c r="X20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1" t="n">
        <v>100000</v>
      </c>
      <c r="Z201" s="29">
        <f>(S201 - U201)/S201 * 100</f>
        <v/>
      </c>
      <c r="AA201">
        <f>IF(T_EMPLOYEES[[#This Row],[EMPLOYEE NUMBER]]="","",ROW(T_EMPLOYEES[[#This Row],[EMPLOYEE LABEL]])-ROW(T_EMPLOYEES[[#Headers],[EMPLOYEE LABEL]]))</f>
        <v/>
      </c>
      <c r="AB201">
        <f>IF(T_EMPLOYEES[[#This Row],[EMPLOYEE NUMBER]]="","",IF(COUNTIF(T_EMPLOYEES[EMPLOYEE NUMBER],T_EMPLOYEES[[#This Row],[EMPLOYEE NUMBER]])&gt;1,1,0))</f>
        <v/>
      </c>
      <c r="AC201">
        <f>IF(T_EMPLOYEES[[#This Row],[EMPLOYEE NUMBER]]="","",IF(AND(T_EMPLOYEES[[#This Row],[DATE OF BIRTH]]&gt;0,T_EMPLOYEES[[#This Row],[DATE OF BIRTH]]&lt;TODAY()),0,1))</f>
        <v/>
      </c>
      <c r="AD201">
        <f>IF(T_EMPLOYEES[[#This Row],[EMPLOYEE NUMBER]]="","",IF(AND(T_EMPLOYEES[[#This Row],[START DATE]]&gt;0,T_EMPLOYEES[[#This Row],[START DATE]]&lt;TODAY()+60),0,1))</f>
        <v/>
      </c>
      <c r="AE201">
        <f>IF(T_EMPLOYEES[[#This Row],[EMPLOYEE NUMBER]]="","",MATCH(T_EMPLOYEES[[#This Row],[GENDER]],L_GENDER,0))</f>
        <v/>
      </c>
      <c r="AF201">
        <f>IF(T_EMPLOYEES[[#This Row],[EMPLOYEE NUMBER]]="","",MATCH(T_EMPLOYEES[[#This Row],[HIRE SOURCE]],L_HIRESOURCE,0))</f>
        <v/>
      </c>
      <c r="AG201">
        <f>IF(T_EMPLOYEES[[#This Row],[EMPLOYEE NUMBER]]="","",MATCH(T_EMPLOYEES[[#This Row],[ETHNICITY]],L_ETHNICITY,0))</f>
        <v/>
      </c>
      <c r="AH201">
        <f>IF(T_EMPLOYEES[[#This Row],[EMPLOYEE NUMBER]]="","",MATCH(T_EMPLOYEES[[#This Row],[LOCATION]],L_LOCATION,0))</f>
        <v/>
      </c>
      <c r="AI201">
        <f>IF(T_EMPLOYEES[[#This Row],[EMPLOYEE NUMBER]]="","",MATCH(T_EMPLOYEES[[#This Row],[DEPARTMENT]],L_DEPARTMENT,0))</f>
        <v/>
      </c>
      <c r="AJ201">
        <f>IF(T_EMPLOYEES[[#This Row],[EMPLOYEE NUMBER]]="","",MATCH(T_EMPLOYEES[[#This Row],[JOB TYPE]],L_JOBTYPE,0))</f>
        <v/>
      </c>
      <c r="AK201">
        <f>IF(T_EMPLOYEES[[#This Row],[EMPLOYEE NUMBER]]="","",MATCH(T_EMPLOYEES[[#This Row],[JOB CATEGORY]],L_JOBCATEGORY,0))</f>
        <v/>
      </c>
      <c r="AL201">
        <f>IF(T_EMPLOYEES[[#This Row],[EMPLOYEE NUMBER]]="","",MATCH(T_EMPLOYEES[[#This Row],[JOB LEVEL]],L_JOBLEVEL,0))</f>
        <v/>
      </c>
      <c r="AM201">
        <f>IF(T_EMPLOYEES[[#This Row],[EMPLOYEE NUMBER]]="","",MATCH(T_EMPLOYEES[[#This Row],[JOB TITLE]],L_JOBTITLE,0))</f>
        <v/>
      </c>
      <c r="AN201">
        <f>IF(T_EMPLOYEES[[#This Row],[EMPLOYEE NUMBER]]="","",MATCH(T_EMPLOYEES[[#This Row],[MANAGER]],L_EMPLABELS,0))</f>
        <v/>
      </c>
      <c r="AO201">
        <f>IF(T_EMPLOYEES[[#This Row],[EMPLOYEE NUMBER]]="","",IF(T_EMPLOYEES[[#This Row],[ERROR]]="",0,1))</f>
        <v/>
      </c>
      <c r="AP20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2">
      <c r="A202" t="inlineStr">
        <is>
          <t>Bindu</t>
        </is>
      </c>
      <c r="B202" t="inlineStr">
        <is>
          <t xml:space="preserve"> P</t>
        </is>
      </c>
      <c r="C202" t="n">
        <v>1028379</v>
      </c>
      <c r="D202" t="inlineStr">
        <is>
          <t>Bindu.Peddakotla@infinite.com</t>
        </is>
      </c>
      <c r="E202" s="26" t="n">
        <v>33443</v>
      </c>
      <c r="F202" s="26" t="n">
        <v>44610</v>
      </c>
      <c r="H202" t="inlineStr">
        <is>
          <t>Female</t>
        </is>
      </c>
      <c r="I202" t="inlineStr">
        <is>
          <t>Asian</t>
        </is>
      </c>
      <c r="J202" t="inlineStr">
        <is>
          <t>WEBSITE</t>
        </is>
      </c>
      <c r="K202" t="inlineStr">
        <is>
          <t>Bangalore</t>
        </is>
      </c>
      <c r="L202" s="27" t="inlineStr">
        <is>
          <t>IT</t>
        </is>
      </c>
      <c r="M202" t="inlineStr">
        <is>
          <t>Full-Time</t>
        </is>
      </c>
      <c r="N202" t="inlineStr">
        <is>
          <t>Senior Software Test Engineer</t>
        </is>
      </c>
      <c r="O202" t="inlineStr">
        <is>
          <t>E3</t>
        </is>
      </c>
      <c r="P202" t="inlineStr">
        <is>
          <t>Senior Software Test Engineer</t>
        </is>
      </c>
      <c r="Q202" t="inlineStr">
        <is>
          <t>Siddharth Kumar (1027551)</t>
        </is>
      </c>
      <c r="R202" s="27" t="n">
        <v>3</v>
      </c>
      <c r="S202" s="1" t="n">
        <v>250000</v>
      </c>
      <c r="T202" s="1">
        <f>ROUND(T_EMPLOYEES[[#This Row],[EMP_CTC1]]/12, 0)</f>
        <v/>
      </c>
      <c r="U202" s="1" t="n">
        <v>150000</v>
      </c>
      <c r="V202" s="1" t="inlineStr">
        <is>
          <t>NH</t>
        </is>
      </c>
      <c r="W202" s="1" t="inlineStr">
        <is>
          <t>NH</t>
        </is>
      </c>
      <c r="X20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2" t="n">
        <v>100000</v>
      </c>
      <c r="Z202" s="29">
        <f>(S202 - U202)/S202 * 100</f>
        <v/>
      </c>
      <c r="AA202">
        <f>IF(T_EMPLOYEES[[#This Row],[EMPLOYEE NUMBER]]="","",ROW(T_EMPLOYEES[[#This Row],[EMPLOYEE LABEL]])-ROW(T_EMPLOYEES[[#Headers],[EMPLOYEE LABEL]]))</f>
        <v/>
      </c>
      <c r="AB202">
        <f>IF(T_EMPLOYEES[[#This Row],[EMPLOYEE NUMBER]]="","",IF(COUNTIF(T_EMPLOYEES[EMPLOYEE NUMBER],T_EMPLOYEES[[#This Row],[EMPLOYEE NUMBER]])&gt;1,1,0))</f>
        <v/>
      </c>
      <c r="AC202">
        <f>IF(T_EMPLOYEES[[#This Row],[EMPLOYEE NUMBER]]="","",IF(AND(T_EMPLOYEES[[#This Row],[DATE OF BIRTH]]&gt;0,T_EMPLOYEES[[#This Row],[DATE OF BIRTH]]&lt;TODAY()),0,1))</f>
        <v/>
      </c>
      <c r="AD202">
        <f>IF(T_EMPLOYEES[[#This Row],[EMPLOYEE NUMBER]]="","",IF(AND(T_EMPLOYEES[[#This Row],[START DATE]]&gt;0,T_EMPLOYEES[[#This Row],[START DATE]]&lt;TODAY()+60),0,1))</f>
        <v/>
      </c>
      <c r="AE202">
        <f>IF(T_EMPLOYEES[[#This Row],[EMPLOYEE NUMBER]]="","",MATCH(T_EMPLOYEES[[#This Row],[GENDER]],L_GENDER,0))</f>
        <v/>
      </c>
      <c r="AF202">
        <f>IF(T_EMPLOYEES[[#This Row],[EMPLOYEE NUMBER]]="","",MATCH(T_EMPLOYEES[[#This Row],[HIRE SOURCE]],L_HIRESOURCE,0))</f>
        <v/>
      </c>
      <c r="AG202">
        <f>IF(T_EMPLOYEES[[#This Row],[EMPLOYEE NUMBER]]="","",MATCH(T_EMPLOYEES[[#This Row],[ETHNICITY]],L_ETHNICITY,0))</f>
        <v/>
      </c>
      <c r="AH202">
        <f>IF(T_EMPLOYEES[[#This Row],[EMPLOYEE NUMBER]]="","",MATCH(T_EMPLOYEES[[#This Row],[LOCATION]],L_LOCATION,0))</f>
        <v/>
      </c>
      <c r="AI202">
        <f>IF(T_EMPLOYEES[[#This Row],[EMPLOYEE NUMBER]]="","",MATCH(T_EMPLOYEES[[#This Row],[DEPARTMENT]],L_DEPARTMENT,0))</f>
        <v/>
      </c>
      <c r="AJ202">
        <f>IF(T_EMPLOYEES[[#This Row],[EMPLOYEE NUMBER]]="","",MATCH(T_EMPLOYEES[[#This Row],[JOB TYPE]],L_JOBTYPE,0))</f>
        <v/>
      </c>
      <c r="AK202">
        <f>IF(T_EMPLOYEES[[#This Row],[EMPLOYEE NUMBER]]="","",MATCH(T_EMPLOYEES[[#This Row],[JOB CATEGORY]],L_JOBCATEGORY,0))</f>
        <v/>
      </c>
      <c r="AL202">
        <f>IF(T_EMPLOYEES[[#This Row],[EMPLOYEE NUMBER]]="","",MATCH(T_EMPLOYEES[[#This Row],[JOB LEVEL]],L_JOBLEVEL,0))</f>
        <v/>
      </c>
      <c r="AM202">
        <f>IF(T_EMPLOYEES[[#This Row],[EMPLOYEE NUMBER]]="","",MATCH(T_EMPLOYEES[[#This Row],[JOB TITLE]],L_JOBTITLE,0))</f>
        <v/>
      </c>
      <c r="AN202">
        <f>IF(T_EMPLOYEES[[#This Row],[EMPLOYEE NUMBER]]="","",MATCH(T_EMPLOYEES[[#This Row],[MANAGER]],L_EMPLABELS,0))</f>
        <v/>
      </c>
      <c r="AO202">
        <f>IF(T_EMPLOYEES[[#This Row],[EMPLOYEE NUMBER]]="","",IF(T_EMPLOYEES[[#This Row],[ERROR]]="",0,1))</f>
        <v/>
      </c>
      <c r="AP20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3">
      <c r="A203" t="inlineStr">
        <is>
          <t>Mahesh</t>
        </is>
      </c>
      <c r="B203" t="inlineStr">
        <is>
          <t>Vadanakal Jagannathachar</t>
        </is>
      </c>
      <c r="C203" t="n">
        <v>1025411</v>
      </c>
      <c r="D203" t="inlineStr">
        <is>
          <t>Mahesh.Jagannathachar@infinite.com</t>
        </is>
      </c>
      <c r="E203" s="26" t="n">
        <v>33448</v>
      </c>
      <c r="F203" s="26" t="n">
        <v>44348</v>
      </c>
      <c r="H203" t="inlineStr">
        <is>
          <t>Male</t>
        </is>
      </c>
      <c r="I203" t="inlineStr">
        <is>
          <t>Asian</t>
        </is>
      </c>
      <c r="J203" t="inlineStr">
        <is>
          <t>WEBSITE</t>
        </is>
      </c>
      <c r="K203" t="inlineStr">
        <is>
          <t>Bangalore</t>
        </is>
      </c>
      <c r="L203" s="27" t="inlineStr">
        <is>
          <t>IT</t>
        </is>
      </c>
      <c r="M203" t="inlineStr">
        <is>
          <t>Full-Time</t>
        </is>
      </c>
      <c r="N203" t="inlineStr">
        <is>
          <t>Senior Software Engineer</t>
        </is>
      </c>
      <c r="O203" t="inlineStr">
        <is>
          <t>E3</t>
        </is>
      </c>
      <c r="P203" t="inlineStr">
        <is>
          <t>Senior Software Engineer</t>
        </is>
      </c>
      <c r="Q203" t="inlineStr">
        <is>
          <t>Siddharth Kumar (1027551)</t>
        </is>
      </c>
      <c r="R203" t="n">
        <v>3</v>
      </c>
      <c r="S203" s="1" t="n">
        <v>250000</v>
      </c>
      <c r="T203" s="1">
        <f>ROUND(T_EMPLOYEES[[#This Row],[EMP_CTC1]]/12, 0)</f>
        <v/>
      </c>
      <c r="U203" s="1" t="n">
        <v>150000</v>
      </c>
      <c r="V203" s="1" t="inlineStr">
        <is>
          <t>NH</t>
        </is>
      </c>
      <c r="W203" s="1" t="inlineStr">
        <is>
          <t>NH</t>
        </is>
      </c>
      <c r="X20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3" t="n">
        <v>100000</v>
      </c>
      <c r="Z203" s="29">
        <f>(S203 - U203)/S203 * 100</f>
        <v/>
      </c>
      <c r="AA203">
        <f>IF(T_EMPLOYEES[[#This Row],[EMPLOYEE NUMBER]]="","",ROW(T_EMPLOYEES[[#This Row],[EMPLOYEE LABEL]])-ROW(T_EMPLOYEES[[#Headers],[EMPLOYEE LABEL]]))</f>
        <v/>
      </c>
      <c r="AB203">
        <f>IF(T_EMPLOYEES[[#This Row],[EMPLOYEE NUMBER]]="","",IF(COUNTIF(T_EMPLOYEES[EMPLOYEE NUMBER],T_EMPLOYEES[[#This Row],[EMPLOYEE NUMBER]])&gt;1,1,0))</f>
        <v/>
      </c>
      <c r="AC203">
        <f>IF(T_EMPLOYEES[[#This Row],[EMPLOYEE NUMBER]]="","",IF(AND(T_EMPLOYEES[[#This Row],[DATE OF BIRTH]]&gt;0,T_EMPLOYEES[[#This Row],[DATE OF BIRTH]]&lt;TODAY()),0,1))</f>
        <v/>
      </c>
      <c r="AD203">
        <f>IF(T_EMPLOYEES[[#This Row],[EMPLOYEE NUMBER]]="","",IF(AND(T_EMPLOYEES[[#This Row],[START DATE]]&gt;0,T_EMPLOYEES[[#This Row],[START DATE]]&lt;TODAY()+60),0,1))</f>
        <v/>
      </c>
      <c r="AE203">
        <f>IF(T_EMPLOYEES[[#This Row],[EMPLOYEE NUMBER]]="","",MATCH(T_EMPLOYEES[[#This Row],[GENDER]],L_GENDER,0))</f>
        <v/>
      </c>
      <c r="AF203">
        <f>IF(T_EMPLOYEES[[#This Row],[EMPLOYEE NUMBER]]="","",MATCH(T_EMPLOYEES[[#This Row],[HIRE SOURCE]],L_HIRESOURCE,0))</f>
        <v/>
      </c>
      <c r="AG203">
        <f>IF(T_EMPLOYEES[[#This Row],[EMPLOYEE NUMBER]]="","",MATCH(T_EMPLOYEES[[#This Row],[ETHNICITY]],L_ETHNICITY,0))</f>
        <v/>
      </c>
      <c r="AH203">
        <f>IF(T_EMPLOYEES[[#This Row],[EMPLOYEE NUMBER]]="","",MATCH(T_EMPLOYEES[[#This Row],[LOCATION]],L_LOCATION,0))</f>
        <v/>
      </c>
      <c r="AI203">
        <f>IF(T_EMPLOYEES[[#This Row],[EMPLOYEE NUMBER]]="","",MATCH(T_EMPLOYEES[[#This Row],[DEPARTMENT]],L_DEPARTMENT,0))</f>
        <v/>
      </c>
      <c r="AJ203">
        <f>IF(T_EMPLOYEES[[#This Row],[EMPLOYEE NUMBER]]="","",MATCH(T_EMPLOYEES[[#This Row],[JOB TYPE]],L_JOBTYPE,0))</f>
        <v/>
      </c>
      <c r="AK203">
        <f>IF(T_EMPLOYEES[[#This Row],[EMPLOYEE NUMBER]]="","",MATCH(T_EMPLOYEES[[#This Row],[JOB CATEGORY]],L_JOBCATEGORY,0))</f>
        <v/>
      </c>
      <c r="AL203">
        <f>IF(T_EMPLOYEES[[#This Row],[EMPLOYEE NUMBER]]="","",MATCH(T_EMPLOYEES[[#This Row],[JOB LEVEL]],L_JOBLEVEL,0))</f>
        <v/>
      </c>
      <c r="AM203">
        <f>IF(T_EMPLOYEES[[#This Row],[EMPLOYEE NUMBER]]="","",MATCH(T_EMPLOYEES[[#This Row],[JOB TITLE]],L_JOBTITLE,0))</f>
        <v/>
      </c>
      <c r="AN203">
        <f>IF(T_EMPLOYEES[[#This Row],[EMPLOYEE NUMBER]]="","",MATCH(T_EMPLOYEES[[#This Row],[MANAGER]],L_EMPLABELS,0))</f>
        <v/>
      </c>
      <c r="AO203">
        <f>IF(T_EMPLOYEES[[#This Row],[EMPLOYEE NUMBER]]="","",IF(T_EMPLOYEES[[#This Row],[ERROR]]="",0,1))</f>
        <v/>
      </c>
      <c r="AP20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4">
      <c r="A204" t="inlineStr">
        <is>
          <t>S</t>
        </is>
      </c>
      <c r="B204" t="inlineStr">
        <is>
          <t>Suneetha</t>
        </is>
      </c>
      <c r="C204" t="n">
        <v>1020246</v>
      </c>
      <c r="D204" t="inlineStr">
        <is>
          <t>Suneetha.Sambolu@infinite.com</t>
        </is>
      </c>
      <c r="E204" s="26" t="n">
        <v>33452</v>
      </c>
      <c r="F204" s="26" t="n">
        <v>43150</v>
      </c>
      <c r="H204" t="inlineStr">
        <is>
          <t>Female</t>
        </is>
      </c>
      <c r="I204" t="inlineStr">
        <is>
          <t>Asian</t>
        </is>
      </c>
      <c r="J204" t="inlineStr">
        <is>
          <t>WEBSITE</t>
        </is>
      </c>
      <c r="K204" t="inlineStr">
        <is>
          <t>Hyderabad</t>
        </is>
      </c>
      <c r="L204" s="27" t="inlineStr">
        <is>
          <t>IT</t>
        </is>
      </c>
      <c r="M204" t="inlineStr">
        <is>
          <t>Full-Time</t>
        </is>
      </c>
      <c r="N204" t="inlineStr">
        <is>
          <t>Senior Software Test Engineer</t>
        </is>
      </c>
      <c r="O204" t="inlineStr">
        <is>
          <t>E3</t>
        </is>
      </c>
      <c r="P204" t="inlineStr">
        <is>
          <t>Senior Software Test Engineer</t>
        </is>
      </c>
      <c r="Q204" t="inlineStr">
        <is>
          <t>J S S  Vardhan (1020135)</t>
        </is>
      </c>
      <c r="R204" s="27" t="n">
        <v>3</v>
      </c>
      <c r="S204" s="1" t="n">
        <v>250000</v>
      </c>
      <c r="T204" s="1">
        <f>ROUND(T_EMPLOYEES[[#This Row],[EMP_CTC1]]/12, 0)</f>
        <v/>
      </c>
      <c r="U204" s="1" t="n">
        <v>150000</v>
      </c>
      <c r="V204" s="1" t="inlineStr">
        <is>
          <t>NH</t>
        </is>
      </c>
      <c r="W204" s="1" t="inlineStr">
        <is>
          <t>NH</t>
        </is>
      </c>
      <c r="X20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4" t="n">
        <v>100000</v>
      </c>
      <c r="Z204" s="29">
        <f>(S204 - U204)/S204 * 100</f>
        <v/>
      </c>
      <c r="AA204">
        <f>IF(T_EMPLOYEES[[#This Row],[EMPLOYEE NUMBER]]="","",ROW(T_EMPLOYEES[[#This Row],[EMPLOYEE LABEL]])-ROW(T_EMPLOYEES[[#Headers],[EMPLOYEE LABEL]]))</f>
        <v/>
      </c>
      <c r="AB204">
        <f>IF(T_EMPLOYEES[[#This Row],[EMPLOYEE NUMBER]]="","",IF(COUNTIF(T_EMPLOYEES[EMPLOYEE NUMBER],T_EMPLOYEES[[#This Row],[EMPLOYEE NUMBER]])&gt;1,1,0))</f>
        <v/>
      </c>
      <c r="AC204">
        <f>IF(T_EMPLOYEES[[#This Row],[EMPLOYEE NUMBER]]="","",IF(AND(T_EMPLOYEES[[#This Row],[DATE OF BIRTH]]&gt;0,T_EMPLOYEES[[#This Row],[DATE OF BIRTH]]&lt;TODAY()),0,1))</f>
        <v/>
      </c>
      <c r="AD204">
        <f>IF(T_EMPLOYEES[[#This Row],[EMPLOYEE NUMBER]]="","",IF(AND(T_EMPLOYEES[[#This Row],[START DATE]]&gt;0,T_EMPLOYEES[[#This Row],[START DATE]]&lt;TODAY()+60),0,1))</f>
        <v/>
      </c>
      <c r="AE204">
        <f>IF(T_EMPLOYEES[[#This Row],[EMPLOYEE NUMBER]]="","",MATCH(T_EMPLOYEES[[#This Row],[GENDER]],L_GENDER,0))</f>
        <v/>
      </c>
      <c r="AF204">
        <f>IF(T_EMPLOYEES[[#This Row],[EMPLOYEE NUMBER]]="","",MATCH(T_EMPLOYEES[[#This Row],[HIRE SOURCE]],L_HIRESOURCE,0))</f>
        <v/>
      </c>
      <c r="AG204">
        <f>IF(T_EMPLOYEES[[#This Row],[EMPLOYEE NUMBER]]="","",MATCH(T_EMPLOYEES[[#This Row],[ETHNICITY]],L_ETHNICITY,0))</f>
        <v/>
      </c>
      <c r="AH204">
        <f>IF(T_EMPLOYEES[[#This Row],[EMPLOYEE NUMBER]]="","",MATCH(T_EMPLOYEES[[#This Row],[LOCATION]],L_LOCATION,0))</f>
        <v/>
      </c>
      <c r="AI204">
        <f>IF(T_EMPLOYEES[[#This Row],[EMPLOYEE NUMBER]]="","",MATCH(T_EMPLOYEES[[#This Row],[DEPARTMENT]],L_DEPARTMENT,0))</f>
        <v/>
      </c>
      <c r="AJ204">
        <f>IF(T_EMPLOYEES[[#This Row],[EMPLOYEE NUMBER]]="","",MATCH(T_EMPLOYEES[[#This Row],[JOB TYPE]],L_JOBTYPE,0))</f>
        <v/>
      </c>
      <c r="AK204">
        <f>IF(T_EMPLOYEES[[#This Row],[EMPLOYEE NUMBER]]="","",MATCH(T_EMPLOYEES[[#This Row],[JOB CATEGORY]],L_JOBCATEGORY,0))</f>
        <v/>
      </c>
      <c r="AL204">
        <f>IF(T_EMPLOYEES[[#This Row],[EMPLOYEE NUMBER]]="","",MATCH(T_EMPLOYEES[[#This Row],[JOB LEVEL]],L_JOBLEVEL,0))</f>
        <v/>
      </c>
      <c r="AM204">
        <f>IF(T_EMPLOYEES[[#This Row],[EMPLOYEE NUMBER]]="","",MATCH(T_EMPLOYEES[[#This Row],[JOB TITLE]],L_JOBTITLE,0))</f>
        <v/>
      </c>
      <c r="AN204">
        <f>IF(T_EMPLOYEES[[#This Row],[EMPLOYEE NUMBER]]="","",MATCH(T_EMPLOYEES[[#This Row],[MANAGER]],L_EMPLABELS,0))</f>
        <v/>
      </c>
      <c r="AO204">
        <f>IF(T_EMPLOYEES[[#This Row],[EMPLOYEE NUMBER]]="","",IF(T_EMPLOYEES[[#This Row],[ERROR]]="",0,1))</f>
        <v/>
      </c>
      <c r="AP20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5">
      <c r="A205" t="inlineStr">
        <is>
          <t>Muddapati</t>
        </is>
      </c>
      <c r="B205" t="inlineStr">
        <is>
          <t>Koteswara  Rao</t>
        </is>
      </c>
      <c r="C205" t="n">
        <v>1033733</v>
      </c>
      <c r="D205" t="inlineStr">
        <is>
          <t>Koteswararao.Muddapati@infinite.com</t>
        </is>
      </c>
      <c r="E205" s="26" t="n">
        <v>33456</v>
      </c>
      <c r="F205" s="26" t="n">
        <v>45215</v>
      </c>
      <c r="H205" t="inlineStr">
        <is>
          <t>Male</t>
        </is>
      </c>
      <c r="I205" t="inlineStr">
        <is>
          <t>Asian</t>
        </is>
      </c>
      <c r="J205" t="inlineStr">
        <is>
          <t>WEBSITE</t>
        </is>
      </c>
      <c r="K205" t="inlineStr">
        <is>
          <t>Bangalore</t>
        </is>
      </c>
      <c r="L205" s="27" t="inlineStr">
        <is>
          <t>IT</t>
        </is>
      </c>
      <c r="M205" t="inlineStr">
        <is>
          <t>Full-Time</t>
        </is>
      </c>
      <c r="N205" t="inlineStr">
        <is>
          <t>Technical Lead</t>
        </is>
      </c>
      <c r="O205" t="inlineStr">
        <is>
          <t>E4</t>
        </is>
      </c>
      <c r="P205" t="inlineStr">
        <is>
          <t>Technical Lead</t>
        </is>
      </c>
      <c r="Q205" t="inlineStr">
        <is>
          <t>Sudhakar  Channegowda (1031110)</t>
        </is>
      </c>
      <c r="R205" t="n">
        <v>5</v>
      </c>
      <c r="S205" s="1" t="n">
        <v>250000</v>
      </c>
      <c r="T205" s="1">
        <f>ROUND(T_EMPLOYEES[[#This Row],[EMP_CTC1]]/12, 0)</f>
        <v/>
      </c>
      <c r="U205" s="1" t="n">
        <v>150000</v>
      </c>
      <c r="V205" s="1" t="inlineStr">
        <is>
          <t>NH</t>
        </is>
      </c>
      <c r="W205" s="1" t="inlineStr">
        <is>
          <t>NH</t>
        </is>
      </c>
      <c r="X20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5" t="n">
        <v>100000</v>
      </c>
      <c r="Z205" s="29">
        <f>(S205 - U205)/S205 * 100</f>
        <v/>
      </c>
      <c r="AA205">
        <f>IF(T_EMPLOYEES[[#This Row],[EMPLOYEE NUMBER]]="","",ROW(T_EMPLOYEES[[#This Row],[EMPLOYEE LABEL]])-ROW(T_EMPLOYEES[[#Headers],[EMPLOYEE LABEL]]))</f>
        <v/>
      </c>
      <c r="AB205">
        <f>IF(T_EMPLOYEES[[#This Row],[EMPLOYEE NUMBER]]="","",IF(COUNTIF(T_EMPLOYEES[EMPLOYEE NUMBER],T_EMPLOYEES[[#This Row],[EMPLOYEE NUMBER]])&gt;1,1,0))</f>
        <v/>
      </c>
      <c r="AC205">
        <f>IF(T_EMPLOYEES[[#This Row],[EMPLOYEE NUMBER]]="","",IF(AND(T_EMPLOYEES[[#This Row],[DATE OF BIRTH]]&gt;0,T_EMPLOYEES[[#This Row],[DATE OF BIRTH]]&lt;TODAY()),0,1))</f>
        <v/>
      </c>
      <c r="AD205">
        <f>IF(T_EMPLOYEES[[#This Row],[EMPLOYEE NUMBER]]="","",IF(AND(T_EMPLOYEES[[#This Row],[START DATE]]&gt;0,T_EMPLOYEES[[#This Row],[START DATE]]&lt;TODAY()+60),0,1))</f>
        <v/>
      </c>
      <c r="AE205">
        <f>IF(T_EMPLOYEES[[#This Row],[EMPLOYEE NUMBER]]="","",MATCH(T_EMPLOYEES[[#This Row],[GENDER]],L_GENDER,0))</f>
        <v/>
      </c>
      <c r="AF205">
        <f>IF(T_EMPLOYEES[[#This Row],[EMPLOYEE NUMBER]]="","",MATCH(T_EMPLOYEES[[#This Row],[HIRE SOURCE]],L_HIRESOURCE,0))</f>
        <v/>
      </c>
      <c r="AG205">
        <f>IF(T_EMPLOYEES[[#This Row],[EMPLOYEE NUMBER]]="","",MATCH(T_EMPLOYEES[[#This Row],[ETHNICITY]],L_ETHNICITY,0))</f>
        <v/>
      </c>
      <c r="AH205">
        <f>IF(T_EMPLOYEES[[#This Row],[EMPLOYEE NUMBER]]="","",MATCH(T_EMPLOYEES[[#This Row],[LOCATION]],L_LOCATION,0))</f>
        <v/>
      </c>
      <c r="AI205">
        <f>IF(T_EMPLOYEES[[#This Row],[EMPLOYEE NUMBER]]="","",MATCH(T_EMPLOYEES[[#This Row],[DEPARTMENT]],L_DEPARTMENT,0))</f>
        <v/>
      </c>
      <c r="AJ205">
        <f>IF(T_EMPLOYEES[[#This Row],[EMPLOYEE NUMBER]]="","",MATCH(T_EMPLOYEES[[#This Row],[JOB TYPE]],L_JOBTYPE,0))</f>
        <v/>
      </c>
      <c r="AK205">
        <f>IF(T_EMPLOYEES[[#This Row],[EMPLOYEE NUMBER]]="","",MATCH(T_EMPLOYEES[[#This Row],[JOB CATEGORY]],L_JOBCATEGORY,0))</f>
        <v/>
      </c>
      <c r="AL205">
        <f>IF(T_EMPLOYEES[[#This Row],[EMPLOYEE NUMBER]]="","",MATCH(T_EMPLOYEES[[#This Row],[JOB LEVEL]],L_JOBLEVEL,0))</f>
        <v/>
      </c>
      <c r="AM205">
        <f>IF(T_EMPLOYEES[[#This Row],[EMPLOYEE NUMBER]]="","",MATCH(T_EMPLOYEES[[#This Row],[JOB TITLE]],L_JOBTITLE,0))</f>
        <v/>
      </c>
      <c r="AN205">
        <f>IF(T_EMPLOYEES[[#This Row],[EMPLOYEE NUMBER]]="","",MATCH(T_EMPLOYEES[[#This Row],[MANAGER]],L_EMPLABELS,0))</f>
        <v/>
      </c>
      <c r="AO205">
        <f>IF(T_EMPLOYEES[[#This Row],[EMPLOYEE NUMBER]]="","",IF(T_EMPLOYEES[[#This Row],[ERROR]]="",0,1))</f>
        <v/>
      </c>
      <c r="AP20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6">
      <c r="A206" t="inlineStr">
        <is>
          <t>Sujata</t>
        </is>
      </c>
      <c r="B206" t="inlineStr">
        <is>
          <t>Gupta</t>
        </is>
      </c>
      <c r="C206" t="n">
        <v>1031848</v>
      </c>
      <c r="D206" t="inlineStr">
        <is>
          <t>Sujata.Gupta@infinite.com</t>
        </is>
      </c>
      <c r="E206" s="26" t="n">
        <v>33463</v>
      </c>
      <c r="F206" s="26" t="n">
        <v>44914</v>
      </c>
      <c r="H206" t="inlineStr">
        <is>
          <t>Female</t>
        </is>
      </c>
      <c r="I206" t="inlineStr">
        <is>
          <t>Asian</t>
        </is>
      </c>
      <c r="J206" t="inlineStr">
        <is>
          <t>WEBSITE</t>
        </is>
      </c>
      <c r="K206" t="inlineStr">
        <is>
          <t>Bangalore</t>
        </is>
      </c>
      <c r="L206" s="27" t="inlineStr">
        <is>
          <t>IT</t>
        </is>
      </c>
      <c r="M206" t="inlineStr">
        <is>
          <t>Full-Time</t>
        </is>
      </c>
      <c r="N206" t="inlineStr">
        <is>
          <t>Senior Software Engineer</t>
        </is>
      </c>
      <c r="O206" t="inlineStr">
        <is>
          <t>E3</t>
        </is>
      </c>
      <c r="P206" t="inlineStr">
        <is>
          <t>Senior Software Engineer</t>
        </is>
      </c>
      <c r="Q206" t="inlineStr">
        <is>
          <t>Numan Sharieff (1031852)</t>
        </is>
      </c>
      <c r="R206" s="27" t="n">
        <v>4</v>
      </c>
      <c r="S206" s="1" t="n">
        <v>250000</v>
      </c>
      <c r="T206" s="1">
        <f>ROUND(T_EMPLOYEES[[#This Row],[EMP_CTC1]]/12, 0)</f>
        <v/>
      </c>
      <c r="U206" s="1" t="n">
        <v>150000</v>
      </c>
      <c r="V206" s="1" t="inlineStr">
        <is>
          <t>NH</t>
        </is>
      </c>
      <c r="W206" s="1" t="inlineStr">
        <is>
          <t>NH</t>
        </is>
      </c>
      <c r="X20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6" t="n">
        <v>100000</v>
      </c>
      <c r="Z206" s="29">
        <f>(S206 - U206)/S206 * 100</f>
        <v/>
      </c>
      <c r="AA206">
        <f>IF(T_EMPLOYEES[[#This Row],[EMPLOYEE NUMBER]]="","",ROW(T_EMPLOYEES[[#This Row],[EMPLOYEE LABEL]])-ROW(T_EMPLOYEES[[#Headers],[EMPLOYEE LABEL]]))</f>
        <v/>
      </c>
      <c r="AB206">
        <f>IF(T_EMPLOYEES[[#This Row],[EMPLOYEE NUMBER]]="","",IF(COUNTIF(T_EMPLOYEES[EMPLOYEE NUMBER],T_EMPLOYEES[[#This Row],[EMPLOYEE NUMBER]])&gt;1,1,0))</f>
        <v/>
      </c>
      <c r="AC206">
        <f>IF(T_EMPLOYEES[[#This Row],[EMPLOYEE NUMBER]]="","",IF(AND(T_EMPLOYEES[[#This Row],[DATE OF BIRTH]]&gt;0,T_EMPLOYEES[[#This Row],[DATE OF BIRTH]]&lt;TODAY()),0,1))</f>
        <v/>
      </c>
      <c r="AD206">
        <f>IF(T_EMPLOYEES[[#This Row],[EMPLOYEE NUMBER]]="","",IF(AND(T_EMPLOYEES[[#This Row],[START DATE]]&gt;0,T_EMPLOYEES[[#This Row],[START DATE]]&lt;TODAY()+60),0,1))</f>
        <v/>
      </c>
      <c r="AE206">
        <f>IF(T_EMPLOYEES[[#This Row],[EMPLOYEE NUMBER]]="","",MATCH(T_EMPLOYEES[[#This Row],[GENDER]],L_GENDER,0))</f>
        <v/>
      </c>
      <c r="AF206">
        <f>IF(T_EMPLOYEES[[#This Row],[EMPLOYEE NUMBER]]="","",MATCH(T_EMPLOYEES[[#This Row],[HIRE SOURCE]],L_HIRESOURCE,0))</f>
        <v/>
      </c>
      <c r="AG206">
        <f>IF(T_EMPLOYEES[[#This Row],[EMPLOYEE NUMBER]]="","",MATCH(T_EMPLOYEES[[#This Row],[ETHNICITY]],L_ETHNICITY,0))</f>
        <v/>
      </c>
      <c r="AH206">
        <f>IF(T_EMPLOYEES[[#This Row],[EMPLOYEE NUMBER]]="","",MATCH(T_EMPLOYEES[[#This Row],[LOCATION]],L_LOCATION,0))</f>
        <v/>
      </c>
      <c r="AI206">
        <f>IF(T_EMPLOYEES[[#This Row],[EMPLOYEE NUMBER]]="","",MATCH(T_EMPLOYEES[[#This Row],[DEPARTMENT]],L_DEPARTMENT,0))</f>
        <v/>
      </c>
      <c r="AJ206">
        <f>IF(T_EMPLOYEES[[#This Row],[EMPLOYEE NUMBER]]="","",MATCH(T_EMPLOYEES[[#This Row],[JOB TYPE]],L_JOBTYPE,0))</f>
        <v/>
      </c>
      <c r="AK206">
        <f>IF(T_EMPLOYEES[[#This Row],[EMPLOYEE NUMBER]]="","",MATCH(T_EMPLOYEES[[#This Row],[JOB CATEGORY]],L_JOBCATEGORY,0))</f>
        <v/>
      </c>
      <c r="AL206">
        <f>IF(T_EMPLOYEES[[#This Row],[EMPLOYEE NUMBER]]="","",MATCH(T_EMPLOYEES[[#This Row],[JOB LEVEL]],L_JOBLEVEL,0))</f>
        <v/>
      </c>
      <c r="AM206">
        <f>IF(T_EMPLOYEES[[#This Row],[EMPLOYEE NUMBER]]="","",MATCH(T_EMPLOYEES[[#This Row],[JOB TITLE]],L_JOBTITLE,0))</f>
        <v/>
      </c>
      <c r="AN206">
        <f>IF(T_EMPLOYEES[[#This Row],[EMPLOYEE NUMBER]]="","",MATCH(T_EMPLOYEES[[#This Row],[MANAGER]],L_EMPLABELS,0))</f>
        <v/>
      </c>
      <c r="AO206">
        <f>IF(T_EMPLOYEES[[#This Row],[EMPLOYEE NUMBER]]="","",IF(T_EMPLOYEES[[#This Row],[ERROR]]="",0,1))</f>
        <v/>
      </c>
      <c r="AP20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7">
      <c r="A207" t="inlineStr">
        <is>
          <t>Deepa</t>
        </is>
      </c>
      <c r="B207" t="inlineStr">
        <is>
          <t>U P</t>
        </is>
      </c>
      <c r="C207" t="n">
        <v>1031844</v>
      </c>
      <c r="D207" t="inlineStr">
        <is>
          <t>Deepa.Paradkar@infinite.com</t>
        </is>
      </c>
      <c r="E207" s="26" t="n">
        <v>33470</v>
      </c>
      <c r="F207" s="26" t="n">
        <v>44914</v>
      </c>
      <c r="H207" t="inlineStr">
        <is>
          <t>Female</t>
        </is>
      </c>
      <c r="I207" t="inlineStr">
        <is>
          <t>Asian</t>
        </is>
      </c>
      <c r="J207" t="inlineStr">
        <is>
          <t>WEBSITE</t>
        </is>
      </c>
      <c r="K207" t="inlineStr">
        <is>
          <t>Bangalore</t>
        </is>
      </c>
      <c r="L207" s="27" t="inlineStr">
        <is>
          <t>IT</t>
        </is>
      </c>
      <c r="M207" t="inlineStr">
        <is>
          <t>Full-Time</t>
        </is>
      </c>
      <c r="N207" t="inlineStr">
        <is>
          <t>Senior Software Engineer</t>
        </is>
      </c>
      <c r="O207" t="inlineStr">
        <is>
          <t>E3</t>
        </is>
      </c>
      <c r="P207" t="inlineStr">
        <is>
          <t>Senior Software Engineer</t>
        </is>
      </c>
      <c r="Q207" t="inlineStr">
        <is>
          <t>Srisha N (1031856)</t>
        </is>
      </c>
      <c r="R207" t="n">
        <v>4</v>
      </c>
      <c r="S207" s="1" t="n">
        <v>250000</v>
      </c>
      <c r="T207" s="1">
        <f>ROUND(T_EMPLOYEES[[#This Row],[EMP_CTC1]]/12, 0)</f>
        <v/>
      </c>
      <c r="U207" s="1" t="n">
        <v>150000</v>
      </c>
      <c r="V207" s="1" t="inlineStr">
        <is>
          <t>NH</t>
        </is>
      </c>
      <c r="W207" s="1" t="inlineStr">
        <is>
          <t>NH</t>
        </is>
      </c>
      <c r="X20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7" t="n">
        <v>100000</v>
      </c>
      <c r="Z207" s="29">
        <f>(S207 - U207)/S207 * 100</f>
        <v/>
      </c>
      <c r="AA207">
        <f>IF(T_EMPLOYEES[[#This Row],[EMPLOYEE NUMBER]]="","",ROW(T_EMPLOYEES[[#This Row],[EMPLOYEE LABEL]])-ROW(T_EMPLOYEES[[#Headers],[EMPLOYEE LABEL]]))</f>
        <v/>
      </c>
      <c r="AB207">
        <f>IF(T_EMPLOYEES[[#This Row],[EMPLOYEE NUMBER]]="","",IF(COUNTIF(T_EMPLOYEES[EMPLOYEE NUMBER],T_EMPLOYEES[[#This Row],[EMPLOYEE NUMBER]])&gt;1,1,0))</f>
        <v/>
      </c>
      <c r="AC207">
        <f>IF(T_EMPLOYEES[[#This Row],[EMPLOYEE NUMBER]]="","",IF(AND(T_EMPLOYEES[[#This Row],[DATE OF BIRTH]]&gt;0,T_EMPLOYEES[[#This Row],[DATE OF BIRTH]]&lt;TODAY()),0,1))</f>
        <v/>
      </c>
      <c r="AD207">
        <f>IF(T_EMPLOYEES[[#This Row],[EMPLOYEE NUMBER]]="","",IF(AND(T_EMPLOYEES[[#This Row],[START DATE]]&gt;0,T_EMPLOYEES[[#This Row],[START DATE]]&lt;TODAY()+60),0,1))</f>
        <v/>
      </c>
      <c r="AE207">
        <f>IF(T_EMPLOYEES[[#This Row],[EMPLOYEE NUMBER]]="","",MATCH(T_EMPLOYEES[[#This Row],[GENDER]],L_GENDER,0))</f>
        <v/>
      </c>
      <c r="AF207">
        <f>IF(T_EMPLOYEES[[#This Row],[EMPLOYEE NUMBER]]="","",MATCH(T_EMPLOYEES[[#This Row],[HIRE SOURCE]],L_HIRESOURCE,0))</f>
        <v/>
      </c>
      <c r="AG207">
        <f>IF(T_EMPLOYEES[[#This Row],[EMPLOYEE NUMBER]]="","",MATCH(T_EMPLOYEES[[#This Row],[ETHNICITY]],L_ETHNICITY,0))</f>
        <v/>
      </c>
      <c r="AH207">
        <f>IF(T_EMPLOYEES[[#This Row],[EMPLOYEE NUMBER]]="","",MATCH(T_EMPLOYEES[[#This Row],[LOCATION]],L_LOCATION,0))</f>
        <v/>
      </c>
      <c r="AI207">
        <f>IF(T_EMPLOYEES[[#This Row],[EMPLOYEE NUMBER]]="","",MATCH(T_EMPLOYEES[[#This Row],[DEPARTMENT]],L_DEPARTMENT,0))</f>
        <v/>
      </c>
      <c r="AJ207">
        <f>IF(T_EMPLOYEES[[#This Row],[EMPLOYEE NUMBER]]="","",MATCH(T_EMPLOYEES[[#This Row],[JOB TYPE]],L_JOBTYPE,0))</f>
        <v/>
      </c>
      <c r="AK207">
        <f>IF(T_EMPLOYEES[[#This Row],[EMPLOYEE NUMBER]]="","",MATCH(T_EMPLOYEES[[#This Row],[JOB CATEGORY]],L_JOBCATEGORY,0))</f>
        <v/>
      </c>
      <c r="AL207">
        <f>IF(T_EMPLOYEES[[#This Row],[EMPLOYEE NUMBER]]="","",MATCH(T_EMPLOYEES[[#This Row],[JOB LEVEL]],L_JOBLEVEL,0))</f>
        <v/>
      </c>
      <c r="AM207">
        <f>IF(T_EMPLOYEES[[#This Row],[EMPLOYEE NUMBER]]="","",MATCH(T_EMPLOYEES[[#This Row],[JOB TITLE]],L_JOBTITLE,0))</f>
        <v/>
      </c>
      <c r="AN207">
        <f>IF(T_EMPLOYEES[[#This Row],[EMPLOYEE NUMBER]]="","",MATCH(T_EMPLOYEES[[#This Row],[MANAGER]],L_EMPLABELS,0))</f>
        <v/>
      </c>
      <c r="AO207">
        <f>IF(T_EMPLOYEES[[#This Row],[EMPLOYEE NUMBER]]="","",IF(T_EMPLOYEES[[#This Row],[ERROR]]="",0,1))</f>
        <v/>
      </c>
      <c r="AP20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07" t="inlineStr">
        <is>
          <t>Reference</t>
        </is>
      </c>
    </row>
    <row r="208">
      <c r="A208" t="inlineStr">
        <is>
          <t>Raviprasad</t>
        </is>
      </c>
      <c r="B208" t="inlineStr">
        <is>
          <t>Jhuriprasad Gupta</t>
        </is>
      </c>
      <c r="C208" t="n">
        <v>1026766</v>
      </c>
      <c r="D208" t="inlineStr">
        <is>
          <t>Raviprasad.Gupta2@infinite.com</t>
        </is>
      </c>
      <c r="E208" s="26" t="n">
        <v>33524</v>
      </c>
      <c r="F208" s="26" t="n">
        <v>44473</v>
      </c>
      <c r="H208" t="inlineStr">
        <is>
          <t>Male</t>
        </is>
      </c>
      <c r="I208" t="inlineStr">
        <is>
          <t>Asian</t>
        </is>
      </c>
      <c r="J208" t="inlineStr">
        <is>
          <t>WEBSITE</t>
        </is>
      </c>
      <c r="K208" t="inlineStr">
        <is>
          <t>Bangalore</t>
        </is>
      </c>
      <c r="L208" s="27" t="inlineStr">
        <is>
          <t>IT</t>
        </is>
      </c>
      <c r="M208" t="inlineStr">
        <is>
          <t>Full-Time</t>
        </is>
      </c>
      <c r="N208" t="inlineStr">
        <is>
          <t>Technical Lead</t>
        </is>
      </c>
      <c r="O208" t="inlineStr">
        <is>
          <t>E4</t>
        </is>
      </c>
      <c r="P208" t="inlineStr">
        <is>
          <t>Technical Lead</t>
        </is>
      </c>
      <c r="Q208" t="inlineStr">
        <is>
          <t>Someshwara Prabhu Nanje Gowda (1021418)</t>
        </is>
      </c>
      <c r="R208" s="27" t="n">
        <v>5</v>
      </c>
      <c r="S208" s="1" t="n">
        <v>250000</v>
      </c>
      <c r="T208" s="1">
        <f>ROUND(T_EMPLOYEES[[#This Row],[EMP_CTC1]]/12, 0)</f>
        <v/>
      </c>
      <c r="U208" s="1" t="n">
        <v>150000</v>
      </c>
      <c r="V208" s="1" t="inlineStr">
        <is>
          <t>NH</t>
        </is>
      </c>
      <c r="W208" s="1" t="inlineStr">
        <is>
          <t>NH</t>
        </is>
      </c>
      <c r="X20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8" t="n">
        <v>100000</v>
      </c>
      <c r="Z208" s="29">
        <f>(S208 - U208)/S208 * 100</f>
        <v/>
      </c>
      <c r="AA208">
        <f>IF(T_EMPLOYEES[[#This Row],[EMPLOYEE NUMBER]]="","",ROW(T_EMPLOYEES[[#This Row],[EMPLOYEE LABEL]])-ROW(T_EMPLOYEES[[#Headers],[EMPLOYEE LABEL]]))</f>
        <v/>
      </c>
      <c r="AB208">
        <f>IF(T_EMPLOYEES[[#This Row],[EMPLOYEE NUMBER]]="","",IF(COUNTIF(T_EMPLOYEES[EMPLOYEE NUMBER],T_EMPLOYEES[[#This Row],[EMPLOYEE NUMBER]])&gt;1,1,0))</f>
        <v/>
      </c>
      <c r="AC208">
        <f>IF(T_EMPLOYEES[[#This Row],[EMPLOYEE NUMBER]]="","",IF(AND(T_EMPLOYEES[[#This Row],[DATE OF BIRTH]]&gt;0,T_EMPLOYEES[[#This Row],[DATE OF BIRTH]]&lt;TODAY()),0,1))</f>
        <v/>
      </c>
      <c r="AD208">
        <f>IF(T_EMPLOYEES[[#This Row],[EMPLOYEE NUMBER]]="","",IF(AND(T_EMPLOYEES[[#This Row],[START DATE]]&gt;0,T_EMPLOYEES[[#This Row],[START DATE]]&lt;TODAY()+60),0,1))</f>
        <v/>
      </c>
      <c r="AE208">
        <f>IF(T_EMPLOYEES[[#This Row],[EMPLOYEE NUMBER]]="","",MATCH(T_EMPLOYEES[[#This Row],[GENDER]],L_GENDER,0))</f>
        <v/>
      </c>
      <c r="AF208">
        <f>IF(T_EMPLOYEES[[#This Row],[EMPLOYEE NUMBER]]="","",MATCH(T_EMPLOYEES[[#This Row],[HIRE SOURCE]],L_HIRESOURCE,0))</f>
        <v/>
      </c>
      <c r="AG208">
        <f>IF(T_EMPLOYEES[[#This Row],[EMPLOYEE NUMBER]]="","",MATCH(T_EMPLOYEES[[#This Row],[ETHNICITY]],L_ETHNICITY,0))</f>
        <v/>
      </c>
      <c r="AH208">
        <f>IF(T_EMPLOYEES[[#This Row],[EMPLOYEE NUMBER]]="","",MATCH(T_EMPLOYEES[[#This Row],[LOCATION]],L_LOCATION,0))</f>
        <v/>
      </c>
      <c r="AI208">
        <f>IF(T_EMPLOYEES[[#This Row],[EMPLOYEE NUMBER]]="","",MATCH(T_EMPLOYEES[[#This Row],[DEPARTMENT]],L_DEPARTMENT,0))</f>
        <v/>
      </c>
      <c r="AJ208">
        <f>IF(T_EMPLOYEES[[#This Row],[EMPLOYEE NUMBER]]="","",MATCH(T_EMPLOYEES[[#This Row],[JOB TYPE]],L_JOBTYPE,0))</f>
        <v/>
      </c>
      <c r="AK208">
        <f>IF(T_EMPLOYEES[[#This Row],[EMPLOYEE NUMBER]]="","",MATCH(T_EMPLOYEES[[#This Row],[JOB CATEGORY]],L_JOBCATEGORY,0))</f>
        <v/>
      </c>
      <c r="AL208">
        <f>IF(T_EMPLOYEES[[#This Row],[EMPLOYEE NUMBER]]="","",MATCH(T_EMPLOYEES[[#This Row],[JOB LEVEL]],L_JOBLEVEL,0))</f>
        <v/>
      </c>
      <c r="AM208">
        <f>IF(T_EMPLOYEES[[#This Row],[EMPLOYEE NUMBER]]="","",MATCH(T_EMPLOYEES[[#This Row],[JOB TITLE]],L_JOBTITLE,0))</f>
        <v/>
      </c>
      <c r="AN208">
        <f>IF(T_EMPLOYEES[[#This Row],[EMPLOYEE NUMBER]]="","",MATCH(T_EMPLOYEES[[#This Row],[MANAGER]],L_EMPLABELS,0))</f>
        <v/>
      </c>
      <c r="AO208">
        <f>IF(T_EMPLOYEES[[#This Row],[EMPLOYEE NUMBER]]="","",IF(T_EMPLOYEES[[#This Row],[ERROR]]="",0,1))</f>
        <v/>
      </c>
      <c r="AP20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09">
      <c r="A209" t="inlineStr">
        <is>
          <t>Mattam</t>
        </is>
      </c>
      <c r="B209" t="inlineStr">
        <is>
          <t xml:space="preserve"> Satish</t>
        </is>
      </c>
      <c r="C209" t="n">
        <v>1026951</v>
      </c>
      <c r="D209" t="inlineStr">
        <is>
          <t>Mattam.Satish@infinite.com</t>
        </is>
      </c>
      <c r="E209" s="26" t="n">
        <v>33530</v>
      </c>
      <c r="F209" s="26" t="n">
        <v>44494</v>
      </c>
      <c r="H209" t="inlineStr">
        <is>
          <t>Male</t>
        </is>
      </c>
      <c r="I209" t="inlineStr">
        <is>
          <t>Asian</t>
        </is>
      </c>
      <c r="J209" t="inlineStr">
        <is>
          <t>WEBSITE</t>
        </is>
      </c>
      <c r="K209" t="inlineStr">
        <is>
          <t>Bangalore</t>
        </is>
      </c>
      <c r="L209" s="27" t="inlineStr">
        <is>
          <t>IT</t>
        </is>
      </c>
      <c r="M209" t="inlineStr">
        <is>
          <t>Full-Time</t>
        </is>
      </c>
      <c r="N209" t="inlineStr">
        <is>
          <t>Software Test Engineer</t>
        </is>
      </c>
      <c r="O209" t="inlineStr">
        <is>
          <t>E2</t>
        </is>
      </c>
      <c r="P209" t="inlineStr">
        <is>
          <t>Software Test Engineer</t>
        </is>
      </c>
      <c r="Q209" t="inlineStr">
        <is>
          <t>Siddharth Kumar (1027551)</t>
        </is>
      </c>
      <c r="R209" t="n">
        <v>4</v>
      </c>
      <c r="S209" s="1" t="n">
        <v>250000</v>
      </c>
      <c r="T209" s="1">
        <f>ROUND(T_EMPLOYEES[[#This Row],[EMP_CTC1]]/12, 0)</f>
        <v/>
      </c>
      <c r="U209" s="1" t="n">
        <v>150000</v>
      </c>
      <c r="V209" s="1" t="inlineStr">
        <is>
          <t>NH</t>
        </is>
      </c>
      <c r="W209" s="1" t="inlineStr">
        <is>
          <t>NH</t>
        </is>
      </c>
      <c r="X20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09" t="n">
        <v>100000</v>
      </c>
      <c r="Z209" s="29">
        <f>(S209 - U209)/S209 * 100</f>
        <v/>
      </c>
      <c r="AA209">
        <f>IF(T_EMPLOYEES[[#This Row],[EMPLOYEE NUMBER]]="","",ROW(T_EMPLOYEES[[#This Row],[EMPLOYEE LABEL]])-ROW(T_EMPLOYEES[[#Headers],[EMPLOYEE LABEL]]))</f>
        <v/>
      </c>
      <c r="AB209">
        <f>IF(T_EMPLOYEES[[#This Row],[EMPLOYEE NUMBER]]="","",IF(COUNTIF(T_EMPLOYEES[EMPLOYEE NUMBER],T_EMPLOYEES[[#This Row],[EMPLOYEE NUMBER]])&gt;1,1,0))</f>
        <v/>
      </c>
      <c r="AC209">
        <f>IF(T_EMPLOYEES[[#This Row],[EMPLOYEE NUMBER]]="","",IF(AND(T_EMPLOYEES[[#This Row],[DATE OF BIRTH]]&gt;0,T_EMPLOYEES[[#This Row],[DATE OF BIRTH]]&lt;TODAY()),0,1))</f>
        <v/>
      </c>
      <c r="AD209">
        <f>IF(T_EMPLOYEES[[#This Row],[EMPLOYEE NUMBER]]="","",IF(AND(T_EMPLOYEES[[#This Row],[START DATE]]&gt;0,T_EMPLOYEES[[#This Row],[START DATE]]&lt;TODAY()+60),0,1))</f>
        <v/>
      </c>
      <c r="AE209">
        <f>IF(T_EMPLOYEES[[#This Row],[EMPLOYEE NUMBER]]="","",MATCH(T_EMPLOYEES[[#This Row],[GENDER]],L_GENDER,0))</f>
        <v/>
      </c>
      <c r="AF209">
        <f>IF(T_EMPLOYEES[[#This Row],[EMPLOYEE NUMBER]]="","",MATCH(T_EMPLOYEES[[#This Row],[HIRE SOURCE]],L_HIRESOURCE,0))</f>
        <v/>
      </c>
      <c r="AG209">
        <f>IF(T_EMPLOYEES[[#This Row],[EMPLOYEE NUMBER]]="","",MATCH(T_EMPLOYEES[[#This Row],[ETHNICITY]],L_ETHNICITY,0))</f>
        <v/>
      </c>
      <c r="AH209">
        <f>IF(T_EMPLOYEES[[#This Row],[EMPLOYEE NUMBER]]="","",MATCH(T_EMPLOYEES[[#This Row],[LOCATION]],L_LOCATION,0))</f>
        <v/>
      </c>
      <c r="AI209">
        <f>IF(T_EMPLOYEES[[#This Row],[EMPLOYEE NUMBER]]="","",MATCH(T_EMPLOYEES[[#This Row],[DEPARTMENT]],L_DEPARTMENT,0))</f>
        <v/>
      </c>
      <c r="AJ209">
        <f>IF(T_EMPLOYEES[[#This Row],[EMPLOYEE NUMBER]]="","",MATCH(T_EMPLOYEES[[#This Row],[JOB TYPE]],L_JOBTYPE,0))</f>
        <v/>
      </c>
      <c r="AK209">
        <f>IF(T_EMPLOYEES[[#This Row],[EMPLOYEE NUMBER]]="","",MATCH(T_EMPLOYEES[[#This Row],[JOB CATEGORY]],L_JOBCATEGORY,0))</f>
        <v/>
      </c>
      <c r="AL209">
        <f>IF(T_EMPLOYEES[[#This Row],[EMPLOYEE NUMBER]]="","",MATCH(T_EMPLOYEES[[#This Row],[JOB LEVEL]],L_JOBLEVEL,0))</f>
        <v/>
      </c>
      <c r="AM209">
        <f>IF(T_EMPLOYEES[[#This Row],[EMPLOYEE NUMBER]]="","",MATCH(T_EMPLOYEES[[#This Row],[JOB TITLE]],L_JOBTITLE,0))</f>
        <v/>
      </c>
      <c r="AN209">
        <f>IF(T_EMPLOYEES[[#This Row],[EMPLOYEE NUMBER]]="","",MATCH(T_EMPLOYEES[[#This Row],[MANAGER]],L_EMPLABELS,0))</f>
        <v/>
      </c>
      <c r="AO209">
        <f>IF(T_EMPLOYEES[[#This Row],[EMPLOYEE NUMBER]]="","",IF(T_EMPLOYEES[[#This Row],[ERROR]]="",0,1))</f>
        <v/>
      </c>
      <c r="AP20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0">
      <c r="A210" t="inlineStr">
        <is>
          <t>Anumula</t>
        </is>
      </c>
      <c r="B210" t="inlineStr">
        <is>
          <t xml:space="preserve"> Soujanya</t>
        </is>
      </c>
      <c r="C210" t="n">
        <v>1028104</v>
      </c>
      <c r="D210" t="inlineStr">
        <is>
          <t>Soujanya.Anumula@infinite.com</t>
        </is>
      </c>
      <c r="E210" s="26" t="n">
        <v>33531</v>
      </c>
      <c r="F210" s="26" t="n">
        <v>44582</v>
      </c>
      <c r="H210" t="inlineStr">
        <is>
          <t>Female</t>
        </is>
      </c>
      <c r="I210" t="inlineStr">
        <is>
          <t>Asian</t>
        </is>
      </c>
      <c r="J210" t="inlineStr">
        <is>
          <t>WEBSITE</t>
        </is>
      </c>
      <c r="K210" t="inlineStr">
        <is>
          <t>Bangalore</t>
        </is>
      </c>
      <c r="L210" s="27" t="inlineStr">
        <is>
          <t>IT</t>
        </is>
      </c>
      <c r="M210" t="inlineStr">
        <is>
          <t>Full-Time</t>
        </is>
      </c>
      <c r="N210" t="inlineStr">
        <is>
          <t>Associate Software Engineer</t>
        </is>
      </c>
      <c r="O210" t="inlineStr">
        <is>
          <t>E1</t>
        </is>
      </c>
      <c r="P210" t="inlineStr">
        <is>
          <t>Associate Software Engineer</t>
        </is>
      </c>
      <c r="Q210" t="inlineStr">
        <is>
          <t>T  Muthukumar (1022795)</t>
        </is>
      </c>
      <c r="R210" s="27" t="n">
        <v>0</v>
      </c>
      <c r="S210" s="1" t="n">
        <v>250000</v>
      </c>
      <c r="T210" s="1">
        <f>ROUND(T_EMPLOYEES[[#This Row],[EMP_CTC1]]/12, 0)</f>
        <v/>
      </c>
      <c r="U210" s="1" t="n">
        <v>150000</v>
      </c>
      <c r="V210" s="1" t="inlineStr">
        <is>
          <t>NH</t>
        </is>
      </c>
      <c r="W210" s="1" t="inlineStr">
        <is>
          <t>NH Projects</t>
        </is>
      </c>
      <c r="X21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0" t="n">
        <v>100000</v>
      </c>
      <c r="Z210" s="29">
        <f>(S210 - U210)/S210 * 100</f>
        <v/>
      </c>
      <c r="AA210">
        <f>IF(T_EMPLOYEES[[#This Row],[EMPLOYEE NUMBER]]="","",ROW(T_EMPLOYEES[[#This Row],[EMPLOYEE LABEL]])-ROW(T_EMPLOYEES[[#Headers],[EMPLOYEE LABEL]]))</f>
        <v/>
      </c>
      <c r="AB210">
        <f>IF(T_EMPLOYEES[[#This Row],[EMPLOYEE NUMBER]]="","",IF(COUNTIF(T_EMPLOYEES[EMPLOYEE NUMBER],T_EMPLOYEES[[#This Row],[EMPLOYEE NUMBER]])&gt;1,1,0))</f>
        <v/>
      </c>
      <c r="AC210">
        <f>IF(T_EMPLOYEES[[#This Row],[EMPLOYEE NUMBER]]="","",IF(AND(T_EMPLOYEES[[#This Row],[DATE OF BIRTH]]&gt;0,T_EMPLOYEES[[#This Row],[DATE OF BIRTH]]&lt;TODAY()),0,1))</f>
        <v/>
      </c>
      <c r="AD210">
        <f>IF(T_EMPLOYEES[[#This Row],[EMPLOYEE NUMBER]]="","",IF(AND(T_EMPLOYEES[[#This Row],[START DATE]]&gt;0,T_EMPLOYEES[[#This Row],[START DATE]]&lt;TODAY()+60),0,1))</f>
        <v/>
      </c>
      <c r="AE210">
        <f>IF(T_EMPLOYEES[[#This Row],[EMPLOYEE NUMBER]]="","",MATCH(T_EMPLOYEES[[#This Row],[GENDER]],L_GENDER,0))</f>
        <v/>
      </c>
      <c r="AF210">
        <f>IF(T_EMPLOYEES[[#This Row],[EMPLOYEE NUMBER]]="","",MATCH(T_EMPLOYEES[[#This Row],[HIRE SOURCE]],L_HIRESOURCE,0))</f>
        <v/>
      </c>
      <c r="AG210">
        <f>IF(T_EMPLOYEES[[#This Row],[EMPLOYEE NUMBER]]="","",MATCH(T_EMPLOYEES[[#This Row],[ETHNICITY]],L_ETHNICITY,0))</f>
        <v/>
      </c>
      <c r="AH210">
        <f>IF(T_EMPLOYEES[[#This Row],[EMPLOYEE NUMBER]]="","",MATCH(T_EMPLOYEES[[#This Row],[LOCATION]],L_LOCATION,0))</f>
        <v/>
      </c>
      <c r="AI210">
        <f>IF(T_EMPLOYEES[[#This Row],[EMPLOYEE NUMBER]]="","",MATCH(T_EMPLOYEES[[#This Row],[DEPARTMENT]],L_DEPARTMENT,0))</f>
        <v/>
      </c>
      <c r="AJ210">
        <f>IF(T_EMPLOYEES[[#This Row],[EMPLOYEE NUMBER]]="","",MATCH(T_EMPLOYEES[[#This Row],[JOB TYPE]],L_JOBTYPE,0))</f>
        <v/>
      </c>
      <c r="AK210">
        <f>IF(T_EMPLOYEES[[#This Row],[EMPLOYEE NUMBER]]="","",MATCH(T_EMPLOYEES[[#This Row],[JOB CATEGORY]],L_JOBCATEGORY,0))</f>
        <v/>
      </c>
      <c r="AL210">
        <f>IF(T_EMPLOYEES[[#This Row],[EMPLOYEE NUMBER]]="","",MATCH(T_EMPLOYEES[[#This Row],[JOB LEVEL]],L_JOBLEVEL,0))</f>
        <v/>
      </c>
      <c r="AM210">
        <f>IF(T_EMPLOYEES[[#This Row],[EMPLOYEE NUMBER]]="","",MATCH(T_EMPLOYEES[[#This Row],[JOB TITLE]],L_JOBTITLE,0))</f>
        <v/>
      </c>
      <c r="AN210">
        <f>IF(T_EMPLOYEES[[#This Row],[EMPLOYEE NUMBER]]="","",MATCH(T_EMPLOYEES[[#This Row],[MANAGER]],L_EMPLABELS,0))</f>
        <v/>
      </c>
      <c r="AO210">
        <f>IF(T_EMPLOYEES[[#This Row],[EMPLOYEE NUMBER]]="","",IF(T_EMPLOYEES[[#This Row],[ERROR]]="",0,1))</f>
        <v/>
      </c>
      <c r="AP21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10" t="inlineStr">
        <is>
          <t>Claims</t>
        </is>
      </c>
    </row>
    <row r="211">
      <c r="A211" t="inlineStr">
        <is>
          <t>Mogarala</t>
        </is>
      </c>
      <c r="B211" t="inlineStr">
        <is>
          <t>Ganapathi</t>
        </is>
      </c>
      <c r="C211" t="n">
        <v>1030116</v>
      </c>
      <c r="D211" t="inlineStr">
        <is>
          <t>Ganapathi.Mogarala@infinite.com</t>
        </is>
      </c>
      <c r="E211" s="26" t="n">
        <v>33554</v>
      </c>
      <c r="F211" s="26" t="n">
        <v>44809</v>
      </c>
      <c r="H211" t="inlineStr">
        <is>
          <t>Male</t>
        </is>
      </c>
      <c r="I211" t="inlineStr">
        <is>
          <t>Asian</t>
        </is>
      </c>
      <c r="J211" t="inlineStr">
        <is>
          <t>WEBSITE</t>
        </is>
      </c>
      <c r="K211" t="inlineStr">
        <is>
          <t>Bangalore</t>
        </is>
      </c>
      <c r="L211" s="27" t="inlineStr">
        <is>
          <t>IT</t>
        </is>
      </c>
      <c r="M211" t="inlineStr">
        <is>
          <t>Full-Time</t>
        </is>
      </c>
      <c r="N211" t="inlineStr">
        <is>
          <t>Senior Software Engineer</t>
        </is>
      </c>
      <c r="O211" t="inlineStr">
        <is>
          <t>E3</t>
        </is>
      </c>
      <c r="P211" t="inlineStr">
        <is>
          <t>Senior Software Engineer</t>
        </is>
      </c>
      <c r="Q211" t="inlineStr">
        <is>
          <t>P Vinoth  Kumar (1023066)</t>
        </is>
      </c>
      <c r="R211" t="n">
        <v>4</v>
      </c>
      <c r="S211" s="1" t="n">
        <v>250000</v>
      </c>
      <c r="T211" s="1">
        <f>ROUND(T_EMPLOYEES[[#This Row],[EMP_CTC1]]/12, 0)</f>
        <v/>
      </c>
      <c r="U211" s="1" t="n">
        <v>150000</v>
      </c>
      <c r="V211" s="1" t="inlineStr">
        <is>
          <t>NH</t>
        </is>
      </c>
      <c r="W211" s="1" t="inlineStr">
        <is>
          <t>NH</t>
        </is>
      </c>
      <c r="X21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1" t="n">
        <v>100000</v>
      </c>
      <c r="Z211" s="29">
        <f>(S211 - U211)/S211 * 100</f>
        <v/>
      </c>
      <c r="AA211">
        <f>IF(T_EMPLOYEES[[#This Row],[EMPLOYEE NUMBER]]="","",ROW(T_EMPLOYEES[[#This Row],[EMPLOYEE LABEL]])-ROW(T_EMPLOYEES[[#Headers],[EMPLOYEE LABEL]]))</f>
        <v/>
      </c>
      <c r="AB211">
        <f>IF(T_EMPLOYEES[[#This Row],[EMPLOYEE NUMBER]]="","",IF(COUNTIF(T_EMPLOYEES[EMPLOYEE NUMBER],T_EMPLOYEES[[#This Row],[EMPLOYEE NUMBER]])&gt;1,1,0))</f>
        <v/>
      </c>
      <c r="AC211">
        <f>IF(T_EMPLOYEES[[#This Row],[EMPLOYEE NUMBER]]="","",IF(AND(T_EMPLOYEES[[#This Row],[DATE OF BIRTH]]&gt;0,T_EMPLOYEES[[#This Row],[DATE OF BIRTH]]&lt;TODAY()),0,1))</f>
        <v/>
      </c>
      <c r="AD211">
        <f>IF(T_EMPLOYEES[[#This Row],[EMPLOYEE NUMBER]]="","",IF(AND(T_EMPLOYEES[[#This Row],[START DATE]]&gt;0,T_EMPLOYEES[[#This Row],[START DATE]]&lt;TODAY()+60),0,1))</f>
        <v/>
      </c>
      <c r="AE211">
        <f>IF(T_EMPLOYEES[[#This Row],[EMPLOYEE NUMBER]]="","",MATCH(T_EMPLOYEES[[#This Row],[GENDER]],L_GENDER,0))</f>
        <v/>
      </c>
      <c r="AF211">
        <f>IF(T_EMPLOYEES[[#This Row],[EMPLOYEE NUMBER]]="","",MATCH(T_EMPLOYEES[[#This Row],[HIRE SOURCE]],L_HIRESOURCE,0))</f>
        <v/>
      </c>
      <c r="AG211">
        <f>IF(T_EMPLOYEES[[#This Row],[EMPLOYEE NUMBER]]="","",MATCH(T_EMPLOYEES[[#This Row],[ETHNICITY]],L_ETHNICITY,0))</f>
        <v/>
      </c>
      <c r="AH211">
        <f>IF(T_EMPLOYEES[[#This Row],[EMPLOYEE NUMBER]]="","",MATCH(T_EMPLOYEES[[#This Row],[LOCATION]],L_LOCATION,0))</f>
        <v/>
      </c>
      <c r="AI211">
        <f>IF(T_EMPLOYEES[[#This Row],[EMPLOYEE NUMBER]]="","",MATCH(T_EMPLOYEES[[#This Row],[DEPARTMENT]],L_DEPARTMENT,0))</f>
        <v/>
      </c>
      <c r="AJ211">
        <f>IF(T_EMPLOYEES[[#This Row],[EMPLOYEE NUMBER]]="","",MATCH(T_EMPLOYEES[[#This Row],[JOB TYPE]],L_JOBTYPE,0))</f>
        <v/>
      </c>
      <c r="AK211">
        <f>IF(T_EMPLOYEES[[#This Row],[EMPLOYEE NUMBER]]="","",MATCH(T_EMPLOYEES[[#This Row],[JOB CATEGORY]],L_JOBCATEGORY,0))</f>
        <v/>
      </c>
      <c r="AL211">
        <f>IF(T_EMPLOYEES[[#This Row],[EMPLOYEE NUMBER]]="","",MATCH(T_EMPLOYEES[[#This Row],[JOB LEVEL]],L_JOBLEVEL,0))</f>
        <v/>
      </c>
      <c r="AM211">
        <f>IF(T_EMPLOYEES[[#This Row],[EMPLOYEE NUMBER]]="","",MATCH(T_EMPLOYEES[[#This Row],[JOB TITLE]],L_JOBTITLE,0))</f>
        <v/>
      </c>
      <c r="AN211">
        <f>IF(T_EMPLOYEES[[#This Row],[EMPLOYEE NUMBER]]="","",MATCH(T_EMPLOYEES[[#This Row],[MANAGER]],L_EMPLABELS,0))</f>
        <v/>
      </c>
      <c r="AO211">
        <f>IF(T_EMPLOYEES[[#This Row],[EMPLOYEE NUMBER]]="","",IF(T_EMPLOYEES[[#This Row],[ERROR]]="",0,1))</f>
        <v/>
      </c>
      <c r="AP21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11" t="inlineStr">
        <is>
          <t>Service Authorization</t>
        </is>
      </c>
    </row>
    <row r="212">
      <c r="A212" t="inlineStr">
        <is>
          <t>Kartik</t>
        </is>
      </c>
      <c r="B212" t="inlineStr">
        <is>
          <t>Shivappa Ganiger</t>
        </is>
      </c>
      <c r="C212" t="n">
        <v>1029405</v>
      </c>
      <c r="D212" t="inlineStr">
        <is>
          <t>Kartik.Ganiger@infinite.com</t>
        </is>
      </c>
      <c r="E212" s="26" t="n">
        <v>33578</v>
      </c>
      <c r="F212" s="26" t="n">
        <v>44741</v>
      </c>
      <c r="H212" t="inlineStr">
        <is>
          <t>Male</t>
        </is>
      </c>
      <c r="I212" t="inlineStr">
        <is>
          <t>Asian</t>
        </is>
      </c>
      <c r="J212" t="inlineStr">
        <is>
          <t>WEBSITE</t>
        </is>
      </c>
      <c r="K212" t="inlineStr">
        <is>
          <t>Bangalore</t>
        </is>
      </c>
      <c r="L212" s="27" t="inlineStr">
        <is>
          <t>IT</t>
        </is>
      </c>
      <c r="M212" t="inlineStr">
        <is>
          <t>Full-Time</t>
        </is>
      </c>
      <c r="N212" t="inlineStr">
        <is>
          <t>Software Test Engineer</t>
        </is>
      </c>
      <c r="O212" t="inlineStr">
        <is>
          <t>E2</t>
        </is>
      </c>
      <c r="P212" t="inlineStr">
        <is>
          <t>Software Test Engineer</t>
        </is>
      </c>
      <c r="Q212" t="inlineStr">
        <is>
          <t>Talluri  Mangarao (1004641)</t>
        </is>
      </c>
      <c r="R212" s="27" t="n">
        <v>4</v>
      </c>
      <c r="S212" s="1" t="n">
        <v>250000</v>
      </c>
      <c r="T212" s="1">
        <f>ROUND(T_EMPLOYEES[[#This Row],[EMP_CTC1]]/12, 0)</f>
        <v/>
      </c>
      <c r="U212" s="1" t="n">
        <v>150000</v>
      </c>
      <c r="V212" s="1" t="inlineStr">
        <is>
          <t>NH</t>
        </is>
      </c>
      <c r="W212" s="1" t="inlineStr">
        <is>
          <t>NH</t>
        </is>
      </c>
      <c r="X21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2" t="n">
        <v>100000</v>
      </c>
      <c r="Z212" s="29">
        <f>(S212 - U212)/S212 * 100</f>
        <v/>
      </c>
      <c r="AA212">
        <f>IF(T_EMPLOYEES[[#This Row],[EMPLOYEE NUMBER]]="","",ROW(T_EMPLOYEES[[#This Row],[EMPLOYEE LABEL]])-ROW(T_EMPLOYEES[[#Headers],[EMPLOYEE LABEL]]))</f>
        <v/>
      </c>
      <c r="AB212">
        <f>IF(T_EMPLOYEES[[#This Row],[EMPLOYEE NUMBER]]="","",IF(COUNTIF(T_EMPLOYEES[EMPLOYEE NUMBER],T_EMPLOYEES[[#This Row],[EMPLOYEE NUMBER]])&gt;1,1,0))</f>
        <v/>
      </c>
      <c r="AC212">
        <f>IF(T_EMPLOYEES[[#This Row],[EMPLOYEE NUMBER]]="","",IF(AND(T_EMPLOYEES[[#This Row],[DATE OF BIRTH]]&gt;0,T_EMPLOYEES[[#This Row],[DATE OF BIRTH]]&lt;TODAY()),0,1))</f>
        <v/>
      </c>
      <c r="AD212">
        <f>IF(T_EMPLOYEES[[#This Row],[EMPLOYEE NUMBER]]="","",IF(AND(T_EMPLOYEES[[#This Row],[START DATE]]&gt;0,T_EMPLOYEES[[#This Row],[START DATE]]&lt;TODAY()+60),0,1))</f>
        <v/>
      </c>
      <c r="AE212">
        <f>IF(T_EMPLOYEES[[#This Row],[EMPLOYEE NUMBER]]="","",MATCH(T_EMPLOYEES[[#This Row],[GENDER]],L_GENDER,0))</f>
        <v/>
      </c>
      <c r="AF212">
        <f>IF(T_EMPLOYEES[[#This Row],[EMPLOYEE NUMBER]]="","",MATCH(T_EMPLOYEES[[#This Row],[HIRE SOURCE]],L_HIRESOURCE,0))</f>
        <v/>
      </c>
      <c r="AG212">
        <f>IF(T_EMPLOYEES[[#This Row],[EMPLOYEE NUMBER]]="","",MATCH(T_EMPLOYEES[[#This Row],[ETHNICITY]],L_ETHNICITY,0))</f>
        <v/>
      </c>
      <c r="AH212">
        <f>IF(T_EMPLOYEES[[#This Row],[EMPLOYEE NUMBER]]="","",MATCH(T_EMPLOYEES[[#This Row],[LOCATION]],L_LOCATION,0))</f>
        <v/>
      </c>
      <c r="AI212">
        <f>IF(T_EMPLOYEES[[#This Row],[EMPLOYEE NUMBER]]="","",MATCH(T_EMPLOYEES[[#This Row],[DEPARTMENT]],L_DEPARTMENT,0))</f>
        <v/>
      </c>
      <c r="AJ212">
        <f>IF(T_EMPLOYEES[[#This Row],[EMPLOYEE NUMBER]]="","",MATCH(T_EMPLOYEES[[#This Row],[JOB TYPE]],L_JOBTYPE,0))</f>
        <v/>
      </c>
      <c r="AK212">
        <f>IF(T_EMPLOYEES[[#This Row],[EMPLOYEE NUMBER]]="","",MATCH(T_EMPLOYEES[[#This Row],[JOB CATEGORY]],L_JOBCATEGORY,0))</f>
        <v/>
      </c>
      <c r="AL212">
        <f>IF(T_EMPLOYEES[[#This Row],[EMPLOYEE NUMBER]]="","",MATCH(T_EMPLOYEES[[#This Row],[JOB LEVEL]],L_JOBLEVEL,0))</f>
        <v/>
      </c>
      <c r="AM212">
        <f>IF(T_EMPLOYEES[[#This Row],[EMPLOYEE NUMBER]]="","",MATCH(T_EMPLOYEES[[#This Row],[JOB TITLE]],L_JOBTITLE,0))</f>
        <v/>
      </c>
      <c r="AN212">
        <f>IF(T_EMPLOYEES[[#This Row],[EMPLOYEE NUMBER]]="","",MATCH(T_EMPLOYEES[[#This Row],[MANAGER]],L_EMPLABELS,0))</f>
        <v/>
      </c>
      <c r="AO212">
        <f>IF(T_EMPLOYEES[[#This Row],[EMPLOYEE NUMBER]]="","",IF(T_EMPLOYEES[[#This Row],[ERROR]]="",0,1))</f>
        <v/>
      </c>
      <c r="AP21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3">
      <c r="A213" t="inlineStr">
        <is>
          <t>Golla</t>
        </is>
      </c>
      <c r="B213" t="inlineStr">
        <is>
          <t>Venugopal</t>
        </is>
      </c>
      <c r="C213" t="n">
        <v>1028128</v>
      </c>
      <c r="D213" t="inlineStr">
        <is>
          <t>Venugopal.Golla@infinite.com</t>
        </is>
      </c>
      <c r="E213" s="26" t="n">
        <v>33030</v>
      </c>
      <c r="F213" s="26" t="n">
        <v>44585</v>
      </c>
      <c r="H213" t="inlineStr">
        <is>
          <t>Male</t>
        </is>
      </c>
      <c r="I213" t="inlineStr">
        <is>
          <t>Asian</t>
        </is>
      </c>
      <c r="J213" t="inlineStr">
        <is>
          <t>WEBSITE</t>
        </is>
      </c>
      <c r="K213" t="inlineStr">
        <is>
          <t>Bangalore</t>
        </is>
      </c>
      <c r="L213" s="27" t="inlineStr">
        <is>
          <t>Core</t>
        </is>
      </c>
      <c r="M213" t="inlineStr">
        <is>
          <t>Full-Time</t>
        </is>
      </c>
      <c r="N213" t="inlineStr">
        <is>
          <t>Technical Lead</t>
        </is>
      </c>
      <c r="O213" t="inlineStr">
        <is>
          <t>E4</t>
        </is>
      </c>
      <c r="P213" t="inlineStr">
        <is>
          <t>Technical Lead</t>
        </is>
      </c>
      <c r="Q213" t="inlineStr">
        <is>
          <t>Kishore Kumar N (1019765)</t>
        </is>
      </c>
      <c r="R213" t="n">
        <v>5</v>
      </c>
      <c r="S213" s="1" t="n">
        <v>250000</v>
      </c>
      <c r="T213" s="1">
        <f>ROUND(T_EMPLOYEES[[#This Row],[EMP_CTC1]]/12, 0)</f>
        <v/>
      </c>
      <c r="U213" s="1" t="n">
        <v>150000</v>
      </c>
      <c r="V213" s="1" t="inlineStr">
        <is>
          <t>NH</t>
        </is>
      </c>
      <c r="W213" s="1" t="inlineStr">
        <is>
          <t>NH</t>
        </is>
      </c>
      <c r="X21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3" t="n">
        <v>100000</v>
      </c>
      <c r="Z213" s="29">
        <f>(S213 - U213)/S213 * 100</f>
        <v/>
      </c>
      <c r="AA213">
        <f>IF(T_EMPLOYEES[[#This Row],[EMPLOYEE NUMBER]]="","",ROW(T_EMPLOYEES[[#This Row],[EMPLOYEE LABEL]])-ROW(T_EMPLOYEES[[#Headers],[EMPLOYEE LABEL]]))</f>
        <v/>
      </c>
      <c r="AB213">
        <f>IF(T_EMPLOYEES[[#This Row],[EMPLOYEE NUMBER]]="","",IF(COUNTIF(T_EMPLOYEES[EMPLOYEE NUMBER],T_EMPLOYEES[[#This Row],[EMPLOYEE NUMBER]])&gt;1,1,0))</f>
        <v/>
      </c>
      <c r="AC213">
        <f>IF(T_EMPLOYEES[[#This Row],[EMPLOYEE NUMBER]]="","",IF(AND(T_EMPLOYEES[[#This Row],[DATE OF BIRTH]]&gt;0,T_EMPLOYEES[[#This Row],[DATE OF BIRTH]]&lt;TODAY()),0,1))</f>
        <v/>
      </c>
      <c r="AD213">
        <f>IF(T_EMPLOYEES[[#This Row],[EMPLOYEE NUMBER]]="","",IF(AND(T_EMPLOYEES[[#This Row],[START DATE]]&gt;0,T_EMPLOYEES[[#This Row],[START DATE]]&lt;TODAY()+60),0,1))</f>
        <v/>
      </c>
      <c r="AE213">
        <f>IF(T_EMPLOYEES[[#This Row],[EMPLOYEE NUMBER]]="","",MATCH(T_EMPLOYEES[[#This Row],[GENDER]],L_GENDER,0))</f>
        <v/>
      </c>
      <c r="AF213">
        <f>IF(T_EMPLOYEES[[#This Row],[EMPLOYEE NUMBER]]="","",MATCH(T_EMPLOYEES[[#This Row],[HIRE SOURCE]],L_HIRESOURCE,0))</f>
        <v/>
      </c>
      <c r="AG213">
        <f>IF(T_EMPLOYEES[[#This Row],[EMPLOYEE NUMBER]]="","",MATCH(T_EMPLOYEES[[#This Row],[ETHNICITY]],L_ETHNICITY,0))</f>
        <v/>
      </c>
      <c r="AH213">
        <f>IF(T_EMPLOYEES[[#This Row],[EMPLOYEE NUMBER]]="","",MATCH(T_EMPLOYEES[[#This Row],[LOCATION]],L_LOCATION,0))</f>
        <v/>
      </c>
      <c r="AI213">
        <f>IF(T_EMPLOYEES[[#This Row],[EMPLOYEE NUMBER]]="","",MATCH(T_EMPLOYEES[[#This Row],[DEPARTMENT]],L_DEPARTMENT,0))</f>
        <v/>
      </c>
      <c r="AJ213">
        <f>IF(T_EMPLOYEES[[#This Row],[EMPLOYEE NUMBER]]="","",MATCH(T_EMPLOYEES[[#This Row],[JOB TYPE]],L_JOBTYPE,0))</f>
        <v/>
      </c>
      <c r="AK213">
        <f>IF(T_EMPLOYEES[[#This Row],[EMPLOYEE NUMBER]]="","",MATCH(T_EMPLOYEES[[#This Row],[JOB CATEGORY]],L_JOBCATEGORY,0))</f>
        <v/>
      </c>
      <c r="AL213">
        <f>IF(T_EMPLOYEES[[#This Row],[EMPLOYEE NUMBER]]="","",MATCH(T_EMPLOYEES[[#This Row],[JOB LEVEL]],L_JOBLEVEL,0))</f>
        <v/>
      </c>
      <c r="AM213">
        <f>IF(T_EMPLOYEES[[#This Row],[EMPLOYEE NUMBER]]="","",MATCH(T_EMPLOYEES[[#This Row],[JOB TITLE]],L_JOBTITLE,0))</f>
        <v/>
      </c>
      <c r="AN213">
        <f>IF(T_EMPLOYEES[[#This Row],[EMPLOYEE NUMBER]]="","",MATCH(T_EMPLOYEES[[#This Row],[MANAGER]],L_EMPLABELS,0))</f>
        <v/>
      </c>
      <c r="AO213">
        <f>IF(T_EMPLOYEES[[#This Row],[EMPLOYEE NUMBER]]="","",IF(T_EMPLOYEES[[#This Row],[ERROR]]="",0,1))</f>
        <v/>
      </c>
      <c r="AP21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4">
      <c r="A214" t="inlineStr">
        <is>
          <t>SumantaKumar</t>
        </is>
      </c>
      <c r="B214" t="inlineStr">
        <is>
          <t>Swain</t>
        </is>
      </c>
      <c r="C214" t="n">
        <v>1020467</v>
      </c>
      <c r="D214" t="inlineStr">
        <is>
          <t>Sumanta.Kumar@infinite.com</t>
        </is>
      </c>
      <c r="E214" s="26" t="n">
        <v>33637</v>
      </c>
      <c r="F214" s="26" t="n">
        <v>43220</v>
      </c>
      <c r="H214" t="inlineStr">
        <is>
          <t>Male</t>
        </is>
      </c>
      <c r="I214" t="inlineStr">
        <is>
          <t>Asian</t>
        </is>
      </c>
      <c r="J214" t="inlineStr">
        <is>
          <t>WEBSITE</t>
        </is>
      </c>
      <c r="K214" t="inlineStr">
        <is>
          <t>Bangalore</t>
        </is>
      </c>
      <c r="L214" s="27" t="inlineStr">
        <is>
          <t>Core</t>
        </is>
      </c>
      <c r="M214" t="inlineStr">
        <is>
          <t>Full-Time</t>
        </is>
      </c>
      <c r="N214" t="inlineStr">
        <is>
          <t>Technical Lead</t>
        </is>
      </c>
      <c r="O214" t="inlineStr">
        <is>
          <t>E4</t>
        </is>
      </c>
      <c r="P214" t="inlineStr">
        <is>
          <t>Technical Lead</t>
        </is>
      </c>
      <c r="Q214" t="inlineStr">
        <is>
          <t>Dipakbhai Motibhai Tandel (1027230)</t>
        </is>
      </c>
      <c r="R214" s="27" t="n">
        <v>5</v>
      </c>
      <c r="S214" s="1" t="n">
        <v>250000</v>
      </c>
      <c r="T214" s="1">
        <f>ROUND(T_EMPLOYEES[[#This Row],[EMP_CTC1]]/12, 0)</f>
        <v/>
      </c>
      <c r="U214" s="1" t="n">
        <v>150000</v>
      </c>
      <c r="V214" s="1" t="inlineStr">
        <is>
          <t>NH</t>
        </is>
      </c>
      <c r="W214" s="1" t="inlineStr">
        <is>
          <t>NH</t>
        </is>
      </c>
      <c r="X21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4" t="n">
        <v>100000</v>
      </c>
      <c r="Z214" s="29">
        <f>(S214 - U214)/S214 * 100</f>
        <v/>
      </c>
      <c r="AA214">
        <f>IF(T_EMPLOYEES[[#This Row],[EMPLOYEE NUMBER]]="","",ROW(T_EMPLOYEES[[#This Row],[EMPLOYEE LABEL]])-ROW(T_EMPLOYEES[[#Headers],[EMPLOYEE LABEL]]))</f>
        <v/>
      </c>
      <c r="AB214">
        <f>IF(T_EMPLOYEES[[#This Row],[EMPLOYEE NUMBER]]="","",IF(COUNTIF(T_EMPLOYEES[EMPLOYEE NUMBER],T_EMPLOYEES[[#This Row],[EMPLOYEE NUMBER]])&gt;1,1,0))</f>
        <v/>
      </c>
      <c r="AC214">
        <f>IF(T_EMPLOYEES[[#This Row],[EMPLOYEE NUMBER]]="","",IF(AND(T_EMPLOYEES[[#This Row],[DATE OF BIRTH]]&gt;0,T_EMPLOYEES[[#This Row],[DATE OF BIRTH]]&lt;TODAY()),0,1))</f>
        <v/>
      </c>
      <c r="AD214">
        <f>IF(T_EMPLOYEES[[#This Row],[EMPLOYEE NUMBER]]="","",IF(AND(T_EMPLOYEES[[#This Row],[START DATE]]&gt;0,T_EMPLOYEES[[#This Row],[START DATE]]&lt;TODAY()+60),0,1))</f>
        <v/>
      </c>
      <c r="AE214">
        <f>IF(T_EMPLOYEES[[#This Row],[EMPLOYEE NUMBER]]="","",MATCH(T_EMPLOYEES[[#This Row],[GENDER]],L_GENDER,0))</f>
        <v/>
      </c>
      <c r="AF214">
        <f>IF(T_EMPLOYEES[[#This Row],[EMPLOYEE NUMBER]]="","",MATCH(T_EMPLOYEES[[#This Row],[HIRE SOURCE]],L_HIRESOURCE,0))</f>
        <v/>
      </c>
      <c r="AG214">
        <f>IF(T_EMPLOYEES[[#This Row],[EMPLOYEE NUMBER]]="","",MATCH(T_EMPLOYEES[[#This Row],[ETHNICITY]],L_ETHNICITY,0))</f>
        <v/>
      </c>
      <c r="AH214">
        <f>IF(T_EMPLOYEES[[#This Row],[EMPLOYEE NUMBER]]="","",MATCH(T_EMPLOYEES[[#This Row],[LOCATION]],L_LOCATION,0))</f>
        <v/>
      </c>
      <c r="AI214">
        <f>IF(T_EMPLOYEES[[#This Row],[EMPLOYEE NUMBER]]="","",MATCH(T_EMPLOYEES[[#This Row],[DEPARTMENT]],L_DEPARTMENT,0))</f>
        <v/>
      </c>
      <c r="AJ214">
        <f>IF(T_EMPLOYEES[[#This Row],[EMPLOYEE NUMBER]]="","",MATCH(T_EMPLOYEES[[#This Row],[JOB TYPE]],L_JOBTYPE,0))</f>
        <v/>
      </c>
      <c r="AK214">
        <f>IF(T_EMPLOYEES[[#This Row],[EMPLOYEE NUMBER]]="","",MATCH(T_EMPLOYEES[[#This Row],[JOB CATEGORY]],L_JOBCATEGORY,0))</f>
        <v/>
      </c>
      <c r="AL214">
        <f>IF(T_EMPLOYEES[[#This Row],[EMPLOYEE NUMBER]]="","",MATCH(T_EMPLOYEES[[#This Row],[JOB LEVEL]],L_JOBLEVEL,0))</f>
        <v/>
      </c>
      <c r="AM214">
        <f>IF(T_EMPLOYEES[[#This Row],[EMPLOYEE NUMBER]]="","",MATCH(T_EMPLOYEES[[#This Row],[JOB TITLE]],L_JOBTITLE,0))</f>
        <v/>
      </c>
      <c r="AN214">
        <f>IF(T_EMPLOYEES[[#This Row],[EMPLOYEE NUMBER]]="","",MATCH(T_EMPLOYEES[[#This Row],[MANAGER]],L_EMPLABELS,0))</f>
        <v/>
      </c>
      <c r="AO214">
        <f>IF(T_EMPLOYEES[[#This Row],[EMPLOYEE NUMBER]]="","",IF(T_EMPLOYEES[[#This Row],[ERROR]]="",0,1))</f>
        <v/>
      </c>
      <c r="AP21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5">
      <c r="A215" t="inlineStr">
        <is>
          <t>Soujanya</t>
        </is>
      </c>
      <c r="C215" t="n">
        <v>1026286</v>
      </c>
      <c r="D215" t="inlineStr">
        <is>
          <t>Soujanya.Suresh@infinite.com</t>
        </is>
      </c>
      <c r="E215" s="26" t="n">
        <v>33667</v>
      </c>
      <c r="F215" s="26" t="n">
        <v>44438</v>
      </c>
      <c r="H215" t="inlineStr">
        <is>
          <t>Female</t>
        </is>
      </c>
      <c r="I215" t="inlineStr">
        <is>
          <t>Asian</t>
        </is>
      </c>
      <c r="J215" t="inlineStr">
        <is>
          <t>WEBSITE</t>
        </is>
      </c>
      <c r="K215" t="inlineStr">
        <is>
          <t>Bangalore</t>
        </is>
      </c>
      <c r="L215" s="27" t="inlineStr">
        <is>
          <t>IT</t>
        </is>
      </c>
      <c r="M215" t="inlineStr">
        <is>
          <t>Full-Time</t>
        </is>
      </c>
      <c r="N215" t="inlineStr">
        <is>
          <t>Senior Executive</t>
        </is>
      </c>
      <c r="O215" t="inlineStr">
        <is>
          <t>E3</t>
        </is>
      </c>
      <c r="P215" t="inlineStr">
        <is>
          <t>Senior Executive</t>
        </is>
      </c>
      <c r="Q215" t="inlineStr">
        <is>
          <t>K Murari Bhat (1008532)</t>
        </is>
      </c>
      <c r="R215" t="n">
        <v>4</v>
      </c>
      <c r="S215" s="1" t="n">
        <v>250000</v>
      </c>
      <c r="T215" s="1">
        <f>ROUND(T_EMPLOYEES[[#This Row],[EMP_CTC1]]/12, 0)</f>
        <v/>
      </c>
      <c r="U215" s="1" t="n">
        <v>150000</v>
      </c>
      <c r="V215" s="1" t="inlineStr">
        <is>
          <t>NH</t>
        </is>
      </c>
      <c r="W215" s="1" t="inlineStr">
        <is>
          <t>NH</t>
        </is>
      </c>
      <c r="X21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5" t="n">
        <v>100000</v>
      </c>
      <c r="Z215" s="29">
        <f>(S215 - U215)/S215 * 100</f>
        <v/>
      </c>
      <c r="AA215">
        <f>IF(T_EMPLOYEES[[#This Row],[EMPLOYEE NUMBER]]="","",ROW(T_EMPLOYEES[[#This Row],[EMPLOYEE LABEL]])-ROW(T_EMPLOYEES[[#Headers],[EMPLOYEE LABEL]]))</f>
        <v/>
      </c>
      <c r="AB215">
        <f>IF(T_EMPLOYEES[[#This Row],[EMPLOYEE NUMBER]]="","",IF(COUNTIF(T_EMPLOYEES[EMPLOYEE NUMBER],T_EMPLOYEES[[#This Row],[EMPLOYEE NUMBER]])&gt;1,1,0))</f>
        <v/>
      </c>
      <c r="AC215">
        <f>IF(T_EMPLOYEES[[#This Row],[EMPLOYEE NUMBER]]="","",IF(AND(T_EMPLOYEES[[#This Row],[DATE OF BIRTH]]&gt;0,T_EMPLOYEES[[#This Row],[DATE OF BIRTH]]&lt;TODAY()),0,1))</f>
        <v/>
      </c>
      <c r="AD215">
        <f>IF(T_EMPLOYEES[[#This Row],[EMPLOYEE NUMBER]]="","",IF(AND(T_EMPLOYEES[[#This Row],[START DATE]]&gt;0,T_EMPLOYEES[[#This Row],[START DATE]]&lt;TODAY()+60),0,1))</f>
        <v/>
      </c>
      <c r="AE215">
        <f>IF(T_EMPLOYEES[[#This Row],[EMPLOYEE NUMBER]]="","",MATCH(T_EMPLOYEES[[#This Row],[GENDER]],L_GENDER,0))</f>
        <v/>
      </c>
      <c r="AF215">
        <f>IF(T_EMPLOYEES[[#This Row],[EMPLOYEE NUMBER]]="","",MATCH(T_EMPLOYEES[[#This Row],[HIRE SOURCE]],L_HIRESOURCE,0))</f>
        <v/>
      </c>
      <c r="AG215">
        <f>IF(T_EMPLOYEES[[#This Row],[EMPLOYEE NUMBER]]="","",MATCH(T_EMPLOYEES[[#This Row],[ETHNICITY]],L_ETHNICITY,0))</f>
        <v/>
      </c>
      <c r="AH215">
        <f>IF(T_EMPLOYEES[[#This Row],[EMPLOYEE NUMBER]]="","",MATCH(T_EMPLOYEES[[#This Row],[LOCATION]],L_LOCATION,0))</f>
        <v/>
      </c>
      <c r="AI215">
        <f>IF(T_EMPLOYEES[[#This Row],[EMPLOYEE NUMBER]]="","",MATCH(T_EMPLOYEES[[#This Row],[DEPARTMENT]],L_DEPARTMENT,0))</f>
        <v/>
      </c>
      <c r="AJ215">
        <f>IF(T_EMPLOYEES[[#This Row],[EMPLOYEE NUMBER]]="","",MATCH(T_EMPLOYEES[[#This Row],[JOB TYPE]],L_JOBTYPE,0))</f>
        <v/>
      </c>
      <c r="AK215">
        <f>IF(T_EMPLOYEES[[#This Row],[EMPLOYEE NUMBER]]="","",MATCH(T_EMPLOYEES[[#This Row],[JOB CATEGORY]],L_JOBCATEGORY,0))</f>
        <v/>
      </c>
      <c r="AL215">
        <f>IF(T_EMPLOYEES[[#This Row],[EMPLOYEE NUMBER]]="","",MATCH(T_EMPLOYEES[[#This Row],[JOB LEVEL]],L_JOBLEVEL,0))</f>
        <v/>
      </c>
      <c r="AM215">
        <f>IF(T_EMPLOYEES[[#This Row],[EMPLOYEE NUMBER]]="","",MATCH(T_EMPLOYEES[[#This Row],[JOB TITLE]],L_JOBTITLE,0))</f>
        <v/>
      </c>
      <c r="AN215">
        <f>IF(T_EMPLOYEES[[#This Row],[EMPLOYEE NUMBER]]="","",MATCH(T_EMPLOYEES[[#This Row],[MANAGER]],L_EMPLABELS,0))</f>
        <v/>
      </c>
      <c r="AO215">
        <f>IF(T_EMPLOYEES[[#This Row],[EMPLOYEE NUMBER]]="","",IF(T_EMPLOYEES[[#This Row],[ERROR]]="",0,1))</f>
        <v/>
      </c>
      <c r="AP21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6">
      <c r="A216" t="inlineStr">
        <is>
          <t>Tripti</t>
        </is>
      </c>
      <c r="B216" t="inlineStr">
        <is>
          <t>Gupta</t>
        </is>
      </c>
      <c r="C216" t="n">
        <v>1033799</v>
      </c>
      <c r="D216" t="inlineStr">
        <is>
          <t>Tripti.Gupta@infinite.com</t>
        </is>
      </c>
      <c r="E216" s="26" t="n">
        <v>33685</v>
      </c>
      <c r="F216" s="26" t="n">
        <v>45229</v>
      </c>
      <c r="H216" t="inlineStr">
        <is>
          <t>Female</t>
        </is>
      </c>
      <c r="I216" t="inlineStr">
        <is>
          <t>Asian</t>
        </is>
      </c>
      <c r="J216" t="inlineStr">
        <is>
          <t>WEBSITE</t>
        </is>
      </c>
      <c r="K216" t="inlineStr">
        <is>
          <t>Bangalore</t>
        </is>
      </c>
      <c r="L216" s="27" t="inlineStr">
        <is>
          <t>IT</t>
        </is>
      </c>
      <c r="M216" t="inlineStr">
        <is>
          <t>Full-Time</t>
        </is>
      </c>
      <c r="N216" t="inlineStr">
        <is>
          <t>Technical Lead</t>
        </is>
      </c>
      <c r="O216" t="inlineStr">
        <is>
          <t>E4</t>
        </is>
      </c>
      <c r="P216" t="inlineStr">
        <is>
          <t>Technical Lead</t>
        </is>
      </c>
      <c r="Q216" t="inlineStr">
        <is>
          <t>Nagarajan K (1019672)</t>
        </is>
      </c>
      <c r="R216" s="27" t="n">
        <v>5</v>
      </c>
      <c r="S216" s="1" t="n">
        <v>250000</v>
      </c>
      <c r="T216" s="1">
        <f>ROUND(T_EMPLOYEES[[#This Row],[EMP_CTC1]]/12, 0)</f>
        <v/>
      </c>
      <c r="U216" s="1" t="n">
        <v>150000</v>
      </c>
      <c r="V216" s="1" t="inlineStr">
        <is>
          <t>NH</t>
        </is>
      </c>
      <c r="W216" s="1" t="inlineStr">
        <is>
          <t>NH</t>
        </is>
      </c>
      <c r="X21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6" t="n">
        <v>100000</v>
      </c>
      <c r="Z216" s="29">
        <f>(S216 - U216)/S216 * 100</f>
        <v/>
      </c>
      <c r="AA216">
        <f>IF(T_EMPLOYEES[[#This Row],[EMPLOYEE NUMBER]]="","",ROW(T_EMPLOYEES[[#This Row],[EMPLOYEE LABEL]])-ROW(T_EMPLOYEES[[#Headers],[EMPLOYEE LABEL]]))</f>
        <v/>
      </c>
      <c r="AB216">
        <f>IF(T_EMPLOYEES[[#This Row],[EMPLOYEE NUMBER]]="","",IF(COUNTIF(T_EMPLOYEES[EMPLOYEE NUMBER],T_EMPLOYEES[[#This Row],[EMPLOYEE NUMBER]])&gt;1,1,0))</f>
        <v/>
      </c>
      <c r="AC216">
        <f>IF(T_EMPLOYEES[[#This Row],[EMPLOYEE NUMBER]]="","",IF(AND(T_EMPLOYEES[[#This Row],[DATE OF BIRTH]]&gt;0,T_EMPLOYEES[[#This Row],[DATE OF BIRTH]]&lt;TODAY()),0,1))</f>
        <v/>
      </c>
      <c r="AD216">
        <f>IF(T_EMPLOYEES[[#This Row],[EMPLOYEE NUMBER]]="","",IF(AND(T_EMPLOYEES[[#This Row],[START DATE]]&gt;0,T_EMPLOYEES[[#This Row],[START DATE]]&lt;TODAY()+60),0,1))</f>
        <v/>
      </c>
      <c r="AE216">
        <f>IF(T_EMPLOYEES[[#This Row],[EMPLOYEE NUMBER]]="","",MATCH(T_EMPLOYEES[[#This Row],[GENDER]],L_GENDER,0))</f>
        <v/>
      </c>
      <c r="AF216">
        <f>IF(T_EMPLOYEES[[#This Row],[EMPLOYEE NUMBER]]="","",MATCH(T_EMPLOYEES[[#This Row],[HIRE SOURCE]],L_HIRESOURCE,0))</f>
        <v/>
      </c>
      <c r="AG216">
        <f>IF(T_EMPLOYEES[[#This Row],[EMPLOYEE NUMBER]]="","",MATCH(T_EMPLOYEES[[#This Row],[ETHNICITY]],L_ETHNICITY,0))</f>
        <v/>
      </c>
      <c r="AH216">
        <f>IF(T_EMPLOYEES[[#This Row],[EMPLOYEE NUMBER]]="","",MATCH(T_EMPLOYEES[[#This Row],[LOCATION]],L_LOCATION,0))</f>
        <v/>
      </c>
      <c r="AI216">
        <f>IF(T_EMPLOYEES[[#This Row],[EMPLOYEE NUMBER]]="","",MATCH(T_EMPLOYEES[[#This Row],[DEPARTMENT]],L_DEPARTMENT,0))</f>
        <v/>
      </c>
      <c r="AJ216">
        <f>IF(T_EMPLOYEES[[#This Row],[EMPLOYEE NUMBER]]="","",MATCH(T_EMPLOYEES[[#This Row],[JOB TYPE]],L_JOBTYPE,0))</f>
        <v/>
      </c>
      <c r="AK216">
        <f>IF(T_EMPLOYEES[[#This Row],[EMPLOYEE NUMBER]]="","",MATCH(T_EMPLOYEES[[#This Row],[JOB CATEGORY]],L_JOBCATEGORY,0))</f>
        <v/>
      </c>
      <c r="AL216">
        <f>IF(T_EMPLOYEES[[#This Row],[EMPLOYEE NUMBER]]="","",MATCH(T_EMPLOYEES[[#This Row],[JOB LEVEL]],L_JOBLEVEL,0))</f>
        <v/>
      </c>
      <c r="AM216">
        <f>IF(T_EMPLOYEES[[#This Row],[EMPLOYEE NUMBER]]="","",MATCH(T_EMPLOYEES[[#This Row],[JOB TITLE]],L_JOBTITLE,0))</f>
        <v/>
      </c>
      <c r="AN216">
        <f>IF(T_EMPLOYEES[[#This Row],[EMPLOYEE NUMBER]]="","",MATCH(T_EMPLOYEES[[#This Row],[MANAGER]],L_EMPLABELS,0))</f>
        <v/>
      </c>
      <c r="AO216">
        <f>IF(T_EMPLOYEES[[#This Row],[EMPLOYEE NUMBER]]="","",IF(T_EMPLOYEES[[#This Row],[ERROR]]="",0,1))</f>
        <v/>
      </c>
      <c r="AP21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7">
      <c r="A217" t="inlineStr">
        <is>
          <t>D</t>
        </is>
      </c>
      <c r="B217" t="inlineStr">
        <is>
          <t>Malar Vizhi</t>
        </is>
      </c>
      <c r="C217" t="n">
        <v>1021304</v>
      </c>
      <c r="D217" t="inlineStr">
        <is>
          <t>Malarvizhi.Dillibupathi@infinite.com</t>
        </is>
      </c>
      <c r="E217" s="26" t="n">
        <v>33106</v>
      </c>
      <c r="F217" s="26" t="n">
        <v>43444</v>
      </c>
      <c r="H217" t="inlineStr">
        <is>
          <t>Female</t>
        </is>
      </c>
      <c r="I217" t="inlineStr">
        <is>
          <t>Asian</t>
        </is>
      </c>
      <c r="J217" t="inlineStr">
        <is>
          <t>WEBSITE</t>
        </is>
      </c>
      <c r="K217" t="inlineStr">
        <is>
          <t>Bangalore</t>
        </is>
      </c>
      <c r="L217" s="27" t="inlineStr">
        <is>
          <t>Core</t>
        </is>
      </c>
      <c r="M217" t="inlineStr">
        <is>
          <t>Full-Time</t>
        </is>
      </c>
      <c r="N217" t="inlineStr">
        <is>
          <t>Technical Lead</t>
        </is>
      </c>
      <c r="O217" t="inlineStr">
        <is>
          <t>E4</t>
        </is>
      </c>
      <c r="P217" t="inlineStr">
        <is>
          <t>Technical Lead</t>
        </is>
      </c>
      <c r="Q217" t="inlineStr">
        <is>
          <t>Kishore Kumar N (1019765)</t>
        </is>
      </c>
      <c r="R217" t="n">
        <v>5</v>
      </c>
      <c r="S217" s="1" t="n">
        <v>250000</v>
      </c>
      <c r="T217" s="1">
        <f>ROUND(T_EMPLOYEES[[#This Row],[EMP_CTC1]]/12, 0)</f>
        <v/>
      </c>
      <c r="U217" s="1" t="n">
        <v>150000</v>
      </c>
      <c r="V217" s="1" t="inlineStr">
        <is>
          <t>NH</t>
        </is>
      </c>
      <c r="W217" s="1" t="inlineStr">
        <is>
          <t>NH</t>
        </is>
      </c>
      <c r="X21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7" t="n">
        <v>100000</v>
      </c>
      <c r="Z217" s="29">
        <f>(S217 - U217)/S217 * 100</f>
        <v/>
      </c>
      <c r="AA217">
        <f>IF(T_EMPLOYEES[[#This Row],[EMPLOYEE NUMBER]]="","",ROW(T_EMPLOYEES[[#This Row],[EMPLOYEE LABEL]])-ROW(T_EMPLOYEES[[#Headers],[EMPLOYEE LABEL]]))</f>
        <v/>
      </c>
      <c r="AB217">
        <f>IF(T_EMPLOYEES[[#This Row],[EMPLOYEE NUMBER]]="","",IF(COUNTIF(T_EMPLOYEES[EMPLOYEE NUMBER],T_EMPLOYEES[[#This Row],[EMPLOYEE NUMBER]])&gt;1,1,0))</f>
        <v/>
      </c>
      <c r="AC217">
        <f>IF(T_EMPLOYEES[[#This Row],[EMPLOYEE NUMBER]]="","",IF(AND(T_EMPLOYEES[[#This Row],[DATE OF BIRTH]]&gt;0,T_EMPLOYEES[[#This Row],[DATE OF BIRTH]]&lt;TODAY()),0,1))</f>
        <v/>
      </c>
      <c r="AD217">
        <f>IF(T_EMPLOYEES[[#This Row],[EMPLOYEE NUMBER]]="","",IF(AND(T_EMPLOYEES[[#This Row],[START DATE]]&gt;0,T_EMPLOYEES[[#This Row],[START DATE]]&lt;TODAY()+60),0,1))</f>
        <v/>
      </c>
      <c r="AE217">
        <f>IF(T_EMPLOYEES[[#This Row],[EMPLOYEE NUMBER]]="","",MATCH(T_EMPLOYEES[[#This Row],[GENDER]],L_GENDER,0))</f>
        <v/>
      </c>
      <c r="AF217">
        <f>IF(T_EMPLOYEES[[#This Row],[EMPLOYEE NUMBER]]="","",MATCH(T_EMPLOYEES[[#This Row],[HIRE SOURCE]],L_HIRESOURCE,0))</f>
        <v/>
      </c>
      <c r="AG217">
        <f>IF(T_EMPLOYEES[[#This Row],[EMPLOYEE NUMBER]]="","",MATCH(T_EMPLOYEES[[#This Row],[ETHNICITY]],L_ETHNICITY,0))</f>
        <v/>
      </c>
      <c r="AH217">
        <f>IF(T_EMPLOYEES[[#This Row],[EMPLOYEE NUMBER]]="","",MATCH(T_EMPLOYEES[[#This Row],[LOCATION]],L_LOCATION,0))</f>
        <v/>
      </c>
      <c r="AI217">
        <f>IF(T_EMPLOYEES[[#This Row],[EMPLOYEE NUMBER]]="","",MATCH(T_EMPLOYEES[[#This Row],[DEPARTMENT]],L_DEPARTMENT,0))</f>
        <v/>
      </c>
      <c r="AJ217">
        <f>IF(T_EMPLOYEES[[#This Row],[EMPLOYEE NUMBER]]="","",MATCH(T_EMPLOYEES[[#This Row],[JOB TYPE]],L_JOBTYPE,0))</f>
        <v/>
      </c>
      <c r="AK217">
        <f>IF(T_EMPLOYEES[[#This Row],[EMPLOYEE NUMBER]]="","",MATCH(T_EMPLOYEES[[#This Row],[JOB CATEGORY]],L_JOBCATEGORY,0))</f>
        <v/>
      </c>
      <c r="AL217">
        <f>IF(T_EMPLOYEES[[#This Row],[EMPLOYEE NUMBER]]="","",MATCH(T_EMPLOYEES[[#This Row],[JOB LEVEL]],L_JOBLEVEL,0))</f>
        <v/>
      </c>
      <c r="AM217">
        <f>IF(T_EMPLOYEES[[#This Row],[EMPLOYEE NUMBER]]="","",MATCH(T_EMPLOYEES[[#This Row],[JOB TITLE]],L_JOBTITLE,0))</f>
        <v/>
      </c>
      <c r="AN217">
        <f>IF(T_EMPLOYEES[[#This Row],[EMPLOYEE NUMBER]]="","",MATCH(T_EMPLOYEES[[#This Row],[MANAGER]],L_EMPLABELS,0))</f>
        <v/>
      </c>
      <c r="AO217">
        <f>IF(T_EMPLOYEES[[#This Row],[EMPLOYEE NUMBER]]="","",IF(T_EMPLOYEES[[#This Row],[ERROR]]="",0,1))</f>
        <v/>
      </c>
      <c r="AP21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8">
      <c r="A218" t="inlineStr">
        <is>
          <t>Katyayani</t>
        </is>
      </c>
      <c r="B218" t="inlineStr">
        <is>
          <t>Adda</t>
        </is>
      </c>
      <c r="C218" t="n">
        <v>1025962</v>
      </c>
      <c r="D218" t="inlineStr">
        <is>
          <t>Katyayani.Adda@infinite.com</t>
        </is>
      </c>
      <c r="E218" s="26" t="n">
        <v>33726</v>
      </c>
      <c r="F218" s="26" t="n">
        <v>44407</v>
      </c>
      <c r="H218" t="inlineStr">
        <is>
          <t>Female</t>
        </is>
      </c>
      <c r="I218" t="inlineStr">
        <is>
          <t>Asian</t>
        </is>
      </c>
      <c r="J218" t="inlineStr">
        <is>
          <t>WEBSITE</t>
        </is>
      </c>
      <c r="K218" t="inlineStr">
        <is>
          <t>Hyderabad</t>
        </is>
      </c>
      <c r="L218" s="27" t="inlineStr">
        <is>
          <t>Core</t>
        </is>
      </c>
      <c r="M218" t="inlineStr">
        <is>
          <t>Full-Time</t>
        </is>
      </c>
      <c r="N218" t="inlineStr">
        <is>
          <t>Senior Software Engineer</t>
        </is>
      </c>
      <c r="O218" t="inlineStr">
        <is>
          <t>E3</t>
        </is>
      </c>
      <c r="P218" t="inlineStr">
        <is>
          <t>Senior Software Engineer</t>
        </is>
      </c>
      <c r="Q218" t="inlineStr">
        <is>
          <t>Anil Kumar Khamari (1013201)</t>
        </is>
      </c>
      <c r="R218" s="27" t="n">
        <v>4</v>
      </c>
      <c r="S218" s="1" t="n">
        <v>250000</v>
      </c>
      <c r="T218" s="1">
        <f>ROUND(T_EMPLOYEES[[#This Row],[EMP_CTC1]]/12, 0)</f>
        <v/>
      </c>
      <c r="U218" s="1" t="n">
        <v>150000</v>
      </c>
      <c r="V218" s="1" t="inlineStr">
        <is>
          <t>NH</t>
        </is>
      </c>
      <c r="W218" s="1" t="inlineStr">
        <is>
          <t>NH</t>
        </is>
      </c>
      <c r="X21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8" t="n">
        <v>100000</v>
      </c>
      <c r="Z218" s="29">
        <f>(S218 - U218)/S218 * 100</f>
        <v/>
      </c>
      <c r="AA218">
        <f>IF(T_EMPLOYEES[[#This Row],[EMPLOYEE NUMBER]]="","",ROW(T_EMPLOYEES[[#This Row],[EMPLOYEE LABEL]])-ROW(T_EMPLOYEES[[#Headers],[EMPLOYEE LABEL]]))</f>
        <v/>
      </c>
      <c r="AB218">
        <f>IF(T_EMPLOYEES[[#This Row],[EMPLOYEE NUMBER]]="","",IF(COUNTIF(T_EMPLOYEES[EMPLOYEE NUMBER],T_EMPLOYEES[[#This Row],[EMPLOYEE NUMBER]])&gt;1,1,0))</f>
        <v/>
      </c>
      <c r="AC218">
        <f>IF(T_EMPLOYEES[[#This Row],[EMPLOYEE NUMBER]]="","",IF(AND(T_EMPLOYEES[[#This Row],[DATE OF BIRTH]]&gt;0,T_EMPLOYEES[[#This Row],[DATE OF BIRTH]]&lt;TODAY()),0,1))</f>
        <v/>
      </c>
      <c r="AD218">
        <f>IF(T_EMPLOYEES[[#This Row],[EMPLOYEE NUMBER]]="","",IF(AND(T_EMPLOYEES[[#This Row],[START DATE]]&gt;0,T_EMPLOYEES[[#This Row],[START DATE]]&lt;TODAY()+60),0,1))</f>
        <v/>
      </c>
      <c r="AE218">
        <f>IF(T_EMPLOYEES[[#This Row],[EMPLOYEE NUMBER]]="","",MATCH(T_EMPLOYEES[[#This Row],[GENDER]],L_GENDER,0))</f>
        <v/>
      </c>
      <c r="AF218">
        <f>IF(T_EMPLOYEES[[#This Row],[EMPLOYEE NUMBER]]="","",MATCH(T_EMPLOYEES[[#This Row],[HIRE SOURCE]],L_HIRESOURCE,0))</f>
        <v/>
      </c>
      <c r="AG218">
        <f>IF(T_EMPLOYEES[[#This Row],[EMPLOYEE NUMBER]]="","",MATCH(T_EMPLOYEES[[#This Row],[ETHNICITY]],L_ETHNICITY,0))</f>
        <v/>
      </c>
      <c r="AH218">
        <f>IF(T_EMPLOYEES[[#This Row],[EMPLOYEE NUMBER]]="","",MATCH(T_EMPLOYEES[[#This Row],[LOCATION]],L_LOCATION,0))</f>
        <v/>
      </c>
      <c r="AI218">
        <f>IF(T_EMPLOYEES[[#This Row],[EMPLOYEE NUMBER]]="","",MATCH(T_EMPLOYEES[[#This Row],[DEPARTMENT]],L_DEPARTMENT,0))</f>
        <v/>
      </c>
      <c r="AJ218">
        <f>IF(T_EMPLOYEES[[#This Row],[EMPLOYEE NUMBER]]="","",MATCH(T_EMPLOYEES[[#This Row],[JOB TYPE]],L_JOBTYPE,0))</f>
        <v/>
      </c>
      <c r="AK218">
        <f>IF(T_EMPLOYEES[[#This Row],[EMPLOYEE NUMBER]]="","",MATCH(T_EMPLOYEES[[#This Row],[JOB CATEGORY]],L_JOBCATEGORY,0))</f>
        <v/>
      </c>
      <c r="AL218">
        <f>IF(T_EMPLOYEES[[#This Row],[EMPLOYEE NUMBER]]="","",MATCH(T_EMPLOYEES[[#This Row],[JOB LEVEL]],L_JOBLEVEL,0))</f>
        <v/>
      </c>
      <c r="AM218">
        <f>IF(T_EMPLOYEES[[#This Row],[EMPLOYEE NUMBER]]="","",MATCH(T_EMPLOYEES[[#This Row],[JOB TITLE]],L_JOBTITLE,0))</f>
        <v/>
      </c>
      <c r="AN218">
        <f>IF(T_EMPLOYEES[[#This Row],[EMPLOYEE NUMBER]]="","",MATCH(T_EMPLOYEES[[#This Row],[MANAGER]],L_EMPLABELS,0))</f>
        <v/>
      </c>
      <c r="AO218">
        <f>IF(T_EMPLOYEES[[#This Row],[EMPLOYEE NUMBER]]="","",IF(T_EMPLOYEES[[#This Row],[ERROR]]="",0,1))</f>
        <v/>
      </c>
      <c r="AP21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19">
      <c r="A219" t="inlineStr">
        <is>
          <t>G</t>
        </is>
      </c>
      <c r="B219" t="inlineStr">
        <is>
          <t>Mallikarjuna  Gooty</t>
        </is>
      </c>
      <c r="C219" t="n">
        <v>1030389</v>
      </c>
      <c r="D219" t="inlineStr">
        <is>
          <t>Mallikarjuna.Gooty@infinite.com</t>
        </is>
      </c>
      <c r="E219" s="26" t="n">
        <v>33734</v>
      </c>
      <c r="F219" s="26" t="n">
        <v>44825</v>
      </c>
      <c r="H219" t="inlineStr">
        <is>
          <t>Male</t>
        </is>
      </c>
      <c r="I219" t="inlineStr">
        <is>
          <t>Asian</t>
        </is>
      </c>
      <c r="J219" t="inlineStr">
        <is>
          <t>WEBSITE</t>
        </is>
      </c>
      <c r="K219" t="inlineStr">
        <is>
          <t>Bangalore</t>
        </is>
      </c>
      <c r="L219" s="27" t="inlineStr">
        <is>
          <t>IT</t>
        </is>
      </c>
      <c r="M219" t="inlineStr">
        <is>
          <t>Full-Time</t>
        </is>
      </c>
      <c r="N219" t="inlineStr">
        <is>
          <t>Test Lead</t>
        </is>
      </c>
      <c r="O219" t="inlineStr">
        <is>
          <t>E4</t>
        </is>
      </c>
      <c r="P219" t="inlineStr">
        <is>
          <t>Test Lead</t>
        </is>
      </c>
      <c r="Q219" t="inlineStr">
        <is>
          <t>Radhakanta  Samantara (1010164)</t>
        </is>
      </c>
      <c r="R219" t="n">
        <v>5</v>
      </c>
      <c r="S219" s="1" t="n">
        <v>250000</v>
      </c>
      <c r="T219" s="1">
        <f>ROUND(T_EMPLOYEES[[#This Row],[EMP_CTC1]]/12, 0)</f>
        <v/>
      </c>
      <c r="U219" s="1" t="n">
        <v>150000</v>
      </c>
      <c r="V219" s="1" t="inlineStr">
        <is>
          <t>NH</t>
        </is>
      </c>
      <c r="W219" s="1" t="inlineStr">
        <is>
          <t>NH</t>
        </is>
      </c>
      <c r="X21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19" t="n">
        <v>100000</v>
      </c>
      <c r="Z219" s="29">
        <f>(S219 - U219)/S219 * 100</f>
        <v/>
      </c>
      <c r="AA219">
        <f>IF(T_EMPLOYEES[[#This Row],[EMPLOYEE NUMBER]]="","",ROW(T_EMPLOYEES[[#This Row],[EMPLOYEE LABEL]])-ROW(T_EMPLOYEES[[#Headers],[EMPLOYEE LABEL]]))</f>
        <v/>
      </c>
      <c r="AB219">
        <f>IF(T_EMPLOYEES[[#This Row],[EMPLOYEE NUMBER]]="","",IF(COUNTIF(T_EMPLOYEES[EMPLOYEE NUMBER],T_EMPLOYEES[[#This Row],[EMPLOYEE NUMBER]])&gt;1,1,0))</f>
        <v/>
      </c>
      <c r="AC219">
        <f>IF(T_EMPLOYEES[[#This Row],[EMPLOYEE NUMBER]]="","",IF(AND(T_EMPLOYEES[[#This Row],[DATE OF BIRTH]]&gt;0,T_EMPLOYEES[[#This Row],[DATE OF BIRTH]]&lt;TODAY()),0,1))</f>
        <v/>
      </c>
      <c r="AD219">
        <f>IF(T_EMPLOYEES[[#This Row],[EMPLOYEE NUMBER]]="","",IF(AND(T_EMPLOYEES[[#This Row],[START DATE]]&gt;0,T_EMPLOYEES[[#This Row],[START DATE]]&lt;TODAY()+60),0,1))</f>
        <v/>
      </c>
      <c r="AE219">
        <f>IF(T_EMPLOYEES[[#This Row],[EMPLOYEE NUMBER]]="","",MATCH(T_EMPLOYEES[[#This Row],[GENDER]],L_GENDER,0))</f>
        <v/>
      </c>
      <c r="AF219">
        <f>IF(T_EMPLOYEES[[#This Row],[EMPLOYEE NUMBER]]="","",MATCH(T_EMPLOYEES[[#This Row],[HIRE SOURCE]],L_HIRESOURCE,0))</f>
        <v/>
      </c>
      <c r="AG219">
        <f>IF(T_EMPLOYEES[[#This Row],[EMPLOYEE NUMBER]]="","",MATCH(T_EMPLOYEES[[#This Row],[ETHNICITY]],L_ETHNICITY,0))</f>
        <v/>
      </c>
      <c r="AH219">
        <f>IF(T_EMPLOYEES[[#This Row],[EMPLOYEE NUMBER]]="","",MATCH(T_EMPLOYEES[[#This Row],[LOCATION]],L_LOCATION,0))</f>
        <v/>
      </c>
      <c r="AI219">
        <f>IF(T_EMPLOYEES[[#This Row],[EMPLOYEE NUMBER]]="","",MATCH(T_EMPLOYEES[[#This Row],[DEPARTMENT]],L_DEPARTMENT,0))</f>
        <v/>
      </c>
      <c r="AJ219">
        <f>IF(T_EMPLOYEES[[#This Row],[EMPLOYEE NUMBER]]="","",MATCH(T_EMPLOYEES[[#This Row],[JOB TYPE]],L_JOBTYPE,0))</f>
        <v/>
      </c>
      <c r="AK219">
        <f>IF(T_EMPLOYEES[[#This Row],[EMPLOYEE NUMBER]]="","",MATCH(T_EMPLOYEES[[#This Row],[JOB CATEGORY]],L_JOBCATEGORY,0))</f>
        <v/>
      </c>
      <c r="AL219">
        <f>IF(T_EMPLOYEES[[#This Row],[EMPLOYEE NUMBER]]="","",MATCH(T_EMPLOYEES[[#This Row],[JOB LEVEL]],L_JOBLEVEL,0))</f>
        <v/>
      </c>
      <c r="AM219">
        <f>IF(T_EMPLOYEES[[#This Row],[EMPLOYEE NUMBER]]="","",MATCH(T_EMPLOYEES[[#This Row],[JOB TITLE]],L_JOBTITLE,0))</f>
        <v/>
      </c>
      <c r="AN219">
        <f>IF(T_EMPLOYEES[[#This Row],[EMPLOYEE NUMBER]]="","",MATCH(T_EMPLOYEES[[#This Row],[MANAGER]],L_EMPLABELS,0))</f>
        <v/>
      </c>
      <c r="AO219">
        <f>IF(T_EMPLOYEES[[#This Row],[EMPLOYEE NUMBER]]="","",IF(T_EMPLOYEES[[#This Row],[ERROR]]="",0,1))</f>
        <v/>
      </c>
      <c r="AP21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0">
      <c r="A220" t="inlineStr">
        <is>
          <t>Mohammad</t>
        </is>
      </c>
      <c r="B220" t="inlineStr">
        <is>
          <t>Rashad</t>
        </is>
      </c>
      <c r="C220" t="n">
        <v>1030695</v>
      </c>
      <c r="D220" t="inlineStr">
        <is>
          <t>Mohammad.Rashad@infinite.com</t>
        </is>
      </c>
      <c r="E220" s="26" t="n">
        <v>33737</v>
      </c>
      <c r="F220" s="26" t="n">
        <v>44855</v>
      </c>
      <c r="H220" t="inlineStr">
        <is>
          <t>Male</t>
        </is>
      </c>
      <c r="I220" t="inlineStr">
        <is>
          <t>Asian</t>
        </is>
      </c>
      <c r="J220" t="inlineStr">
        <is>
          <t>WEBSITE</t>
        </is>
      </c>
      <c r="K220" t="inlineStr">
        <is>
          <t>Bangalore</t>
        </is>
      </c>
      <c r="L220" s="27" t="inlineStr">
        <is>
          <t>IT</t>
        </is>
      </c>
      <c r="M220" t="inlineStr">
        <is>
          <t>Full-Time</t>
        </is>
      </c>
      <c r="N220" t="inlineStr">
        <is>
          <t>Senior Business Analyst</t>
        </is>
      </c>
      <c r="O220" t="inlineStr">
        <is>
          <t>E3</t>
        </is>
      </c>
      <c r="P220" t="inlineStr">
        <is>
          <t>Senior Business Analyst</t>
        </is>
      </c>
      <c r="Q220" t="inlineStr">
        <is>
          <t>Siddharth Kumar (1027551)</t>
        </is>
      </c>
      <c r="R220" s="27" t="n">
        <v>4</v>
      </c>
      <c r="S220" s="1" t="n">
        <v>250000</v>
      </c>
      <c r="T220" s="1">
        <f>ROUND(T_EMPLOYEES[[#This Row],[EMP_CTC1]]/12, 0)</f>
        <v/>
      </c>
      <c r="U220" s="1" t="n">
        <v>150000</v>
      </c>
      <c r="V220" s="1" t="inlineStr">
        <is>
          <t>NH</t>
        </is>
      </c>
      <c r="W220" s="1" t="inlineStr">
        <is>
          <t>NH</t>
        </is>
      </c>
      <c r="X22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0" t="n">
        <v>100000</v>
      </c>
      <c r="Z220" s="29">
        <f>(S220 - U220)/S220 * 100</f>
        <v/>
      </c>
      <c r="AA220">
        <f>IF(T_EMPLOYEES[[#This Row],[EMPLOYEE NUMBER]]="","",ROW(T_EMPLOYEES[[#This Row],[EMPLOYEE LABEL]])-ROW(T_EMPLOYEES[[#Headers],[EMPLOYEE LABEL]]))</f>
        <v/>
      </c>
      <c r="AB220">
        <f>IF(T_EMPLOYEES[[#This Row],[EMPLOYEE NUMBER]]="","",IF(COUNTIF(T_EMPLOYEES[EMPLOYEE NUMBER],T_EMPLOYEES[[#This Row],[EMPLOYEE NUMBER]])&gt;1,1,0))</f>
        <v/>
      </c>
      <c r="AC220">
        <f>IF(T_EMPLOYEES[[#This Row],[EMPLOYEE NUMBER]]="","",IF(AND(T_EMPLOYEES[[#This Row],[DATE OF BIRTH]]&gt;0,T_EMPLOYEES[[#This Row],[DATE OF BIRTH]]&lt;TODAY()),0,1))</f>
        <v/>
      </c>
      <c r="AD220">
        <f>IF(T_EMPLOYEES[[#This Row],[EMPLOYEE NUMBER]]="","",IF(AND(T_EMPLOYEES[[#This Row],[START DATE]]&gt;0,T_EMPLOYEES[[#This Row],[START DATE]]&lt;TODAY()+60),0,1))</f>
        <v/>
      </c>
      <c r="AE220">
        <f>IF(T_EMPLOYEES[[#This Row],[EMPLOYEE NUMBER]]="","",MATCH(T_EMPLOYEES[[#This Row],[GENDER]],L_GENDER,0))</f>
        <v/>
      </c>
      <c r="AF220">
        <f>IF(T_EMPLOYEES[[#This Row],[EMPLOYEE NUMBER]]="","",MATCH(T_EMPLOYEES[[#This Row],[HIRE SOURCE]],L_HIRESOURCE,0))</f>
        <v/>
      </c>
      <c r="AG220">
        <f>IF(T_EMPLOYEES[[#This Row],[EMPLOYEE NUMBER]]="","",MATCH(T_EMPLOYEES[[#This Row],[ETHNICITY]],L_ETHNICITY,0))</f>
        <v/>
      </c>
      <c r="AH220">
        <f>IF(T_EMPLOYEES[[#This Row],[EMPLOYEE NUMBER]]="","",MATCH(T_EMPLOYEES[[#This Row],[LOCATION]],L_LOCATION,0))</f>
        <v/>
      </c>
      <c r="AI220">
        <f>IF(T_EMPLOYEES[[#This Row],[EMPLOYEE NUMBER]]="","",MATCH(T_EMPLOYEES[[#This Row],[DEPARTMENT]],L_DEPARTMENT,0))</f>
        <v/>
      </c>
      <c r="AJ220">
        <f>IF(T_EMPLOYEES[[#This Row],[EMPLOYEE NUMBER]]="","",MATCH(T_EMPLOYEES[[#This Row],[JOB TYPE]],L_JOBTYPE,0))</f>
        <v/>
      </c>
      <c r="AK220">
        <f>IF(T_EMPLOYEES[[#This Row],[EMPLOYEE NUMBER]]="","",MATCH(T_EMPLOYEES[[#This Row],[JOB CATEGORY]],L_JOBCATEGORY,0))</f>
        <v/>
      </c>
      <c r="AL220">
        <f>IF(T_EMPLOYEES[[#This Row],[EMPLOYEE NUMBER]]="","",MATCH(T_EMPLOYEES[[#This Row],[JOB LEVEL]],L_JOBLEVEL,0))</f>
        <v/>
      </c>
      <c r="AM220">
        <f>IF(T_EMPLOYEES[[#This Row],[EMPLOYEE NUMBER]]="","",MATCH(T_EMPLOYEES[[#This Row],[JOB TITLE]],L_JOBTITLE,0))</f>
        <v/>
      </c>
      <c r="AN220">
        <f>IF(T_EMPLOYEES[[#This Row],[EMPLOYEE NUMBER]]="","",MATCH(T_EMPLOYEES[[#This Row],[MANAGER]],L_EMPLABELS,0))</f>
        <v/>
      </c>
      <c r="AO220">
        <f>IF(T_EMPLOYEES[[#This Row],[EMPLOYEE NUMBER]]="","",IF(T_EMPLOYEES[[#This Row],[ERROR]]="",0,1))</f>
        <v/>
      </c>
      <c r="AP22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1">
      <c r="A221" t="inlineStr">
        <is>
          <t>Sowjanya</t>
        </is>
      </c>
      <c r="B221" t="inlineStr">
        <is>
          <t xml:space="preserve"> S</t>
        </is>
      </c>
      <c r="C221" t="n">
        <v>1024765</v>
      </c>
      <c r="D221" t="inlineStr">
        <is>
          <t>Sowjanya.Shekhar@infinite.com</t>
        </is>
      </c>
      <c r="E221" s="26" t="n">
        <v>33740</v>
      </c>
      <c r="F221" s="26" t="n">
        <v>44265</v>
      </c>
      <c r="H221" t="inlineStr">
        <is>
          <t>Female</t>
        </is>
      </c>
      <c r="I221" t="inlineStr">
        <is>
          <t>Asian</t>
        </is>
      </c>
      <c r="J221" t="inlineStr">
        <is>
          <t>WEBSITE</t>
        </is>
      </c>
      <c r="K221" t="inlineStr">
        <is>
          <t>Chennai</t>
        </is>
      </c>
      <c r="L221" s="27" t="inlineStr">
        <is>
          <t>IT</t>
        </is>
      </c>
      <c r="M221" t="inlineStr">
        <is>
          <t>Full-Time</t>
        </is>
      </c>
      <c r="N221" t="inlineStr">
        <is>
          <t>Senior Software Test Engineer</t>
        </is>
      </c>
      <c r="O221" t="inlineStr">
        <is>
          <t>E3</t>
        </is>
      </c>
      <c r="P221" t="inlineStr">
        <is>
          <t>Senior Software Test Engineer</t>
        </is>
      </c>
      <c r="Q221" t="inlineStr">
        <is>
          <t>Santhosh B K (1025129)</t>
        </is>
      </c>
      <c r="R221" t="n">
        <v>4</v>
      </c>
      <c r="S221" s="1" t="n">
        <v>250000</v>
      </c>
      <c r="T221" s="1">
        <f>ROUND(T_EMPLOYEES[[#This Row],[EMP_CTC1]]/12, 0)</f>
        <v/>
      </c>
      <c r="U221" s="1" t="n">
        <v>150000</v>
      </c>
      <c r="V221" s="1" t="inlineStr">
        <is>
          <t>NH</t>
        </is>
      </c>
      <c r="W221" s="1" t="inlineStr">
        <is>
          <t>NH</t>
        </is>
      </c>
      <c r="X22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1" t="n">
        <v>100000</v>
      </c>
      <c r="Z221" s="29">
        <f>(S221 - U221)/S221 * 100</f>
        <v/>
      </c>
      <c r="AA221">
        <f>IF(T_EMPLOYEES[[#This Row],[EMPLOYEE NUMBER]]="","",ROW(T_EMPLOYEES[[#This Row],[EMPLOYEE LABEL]])-ROW(T_EMPLOYEES[[#Headers],[EMPLOYEE LABEL]]))</f>
        <v/>
      </c>
      <c r="AB221">
        <f>IF(T_EMPLOYEES[[#This Row],[EMPLOYEE NUMBER]]="","",IF(COUNTIF(T_EMPLOYEES[EMPLOYEE NUMBER],T_EMPLOYEES[[#This Row],[EMPLOYEE NUMBER]])&gt;1,1,0))</f>
        <v/>
      </c>
      <c r="AC221">
        <f>IF(T_EMPLOYEES[[#This Row],[EMPLOYEE NUMBER]]="","",IF(AND(T_EMPLOYEES[[#This Row],[DATE OF BIRTH]]&gt;0,T_EMPLOYEES[[#This Row],[DATE OF BIRTH]]&lt;TODAY()),0,1))</f>
        <v/>
      </c>
      <c r="AD221">
        <f>IF(T_EMPLOYEES[[#This Row],[EMPLOYEE NUMBER]]="","",IF(AND(T_EMPLOYEES[[#This Row],[START DATE]]&gt;0,T_EMPLOYEES[[#This Row],[START DATE]]&lt;TODAY()+60),0,1))</f>
        <v/>
      </c>
      <c r="AE221">
        <f>IF(T_EMPLOYEES[[#This Row],[EMPLOYEE NUMBER]]="","",MATCH(T_EMPLOYEES[[#This Row],[GENDER]],L_GENDER,0))</f>
        <v/>
      </c>
      <c r="AF221">
        <f>IF(T_EMPLOYEES[[#This Row],[EMPLOYEE NUMBER]]="","",MATCH(T_EMPLOYEES[[#This Row],[HIRE SOURCE]],L_HIRESOURCE,0))</f>
        <v/>
      </c>
      <c r="AG221">
        <f>IF(T_EMPLOYEES[[#This Row],[EMPLOYEE NUMBER]]="","",MATCH(T_EMPLOYEES[[#This Row],[ETHNICITY]],L_ETHNICITY,0))</f>
        <v/>
      </c>
      <c r="AH221">
        <f>IF(T_EMPLOYEES[[#This Row],[EMPLOYEE NUMBER]]="","",MATCH(T_EMPLOYEES[[#This Row],[LOCATION]],L_LOCATION,0))</f>
        <v/>
      </c>
      <c r="AI221">
        <f>IF(T_EMPLOYEES[[#This Row],[EMPLOYEE NUMBER]]="","",MATCH(T_EMPLOYEES[[#This Row],[DEPARTMENT]],L_DEPARTMENT,0))</f>
        <v/>
      </c>
      <c r="AJ221">
        <f>IF(T_EMPLOYEES[[#This Row],[EMPLOYEE NUMBER]]="","",MATCH(T_EMPLOYEES[[#This Row],[JOB TYPE]],L_JOBTYPE,0))</f>
        <v/>
      </c>
      <c r="AK221">
        <f>IF(T_EMPLOYEES[[#This Row],[EMPLOYEE NUMBER]]="","",MATCH(T_EMPLOYEES[[#This Row],[JOB CATEGORY]],L_JOBCATEGORY,0))</f>
        <v/>
      </c>
      <c r="AL221">
        <f>IF(T_EMPLOYEES[[#This Row],[EMPLOYEE NUMBER]]="","",MATCH(T_EMPLOYEES[[#This Row],[JOB LEVEL]],L_JOBLEVEL,0))</f>
        <v/>
      </c>
      <c r="AM221">
        <f>IF(T_EMPLOYEES[[#This Row],[EMPLOYEE NUMBER]]="","",MATCH(T_EMPLOYEES[[#This Row],[JOB TITLE]],L_JOBTITLE,0))</f>
        <v/>
      </c>
      <c r="AN221">
        <f>IF(T_EMPLOYEES[[#This Row],[EMPLOYEE NUMBER]]="","",MATCH(T_EMPLOYEES[[#This Row],[MANAGER]],L_EMPLABELS,0))</f>
        <v/>
      </c>
      <c r="AO221">
        <f>IF(T_EMPLOYEES[[#This Row],[EMPLOYEE NUMBER]]="","",IF(T_EMPLOYEES[[#This Row],[ERROR]]="",0,1))</f>
        <v/>
      </c>
      <c r="AP22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2">
      <c r="A222" t="inlineStr">
        <is>
          <t>Abinash</t>
        </is>
      </c>
      <c r="B222" t="inlineStr">
        <is>
          <t>Panda</t>
        </is>
      </c>
      <c r="C222" t="n">
        <v>1022031</v>
      </c>
      <c r="D222" t="inlineStr">
        <is>
          <t>Abinash.Panda@infinite.com</t>
        </is>
      </c>
      <c r="E222" s="26" t="n">
        <v>33742</v>
      </c>
      <c r="F222" s="26" t="n">
        <v>43598</v>
      </c>
      <c r="H222" t="inlineStr">
        <is>
          <t>Male</t>
        </is>
      </c>
      <c r="I222" t="inlineStr">
        <is>
          <t>Asian</t>
        </is>
      </c>
      <c r="J222" t="inlineStr">
        <is>
          <t>WEBSITE</t>
        </is>
      </c>
      <c r="K222" t="inlineStr">
        <is>
          <t>Bangalore</t>
        </is>
      </c>
      <c r="L222" s="27" t="inlineStr">
        <is>
          <t>IT</t>
        </is>
      </c>
      <c r="M222" t="inlineStr">
        <is>
          <t>Full-Time</t>
        </is>
      </c>
      <c r="N222" t="inlineStr">
        <is>
          <t>Senior Support Engineer</t>
        </is>
      </c>
      <c r="O222" t="inlineStr">
        <is>
          <t>E3</t>
        </is>
      </c>
      <c r="P222" t="inlineStr">
        <is>
          <t>Senior Support Engineer</t>
        </is>
      </c>
      <c r="Q222" t="inlineStr">
        <is>
          <t>Neha  Rajput (1020112)</t>
        </is>
      </c>
      <c r="R222" s="27" t="n">
        <v>4</v>
      </c>
      <c r="S222" s="1" t="n">
        <v>250000</v>
      </c>
      <c r="T222" s="1">
        <f>ROUND(T_EMPLOYEES[[#This Row],[EMP_CTC1]]/12, 0)</f>
        <v/>
      </c>
      <c r="U222" s="1" t="n">
        <v>150000</v>
      </c>
      <c r="V222" s="1" t="inlineStr">
        <is>
          <t>NH</t>
        </is>
      </c>
      <c r="W222" s="1" t="inlineStr">
        <is>
          <t>NH</t>
        </is>
      </c>
      <c r="X22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2" t="n">
        <v>100000</v>
      </c>
      <c r="Z222" s="29">
        <f>(S222 - U222)/S222 * 100</f>
        <v/>
      </c>
      <c r="AA222">
        <f>IF(T_EMPLOYEES[[#This Row],[EMPLOYEE NUMBER]]="","",ROW(T_EMPLOYEES[[#This Row],[EMPLOYEE LABEL]])-ROW(T_EMPLOYEES[[#Headers],[EMPLOYEE LABEL]]))</f>
        <v/>
      </c>
      <c r="AB222">
        <f>IF(T_EMPLOYEES[[#This Row],[EMPLOYEE NUMBER]]="","",IF(COUNTIF(T_EMPLOYEES[EMPLOYEE NUMBER],T_EMPLOYEES[[#This Row],[EMPLOYEE NUMBER]])&gt;1,1,0))</f>
        <v/>
      </c>
      <c r="AC222">
        <f>IF(T_EMPLOYEES[[#This Row],[EMPLOYEE NUMBER]]="","",IF(AND(T_EMPLOYEES[[#This Row],[DATE OF BIRTH]]&gt;0,T_EMPLOYEES[[#This Row],[DATE OF BIRTH]]&lt;TODAY()),0,1))</f>
        <v/>
      </c>
      <c r="AD222">
        <f>IF(T_EMPLOYEES[[#This Row],[EMPLOYEE NUMBER]]="","",IF(AND(T_EMPLOYEES[[#This Row],[START DATE]]&gt;0,T_EMPLOYEES[[#This Row],[START DATE]]&lt;TODAY()+60),0,1))</f>
        <v/>
      </c>
      <c r="AE222">
        <f>IF(T_EMPLOYEES[[#This Row],[EMPLOYEE NUMBER]]="","",MATCH(T_EMPLOYEES[[#This Row],[GENDER]],L_GENDER,0))</f>
        <v/>
      </c>
      <c r="AF222">
        <f>IF(T_EMPLOYEES[[#This Row],[EMPLOYEE NUMBER]]="","",MATCH(T_EMPLOYEES[[#This Row],[HIRE SOURCE]],L_HIRESOURCE,0))</f>
        <v/>
      </c>
      <c r="AG222">
        <f>IF(T_EMPLOYEES[[#This Row],[EMPLOYEE NUMBER]]="","",MATCH(T_EMPLOYEES[[#This Row],[ETHNICITY]],L_ETHNICITY,0))</f>
        <v/>
      </c>
      <c r="AH222">
        <f>IF(T_EMPLOYEES[[#This Row],[EMPLOYEE NUMBER]]="","",MATCH(T_EMPLOYEES[[#This Row],[LOCATION]],L_LOCATION,0))</f>
        <v/>
      </c>
      <c r="AI222">
        <f>IF(T_EMPLOYEES[[#This Row],[EMPLOYEE NUMBER]]="","",MATCH(T_EMPLOYEES[[#This Row],[DEPARTMENT]],L_DEPARTMENT,0))</f>
        <v/>
      </c>
      <c r="AJ222">
        <f>IF(T_EMPLOYEES[[#This Row],[EMPLOYEE NUMBER]]="","",MATCH(T_EMPLOYEES[[#This Row],[JOB TYPE]],L_JOBTYPE,0))</f>
        <v/>
      </c>
      <c r="AK222">
        <f>IF(T_EMPLOYEES[[#This Row],[EMPLOYEE NUMBER]]="","",MATCH(T_EMPLOYEES[[#This Row],[JOB CATEGORY]],L_JOBCATEGORY,0))</f>
        <v/>
      </c>
      <c r="AL222">
        <f>IF(T_EMPLOYEES[[#This Row],[EMPLOYEE NUMBER]]="","",MATCH(T_EMPLOYEES[[#This Row],[JOB LEVEL]],L_JOBLEVEL,0))</f>
        <v/>
      </c>
      <c r="AM222">
        <f>IF(T_EMPLOYEES[[#This Row],[EMPLOYEE NUMBER]]="","",MATCH(T_EMPLOYEES[[#This Row],[JOB TITLE]],L_JOBTITLE,0))</f>
        <v/>
      </c>
      <c r="AN222">
        <f>IF(T_EMPLOYEES[[#This Row],[EMPLOYEE NUMBER]]="","",MATCH(T_EMPLOYEES[[#This Row],[MANAGER]],L_EMPLABELS,0))</f>
        <v/>
      </c>
      <c r="AO222">
        <f>IF(T_EMPLOYEES[[#This Row],[EMPLOYEE NUMBER]]="","",IF(T_EMPLOYEES[[#This Row],[ERROR]]="",0,1))</f>
        <v/>
      </c>
      <c r="AP22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3">
      <c r="A223" t="inlineStr">
        <is>
          <t>Sonu</t>
        </is>
      </c>
      <c r="B223" t="inlineStr">
        <is>
          <t>Kumar</t>
        </is>
      </c>
      <c r="C223" t="n">
        <v>1025502</v>
      </c>
      <c r="D223" t="inlineStr">
        <is>
          <t>Sonu.Kumar3@infinite.com</t>
        </is>
      </c>
      <c r="E223" s="26" t="n">
        <v>33757</v>
      </c>
      <c r="F223" s="26" t="n">
        <v>44358</v>
      </c>
      <c r="H223" t="inlineStr">
        <is>
          <t>Male</t>
        </is>
      </c>
      <c r="I223" t="inlineStr">
        <is>
          <t>Asian</t>
        </is>
      </c>
      <c r="J223" t="inlineStr">
        <is>
          <t>WEBSITE</t>
        </is>
      </c>
      <c r="K223" t="inlineStr">
        <is>
          <t>Bangalore</t>
        </is>
      </c>
      <c r="L223" s="27" t="inlineStr">
        <is>
          <t>IT</t>
        </is>
      </c>
      <c r="M223" t="inlineStr">
        <is>
          <t>Full-Time</t>
        </is>
      </c>
      <c r="N223" t="inlineStr">
        <is>
          <t>Senior Software Test Engineer</t>
        </is>
      </c>
      <c r="O223" t="inlineStr">
        <is>
          <t>E3</t>
        </is>
      </c>
      <c r="P223" t="inlineStr">
        <is>
          <t>Senior Software Test Engineer</t>
        </is>
      </c>
      <c r="Q223" t="inlineStr">
        <is>
          <t>Archana  Jaiswal (1024503)</t>
        </is>
      </c>
      <c r="R223" t="n">
        <v>4</v>
      </c>
      <c r="S223" s="1" t="n">
        <v>250000</v>
      </c>
      <c r="T223" s="1">
        <f>ROUND(T_EMPLOYEES[[#This Row],[EMP_CTC1]]/12, 0)</f>
        <v/>
      </c>
      <c r="U223" s="1" t="n">
        <v>150000</v>
      </c>
      <c r="V223" s="1" t="inlineStr">
        <is>
          <t>NH</t>
        </is>
      </c>
      <c r="W223" s="1" t="inlineStr">
        <is>
          <t>NH</t>
        </is>
      </c>
      <c r="X22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3" t="n">
        <v>100000</v>
      </c>
      <c r="Z223" s="29">
        <f>(S223 - U223)/S223 * 100</f>
        <v/>
      </c>
      <c r="AA223">
        <f>IF(T_EMPLOYEES[[#This Row],[EMPLOYEE NUMBER]]="","",ROW(T_EMPLOYEES[[#This Row],[EMPLOYEE LABEL]])-ROW(T_EMPLOYEES[[#Headers],[EMPLOYEE LABEL]]))</f>
        <v/>
      </c>
      <c r="AB223">
        <f>IF(T_EMPLOYEES[[#This Row],[EMPLOYEE NUMBER]]="","",IF(COUNTIF(T_EMPLOYEES[EMPLOYEE NUMBER],T_EMPLOYEES[[#This Row],[EMPLOYEE NUMBER]])&gt;1,1,0))</f>
        <v/>
      </c>
      <c r="AC223">
        <f>IF(T_EMPLOYEES[[#This Row],[EMPLOYEE NUMBER]]="","",IF(AND(T_EMPLOYEES[[#This Row],[DATE OF BIRTH]]&gt;0,T_EMPLOYEES[[#This Row],[DATE OF BIRTH]]&lt;TODAY()),0,1))</f>
        <v/>
      </c>
      <c r="AD223">
        <f>IF(T_EMPLOYEES[[#This Row],[EMPLOYEE NUMBER]]="","",IF(AND(T_EMPLOYEES[[#This Row],[START DATE]]&gt;0,T_EMPLOYEES[[#This Row],[START DATE]]&lt;TODAY()+60),0,1))</f>
        <v/>
      </c>
      <c r="AE223">
        <f>IF(T_EMPLOYEES[[#This Row],[EMPLOYEE NUMBER]]="","",MATCH(T_EMPLOYEES[[#This Row],[GENDER]],L_GENDER,0))</f>
        <v/>
      </c>
      <c r="AF223">
        <f>IF(T_EMPLOYEES[[#This Row],[EMPLOYEE NUMBER]]="","",MATCH(T_EMPLOYEES[[#This Row],[HIRE SOURCE]],L_HIRESOURCE,0))</f>
        <v/>
      </c>
      <c r="AG223">
        <f>IF(T_EMPLOYEES[[#This Row],[EMPLOYEE NUMBER]]="","",MATCH(T_EMPLOYEES[[#This Row],[ETHNICITY]],L_ETHNICITY,0))</f>
        <v/>
      </c>
      <c r="AH223">
        <f>IF(T_EMPLOYEES[[#This Row],[EMPLOYEE NUMBER]]="","",MATCH(T_EMPLOYEES[[#This Row],[LOCATION]],L_LOCATION,0))</f>
        <v/>
      </c>
      <c r="AI223">
        <f>IF(T_EMPLOYEES[[#This Row],[EMPLOYEE NUMBER]]="","",MATCH(T_EMPLOYEES[[#This Row],[DEPARTMENT]],L_DEPARTMENT,0))</f>
        <v/>
      </c>
      <c r="AJ223">
        <f>IF(T_EMPLOYEES[[#This Row],[EMPLOYEE NUMBER]]="","",MATCH(T_EMPLOYEES[[#This Row],[JOB TYPE]],L_JOBTYPE,0))</f>
        <v/>
      </c>
      <c r="AK223">
        <f>IF(T_EMPLOYEES[[#This Row],[EMPLOYEE NUMBER]]="","",MATCH(T_EMPLOYEES[[#This Row],[JOB CATEGORY]],L_JOBCATEGORY,0))</f>
        <v/>
      </c>
      <c r="AL223">
        <f>IF(T_EMPLOYEES[[#This Row],[EMPLOYEE NUMBER]]="","",MATCH(T_EMPLOYEES[[#This Row],[JOB LEVEL]],L_JOBLEVEL,0))</f>
        <v/>
      </c>
      <c r="AM223">
        <f>IF(T_EMPLOYEES[[#This Row],[EMPLOYEE NUMBER]]="","",MATCH(T_EMPLOYEES[[#This Row],[JOB TITLE]],L_JOBTITLE,0))</f>
        <v/>
      </c>
      <c r="AN223">
        <f>IF(T_EMPLOYEES[[#This Row],[EMPLOYEE NUMBER]]="","",MATCH(T_EMPLOYEES[[#This Row],[MANAGER]],L_EMPLABELS,0))</f>
        <v/>
      </c>
      <c r="AO223">
        <f>IF(T_EMPLOYEES[[#This Row],[EMPLOYEE NUMBER]]="","",IF(T_EMPLOYEES[[#This Row],[ERROR]]="",0,1))</f>
        <v/>
      </c>
      <c r="AP22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4">
      <c r="A224" t="inlineStr">
        <is>
          <t>M</t>
        </is>
      </c>
      <c r="B224" t="inlineStr">
        <is>
          <t>Ganapathi</t>
        </is>
      </c>
      <c r="C224" t="n">
        <v>1028565</v>
      </c>
      <c r="D224" t="inlineStr">
        <is>
          <t>Ganapathi.Manoharan@infinite.com</t>
        </is>
      </c>
      <c r="E224" s="26" t="n">
        <v>33759</v>
      </c>
      <c r="F224" s="26" t="n">
        <v>44631</v>
      </c>
      <c r="H224" t="inlineStr">
        <is>
          <t>Male</t>
        </is>
      </c>
      <c r="I224" t="inlineStr">
        <is>
          <t>Asian</t>
        </is>
      </c>
      <c r="J224" t="inlineStr">
        <is>
          <t>WEBSITE</t>
        </is>
      </c>
      <c r="K224" t="inlineStr">
        <is>
          <t>Hyderabad</t>
        </is>
      </c>
      <c r="L224" s="27" t="inlineStr">
        <is>
          <t>IT</t>
        </is>
      </c>
      <c r="M224" t="inlineStr">
        <is>
          <t>Full-Time</t>
        </is>
      </c>
      <c r="N224" t="inlineStr">
        <is>
          <t>Software Test Engineer</t>
        </is>
      </c>
      <c r="O224" t="inlineStr">
        <is>
          <t>E2</t>
        </is>
      </c>
      <c r="P224" t="inlineStr">
        <is>
          <t>Software Test Engineer</t>
        </is>
      </c>
      <c r="Q224" t="inlineStr">
        <is>
          <t>Santhosh B K (1025129)</t>
        </is>
      </c>
      <c r="R224" s="27" t="n">
        <v>4</v>
      </c>
      <c r="S224" s="1" t="n">
        <v>250000</v>
      </c>
      <c r="T224" s="1">
        <f>ROUND(T_EMPLOYEES[[#This Row],[EMP_CTC1]]/12, 0)</f>
        <v/>
      </c>
      <c r="U224" s="1" t="n">
        <v>150000</v>
      </c>
      <c r="V224" s="1" t="inlineStr">
        <is>
          <t>NH</t>
        </is>
      </c>
      <c r="W224" s="1" t="inlineStr">
        <is>
          <t>NH</t>
        </is>
      </c>
      <c r="X22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4" t="n">
        <v>100000</v>
      </c>
      <c r="Z224" s="29">
        <f>(S224 - U224)/S224 * 100</f>
        <v/>
      </c>
      <c r="AA224">
        <f>IF(T_EMPLOYEES[[#This Row],[EMPLOYEE NUMBER]]="","",ROW(T_EMPLOYEES[[#This Row],[EMPLOYEE LABEL]])-ROW(T_EMPLOYEES[[#Headers],[EMPLOYEE LABEL]]))</f>
        <v/>
      </c>
      <c r="AB224">
        <f>IF(T_EMPLOYEES[[#This Row],[EMPLOYEE NUMBER]]="","",IF(COUNTIF(T_EMPLOYEES[EMPLOYEE NUMBER],T_EMPLOYEES[[#This Row],[EMPLOYEE NUMBER]])&gt;1,1,0))</f>
        <v/>
      </c>
      <c r="AC224">
        <f>IF(T_EMPLOYEES[[#This Row],[EMPLOYEE NUMBER]]="","",IF(AND(T_EMPLOYEES[[#This Row],[DATE OF BIRTH]]&gt;0,T_EMPLOYEES[[#This Row],[DATE OF BIRTH]]&lt;TODAY()),0,1))</f>
        <v/>
      </c>
      <c r="AD224">
        <f>IF(T_EMPLOYEES[[#This Row],[EMPLOYEE NUMBER]]="","",IF(AND(T_EMPLOYEES[[#This Row],[START DATE]]&gt;0,T_EMPLOYEES[[#This Row],[START DATE]]&lt;TODAY()+60),0,1))</f>
        <v/>
      </c>
      <c r="AE224">
        <f>IF(T_EMPLOYEES[[#This Row],[EMPLOYEE NUMBER]]="","",MATCH(T_EMPLOYEES[[#This Row],[GENDER]],L_GENDER,0))</f>
        <v/>
      </c>
      <c r="AF224">
        <f>IF(T_EMPLOYEES[[#This Row],[EMPLOYEE NUMBER]]="","",MATCH(T_EMPLOYEES[[#This Row],[HIRE SOURCE]],L_HIRESOURCE,0))</f>
        <v/>
      </c>
      <c r="AG224">
        <f>IF(T_EMPLOYEES[[#This Row],[EMPLOYEE NUMBER]]="","",MATCH(T_EMPLOYEES[[#This Row],[ETHNICITY]],L_ETHNICITY,0))</f>
        <v/>
      </c>
      <c r="AH224">
        <f>IF(T_EMPLOYEES[[#This Row],[EMPLOYEE NUMBER]]="","",MATCH(T_EMPLOYEES[[#This Row],[LOCATION]],L_LOCATION,0))</f>
        <v/>
      </c>
      <c r="AI224">
        <f>IF(T_EMPLOYEES[[#This Row],[EMPLOYEE NUMBER]]="","",MATCH(T_EMPLOYEES[[#This Row],[DEPARTMENT]],L_DEPARTMENT,0))</f>
        <v/>
      </c>
      <c r="AJ224">
        <f>IF(T_EMPLOYEES[[#This Row],[EMPLOYEE NUMBER]]="","",MATCH(T_EMPLOYEES[[#This Row],[JOB TYPE]],L_JOBTYPE,0))</f>
        <v/>
      </c>
      <c r="AK224">
        <f>IF(T_EMPLOYEES[[#This Row],[EMPLOYEE NUMBER]]="","",MATCH(T_EMPLOYEES[[#This Row],[JOB CATEGORY]],L_JOBCATEGORY,0))</f>
        <v/>
      </c>
      <c r="AL224">
        <f>IF(T_EMPLOYEES[[#This Row],[EMPLOYEE NUMBER]]="","",MATCH(T_EMPLOYEES[[#This Row],[JOB LEVEL]],L_JOBLEVEL,0))</f>
        <v/>
      </c>
      <c r="AM224">
        <f>IF(T_EMPLOYEES[[#This Row],[EMPLOYEE NUMBER]]="","",MATCH(T_EMPLOYEES[[#This Row],[JOB TITLE]],L_JOBTITLE,0))</f>
        <v/>
      </c>
      <c r="AN224">
        <f>IF(T_EMPLOYEES[[#This Row],[EMPLOYEE NUMBER]]="","",MATCH(T_EMPLOYEES[[#This Row],[MANAGER]],L_EMPLABELS,0))</f>
        <v/>
      </c>
      <c r="AO224">
        <f>IF(T_EMPLOYEES[[#This Row],[EMPLOYEE NUMBER]]="","",IF(T_EMPLOYEES[[#This Row],[ERROR]]="",0,1))</f>
        <v/>
      </c>
      <c r="AP22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5">
      <c r="A225" t="inlineStr">
        <is>
          <t>Boilla</t>
        </is>
      </c>
      <c r="B225" t="inlineStr">
        <is>
          <t xml:space="preserve"> ChanduPriya</t>
        </is>
      </c>
      <c r="C225" t="n">
        <v>1030694</v>
      </c>
      <c r="D225" t="inlineStr">
        <is>
          <t>Chandupriya.Boilla@infinite.com</t>
        </is>
      </c>
      <c r="E225" s="26" t="n">
        <v>33763</v>
      </c>
      <c r="F225" s="26" t="n">
        <v>44855</v>
      </c>
      <c r="H225" t="inlineStr">
        <is>
          <t>Female</t>
        </is>
      </c>
      <c r="I225" t="inlineStr">
        <is>
          <t>Asian</t>
        </is>
      </c>
      <c r="J225" t="inlineStr">
        <is>
          <t>WEBSITE</t>
        </is>
      </c>
      <c r="K225" t="inlineStr">
        <is>
          <t>Bangalore</t>
        </is>
      </c>
      <c r="L225" s="27" t="inlineStr">
        <is>
          <t>IT</t>
        </is>
      </c>
      <c r="M225" t="inlineStr">
        <is>
          <t>Full-Time</t>
        </is>
      </c>
      <c r="N225" t="inlineStr">
        <is>
          <t>Senior Software Engineer</t>
        </is>
      </c>
      <c r="O225" t="inlineStr">
        <is>
          <t>E3</t>
        </is>
      </c>
      <c r="P225" t="inlineStr">
        <is>
          <t>Senior Software Engineer</t>
        </is>
      </c>
      <c r="Q225" t="inlineStr">
        <is>
          <t>P Vinoth  Kumar (1023066)</t>
        </is>
      </c>
      <c r="R225" t="n">
        <v>4</v>
      </c>
      <c r="S225" s="1" t="n">
        <v>250000</v>
      </c>
      <c r="T225" s="1">
        <f>ROUND(T_EMPLOYEES[[#This Row],[EMP_CTC1]]/12, 0)</f>
        <v/>
      </c>
      <c r="U225" s="1" t="n">
        <v>150000</v>
      </c>
      <c r="V225" s="1" t="inlineStr">
        <is>
          <t>NH</t>
        </is>
      </c>
      <c r="W225" s="1" t="inlineStr">
        <is>
          <t>NH</t>
        </is>
      </c>
      <c r="X22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5" t="n">
        <v>100000</v>
      </c>
      <c r="Z225" s="29">
        <f>(S225 - U225)/S225 * 100</f>
        <v/>
      </c>
      <c r="AA225">
        <f>IF(T_EMPLOYEES[[#This Row],[EMPLOYEE NUMBER]]="","",ROW(T_EMPLOYEES[[#This Row],[EMPLOYEE LABEL]])-ROW(T_EMPLOYEES[[#Headers],[EMPLOYEE LABEL]]))</f>
        <v/>
      </c>
      <c r="AB225">
        <f>IF(T_EMPLOYEES[[#This Row],[EMPLOYEE NUMBER]]="","",IF(COUNTIF(T_EMPLOYEES[EMPLOYEE NUMBER],T_EMPLOYEES[[#This Row],[EMPLOYEE NUMBER]])&gt;1,1,0))</f>
        <v/>
      </c>
      <c r="AC225">
        <f>IF(T_EMPLOYEES[[#This Row],[EMPLOYEE NUMBER]]="","",IF(AND(T_EMPLOYEES[[#This Row],[DATE OF BIRTH]]&gt;0,T_EMPLOYEES[[#This Row],[DATE OF BIRTH]]&lt;TODAY()),0,1))</f>
        <v/>
      </c>
      <c r="AD225">
        <f>IF(T_EMPLOYEES[[#This Row],[EMPLOYEE NUMBER]]="","",IF(AND(T_EMPLOYEES[[#This Row],[START DATE]]&gt;0,T_EMPLOYEES[[#This Row],[START DATE]]&lt;TODAY()+60),0,1))</f>
        <v/>
      </c>
      <c r="AE225">
        <f>IF(T_EMPLOYEES[[#This Row],[EMPLOYEE NUMBER]]="","",MATCH(T_EMPLOYEES[[#This Row],[GENDER]],L_GENDER,0))</f>
        <v/>
      </c>
      <c r="AF225">
        <f>IF(T_EMPLOYEES[[#This Row],[EMPLOYEE NUMBER]]="","",MATCH(T_EMPLOYEES[[#This Row],[HIRE SOURCE]],L_HIRESOURCE,0))</f>
        <v/>
      </c>
      <c r="AG225">
        <f>IF(T_EMPLOYEES[[#This Row],[EMPLOYEE NUMBER]]="","",MATCH(T_EMPLOYEES[[#This Row],[ETHNICITY]],L_ETHNICITY,0))</f>
        <v/>
      </c>
      <c r="AH225">
        <f>IF(T_EMPLOYEES[[#This Row],[EMPLOYEE NUMBER]]="","",MATCH(T_EMPLOYEES[[#This Row],[LOCATION]],L_LOCATION,0))</f>
        <v/>
      </c>
      <c r="AI225">
        <f>IF(T_EMPLOYEES[[#This Row],[EMPLOYEE NUMBER]]="","",MATCH(T_EMPLOYEES[[#This Row],[DEPARTMENT]],L_DEPARTMENT,0))</f>
        <v/>
      </c>
      <c r="AJ225">
        <f>IF(T_EMPLOYEES[[#This Row],[EMPLOYEE NUMBER]]="","",MATCH(T_EMPLOYEES[[#This Row],[JOB TYPE]],L_JOBTYPE,0))</f>
        <v/>
      </c>
      <c r="AK225">
        <f>IF(T_EMPLOYEES[[#This Row],[EMPLOYEE NUMBER]]="","",MATCH(T_EMPLOYEES[[#This Row],[JOB CATEGORY]],L_JOBCATEGORY,0))</f>
        <v/>
      </c>
      <c r="AL225">
        <f>IF(T_EMPLOYEES[[#This Row],[EMPLOYEE NUMBER]]="","",MATCH(T_EMPLOYEES[[#This Row],[JOB LEVEL]],L_JOBLEVEL,0))</f>
        <v/>
      </c>
      <c r="AM225">
        <f>IF(T_EMPLOYEES[[#This Row],[EMPLOYEE NUMBER]]="","",MATCH(T_EMPLOYEES[[#This Row],[JOB TITLE]],L_JOBTITLE,0))</f>
        <v/>
      </c>
      <c r="AN225">
        <f>IF(T_EMPLOYEES[[#This Row],[EMPLOYEE NUMBER]]="","",MATCH(T_EMPLOYEES[[#This Row],[MANAGER]],L_EMPLABELS,0))</f>
        <v/>
      </c>
      <c r="AO225">
        <f>IF(T_EMPLOYEES[[#This Row],[EMPLOYEE NUMBER]]="","",IF(T_EMPLOYEES[[#This Row],[ERROR]]="",0,1))</f>
        <v/>
      </c>
      <c r="AP22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6">
      <c r="A226" t="inlineStr">
        <is>
          <t>N</t>
        </is>
      </c>
      <c r="B226" t="inlineStr">
        <is>
          <t>Jagannathgowd</t>
        </is>
      </c>
      <c r="C226" t="n">
        <v>1031853</v>
      </c>
      <c r="D226" t="inlineStr">
        <is>
          <t>Jagannathgowd.Neelagowni@infinite.com</t>
        </is>
      </c>
      <c r="E226" s="26" t="n">
        <v>33763</v>
      </c>
      <c r="F226" s="26" t="n">
        <v>44914</v>
      </c>
      <c r="H226" t="inlineStr">
        <is>
          <t>Male</t>
        </is>
      </c>
      <c r="I226" t="inlineStr">
        <is>
          <t>Asian</t>
        </is>
      </c>
      <c r="J226" t="inlineStr">
        <is>
          <t>WEBSITE</t>
        </is>
      </c>
      <c r="K226" t="inlineStr">
        <is>
          <t>Hyderabad</t>
        </is>
      </c>
      <c r="L226" s="27" t="inlineStr">
        <is>
          <t>IT</t>
        </is>
      </c>
      <c r="M226" t="inlineStr">
        <is>
          <t>Full-Time</t>
        </is>
      </c>
      <c r="N226" t="inlineStr">
        <is>
          <t>Lead System Engineer</t>
        </is>
      </c>
      <c r="O226" t="inlineStr">
        <is>
          <t>E4</t>
        </is>
      </c>
      <c r="P226" t="inlineStr">
        <is>
          <t>Lead System Engineer</t>
        </is>
      </c>
      <c r="Q226" t="inlineStr">
        <is>
          <t>Prabhakar Janardhanam (1031867)</t>
        </is>
      </c>
      <c r="R226" s="27" t="n">
        <v>5</v>
      </c>
      <c r="S226" s="1" t="n">
        <v>250000</v>
      </c>
      <c r="T226" s="1">
        <f>ROUND(T_EMPLOYEES[[#This Row],[EMP_CTC1]]/12, 0)</f>
        <v/>
      </c>
      <c r="U226" s="1" t="n">
        <v>150000</v>
      </c>
      <c r="V226" s="1" t="inlineStr">
        <is>
          <t>NH</t>
        </is>
      </c>
      <c r="W226" s="1" t="inlineStr">
        <is>
          <t>NH</t>
        </is>
      </c>
      <c r="X22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6" t="n">
        <v>100000</v>
      </c>
      <c r="Z226" s="29">
        <f>(S226 - U226)/S226 * 100</f>
        <v/>
      </c>
      <c r="AA226">
        <f>IF(T_EMPLOYEES[[#This Row],[EMPLOYEE NUMBER]]="","",ROW(T_EMPLOYEES[[#This Row],[EMPLOYEE LABEL]])-ROW(T_EMPLOYEES[[#Headers],[EMPLOYEE LABEL]]))</f>
        <v/>
      </c>
      <c r="AB226">
        <f>IF(T_EMPLOYEES[[#This Row],[EMPLOYEE NUMBER]]="","",IF(COUNTIF(T_EMPLOYEES[EMPLOYEE NUMBER],T_EMPLOYEES[[#This Row],[EMPLOYEE NUMBER]])&gt;1,1,0))</f>
        <v/>
      </c>
      <c r="AC226">
        <f>IF(T_EMPLOYEES[[#This Row],[EMPLOYEE NUMBER]]="","",IF(AND(T_EMPLOYEES[[#This Row],[DATE OF BIRTH]]&gt;0,T_EMPLOYEES[[#This Row],[DATE OF BIRTH]]&lt;TODAY()),0,1))</f>
        <v/>
      </c>
      <c r="AD226">
        <f>IF(T_EMPLOYEES[[#This Row],[EMPLOYEE NUMBER]]="","",IF(AND(T_EMPLOYEES[[#This Row],[START DATE]]&gt;0,T_EMPLOYEES[[#This Row],[START DATE]]&lt;TODAY()+60),0,1))</f>
        <v/>
      </c>
      <c r="AE226">
        <f>IF(T_EMPLOYEES[[#This Row],[EMPLOYEE NUMBER]]="","",MATCH(T_EMPLOYEES[[#This Row],[GENDER]],L_GENDER,0))</f>
        <v/>
      </c>
      <c r="AF226">
        <f>IF(T_EMPLOYEES[[#This Row],[EMPLOYEE NUMBER]]="","",MATCH(T_EMPLOYEES[[#This Row],[HIRE SOURCE]],L_HIRESOURCE,0))</f>
        <v/>
      </c>
      <c r="AG226">
        <f>IF(T_EMPLOYEES[[#This Row],[EMPLOYEE NUMBER]]="","",MATCH(T_EMPLOYEES[[#This Row],[ETHNICITY]],L_ETHNICITY,0))</f>
        <v/>
      </c>
      <c r="AH226">
        <f>IF(T_EMPLOYEES[[#This Row],[EMPLOYEE NUMBER]]="","",MATCH(T_EMPLOYEES[[#This Row],[LOCATION]],L_LOCATION,0))</f>
        <v/>
      </c>
      <c r="AI226">
        <f>IF(T_EMPLOYEES[[#This Row],[EMPLOYEE NUMBER]]="","",MATCH(T_EMPLOYEES[[#This Row],[DEPARTMENT]],L_DEPARTMENT,0))</f>
        <v/>
      </c>
      <c r="AJ226">
        <f>IF(T_EMPLOYEES[[#This Row],[EMPLOYEE NUMBER]]="","",MATCH(T_EMPLOYEES[[#This Row],[JOB TYPE]],L_JOBTYPE,0))</f>
        <v/>
      </c>
      <c r="AK226">
        <f>IF(T_EMPLOYEES[[#This Row],[EMPLOYEE NUMBER]]="","",MATCH(T_EMPLOYEES[[#This Row],[JOB CATEGORY]],L_JOBCATEGORY,0))</f>
        <v/>
      </c>
      <c r="AL226">
        <f>IF(T_EMPLOYEES[[#This Row],[EMPLOYEE NUMBER]]="","",MATCH(T_EMPLOYEES[[#This Row],[JOB LEVEL]],L_JOBLEVEL,0))</f>
        <v/>
      </c>
      <c r="AM226">
        <f>IF(T_EMPLOYEES[[#This Row],[EMPLOYEE NUMBER]]="","",MATCH(T_EMPLOYEES[[#This Row],[JOB TITLE]],L_JOBTITLE,0))</f>
        <v/>
      </c>
      <c r="AN226">
        <f>IF(T_EMPLOYEES[[#This Row],[EMPLOYEE NUMBER]]="","",MATCH(T_EMPLOYEES[[#This Row],[MANAGER]],L_EMPLABELS,0))</f>
        <v/>
      </c>
      <c r="AO226">
        <f>IF(T_EMPLOYEES[[#This Row],[EMPLOYEE NUMBER]]="","",IF(T_EMPLOYEES[[#This Row],[ERROR]]="",0,1))</f>
        <v/>
      </c>
      <c r="AP22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7">
      <c r="A227" t="inlineStr">
        <is>
          <t>Lakku</t>
        </is>
      </c>
      <c r="B227" t="inlineStr">
        <is>
          <t>Hari Krishna Manikanta</t>
        </is>
      </c>
      <c r="C227" t="n">
        <v>1026220</v>
      </c>
      <c r="D227" t="inlineStr">
        <is>
          <t>Harikrishna.Manikanta@infinite.com</t>
        </is>
      </c>
      <c r="E227" s="26" t="n">
        <v>33786</v>
      </c>
      <c r="F227" s="26" t="n">
        <v>44431</v>
      </c>
      <c r="H227" t="inlineStr">
        <is>
          <t>Male</t>
        </is>
      </c>
      <c r="I227" t="inlineStr">
        <is>
          <t>Asian</t>
        </is>
      </c>
      <c r="J227" t="inlineStr">
        <is>
          <t>WEBSITE</t>
        </is>
      </c>
      <c r="K227" t="inlineStr">
        <is>
          <t>Bangalore</t>
        </is>
      </c>
      <c r="L227" s="27" t="inlineStr">
        <is>
          <t>QA</t>
        </is>
      </c>
      <c r="M227" t="inlineStr">
        <is>
          <t>Full-Time</t>
        </is>
      </c>
      <c r="N227" t="inlineStr">
        <is>
          <t>Senior Software Test Engineer</t>
        </is>
      </c>
      <c r="O227" t="inlineStr">
        <is>
          <t>E3</t>
        </is>
      </c>
      <c r="P227" t="inlineStr">
        <is>
          <t>Senior Software Test Engineer</t>
        </is>
      </c>
      <c r="Q227" t="inlineStr">
        <is>
          <t>Vinayak  Tatuskar (1023387)</t>
        </is>
      </c>
      <c r="R227" t="n">
        <v>4</v>
      </c>
      <c r="S227" s="1" t="n">
        <v>250000</v>
      </c>
      <c r="T227" s="1">
        <f>ROUND(T_EMPLOYEES[[#This Row],[EMP_CTC1]]/12, 0)</f>
        <v/>
      </c>
      <c r="U227" s="1" t="n">
        <v>150000</v>
      </c>
      <c r="V227" s="1" t="inlineStr">
        <is>
          <t>NH</t>
        </is>
      </c>
      <c r="W227" s="1" t="inlineStr">
        <is>
          <t>NH</t>
        </is>
      </c>
      <c r="X22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7" t="n">
        <v>100000</v>
      </c>
      <c r="Z227" s="29">
        <f>(S227 - U227)/S227 * 100</f>
        <v/>
      </c>
      <c r="AA227">
        <f>IF(T_EMPLOYEES[[#This Row],[EMPLOYEE NUMBER]]="","",ROW(T_EMPLOYEES[[#This Row],[EMPLOYEE LABEL]])-ROW(T_EMPLOYEES[[#Headers],[EMPLOYEE LABEL]]))</f>
        <v/>
      </c>
      <c r="AB227">
        <f>IF(T_EMPLOYEES[[#This Row],[EMPLOYEE NUMBER]]="","",IF(COUNTIF(T_EMPLOYEES[EMPLOYEE NUMBER],T_EMPLOYEES[[#This Row],[EMPLOYEE NUMBER]])&gt;1,1,0))</f>
        <v/>
      </c>
      <c r="AC227">
        <f>IF(T_EMPLOYEES[[#This Row],[EMPLOYEE NUMBER]]="","",IF(AND(T_EMPLOYEES[[#This Row],[DATE OF BIRTH]]&gt;0,T_EMPLOYEES[[#This Row],[DATE OF BIRTH]]&lt;TODAY()),0,1))</f>
        <v/>
      </c>
      <c r="AD227">
        <f>IF(T_EMPLOYEES[[#This Row],[EMPLOYEE NUMBER]]="","",IF(AND(T_EMPLOYEES[[#This Row],[START DATE]]&gt;0,T_EMPLOYEES[[#This Row],[START DATE]]&lt;TODAY()+60),0,1))</f>
        <v/>
      </c>
      <c r="AE227">
        <f>IF(T_EMPLOYEES[[#This Row],[EMPLOYEE NUMBER]]="","",MATCH(T_EMPLOYEES[[#This Row],[GENDER]],L_GENDER,0))</f>
        <v/>
      </c>
      <c r="AF227">
        <f>IF(T_EMPLOYEES[[#This Row],[EMPLOYEE NUMBER]]="","",MATCH(T_EMPLOYEES[[#This Row],[HIRE SOURCE]],L_HIRESOURCE,0))</f>
        <v/>
      </c>
      <c r="AG227">
        <f>IF(T_EMPLOYEES[[#This Row],[EMPLOYEE NUMBER]]="","",MATCH(T_EMPLOYEES[[#This Row],[ETHNICITY]],L_ETHNICITY,0))</f>
        <v/>
      </c>
      <c r="AH227">
        <f>IF(T_EMPLOYEES[[#This Row],[EMPLOYEE NUMBER]]="","",MATCH(T_EMPLOYEES[[#This Row],[LOCATION]],L_LOCATION,0))</f>
        <v/>
      </c>
      <c r="AI227">
        <f>IF(T_EMPLOYEES[[#This Row],[EMPLOYEE NUMBER]]="","",MATCH(T_EMPLOYEES[[#This Row],[DEPARTMENT]],L_DEPARTMENT,0))</f>
        <v/>
      </c>
      <c r="AJ227">
        <f>IF(T_EMPLOYEES[[#This Row],[EMPLOYEE NUMBER]]="","",MATCH(T_EMPLOYEES[[#This Row],[JOB TYPE]],L_JOBTYPE,0))</f>
        <v/>
      </c>
      <c r="AK227">
        <f>IF(T_EMPLOYEES[[#This Row],[EMPLOYEE NUMBER]]="","",MATCH(T_EMPLOYEES[[#This Row],[JOB CATEGORY]],L_JOBCATEGORY,0))</f>
        <v/>
      </c>
      <c r="AL227">
        <f>IF(T_EMPLOYEES[[#This Row],[EMPLOYEE NUMBER]]="","",MATCH(T_EMPLOYEES[[#This Row],[JOB LEVEL]],L_JOBLEVEL,0))</f>
        <v/>
      </c>
      <c r="AM227">
        <f>IF(T_EMPLOYEES[[#This Row],[EMPLOYEE NUMBER]]="","",MATCH(T_EMPLOYEES[[#This Row],[JOB TITLE]],L_JOBTITLE,0))</f>
        <v/>
      </c>
      <c r="AN227">
        <f>IF(T_EMPLOYEES[[#This Row],[EMPLOYEE NUMBER]]="","",MATCH(T_EMPLOYEES[[#This Row],[MANAGER]],L_EMPLABELS,0))</f>
        <v/>
      </c>
      <c r="AO227">
        <f>IF(T_EMPLOYEES[[#This Row],[EMPLOYEE NUMBER]]="","",IF(T_EMPLOYEES[[#This Row],[ERROR]]="",0,1))</f>
        <v/>
      </c>
      <c r="AP22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28">
      <c r="A228" t="inlineStr">
        <is>
          <t>Sreekanth</t>
        </is>
      </c>
      <c r="B228" t="inlineStr">
        <is>
          <t xml:space="preserve"> Venigalla</t>
        </is>
      </c>
      <c r="C228" t="n">
        <v>1033644</v>
      </c>
      <c r="D228" t="inlineStr">
        <is>
          <t>Sreekanth.Venigalla@infinite.com</t>
        </is>
      </c>
      <c r="E228" s="26" t="n">
        <v>33800</v>
      </c>
      <c r="F228" s="26" t="n">
        <v>45203</v>
      </c>
      <c r="H228" t="inlineStr">
        <is>
          <t>Male</t>
        </is>
      </c>
      <c r="I228" t="inlineStr">
        <is>
          <t>Asian</t>
        </is>
      </c>
      <c r="J228" t="inlineStr">
        <is>
          <t>WEBSITE</t>
        </is>
      </c>
      <c r="K228" t="inlineStr">
        <is>
          <t>Chennai</t>
        </is>
      </c>
      <c r="L228" s="27" t="inlineStr">
        <is>
          <t>IT</t>
        </is>
      </c>
      <c r="M228" t="inlineStr">
        <is>
          <t>Full-Time</t>
        </is>
      </c>
      <c r="N228" t="inlineStr">
        <is>
          <t>Senior Technical Lead</t>
        </is>
      </c>
      <c r="O228" t="inlineStr">
        <is>
          <t>E5</t>
        </is>
      </c>
      <c r="P228" t="inlineStr">
        <is>
          <t>Senior Technical Lead</t>
        </is>
      </c>
      <c r="Q228" t="inlineStr">
        <is>
          <t>Avdhut Sunil Kavdikar (1032836)</t>
        </is>
      </c>
      <c r="R228" s="27" t="n">
        <v>7</v>
      </c>
      <c r="S228" s="1" t="n">
        <v>250000</v>
      </c>
      <c r="T228" s="1">
        <f>ROUND(T_EMPLOYEES[[#This Row],[EMP_CTC1]]/12, 0)</f>
        <v/>
      </c>
      <c r="U228" s="1" t="n">
        <v>150000</v>
      </c>
      <c r="V228" s="1" t="inlineStr">
        <is>
          <t>NH</t>
        </is>
      </c>
      <c r="W228" s="1" t="inlineStr">
        <is>
          <t>NH</t>
        </is>
      </c>
      <c r="X22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8" t="n">
        <v>100000</v>
      </c>
      <c r="Z228" s="29">
        <f>(S228 - U228)/S228 * 100</f>
        <v/>
      </c>
      <c r="AA228">
        <f>IF(T_EMPLOYEES[[#This Row],[EMPLOYEE NUMBER]]="","",ROW(T_EMPLOYEES[[#This Row],[EMPLOYEE LABEL]])-ROW(T_EMPLOYEES[[#Headers],[EMPLOYEE LABEL]]))</f>
        <v/>
      </c>
      <c r="AB228">
        <f>IF(T_EMPLOYEES[[#This Row],[EMPLOYEE NUMBER]]="","",IF(COUNTIF(T_EMPLOYEES[EMPLOYEE NUMBER],T_EMPLOYEES[[#This Row],[EMPLOYEE NUMBER]])&gt;1,1,0))</f>
        <v/>
      </c>
      <c r="AC228">
        <f>IF(T_EMPLOYEES[[#This Row],[EMPLOYEE NUMBER]]="","",IF(AND(T_EMPLOYEES[[#This Row],[DATE OF BIRTH]]&gt;0,T_EMPLOYEES[[#This Row],[DATE OF BIRTH]]&lt;TODAY()),0,1))</f>
        <v/>
      </c>
      <c r="AD228">
        <f>IF(T_EMPLOYEES[[#This Row],[EMPLOYEE NUMBER]]="","",IF(AND(T_EMPLOYEES[[#This Row],[START DATE]]&gt;0,T_EMPLOYEES[[#This Row],[START DATE]]&lt;TODAY()+60),0,1))</f>
        <v/>
      </c>
      <c r="AE228">
        <f>IF(T_EMPLOYEES[[#This Row],[EMPLOYEE NUMBER]]="","",MATCH(T_EMPLOYEES[[#This Row],[GENDER]],L_GENDER,0))</f>
        <v/>
      </c>
      <c r="AF228">
        <f>IF(T_EMPLOYEES[[#This Row],[EMPLOYEE NUMBER]]="","",MATCH(T_EMPLOYEES[[#This Row],[HIRE SOURCE]],L_HIRESOURCE,0))</f>
        <v/>
      </c>
      <c r="AG228">
        <f>IF(T_EMPLOYEES[[#This Row],[EMPLOYEE NUMBER]]="","",MATCH(T_EMPLOYEES[[#This Row],[ETHNICITY]],L_ETHNICITY,0))</f>
        <v/>
      </c>
      <c r="AH228">
        <f>IF(T_EMPLOYEES[[#This Row],[EMPLOYEE NUMBER]]="","",MATCH(T_EMPLOYEES[[#This Row],[LOCATION]],L_LOCATION,0))</f>
        <v/>
      </c>
      <c r="AI228">
        <f>IF(T_EMPLOYEES[[#This Row],[EMPLOYEE NUMBER]]="","",MATCH(T_EMPLOYEES[[#This Row],[DEPARTMENT]],L_DEPARTMENT,0))</f>
        <v/>
      </c>
      <c r="AJ228">
        <f>IF(T_EMPLOYEES[[#This Row],[EMPLOYEE NUMBER]]="","",MATCH(T_EMPLOYEES[[#This Row],[JOB TYPE]],L_JOBTYPE,0))</f>
        <v/>
      </c>
      <c r="AK228">
        <f>IF(T_EMPLOYEES[[#This Row],[EMPLOYEE NUMBER]]="","",MATCH(T_EMPLOYEES[[#This Row],[JOB CATEGORY]],L_JOBCATEGORY,0))</f>
        <v/>
      </c>
      <c r="AL228">
        <f>IF(T_EMPLOYEES[[#This Row],[EMPLOYEE NUMBER]]="","",MATCH(T_EMPLOYEES[[#This Row],[JOB LEVEL]],L_JOBLEVEL,0))</f>
        <v/>
      </c>
      <c r="AM228">
        <f>IF(T_EMPLOYEES[[#This Row],[EMPLOYEE NUMBER]]="","",MATCH(T_EMPLOYEES[[#This Row],[JOB TITLE]],L_JOBTITLE,0))</f>
        <v/>
      </c>
      <c r="AN228">
        <f>IF(T_EMPLOYEES[[#This Row],[EMPLOYEE NUMBER]]="","",MATCH(T_EMPLOYEES[[#This Row],[MANAGER]],L_EMPLABELS,0))</f>
        <v/>
      </c>
      <c r="AO228">
        <f>IF(T_EMPLOYEES[[#This Row],[EMPLOYEE NUMBER]]="","",IF(T_EMPLOYEES[[#This Row],[ERROR]]="",0,1))</f>
        <v/>
      </c>
      <c r="AP22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28" t="inlineStr">
        <is>
          <t>Claims Payment</t>
        </is>
      </c>
    </row>
    <row r="229">
      <c r="A229" t="inlineStr">
        <is>
          <t>Banuka</t>
        </is>
      </c>
      <c r="B229" t="inlineStr">
        <is>
          <t xml:space="preserve"> Hari Prasad</t>
        </is>
      </c>
      <c r="C229" t="n">
        <v>1026788</v>
      </c>
      <c r="D229" t="inlineStr">
        <is>
          <t>Hariprasad.Banuka@infinite.com</t>
        </is>
      </c>
      <c r="E229" s="26" t="n">
        <v>33811</v>
      </c>
      <c r="F229" s="26" t="n">
        <v>44473</v>
      </c>
      <c r="H229" t="inlineStr">
        <is>
          <t>Male</t>
        </is>
      </c>
      <c r="I229" t="inlineStr">
        <is>
          <t>Asian</t>
        </is>
      </c>
      <c r="J229" t="inlineStr">
        <is>
          <t>WEBSITE</t>
        </is>
      </c>
      <c r="K229" t="inlineStr">
        <is>
          <t>Bangalore</t>
        </is>
      </c>
      <c r="L229" s="27" t="inlineStr">
        <is>
          <t>IT</t>
        </is>
      </c>
      <c r="M229" t="inlineStr">
        <is>
          <t>Full-Time</t>
        </is>
      </c>
      <c r="N229" t="inlineStr">
        <is>
          <t>Test Lead</t>
        </is>
      </c>
      <c r="O229" t="inlineStr">
        <is>
          <t>E4</t>
        </is>
      </c>
      <c r="P229" t="inlineStr">
        <is>
          <t>Test Lead</t>
        </is>
      </c>
      <c r="Q229" t="inlineStr">
        <is>
          <t>Someshwara Prabhu Nanje Gowda (1021418)</t>
        </is>
      </c>
      <c r="R229" t="n">
        <v>5</v>
      </c>
      <c r="S229" s="1" t="n">
        <v>250000</v>
      </c>
      <c r="T229" s="1">
        <f>ROUND(T_EMPLOYEES[[#This Row],[EMP_CTC1]]/12, 0)</f>
        <v/>
      </c>
      <c r="U229" s="1" t="n">
        <v>150000</v>
      </c>
      <c r="V229" s="1" t="inlineStr">
        <is>
          <t>NH</t>
        </is>
      </c>
      <c r="W229" s="1" t="inlineStr">
        <is>
          <t>NH</t>
        </is>
      </c>
      <c r="X22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29" t="n">
        <v>100000</v>
      </c>
      <c r="Z229" s="29">
        <f>(S229 - U229)/S229 * 100</f>
        <v/>
      </c>
      <c r="AA229">
        <f>IF(T_EMPLOYEES[[#This Row],[EMPLOYEE NUMBER]]="","",ROW(T_EMPLOYEES[[#This Row],[EMPLOYEE LABEL]])-ROW(T_EMPLOYEES[[#Headers],[EMPLOYEE LABEL]]))</f>
        <v/>
      </c>
      <c r="AB229">
        <f>IF(T_EMPLOYEES[[#This Row],[EMPLOYEE NUMBER]]="","",IF(COUNTIF(T_EMPLOYEES[EMPLOYEE NUMBER],T_EMPLOYEES[[#This Row],[EMPLOYEE NUMBER]])&gt;1,1,0))</f>
        <v/>
      </c>
      <c r="AC229">
        <f>IF(T_EMPLOYEES[[#This Row],[EMPLOYEE NUMBER]]="","",IF(AND(T_EMPLOYEES[[#This Row],[DATE OF BIRTH]]&gt;0,T_EMPLOYEES[[#This Row],[DATE OF BIRTH]]&lt;TODAY()),0,1))</f>
        <v/>
      </c>
      <c r="AD229">
        <f>IF(T_EMPLOYEES[[#This Row],[EMPLOYEE NUMBER]]="","",IF(AND(T_EMPLOYEES[[#This Row],[START DATE]]&gt;0,T_EMPLOYEES[[#This Row],[START DATE]]&lt;TODAY()+60),0,1))</f>
        <v/>
      </c>
      <c r="AE229">
        <f>IF(T_EMPLOYEES[[#This Row],[EMPLOYEE NUMBER]]="","",MATCH(T_EMPLOYEES[[#This Row],[GENDER]],L_GENDER,0))</f>
        <v/>
      </c>
      <c r="AF229">
        <f>IF(T_EMPLOYEES[[#This Row],[EMPLOYEE NUMBER]]="","",MATCH(T_EMPLOYEES[[#This Row],[HIRE SOURCE]],L_HIRESOURCE,0))</f>
        <v/>
      </c>
      <c r="AG229">
        <f>IF(T_EMPLOYEES[[#This Row],[EMPLOYEE NUMBER]]="","",MATCH(T_EMPLOYEES[[#This Row],[ETHNICITY]],L_ETHNICITY,0))</f>
        <v/>
      </c>
      <c r="AH229">
        <f>IF(T_EMPLOYEES[[#This Row],[EMPLOYEE NUMBER]]="","",MATCH(T_EMPLOYEES[[#This Row],[LOCATION]],L_LOCATION,0))</f>
        <v/>
      </c>
      <c r="AI229">
        <f>IF(T_EMPLOYEES[[#This Row],[EMPLOYEE NUMBER]]="","",MATCH(T_EMPLOYEES[[#This Row],[DEPARTMENT]],L_DEPARTMENT,0))</f>
        <v/>
      </c>
      <c r="AJ229">
        <f>IF(T_EMPLOYEES[[#This Row],[EMPLOYEE NUMBER]]="","",MATCH(T_EMPLOYEES[[#This Row],[JOB TYPE]],L_JOBTYPE,0))</f>
        <v/>
      </c>
      <c r="AK229">
        <f>IF(T_EMPLOYEES[[#This Row],[EMPLOYEE NUMBER]]="","",MATCH(T_EMPLOYEES[[#This Row],[JOB CATEGORY]],L_JOBCATEGORY,0))</f>
        <v/>
      </c>
      <c r="AL229">
        <f>IF(T_EMPLOYEES[[#This Row],[EMPLOYEE NUMBER]]="","",MATCH(T_EMPLOYEES[[#This Row],[JOB LEVEL]],L_JOBLEVEL,0))</f>
        <v/>
      </c>
      <c r="AM229">
        <f>IF(T_EMPLOYEES[[#This Row],[EMPLOYEE NUMBER]]="","",MATCH(T_EMPLOYEES[[#This Row],[JOB TITLE]],L_JOBTITLE,0))</f>
        <v/>
      </c>
      <c r="AN229">
        <f>IF(T_EMPLOYEES[[#This Row],[EMPLOYEE NUMBER]]="","",MATCH(T_EMPLOYEES[[#This Row],[MANAGER]],L_EMPLABELS,0))</f>
        <v/>
      </c>
      <c r="AO229">
        <f>IF(T_EMPLOYEES[[#This Row],[EMPLOYEE NUMBER]]="","",IF(T_EMPLOYEES[[#This Row],[ERROR]]="",0,1))</f>
        <v/>
      </c>
      <c r="AP22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0">
      <c r="A230" t="inlineStr">
        <is>
          <t>Pinnenty</t>
        </is>
      </c>
      <c r="B230" t="inlineStr">
        <is>
          <t>Shyamsundar</t>
        </is>
      </c>
      <c r="C230" t="n">
        <v>1028014</v>
      </c>
      <c r="D230" t="inlineStr">
        <is>
          <t>Shyamsundar.Pinnenty@infinite.com</t>
        </is>
      </c>
      <c r="E230" s="26" t="n">
        <v>33826</v>
      </c>
      <c r="F230" s="26" t="n">
        <v>44573</v>
      </c>
      <c r="H230" t="inlineStr">
        <is>
          <t>Male</t>
        </is>
      </c>
      <c r="I230" t="inlineStr">
        <is>
          <t>Asian</t>
        </is>
      </c>
      <c r="J230" t="inlineStr">
        <is>
          <t>WEBSITE</t>
        </is>
      </c>
      <c r="K230" t="inlineStr">
        <is>
          <t>Bangalore</t>
        </is>
      </c>
      <c r="L230" s="27" t="inlineStr">
        <is>
          <t>IT</t>
        </is>
      </c>
      <c r="M230" t="inlineStr">
        <is>
          <t>Full-Time</t>
        </is>
      </c>
      <c r="N230" t="inlineStr">
        <is>
          <t>Senior Software Test Engineer</t>
        </is>
      </c>
      <c r="O230" t="inlineStr">
        <is>
          <t>E3</t>
        </is>
      </c>
      <c r="P230" t="inlineStr">
        <is>
          <t>Senior Software Test Engineer</t>
        </is>
      </c>
      <c r="Q230" t="inlineStr">
        <is>
          <t>Banuka  Hari Prasad (1026788)</t>
        </is>
      </c>
      <c r="R230" s="27" t="n">
        <v>4</v>
      </c>
      <c r="S230" s="1" t="n">
        <v>250000</v>
      </c>
      <c r="T230" s="1">
        <f>ROUND(T_EMPLOYEES[[#This Row],[EMP_CTC1]]/12, 0)</f>
        <v/>
      </c>
      <c r="U230" s="1" t="n">
        <v>150000</v>
      </c>
      <c r="V230" s="1" t="inlineStr">
        <is>
          <t>NH</t>
        </is>
      </c>
      <c r="W230" s="1" t="inlineStr">
        <is>
          <t>NH</t>
        </is>
      </c>
      <c r="X23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0" t="n">
        <v>100000</v>
      </c>
      <c r="Z230" s="29">
        <f>(S230 - U230)/S230 * 100</f>
        <v/>
      </c>
      <c r="AA230">
        <f>IF(T_EMPLOYEES[[#This Row],[EMPLOYEE NUMBER]]="","",ROW(T_EMPLOYEES[[#This Row],[EMPLOYEE LABEL]])-ROW(T_EMPLOYEES[[#Headers],[EMPLOYEE LABEL]]))</f>
        <v/>
      </c>
      <c r="AB230">
        <f>IF(T_EMPLOYEES[[#This Row],[EMPLOYEE NUMBER]]="","",IF(COUNTIF(T_EMPLOYEES[EMPLOYEE NUMBER],T_EMPLOYEES[[#This Row],[EMPLOYEE NUMBER]])&gt;1,1,0))</f>
        <v/>
      </c>
      <c r="AC230">
        <f>IF(T_EMPLOYEES[[#This Row],[EMPLOYEE NUMBER]]="","",IF(AND(T_EMPLOYEES[[#This Row],[DATE OF BIRTH]]&gt;0,T_EMPLOYEES[[#This Row],[DATE OF BIRTH]]&lt;TODAY()),0,1))</f>
        <v/>
      </c>
      <c r="AD230">
        <f>IF(T_EMPLOYEES[[#This Row],[EMPLOYEE NUMBER]]="","",IF(AND(T_EMPLOYEES[[#This Row],[START DATE]]&gt;0,T_EMPLOYEES[[#This Row],[START DATE]]&lt;TODAY()+60),0,1))</f>
        <v/>
      </c>
      <c r="AE230">
        <f>IF(T_EMPLOYEES[[#This Row],[EMPLOYEE NUMBER]]="","",MATCH(T_EMPLOYEES[[#This Row],[GENDER]],L_GENDER,0))</f>
        <v/>
      </c>
      <c r="AF230">
        <f>IF(T_EMPLOYEES[[#This Row],[EMPLOYEE NUMBER]]="","",MATCH(T_EMPLOYEES[[#This Row],[HIRE SOURCE]],L_HIRESOURCE,0))</f>
        <v/>
      </c>
      <c r="AG230">
        <f>IF(T_EMPLOYEES[[#This Row],[EMPLOYEE NUMBER]]="","",MATCH(T_EMPLOYEES[[#This Row],[ETHNICITY]],L_ETHNICITY,0))</f>
        <v/>
      </c>
      <c r="AH230">
        <f>IF(T_EMPLOYEES[[#This Row],[EMPLOYEE NUMBER]]="","",MATCH(T_EMPLOYEES[[#This Row],[LOCATION]],L_LOCATION,0))</f>
        <v/>
      </c>
      <c r="AI230">
        <f>IF(T_EMPLOYEES[[#This Row],[EMPLOYEE NUMBER]]="","",MATCH(T_EMPLOYEES[[#This Row],[DEPARTMENT]],L_DEPARTMENT,0))</f>
        <v/>
      </c>
      <c r="AJ230">
        <f>IF(T_EMPLOYEES[[#This Row],[EMPLOYEE NUMBER]]="","",MATCH(T_EMPLOYEES[[#This Row],[JOB TYPE]],L_JOBTYPE,0))</f>
        <v/>
      </c>
      <c r="AK230">
        <f>IF(T_EMPLOYEES[[#This Row],[EMPLOYEE NUMBER]]="","",MATCH(T_EMPLOYEES[[#This Row],[JOB CATEGORY]],L_JOBCATEGORY,0))</f>
        <v/>
      </c>
      <c r="AL230">
        <f>IF(T_EMPLOYEES[[#This Row],[EMPLOYEE NUMBER]]="","",MATCH(T_EMPLOYEES[[#This Row],[JOB LEVEL]],L_JOBLEVEL,0))</f>
        <v/>
      </c>
      <c r="AM230">
        <f>IF(T_EMPLOYEES[[#This Row],[EMPLOYEE NUMBER]]="","",MATCH(T_EMPLOYEES[[#This Row],[JOB TITLE]],L_JOBTITLE,0))</f>
        <v/>
      </c>
      <c r="AN230">
        <f>IF(T_EMPLOYEES[[#This Row],[EMPLOYEE NUMBER]]="","",MATCH(T_EMPLOYEES[[#This Row],[MANAGER]],L_EMPLABELS,0))</f>
        <v/>
      </c>
      <c r="AO230">
        <f>IF(T_EMPLOYEES[[#This Row],[EMPLOYEE NUMBER]]="","",IF(T_EMPLOYEES[[#This Row],[ERROR]]="",0,1))</f>
        <v/>
      </c>
      <c r="AP23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1">
      <c r="A231" t="inlineStr">
        <is>
          <t>Arpit</t>
        </is>
      </c>
      <c r="B231" t="inlineStr">
        <is>
          <t>Mathur</t>
        </is>
      </c>
      <c r="C231" t="n">
        <v>1028685</v>
      </c>
      <c r="D231" t="inlineStr">
        <is>
          <t>Arpit.Mathur@infinite.com</t>
        </is>
      </c>
      <c r="E231" s="26" t="n">
        <v>33828</v>
      </c>
      <c r="F231" s="26" t="n">
        <v>44648</v>
      </c>
      <c r="H231" t="inlineStr">
        <is>
          <t>Male</t>
        </is>
      </c>
      <c r="I231" t="inlineStr">
        <is>
          <t>Asian</t>
        </is>
      </c>
      <c r="J231" t="inlineStr">
        <is>
          <t>WEBSITE</t>
        </is>
      </c>
      <c r="K231" t="inlineStr">
        <is>
          <t>Bangalore</t>
        </is>
      </c>
      <c r="L231" s="27" t="inlineStr">
        <is>
          <t>IT</t>
        </is>
      </c>
      <c r="M231" t="inlineStr">
        <is>
          <t>Full-Time</t>
        </is>
      </c>
      <c r="N231" t="inlineStr">
        <is>
          <t>Lead Business Analyst</t>
        </is>
      </c>
      <c r="O231" t="inlineStr">
        <is>
          <t>E4</t>
        </is>
      </c>
      <c r="P231" t="inlineStr">
        <is>
          <t>Lead Business Analyst</t>
        </is>
      </c>
      <c r="Q231" t="inlineStr">
        <is>
          <t>Siddharth Kumar (1027551)</t>
        </is>
      </c>
      <c r="R231" t="n">
        <v>5</v>
      </c>
      <c r="S231" s="1" t="n">
        <v>250000</v>
      </c>
      <c r="T231" s="1">
        <f>ROUND(T_EMPLOYEES[[#This Row],[EMP_CTC1]]/12, 0)</f>
        <v/>
      </c>
      <c r="U231" s="1" t="n">
        <v>150000</v>
      </c>
      <c r="V231" s="1" t="inlineStr">
        <is>
          <t>NH</t>
        </is>
      </c>
      <c r="W231" s="1" t="inlineStr">
        <is>
          <t>NH</t>
        </is>
      </c>
      <c r="X23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1" t="n">
        <v>100000</v>
      </c>
      <c r="Z231" s="29">
        <f>(S231 - U231)/S231 * 100</f>
        <v/>
      </c>
      <c r="AA231">
        <f>IF(T_EMPLOYEES[[#This Row],[EMPLOYEE NUMBER]]="","",ROW(T_EMPLOYEES[[#This Row],[EMPLOYEE LABEL]])-ROW(T_EMPLOYEES[[#Headers],[EMPLOYEE LABEL]]))</f>
        <v/>
      </c>
      <c r="AB231">
        <f>IF(T_EMPLOYEES[[#This Row],[EMPLOYEE NUMBER]]="","",IF(COUNTIF(T_EMPLOYEES[EMPLOYEE NUMBER],T_EMPLOYEES[[#This Row],[EMPLOYEE NUMBER]])&gt;1,1,0))</f>
        <v/>
      </c>
      <c r="AC231">
        <f>IF(T_EMPLOYEES[[#This Row],[EMPLOYEE NUMBER]]="","",IF(AND(T_EMPLOYEES[[#This Row],[DATE OF BIRTH]]&gt;0,T_EMPLOYEES[[#This Row],[DATE OF BIRTH]]&lt;TODAY()),0,1))</f>
        <v/>
      </c>
      <c r="AD231">
        <f>IF(T_EMPLOYEES[[#This Row],[EMPLOYEE NUMBER]]="","",IF(AND(T_EMPLOYEES[[#This Row],[START DATE]]&gt;0,T_EMPLOYEES[[#This Row],[START DATE]]&lt;TODAY()+60),0,1))</f>
        <v/>
      </c>
      <c r="AE231">
        <f>IF(T_EMPLOYEES[[#This Row],[EMPLOYEE NUMBER]]="","",MATCH(T_EMPLOYEES[[#This Row],[GENDER]],L_GENDER,0))</f>
        <v/>
      </c>
      <c r="AF231">
        <f>IF(T_EMPLOYEES[[#This Row],[EMPLOYEE NUMBER]]="","",MATCH(T_EMPLOYEES[[#This Row],[HIRE SOURCE]],L_HIRESOURCE,0))</f>
        <v/>
      </c>
      <c r="AG231">
        <f>IF(T_EMPLOYEES[[#This Row],[EMPLOYEE NUMBER]]="","",MATCH(T_EMPLOYEES[[#This Row],[ETHNICITY]],L_ETHNICITY,0))</f>
        <v/>
      </c>
      <c r="AH231">
        <f>IF(T_EMPLOYEES[[#This Row],[EMPLOYEE NUMBER]]="","",MATCH(T_EMPLOYEES[[#This Row],[LOCATION]],L_LOCATION,0))</f>
        <v/>
      </c>
      <c r="AI231">
        <f>IF(T_EMPLOYEES[[#This Row],[EMPLOYEE NUMBER]]="","",MATCH(T_EMPLOYEES[[#This Row],[DEPARTMENT]],L_DEPARTMENT,0))</f>
        <v/>
      </c>
      <c r="AJ231">
        <f>IF(T_EMPLOYEES[[#This Row],[EMPLOYEE NUMBER]]="","",MATCH(T_EMPLOYEES[[#This Row],[JOB TYPE]],L_JOBTYPE,0))</f>
        <v/>
      </c>
      <c r="AK231">
        <f>IF(T_EMPLOYEES[[#This Row],[EMPLOYEE NUMBER]]="","",MATCH(T_EMPLOYEES[[#This Row],[JOB CATEGORY]],L_JOBCATEGORY,0))</f>
        <v/>
      </c>
      <c r="AL231">
        <f>IF(T_EMPLOYEES[[#This Row],[EMPLOYEE NUMBER]]="","",MATCH(T_EMPLOYEES[[#This Row],[JOB LEVEL]],L_JOBLEVEL,0))</f>
        <v/>
      </c>
      <c r="AM231">
        <f>IF(T_EMPLOYEES[[#This Row],[EMPLOYEE NUMBER]]="","",MATCH(T_EMPLOYEES[[#This Row],[JOB TITLE]],L_JOBTITLE,0))</f>
        <v/>
      </c>
      <c r="AN231">
        <f>IF(T_EMPLOYEES[[#This Row],[EMPLOYEE NUMBER]]="","",MATCH(T_EMPLOYEES[[#This Row],[MANAGER]],L_EMPLABELS,0))</f>
        <v/>
      </c>
      <c r="AO231">
        <f>IF(T_EMPLOYEES[[#This Row],[EMPLOYEE NUMBER]]="","",IF(T_EMPLOYEES[[#This Row],[ERROR]]="",0,1))</f>
        <v/>
      </c>
      <c r="AP23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2">
      <c r="A232" t="inlineStr">
        <is>
          <t>Sarikonda</t>
        </is>
      </c>
      <c r="B232" t="inlineStr">
        <is>
          <t>Chandra Sekhar Raju</t>
        </is>
      </c>
      <c r="C232" t="n">
        <v>1026535</v>
      </c>
      <c r="D232" t="inlineStr">
        <is>
          <t>Chandra.Sekhar@infinite.com</t>
        </is>
      </c>
      <c r="E232" s="26" t="n">
        <v>33889</v>
      </c>
      <c r="F232" s="26" t="n">
        <v>44463</v>
      </c>
      <c r="H232" t="inlineStr">
        <is>
          <t>Male</t>
        </is>
      </c>
      <c r="I232" t="inlineStr">
        <is>
          <t>Asian</t>
        </is>
      </c>
      <c r="J232" t="inlineStr">
        <is>
          <t>WEBSITE</t>
        </is>
      </c>
      <c r="K232" t="inlineStr">
        <is>
          <t>Hyderabad</t>
        </is>
      </c>
      <c r="L232" s="27" t="inlineStr">
        <is>
          <t>IT</t>
        </is>
      </c>
      <c r="M232" t="inlineStr">
        <is>
          <t>Full-Time</t>
        </is>
      </c>
      <c r="N232" t="inlineStr">
        <is>
          <t>Senior Software Test Engineer</t>
        </is>
      </c>
      <c r="O232" t="inlineStr">
        <is>
          <t>E3</t>
        </is>
      </c>
      <c r="P232" t="inlineStr">
        <is>
          <t>Senior Software Test Engineer</t>
        </is>
      </c>
      <c r="Q232" t="inlineStr">
        <is>
          <t>Someshwara Prabhu Nanje Gowda (1021418)</t>
        </is>
      </c>
      <c r="R232" s="27" t="n">
        <v>4</v>
      </c>
      <c r="S232" s="1" t="n">
        <v>250000</v>
      </c>
      <c r="T232" s="1">
        <f>ROUND(T_EMPLOYEES[[#This Row],[EMP_CTC1]]/12, 0)</f>
        <v/>
      </c>
      <c r="U232" s="1" t="n">
        <v>150000</v>
      </c>
      <c r="V232" s="1" t="inlineStr">
        <is>
          <t>NH</t>
        </is>
      </c>
      <c r="W232" s="1" t="inlineStr">
        <is>
          <t>NH</t>
        </is>
      </c>
      <c r="X23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2" t="n">
        <v>100000</v>
      </c>
      <c r="Z232" s="29">
        <f>(S232 - U232)/S232 * 100</f>
        <v/>
      </c>
      <c r="AA232">
        <f>IF(T_EMPLOYEES[[#This Row],[EMPLOYEE NUMBER]]="","",ROW(T_EMPLOYEES[[#This Row],[EMPLOYEE LABEL]])-ROW(T_EMPLOYEES[[#Headers],[EMPLOYEE LABEL]]))</f>
        <v/>
      </c>
      <c r="AB232">
        <f>IF(T_EMPLOYEES[[#This Row],[EMPLOYEE NUMBER]]="","",IF(COUNTIF(T_EMPLOYEES[EMPLOYEE NUMBER],T_EMPLOYEES[[#This Row],[EMPLOYEE NUMBER]])&gt;1,1,0))</f>
        <v/>
      </c>
      <c r="AC232">
        <f>IF(T_EMPLOYEES[[#This Row],[EMPLOYEE NUMBER]]="","",IF(AND(T_EMPLOYEES[[#This Row],[DATE OF BIRTH]]&gt;0,T_EMPLOYEES[[#This Row],[DATE OF BIRTH]]&lt;TODAY()),0,1))</f>
        <v/>
      </c>
      <c r="AD232">
        <f>IF(T_EMPLOYEES[[#This Row],[EMPLOYEE NUMBER]]="","",IF(AND(T_EMPLOYEES[[#This Row],[START DATE]]&gt;0,T_EMPLOYEES[[#This Row],[START DATE]]&lt;TODAY()+60),0,1))</f>
        <v/>
      </c>
      <c r="AE232">
        <f>IF(T_EMPLOYEES[[#This Row],[EMPLOYEE NUMBER]]="","",MATCH(T_EMPLOYEES[[#This Row],[GENDER]],L_GENDER,0))</f>
        <v/>
      </c>
      <c r="AF232">
        <f>IF(T_EMPLOYEES[[#This Row],[EMPLOYEE NUMBER]]="","",MATCH(T_EMPLOYEES[[#This Row],[HIRE SOURCE]],L_HIRESOURCE,0))</f>
        <v/>
      </c>
      <c r="AG232">
        <f>IF(T_EMPLOYEES[[#This Row],[EMPLOYEE NUMBER]]="","",MATCH(T_EMPLOYEES[[#This Row],[ETHNICITY]],L_ETHNICITY,0))</f>
        <v/>
      </c>
      <c r="AH232">
        <f>IF(T_EMPLOYEES[[#This Row],[EMPLOYEE NUMBER]]="","",MATCH(T_EMPLOYEES[[#This Row],[LOCATION]],L_LOCATION,0))</f>
        <v/>
      </c>
      <c r="AI232">
        <f>IF(T_EMPLOYEES[[#This Row],[EMPLOYEE NUMBER]]="","",MATCH(T_EMPLOYEES[[#This Row],[DEPARTMENT]],L_DEPARTMENT,0))</f>
        <v/>
      </c>
      <c r="AJ232">
        <f>IF(T_EMPLOYEES[[#This Row],[EMPLOYEE NUMBER]]="","",MATCH(T_EMPLOYEES[[#This Row],[JOB TYPE]],L_JOBTYPE,0))</f>
        <v/>
      </c>
      <c r="AK232">
        <f>IF(T_EMPLOYEES[[#This Row],[EMPLOYEE NUMBER]]="","",MATCH(T_EMPLOYEES[[#This Row],[JOB CATEGORY]],L_JOBCATEGORY,0))</f>
        <v/>
      </c>
      <c r="AL232">
        <f>IF(T_EMPLOYEES[[#This Row],[EMPLOYEE NUMBER]]="","",MATCH(T_EMPLOYEES[[#This Row],[JOB LEVEL]],L_JOBLEVEL,0))</f>
        <v/>
      </c>
      <c r="AM232">
        <f>IF(T_EMPLOYEES[[#This Row],[EMPLOYEE NUMBER]]="","",MATCH(T_EMPLOYEES[[#This Row],[JOB TITLE]],L_JOBTITLE,0))</f>
        <v/>
      </c>
      <c r="AN232">
        <f>IF(T_EMPLOYEES[[#This Row],[EMPLOYEE NUMBER]]="","",MATCH(T_EMPLOYEES[[#This Row],[MANAGER]],L_EMPLABELS,0))</f>
        <v/>
      </c>
      <c r="AO232">
        <f>IF(T_EMPLOYEES[[#This Row],[EMPLOYEE NUMBER]]="","",IF(T_EMPLOYEES[[#This Row],[ERROR]]="",0,1))</f>
        <v/>
      </c>
      <c r="AP23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3">
      <c r="A233" t="inlineStr">
        <is>
          <t>S</t>
        </is>
      </c>
      <c r="B233" t="inlineStr">
        <is>
          <t xml:space="preserve"> Santhanapriyalakshmi</t>
        </is>
      </c>
      <c r="C233" t="n">
        <v>1033722</v>
      </c>
      <c r="D233" t="inlineStr">
        <is>
          <t>Santhanapriyalakshmi.Selvaraj@infinite.com</t>
        </is>
      </c>
      <c r="E233" s="26" t="n">
        <v>33928</v>
      </c>
      <c r="F233" s="26" t="n">
        <v>45212</v>
      </c>
      <c r="H233" t="inlineStr">
        <is>
          <t>Female</t>
        </is>
      </c>
      <c r="I233" t="inlineStr">
        <is>
          <t>Asian</t>
        </is>
      </c>
      <c r="J233" t="inlineStr">
        <is>
          <t>WEBSITE</t>
        </is>
      </c>
      <c r="K233" t="inlineStr">
        <is>
          <t>Hyderabad</t>
        </is>
      </c>
      <c r="L233" s="27" t="inlineStr">
        <is>
          <t>IT</t>
        </is>
      </c>
      <c r="M233" t="inlineStr">
        <is>
          <t>Full-Time</t>
        </is>
      </c>
      <c r="N233" t="inlineStr">
        <is>
          <t>Senior Software Engineer</t>
        </is>
      </c>
      <c r="O233" t="inlineStr">
        <is>
          <t>E3</t>
        </is>
      </c>
      <c r="P233" t="inlineStr">
        <is>
          <t>Senior Software Engineer</t>
        </is>
      </c>
      <c r="Q233" t="inlineStr">
        <is>
          <t>Sudhakar  Channegowda (1031110)</t>
        </is>
      </c>
      <c r="R233" t="n">
        <v>4</v>
      </c>
      <c r="S233" s="1" t="n">
        <v>250000</v>
      </c>
      <c r="T233" s="1">
        <f>ROUND(T_EMPLOYEES[[#This Row],[EMP_CTC1]]/12, 0)</f>
        <v/>
      </c>
      <c r="U233" s="1" t="n">
        <v>150000</v>
      </c>
      <c r="V233" s="1" t="inlineStr">
        <is>
          <t>NH</t>
        </is>
      </c>
      <c r="W233" s="1" t="inlineStr">
        <is>
          <t>NH</t>
        </is>
      </c>
      <c r="X23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3" t="n">
        <v>100000</v>
      </c>
      <c r="Z233" s="29">
        <f>(S233 - U233)/S233 * 100</f>
        <v/>
      </c>
      <c r="AA233">
        <f>IF(T_EMPLOYEES[[#This Row],[EMPLOYEE NUMBER]]="","",ROW(T_EMPLOYEES[[#This Row],[EMPLOYEE LABEL]])-ROW(T_EMPLOYEES[[#Headers],[EMPLOYEE LABEL]]))</f>
        <v/>
      </c>
      <c r="AB233">
        <f>IF(T_EMPLOYEES[[#This Row],[EMPLOYEE NUMBER]]="","",IF(COUNTIF(T_EMPLOYEES[EMPLOYEE NUMBER],T_EMPLOYEES[[#This Row],[EMPLOYEE NUMBER]])&gt;1,1,0))</f>
        <v/>
      </c>
      <c r="AC233">
        <f>IF(T_EMPLOYEES[[#This Row],[EMPLOYEE NUMBER]]="","",IF(AND(T_EMPLOYEES[[#This Row],[DATE OF BIRTH]]&gt;0,T_EMPLOYEES[[#This Row],[DATE OF BIRTH]]&lt;TODAY()),0,1))</f>
        <v/>
      </c>
      <c r="AD233">
        <f>IF(T_EMPLOYEES[[#This Row],[EMPLOYEE NUMBER]]="","",IF(AND(T_EMPLOYEES[[#This Row],[START DATE]]&gt;0,T_EMPLOYEES[[#This Row],[START DATE]]&lt;TODAY()+60),0,1))</f>
        <v/>
      </c>
      <c r="AE233">
        <f>IF(T_EMPLOYEES[[#This Row],[EMPLOYEE NUMBER]]="","",MATCH(T_EMPLOYEES[[#This Row],[GENDER]],L_GENDER,0))</f>
        <v/>
      </c>
      <c r="AF233">
        <f>IF(T_EMPLOYEES[[#This Row],[EMPLOYEE NUMBER]]="","",MATCH(T_EMPLOYEES[[#This Row],[HIRE SOURCE]],L_HIRESOURCE,0))</f>
        <v/>
      </c>
      <c r="AG233">
        <f>IF(T_EMPLOYEES[[#This Row],[EMPLOYEE NUMBER]]="","",MATCH(T_EMPLOYEES[[#This Row],[ETHNICITY]],L_ETHNICITY,0))</f>
        <v/>
      </c>
      <c r="AH233">
        <f>IF(T_EMPLOYEES[[#This Row],[EMPLOYEE NUMBER]]="","",MATCH(T_EMPLOYEES[[#This Row],[LOCATION]],L_LOCATION,0))</f>
        <v/>
      </c>
      <c r="AI233">
        <f>IF(T_EMPLOYEES[[#This Row],[EMPLOYEE NUMBER]]="","",MATCH(T_EMPLOYEES[[#This Row],[DEPARTMENT]],L_DEPARTMENT,0))</f>
        <v/>
      </c>
      <c r="AJ233">
        <f>IF(T_EMPLOYEES[[#This Row],[EMPLOYEE NUMBER]]="","",MATCH(T_EMPLOYEES[[#This Row],[JOB TYPE]],L_JOBTYPE,0))</f>
        <v/>
      </c>
      <c r="AK233">
        <f>IF(T_EMPLOYEES[[#This Row],[EMPLOYEE NUMBER]]="","",MATCH(T_EMPLOYEES[[#This Row],[JOB CATEGORY]],L_JOBCATEGORY,0))</f>
        <v/>
      </c>
      <c r="AL233">
        <f>IF(T_EMPLOYEES[[#This Row],[EMPLOYEE NUMBER]]="","",MATCH(T_EMPLOYEES[[#This Row],[JOB LEVEL]],L_JOBLEVEL,0))</f>
        <v/>
      </c>
      <c r="AM233">
        <f>IF(T_EMPLOYEES[[#This Row],[EMPLOYEE NUMBER]]="","",MATCH(T_EMPLOYEES[[#This Row],[JOB TITLE]],L_JOBTITLE,0))</f>
        <v/>
      </c>
      <c r="AN233">
        <f>IF(T_EMPLOYEES[[#This Row],[EMPLOYEE NUMBER]]="","",MATCH(T_EMPLOYEES[[#This Row],[MANAGER]],L_EMPLABELS,0))</f>
        <v/>
      </c>
      <c r="AO233">
        <f>IF(T_EMPLOYEES[[#This Row],[EMPLOYEE NUMBER]]="","",IF(T_EMPLOYEES[[#This Row],[ERROR]]="",0,1))</f>
        <v/>
      </c>
      <c r="AP23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33" t="inlineStr">
        <is>
          <t>Contact Management</t>
        </is>
      </c>
    </row>
    <row r="234">
      <c r="A234" t="inlineStr">
        <is>
          <t>Guduru</t>
        </is>
      </c>
      <c r="B234" t="inlineStr">
        <is>
          <t>Suneel Kumar</t>
        </is>
      </c>
      <c r="C234" t="n">
        <v>1029743</v>
      </c>
      <c r="D234" t="inlineStr">
        <is>
          <t>Suneel.Kumar@infinite.com</t>
        </is>
      </c>
      <c r="E234" s="26" t="n">
        <v>33961</v>
      </c>
      <c r="F234" s="26" t="n">
        <v>44777</v>
      </c>
      <c r="H234" t="inlineStr">
        <is>
          <t>Male</t>
        </is>
      </c>
      <c r="I234" t="inlineStr">
        <is>
          <t>Asian</t>
        </is>
      </c>
      <c r="J234" t="inlineStr">
        <is>
          <t>WEBSITE</t>
        </is>
      </c>
      <c r="K234" t="inlineStr">
        <is>
          <t>Bangalore</t>
        </is>
      </c>
      <c r="L234" s="27" t="inlineStr">
        <is>
          <t>IT</t>
        </is>
      </c>
      <c r="M234" t="inlineStr">
        <is>
          <t>Full-Time</t>
        </is>
      </c>
      <c r="N234" t="inlineStr">
        <is>
          <t>Software Test Engineer</t>
        </is>
      </c>
      <c r="O234" t="inlineStr">
        <is>
          <t>E2</t>
        </is>
      </c>
      <c r="P234" t="inlineStr">
        <is>
          <t>Software Test Engineer</t>
        </is>
      </c>
      <c r="Q234" t="inlineStr">
        <is>
          <t>Santhosh B K (1025129)</t>
        </is>
      </c>
      <c r="R234" s="27" t="n">
        <v>4</v>
      </c>
      <c r="S234" s="1" t="n">
        <v>250000</v>
      </c>
      <c r="T234" s="1">
        <f>ROUND(T_EMPLOYEES[[#This Row],[EMP_CTC1]]/12, 0)</f>
        <v/>
      </c>
      <c r="U234" s="1" t="n">
        <v>150000</v>
      </c>
      <c r="V234" s="1" t="inlineStr">
        <is>
          <t>NH</t>
        </is>
      </c>
      <c r="W234" s="1" t="inlineStr">
        <is>
          <t>NH</t>
        </is>
      </c>
      <c r="X23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4" t="n">
        <v>100000</v>
      </c>
      <c r="Z234" s="29">
        <f>(S234 - U234)/S234 * 100</f>
        <v/>
      </c>
      <c r="AA234">
        <f>IF(T_EMPLOYEES[[#This Row],[EMPLOYEE NUMBER]]="","",ROW(T_EMPLOYEES[[#This Row],[EMPLOYEE LABEL]])-ROW(T_EMPLOYEES[[#Headers],[EMPLOYEE LABEL]]))</f>
        <v/>
      </c>
      <c r="AB234">
        <f>IF(T_EMPLOYEES[[#This Row],[EMPLOYEE NUMBER]]="","",IF(COUNTIF(T_EMPLOYEES[EMPLOYEE NUMBER],T_EMPLOYEES[[#This Row],[EMPLOYEE NUMBER]])&gt;1,1,0))</f>
        <v/>
      </c>
      <c r="AC234">
        <f>IF(T_EMPLOYEES[[#This Row],[EMPLOYEE NUMBER]]="","",IF(AND(T_EMPLOYEES[[#This Row],[DATE OF BIRTH]]&gt;0,T_EMPLOYEES[[#This Row],[DATE OF BIRTH]]&lt;TODAY()),0,1))</f>
        <v/>
      </c>
      <c r="AD234">
        <f>IF(T_EMPLOYEES[[#This Row],[EMPLOYEE NUMBER]]="","",IF(AND(T_EMPLOYEES[[#This Row],[START DATE]]&gt;0,T_EMPLOYEES[[#This Row],[START DATE]]&lt;TODAY()+60),0,1))</f>
        <v/>
      </c>
      <c r="AE234">
        <f>IF(T_EMPLOYEES[[#This Row],[EMPLOYEE NUMBER]]="","",MATCH(T_EMPLOYEES[[#This Row],[GENDER]],L_GENDER,0))</f>
        <v/>
      </c>
      <c r="AF234">
        <f>IF(T_EMPLOYEES[[#This Row],[EMPLOYEE NUMBER]]="","",MATCH(T_EMPLOYEES[[#This Row],[HIRE SOURCE]],L_HIRESOURCE,0))</f>
        <v/>
      </c>
      <c r="AG234">
        <f>IF(T_EMPLOYEES[[#This Row],[EMPLOYEE NUMBER]]="","",MATCH(T_EMPLOYEES[[#This Row],[ETHNICITY]],L_ETHNICITY,0))</f>
        <v/>
      </c>
      <c r="AH234">
        <f>IF(T_EMPLOYEES[[#This Row],[EMPLOYEE NUMBER]]="","",MATCH(T_EMPLOYEES[[#This Row],[LOCATION]],L_LOCATION,0))</f>
        <v/>
      </c>
      <c r="AI234">
        <f>IF(T_EMPLOYEES[[#This Row],[EMPLOYEE NUMBER]]="","",MATCH(T_EMPLOYEES[[#This Row],[DEPARTMENT]],L_DEPARTMENT,0))</f>
        <v/>
      </c>
      <c r="AJ234">
        <f>IF(T_EMPLOYEES[[#This Row],[EMPLOYEE NUMBER]]="","",MATCH(T_EMPLOYEES[[#This Row],[JOB TYPE]],L_JOBTYPE,0))</f>
        <v/>
      </c>
      <c r="AK234">
        <f>IF(T_EMPLOYEES[[#This Row],[EMPLOYEE NUMBER]]="","",MATCH(T_EMPLOYEES[[#This Row],[JOB CATEGORY]],L_JOBCATEGORY,0))</f>
        <v/>
      </c>
      <c r="AL234">
        <f>IF(T_EMPLOYEES[[#This Row],[EMPLOYEE NUMBER]]="","",MATCH(T_EMPLOYEES[[#This Row],[JOB LEVEL]],L_JOBLEVEL,0))</f>
        <v/>
      </c>
      <c r="AM234">
        <f>IF(T_EMPLOYEES[[#This Row],[EMPLOYEE NUMBER]]="","",MATCH(T_EMPLOYEES[[#This Row],[JOB TITLE]],L_JOBTITLE,0))</f>
        <v/>
      </c>
      <c r="AN234">
        <f>IF(T_EMPLOYEES[[#This Row],[EMPLOYEE NUMBER]]="","",MATCH(T_EMPLOYEES[[#This Row],[MANAGER]],L_EMPLABELS,0))</f>
        <v/>
      </c>
      <c r="AO234">
        <f>IF(T_EMPLOYEES[[#This Row],[EMPLOYEE NUMBER]]="","",IF(T_EMPLOYEES[[#This Row],[ERROR]]="",0,1))</f>
        <v/>
      </c>
      <c r="AP23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5">
      <c r="A235" t="inlineStr">
        <is>
          <t>Neha</t>
        </is>
      </c>
      <c r="B235" t="inlineStr">
        <is>
          <t xml:space="preserve"> Rajput</t>
        </is>
      </c>
      <c r="C235" t="n">
        <v>1020112</v>
      </c>
      <c r="D235" t="inlineStr">
        <is>
          <t>Neha.Rajput@infinite.com</t>
        </is>
      </c>
      <c r="E235" s="26" t="n">
        <v>33989</v>
      </c>
      <c r="F235" s="26" t="n">
        <v>43102</v>
      </c>
      <c r="H235" t="inlineStr">
        <is>
          <t>Female</t>
        </is>
      </c>
      <c r="I235" t="inlineStr">
        <is>
          <t>Asian</t>
        </is>
      </c>
      <c r="J235" t="inlineStr">
        <is>
          <t>WEBSITE</t>
        </is>
      </c>
      <c r="K235" t="inlineStr">
        <is>
          <t>Bangalore</t>
        </is>
      </c>
      <c r="L235" s="27" t="inlineStr">
        <is>
          <t>IT</t>
        </is>
      </c>
      <c r="M235" t="inlineStr">
        <is>
          <t>Full-Time</t>
        </is>
      </c>
      <c r="N235" t="inlineStr">
        <is>
          <t>Project Lead</t>
        </is>
      </c>
      <c r="O235" t="inlineStr">
        <is>
          <t>E4</t>
        </is>
      </c>
      <c r="P235" t="inlineStr">
        <is>
          <t>Project Lead</t>
        </is>
      </c>
      <c r="Q235" t="inlineStr">
        <is>
          <t>Nagarajan K (1019672)</t>
        </is>
      </c>
      <c r="R235" t="n">
        <v>5</v>
      </c>
      <c r="S235" s="1" t="n">
        <v>250000</v>
      </c>
      <c r="T235" s="1">
        <f>ROUND(T_EMPLOYEES[[#This Row],[EMP_CTC1]]/12, 0)</f>
        <v/>
      </c>
      <c r="U235" s="1" t="n">
        <v>150000</v>
      </c>
      <c r="V235" s="1" t="inlineStr">
        <is>
          <t>NH</t>
        </is>
      </c>
      <c r="W235" s="1" t="inlineStr">
        <is>
          <t>NH</t>
        </is>
      </c>
      <c r="X23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5" t="n">
        <v>100000</v>
      </c>
      <c r="Z235" s="29">
        <f>(S235 - U235)/S235 * 100</f>
        <v/>
      </c>
      <c r="AA235">
        <f>IF(T_EMPLOYEES[[#This Row],[EMPLOYEE NUMBER]]="","",ROW(T_EMPLOYEES[[#This Row],[EMPLOYEE LABEL]])-ROW(T_EMPLOYEES[[#Headers],[EMPLOYEE LABEL]]))</f>
        <v/>
      </c>
      <c r="AB235">
        <f>IF(T_EMPLOYEES[[#This Row],[EMPLOYEE NUMBER]]="","",IF(COUNTIF(T_EMPLOYEES[EMPLOYEE NUMBER],T_EMPLOYEES[[#This Row],[EMPLOYEE NUMBER]])&gt;1,1,0))</f>
        <v/>
      </c>
      <c r="AC235">
        <f>IF(T_EMPLOYEES[[#This Row],[EMPLOYEE NUMBER]]="","",IF(AND(T_EMPLOYEES[[#This Row],[DATE OF BIRTH]]&gt;0,T_EMPLOYEES[[#This Row],[DATE OF BIRTH]]&lt;TODAY()),0,1))</f>
        <v/>
      </c>
      <c r="AD235">
        <f>IF(T_EMPLOYEES[[#This Row],[EMPLOYEE NUMBER]]="","",IF(AND(T_EMPLOYEES[[#This Row],[START DATE]]&gt;0,T_EMPLOYEES[[#This Row],[START DATE]]&lt;TODAY()+60),0,1))</f>
        <v/>
      </c>
      <c r="AE235">
        <f>IF(T_EMPLOYEES[[#This Row],[EMPLOYEE NUMBER]]="","",MATCH(T_EMPLOYEES[[#This Row],[GENDER]],L_GENDER,0))</f>
        <v/>
      </c>
      <c r="AF235">
        <f>IF(T_EMPLOYEES[[#This Row],[EMPLOYEE NUMBER]]="","",MATCH(T_EMPLOYEES[[#This Row],[HIRE SOURCE]],L_HIRESOURCE,0))</f>
        <v/>
      </c>
      <c r="AG235">
        <f>IF(T_EMPLOYEES[[#This Row],[EMPLOYEE NUMBER]]="","",MATCH(T_EMPLOYEES[[#This Row],[ETHNICITY]],L_ETHNICITY,0))</f>
        <v/>
      </c>
      <c r="AH235">
        <f>IF(T_EMPLOYEES[[#This Row],[EMPLOYEE NUMBER]]="","",MATCH(T_EMPLOYEES[[#This Row],[LOCATION]],L_LOCATION,0))</f>
        <v/>
      </c>
      <c r="AI235">
        <f>IF(T_EMPLOYEES[[#This Row],[EMPLOYEE NUMBER]]="","",MATCH(T_EMPLOYEES[[#This Row],[DEPARTMENT]],L_DEPARTMENT,0))</f>
        <v/>
      </c>
      <c r="AJ235">
        <f>IF(T_EMPLOYEES[[#This Row],[EMPLOYEE NUMBER]]="","",MATCH(T_EMPLOYEES[[#This Row],[JOB TYPE]],L_JOBTYPE,0))</f>
        <v/>
      </c>
      <c r="AK235">
        <f>IF(T_EMPLOYEES[[#This Row],[EMPLOYEE NUMBER]]="","",MATCH(T_EMPLOYEES[[#This Row],[JOB CATEGORY]],L_JOBCATEGORY,0))</f>
        <v/>
      </c>
      <c r="AL235">
        <f>IF(T_EMPLOYEES[[#This Row],[EMPLOYEE NUMBER]]="","",MATCH(T_EMPLOYEES[[#This Row],[JOB LEVEL]],L_JOBLEVEL,0))</f>
        <v/>
      </c>
      <c r="AM235">
        <f>IF(T_EMPLOYEES[[#This Row],[EMPLOYEE NUMBER]]="","",MATCH(T_EMPLOYEES[[#This Row],[JOB TITLE]],L_JOBTITLE,0))</f>
        <v/>
      </c>
      <c r="AN235">
        <f>IF(T_EMPLOYEES[[#This Row],[EMPLOYEE NUMBER]]="","",MATCH(T_EMPLOYEES[[#This Row],[MANAGER]],L_EMPLABELS,0))</f>
        <v/>
      </c>
      <c r="AO235">
        <f>IF(T_EMPLOYEES[[#This Row],[EMPLOYEE NUMBER]]="","",IF(T_EMPLOYEES[[#This Row],[ERROR]]="",0,1))</f>
        <v/>
      </c>
      <c r="AP23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6">
      <c r="A236" t="inlineStr">
        <is>
          <t>Dasika</t>
        </is>
      </c>
      <c r="B236" t="inlineStr">
        <is>
          <t>Tejaswi</t>
        </is>
      </c>
      <c r="C236" t="n">
        <v>1022328</v>
      </c>
      <c r="D236" t="inlineStr">
        <is>
          <t>Tejaswi.Dasika@infinite.com</t>
        </is>
      </c>
      <c r="E236" s="26" t="n">
        <v>33989</v>
      </c>
      <c r="F236" s="26" t="n">
        <v>43649</v>
      </c>
      <c r="H236" t="inlineStr">
        <is>
          <t>Female</t>
        </is>
      </c>
      <c r="I236" t="inlineStr">
        <is>
          <t>Asian</t>
        </is>
      </c>
      <c r="J236" t="inlineStr">
        <is>
          <t>WEBSITE</t>
        </is>
      </c>
      <c r="K236" t="inlineStr">
        <is>
          <t>Hyderabad</t>
        </is>
      </c>
      <c r="L236" s="27" t="inlineStr">
        <is>
          <t>IT</t>
        </is>
      </c>
      <c r="M236" t="inlineStr">
        <is>
          <t>Full-Time</t>
        </is>
      </c>
      <c r="N236" t="inlineStr">
        <is>
          <t>Test Lead</t>
        </is>
      </c>
      <c r="O236" t="inlineStr">
        <is>
          <t>E4</t>
        </is>
      </c>
      <c r="P236" t="inlineStr">
        <is>
          <t>Test Lead</t>
        </is>
      </c>
      <c r="Q236" t="inlineStr">
        <is>
          <t>Sunduru Arun  Jayant (1031825)</t>
        </is>
      </c>
      <c r="R236" s="27" t="n">
        <v>5</v>
      </c>
      <c r="S236" s="1" t="n">
        <v>250000</v>
      </c>
      <c r="T236" s="1">
        <f>ROUND(T_EMPLOYEES[[#This Row],[EMP_CTC1]]/12, 0)</f>
        <v/>
      </c>
      <c r="U236" s="1" t="n">
        <v>150000</v>
      </c>
      <c r="V236" s="1" t="inlineStr">
        <is>
          <t>NH</t>
        </is>
      </c>
      <c r="W236" s="1" t="inlineStr">
        <is>
          <t>NH</t>
        </is>
      </c>
      <c r="X23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6" t="n">
        <v>100000</v>
      </c>
      <c r="Z236" s="29">
        <f>(S236 - U236)/S236 * 100</f>
        <v/>
      </c>
      <c r="AA236">
        <f>IF(T_EMPLOYEES[[#This Row],[EMPLOYEE NUMBER]]="","",ROW(T_EMPLOYEES[[#This Row],[EMPLOYEE LABEL]])-ROW(T_EMPLOYEES[[#Headers],[EMPLOYEE LABEL]]))</f>
        <v/>
      </c>
      <c r="AB236">
        <f>IF(T_EMPLOYEES[[#This Row],[EMPLOYEE NUMBER]]="","",IF(COUNTIF(T_EMPLOYEES[EMPLOYEE NUMBER],T_EMPLOYEES[[#This Row],[EMPLOYEE NUMBER]])&gt;1,1,0))</f>
        <v/>
      </c>
      <c r="AC236">
        <f>IF(T_EMPLOYEES[[#This Row],[EMPLOYEE NUMBER]]="","",IF(AND(T_EMPLOYEES[[#This Row],[DATE OF BIRTH]]&gt;0,T_EMPLOYEES[[#This Row],[DATE OF BIRTH]]&lt;TODAY()),0,1))</f>
        <v/>
      </c>
      <c r="AD236">
        <f>IF(T_EMPLOYEES[[#This Row],[EMPLOYEE NUMBER]]="","",IF(AND(T_EMPLOYEES[[#This Row],[START DATE]]&gt;0,T_EMPLOYEES[[#This Row],[START DATE]]&lt;TODAY()+60),0,1))</f>
        <v/>
      </c>
      <c r="AE236">
        <f>IF(T_EMPLOYEES[[#This Row],[EMPLOYEE NUMBER]]="","",MATCH(T_EMPLOYEES[[#This Row],[GENDER]],L_GENDER,0))</f>
        <v/>
      </c>
      <c r="AF236">
        <f>IF(T_EMPLOYEES[[#This Row],[EMPLOYEE NUMBER]]="","",MATCH(T_EMPLOYEES[[#This Row],[HIRE SOURCE]],L_HIRESOURCE,0))</f>
        <v/>
      </c>
      <c r="AG236">
        <f>IF(T_EMPLOYEES[[#This Row],[EMPLOYEE NUMBER]]="","",MATCH(T_EMPLOYEES[[#This Row],[ETHNICITY]],L_ETHNICITY,0))</f>
        <v/>
      </c>
      <c r="AH236">
        <f>IF(T_EMPLOYEES[[#This Row],[EMPLOYEE NUMBER]]="","",MATCH(T_EMPLOYEES[[#This Row],[LOCATION]],L_LOCATION,0))</f>
        <v/>
      </c>
      <c r="AI236">
        <f>IF(T_EMPLOYEES[[#This Row],[EMPLOYEE NUMBER]]="","",MATCH(T_EMPLOYEES[[#This Row],[DEPARTMENT]],L_DEPARTMENT,0))</f>
        <v/>
      </c>
      <c r="AJ236">
        <f>IF(T_EMPLOYEES[[#This Row],[EMPLOYEE NUMBER]]="","",MATCH(T_EMPLOYEES[[#This Row],[JOB TYPE]],L_JOBTYPE,0))</f>
        <v/>
      </c>
      <c r="AK236">
        <f>IF(T_EMPLOYEES[[#This Row],[EMPLOYEE NUMBER]]="","",MATCH(T_EMPLOYEES[[#This Row],[JOB CATEGORY]],L_JOBCATEGORY,0))</f>
        <v/>
      </c>
      <c r="AL236">
        <f>IF(T_EMPLOYEES[[#This Row],[EMPLOYEE NUMBER]]="","",MATCH(T_EMPLOYEES[[#This Row],[JOB LEVEL]],L_JOBLEVEL,0))</f>
        <v/>
      </c>
      <c r="AM236">
        <f>IF(T_EMPLOYEES[[#This Row],[EMPLOYEE NUMBER]]="","",MATCH(T_EMPLOYEES[[#This Row],[JOB TITLE]],L_JOBTITLE,0))</f>
        <v/>
      </c>
      <c r="AN236">
        <f>IF(T_EMPLOYEES[[#This Row],[EMPLOYEE NUMBER]]="","",MATCH(T_EMPLOYEES[[#This Row],[MANAGER]],L_EMPLABELS,0))</f>
        <v/>
      </c>
      <c r="AO236">
        <f>IF(T_EMPLOYEES[[#This Row],[EMPLOYEE NUMBER]]="","",IF(T_EMPLOYEES[[#This Row],[ERROR]]="",0,1))</f>
        <v/>
      </c>
      <c r="AP23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7">
      <c r="A237" t="inlineStr">
        <is>
          <t>Harish</t>
        </is>
      </c>
      <c r="B237" t="inlineStr">
        <is>
          <t>Kommanaveni</t>
        </is>
      </c>
      <c r="C237" t="n">
        <v>1031858</v>
      </c>
      <c r="D237" t="inlineStr">
        <is>
          <t>Harish.K@infinite.com</t>
        </is>
      </c>
      <c r="E237" s="26" t="n">
        <v>33999</v>
      </c>
      <c r="F237" s="26" t="n">
        <v>44914</v>
      </c>
      <c r="H237" t="inlineStr">
        <is>
          <t>Male</t>
        </is>
      </c>
      <c r="I237" t="inlineStr">
        <is>
          <t>Asian</t>
        </is>
      </c>
      <c r="J237" t="inlineStr">
        <is>
          <t>WEBSITE</t>
        </is>
      </c>
      <c r="K237" t="inlineStr">
        <is>
          <t>Hyderabad</t>
        </is>
      </c>
      <c r="L237" s="27" t="inlineStr">
        <is>
          <t>IT</t>
        </is>
      </c>
      <c r="M237" t="inlineStr">
        <is>
          <t>Full-Time</t>
        </is>
      </c>
      <c r="N237" t="inlineStr">
        <is>
          <t>Senior Software Engineer</t>
        </is>
      </c>
      <c r="O237" t="inlineStr">
        <is>
          <t>E3</t>
        </is>
      </c>
      <c r="P237" t="inlineStr">
        <is>
          <t>Senior Software Engineer</t>
        </is>
      </c>
      <c r="Q237" t="inlineStr">
        <is>
          <t>Srisha N (1031856)</t>
        </is>
      </c>
      <c r="R237" t="n">
        <v>4</v>
      </c>
      <c r="S237" s="1" t="n">
        <v>250000</v>
      </c>
      <c r="T237" s="1">
        <f>ROUND(T_EMPLOYEES[[#This Row],[EMP_CTC1]]/12, 0)</f>
        <v/>
      </c>
      <c r="U237" s="1" t="n">
        <v>150000</v>
      </c>
      <c r="V237" s="1" t="inlineStr">
        <is>
          <t>NH</t>
        </is>
      </c>
      <c r="W237" s="1" t="inlineStr">
        <is>
          <t>NH</t>
        </is>
      </c>
      <c r="X23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7" t="n">
        <v>100000</v>
      </c>
      <c r="Z237" s="29">
        <f>(S237 - U237)/S237 * 100</f>
        <v/>
      </c>
      <c r="AA237">
        <f>IF(T_EMPLOYEES[[#This Row],[EMPLOYEE NUMBER]]="","",ROW(T_EMPLOYEES[[#This Row],[EMPLOYEE LABEL]])-ROW(T_EMPLOYEES[[#Headers],[EMPLOYEE LABEL]]))</f>
        <v/>
      </c>
      <c r="AB237">
        <f>IF(T_EMPLOYEES[[#This Row],[EMPLOYEE NUMBER]]="","",IF(COUNTIF(T_EMPLOYEES[EMPLOYEE NUMBER],T_EMPLOYEES[[#This Row],[EMPLOYEE NUMBER]])&gt;1,1,0))</f>
        <v/>
      </c>
      <c r="AC237">
        <f>IF(T_EMPLOYEES[[#This Row],[EMPLOYEE NUMBER]]="","",IF(AND(T_EMPLOYEES[[#This Row],[DATE OF BIRTH]]&gt;0,T_EMPLOYEES[[#This Row],[DATE OF BIRTH]]&lt;TODAY()),0,1))</f>
        <v/>
      </c>
      <c r="AD237">
        <f>IF(T_EMPLOYEES[[#This Row],[EMPLOYEE NUMBER]]="","",IF(AND(T_EMPLOYEES[[#This Row],[START DATE]]&gt;0,T_EMPLOYEES[[#This Row],[START DATE]]&lt;TODAY()+60),0,1))</f>
        <v/>
      </c>
      <c r="AE237">
        <f>IF(T_EMPLOYEES[[#This Row],[EMPLOYEE NUMBER]]="","",MATCH(T_EMPLOYEES[[#This Row],[GENDER]],L_GENDER,0))</f>
        <v/>
      </c>
      <c r="AF237">
        <f>IF(T_EMPLOYEES[[#This Row],[EMPLOYEE NUMBER]]="","",MATCH(T_EMPLOYEES[[#This Row],[HIRE SOURCE]],L_HIRESOURCE,0))</f>
        <v/>
      </c>
      <c r="AG237">
        <f>IF(T_EMPLOYEES[[#This Row],[EMPLOYEE NUMBER]]="","",MATCH(T_EMPLOYEES[[#This Row],[ETHNICITY]],L_ETHNICITY,0))</f>
        <v/>
      </c>
      <c r="AH237">
        <f>IF(T_EMPLOYEES[[#This Row],[EMPLOYEE NUMBER]]="","",MATCH(T_EMPLOYEES[[#This Row],[LOCATION]],L_LOCATION,0))</f>
        <v/>
      </c>
      <c r="AI237">
        <f>IF(T_EMPLOYEES[[#This Row],[EMPLOYEE NUMBER]]="","",MATCH(T_EMPLOYEES[[#This Row],[DEPARTMENT]],L_DEPARTMENT,0))</f>
        <v/>
      </c>
      <c r="AJ237">
        <f>IF(T_EMPLOYEES[[#This Row],[EMPLOYEE NUMBER]]="","",MATCH(T_EMPLOYEES[[#This Row],[JOB TYPE]],L_JOBTYPE,0))</f>
        <v/>
      </c>
      <c r="AK237">
        <f>IF(T_EMPLOYEES[[#This Row],[EMPLOYEE NUMBER]]="","",MATCH(T_EMPLOYEES[[#This Row],[JOB CATEGORY]],L_JOBCATEGORY,0))</f>
        <v/>
      </c>
      <c r="AL237">
        <f>IF(T_EMPLOYEES[[#This Row],[EMPLOYEE NUMBER]]="","",MATCH(T_EMPLOYEES[[#This Row],[JOB LEVEL]],L_JOBLEVEL,0))</f>
        <v/>
      </c>
      <c r="AM237">
        <f>IF(T_EMPLOYEES[[#This Row],[EMPLOYEE NUMBER]]="","",MATCH(T_EMPLOYEES[[#This Row],[JOB TITLE]],L_JOBTITLE,0))</f>
        <v/>
      </c>
      <c r="AN237">
        <f>IF(T_EMPLOYEES[[#This Row],[EMPLOYEE NUMBER]]="","",MATCH(T_EMPLOYEES[[#This Row],[MANAGER]],L_EMPLABELS,0))</f>
        <v/>
      </c>
      <c r="AO237">
        <f>IF(T_EMPLOYEES[[#This Row],[EMPLOYEE NUMBER]]="","",IF(T_EMPLOYEES[[#This Row],[ERROR]]="",0,1))</f>
        <v/>
      </c>
      <c r="AP23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38">
      <c r="A238" t="inlineStr">
        <is>
          <t>Dinesh</t>
        </is>
      </c>
      <c r="B238" t="inlineStr">
        <is>
          <t>Kumar</t>
        </is>
      </c>
      <c r="C238" t="n">
        <v>1031874</v>
      </c>
      <c r="D238" t="inlineStr">
        <is>
          <t>Dinesh.Kumar3@infinite.com</t>
        </is>
      </c>
      <c r="E238" s="26" t="n">
        <v>34001</v>
      </c>
      <c r="F238" s="26" t="n">
        <v>44914</v>
      </c>
      <c r="H238" t="inlineStr">
        <is>
          <t>Male</t>
        </is>
      </c>
      <c r="I238" t="inlineStr">
        <is>
          <t>Asian</t>
        </is>
      </c>
      <c r="J238" t="inlineStr">
        <is>
          <t>WEBSITE</t>
        </is>
      </c>
      <c r="K238" t="inlineStr">
        <is>
          <t>Bangalore</t>
        </is>
      </c>
      <c r="L238" s="27" t="inlineStr">
        <is>
          <t>IT</t>
        </is>
      </c>
      <c r="M238" t="inlineStr">
        <is>
          <t>Full-Time</t>
        </is>
      </c>
      <c r="N238" t="inlineStr">
        <is>
          <t>Technical Lead</t>
        </is>
      </c>
      <c r="O238" t="inlineStr">
        <is>
          <t>E4</t>
        </is>
      </c>
      <c r="P238" t="inlineStr">
        <is>
          <t>Technical Lead</t>
        </is>
      </c>
      <c r="Q238" t="inlineStr">
        <is>
          <t>Srisha N (1031856)</t>
        </is>
      </c>
      <c r="R238" s="27" t="n">
        <v>5</v>
      </c>
      <c r="S238" s="1" t="n">
        <v>250000</v>
      </c>
      <c r="T238" s="1">
        <f>ROUND(T_EMPLOYEES[[#This Row],[EMP_CTC1]]/12, 0)</f>
        <v/>
      </c>
      <c r="U238" s="1" t="n">
        <v>150000</v>
      </c>
      <c r="V238" s="1" t="inlineStr">
        <is>
          <t>NH</t>
        </is>
      </c>
      <c r="W238" s="1" t="inlineStr">
        <is>
          <t>NH</t>
        </is>
      </c>
      <c r="X23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8" t="n">
        <v>100000</v>
      </c>
      <c r="Z238" s="29">
        <f>(S238 - U238)/S238 * 100</f>
        <v/>
      </c>
      <c r="AA238">
        <f>IF(T_EMPLOYEES[[#This Row],[EMPLOYEE NUMBER]]="","",ROW(T_EMPLOYEES[[#This Row],[EMPLOYEE LABEL]])-ROW(T_EMPLOYEES[[#Headers],[EMPLOYEE LABEL]]))</f>
        <v/>
      </c>
      <c r="AB238">
        <f>IF(T_EMPLOYEES[[#This Row],[EMPLOYEE NUMBER]]="","",IF(COUNTIF(T_EMPLOYEES[EMPLOYEE NUMBER],T_EMPLOYEES[[#This Row],[EMPLOYEE NUMBER]])&gt;1,1,0))</f>
        <v/>
      </c>
      <c r="AC238">
        <f>IF(T_EMPLOYEES[[#This Row],[EMPLOYEE NUMBER]]="","",IF(AND(T_EMPLOYEES[[#This Row],[DATE OF BIRTH]]&gt;0,T_EMPLOYEES[[#This Row],[DATE OF BIRTH]]&lt;TODAY()),0,1))</f>
        <v/>
      </c>
      <c r="AD238">
        <f>IF(T_EMPLOYEES[[#This Row],[EMPLOYEE NUMBER]]="","",IF(AND(T_EMPLOYEES[[#This Row],[START DATE]]&gt;0,T_EMPLOYEES[[#This Row],[START DATE]]&lt;TODAY()+60),0,1))</f>
        <v/>
      </c>
      <c r="AE238">
        <f>IF(T_EMPLOYEES[[#This Row],[EMPLOYEE NUMBER]]="","",MATCH(T_EMPLOYEES[[#This Row],[GENDER]],L_GENDER,0))</f>
        <v/>
      </c>
      <c r="AF238">
        <f>IF(T_EMPLOYEES[[#This Row],[EMPLOYEE NUMBER]]="","",MATCH(T_EMPLOYEES[[#This Row],[HIRE SOURCE]],L_HIRESOURCE,0))</f>
        <v/>
      </c>
      <c r="AG238">
        <f>IF(T_EMPLOYEES[[#This Row],[EMPLOYEE NUMBER]]="","",MATCH(T_EMPLOYEES[[#This Row],[ETHNICITY]],L_ETHNICITY,0))</f>
        <v/>
      </c>
      <c r="AH238">
        <f>IF(T_EMPLOYEES[[#This Row],[EMPLOYEE NUMBER]]="","",MATCH(T_EMPLOYEES[[#This Row],[LOCATION]],L_LOCATION,0))</f>
        <v/>
      </c>
      <c r="AI238">
        <f>IF(T_EMPLOYEES[[#This Row],[EMPLOYEE NUMBER]]="","",MATCH(T_EMPLOYEES[[#This Row],[DEPARTMENT]],L_DEPARTMENT,0))</f>
        <v/>
      </c>
      <c r="AJ238">
        <f>IF(T_EMPLOYEES[[#This Row],[EMPLOYEE NUMBER]]="","",MATCH(T_EMPLOYEES[[#This Row],[JOB TYPE]],L_JOBTYPE,0))</f>
        <v/>
      </c>
      <c r="AK238">
        <f>IF(T_EMPLOYEES[[#This Row],[EMPLOYEE NUMBER]]="","",MATCH(T_EMPLOYEES[[#This Row],[JOB CATEGORY]],L_JOBCATEGORY,0))</f>
        <v/>
      </c>
      <c r="AL238">
        <f>IF(T_EMPLOYEES[[#This Row],[EMPLOYEE NUMBER]]="","",MATCH(T_EMPLOYEES[[#This Row],[JOB LEVEL]],L_JOBLEVEL,0))</f>
        <v/>
      </c>
      <c r="AM238">
        <f>IF(T_EMPLOYEES[[#This Row],[EMPLOYEE NUMBER]]="","",MATCH(T_EMPLOYEES[[#This Row],[JOB TITLE]],L_JOBTITLE,0))</f>
        <v/>
      </c>
      <c r="AN238">
        <f>IF(T_EMPLOYEES[[#This Row],[EMPLOYEE NUMBER]]="","",MATCH(T_EMPLOYEES[[#This Row],[MANAGER]],L_EMPLABELS,0))</f>
        <v/>
      </c>
      <c r="AO238">
        <f>IF(T_EMPLOYEES[[#This Row],[EMPLOYEE NUMBER]]="","",IF(T_EMPLOYEES[[#This Row],[ERROR]]="",0,1))</f>
        <v/>
      </c>
      <c r="AP23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38" t="inlineStr">
        <is>
          <t>Reference</t>
        </is>
      </c>
    </row>
    <row r="239">
      <c r="A239" t="inlineStr">
        <is>
          <t>Mohd</t>
        </is>
      </c>
      <c r="B239" t="inlineStr">
        <is>
          <t>Nizamuddin Siddiqi</t>
        </is>
      </c>
      <c r="C239" t="n">
        <v>1033941</v>
      </c>
      <c r="D239" t="inlineStr">
        <is>
          <t>Nizamuddin.Siddiqi@infinite.com</t>
        </is>
      </c>
      <c r="E239" s="26" t="n">
        <v>34018</v>
      </c>
      <c r="F239" s="26" t="n">
        <v>45254</v>
      </c>
      <c r="H239" t="inlineStr">
        <is>
          <t>Male</t>
        </is>
      </c>
      <c r="I239" t="inlineStr">
        <is>
          <t>Asian</t>
        </is>
      </c>
      <c r="J239" t="inlineStr">
        <is>
          <t>WEBSITE</t>
        </is>
      </c>
      <c r="K239" t="inlineStr">
        <is>
          <t>Hyderabad</t>
        </is>
      </c>
      <c r="L239" s="27" t="inlineStr">
        <is>
          <t>IT</t>
        </is>
      </c>
      <c r="M239" t="inlineStr">
        <is>
          <t>Full-Time</t>
        </is>
      </c>
      <c r="N239" t="inlineStr">
        <is>
          <t>Senior Business Analyst</t>
        </is>
      </c>
      <c r="O239" t="inlineStr">
        <is>
          <t>E3</t>
        </is>
      </c>
      <c r="P239" t="inlineStr">
        <is>
          <t>Senior Business Analyst</t>
        </is>
      </c>
      <c r="Q239" t="inlineStr">
        <is>
          <t>Unnikrishnan Chellappan C (1025919)</t>
        </is>
      </c>
      <c r="R239" t="n">
        <v>4</v>
      </c>
      <c r="S239" s="1" t="n">
        <v>250000</v>
      </c>
      <c r="T239" s="1">
        <f>ROUND(T_EMPLOYEES[[#This Row],[EMP_CTC1]]/12, 0)</f>
        <v/>
      </c>
      <c r="U239" s="1" t="n">
        <v>150000</v>
      </c>
      <c r="V239" s="1" t="inlineStr">
        <is>
          <t>NH</t>
        </is>
      </c>
      <c r="W239" s="1" t="inlineStr">
        <is>
          <t>NH</t>
        </is>
      </c>
      <c r="X23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39" t="n">
        <v>100000</v>
      </c>
      <c r="Z239" s="29">
        <f>(S239 - U239)/S239 * 100</f>
        <v/>
      </c>
      <c r="AA239">
        <f>IF(T_EMPLOYEES[[#This Row],[EMPLOYEE NUMBER]]="","",ROW(T_EMPLOYEES[[#This Row],[EMPLOYEE LABEL]])-ROW(T_EMPLOYEES[[#Headers],[EMPLOYEE LABEL]]))</f>
        <v/>
      </c>
      <c r="AB239">
        <f>IF(T_EMPLOYEES[[#This Row],[EMPLOYEE NUMBER]]="","",IF(COUNTIF(T_EMPLOYEES[EMPLOYEE NUMBER],T_EMPLOYEES[[#This Row],[EMPLOYEE NUMBER]])&gt;1,1,0))</f>
        <v/>
      </c>
      <c r="AC239">
        <f>IF(T_EMPLOYEES[[#This Row],[EMPLOYEE NUMBER]]="","",IF(AND(T_EMPLOYEES[[#This Row],[DATE OF BIRTH]]&gt;0,T_EMPLOYEES[[#This Row],[DATE OF BIRTH]]&lt;TODAY()),0,1))</f>
        <v/>
      </c>
      <c r="AD239">
        <f>IF(T_EMPLOYEES[[#This Row],[EMPLOYEE NUMBER]]="","",IF(AND(T_EMPLOYEES[[#This Row],[START DATE]]&gt;0,T_EMPLOYEES[[#This Row],[START DATE]]&lt;TODAY()+60),0,1))</f>
        <v/>
      </c>
      <c r="AE239">
        <f>IF(T_EMPLOYEES[[#This Row],[EMPLOYEE NUMBER]]="","",MATCH(T_EMPLOYEES[[#This Row],[GENDER]],L_GENDER,0))</f>
        <v/>
      </c>
      <c r="AF239">
        <f>IF(T_EMPLOYEES[[#This Row],[EMPLOYEE NUMBER]]="","",MATCH(T_EMPLOYEES[[#This Row],[HIRE SOURCE]],L_HIRESOURCE,0))</f>
        <v/>
      </c>
      <c r="AG239">
        <f>IF(T_EMPLOYEES[[#This Row],[EMPLOYEE NUMBER]]="","",MATCH(T_EMPLOYEES[[#This Row],[ETHNICITY]],L_ETHNICITY,0))</f>
        <v/>
      </c>
      <c r="AH239">
        <f>IF(T_EMPLOYEES[[#This Row],[EMPLOYEE NUMBER]]="","",MATCH(T_EMPLOYEES[[#This Row],[LOCATION]],L_LOCATION,0))</f>
        <v/>
      </c>
      <c r="AI239">
        <f>IF(T_EMPLOYEES[[#This Row],[EMPLOYEE NUMBER]]="","",MATCH(T_EMPLOYEES[[#This Row],[DEPARTMENT]],L_DEPARTMENT,0))</f>
        <v/>
      </c>
      <c r="AJ239">
        <f>IF(T_EMPLOYEES[[#This Row],[EMPLOYEE NUMBER]]="","",MATCH(T_EMPLOYEES[[#This Row],[JOB TYPE]],L_JOBTYPE,0))</f>
        <v/>
      </c>
      <c r="AK239">
        <f>IF(T_EMPLOYEES[[#This Row],[EMPLOYEE NUMBER]]="","",MATCH(T_EMPLOYEES[[#This Row],[JOB CATEGORY]],L_JOBCATEGORY,0))</f>
        <v/>
      </c>
      <c r="AL239">
        <f>IF(T_EMPLOYEES[[#This Row],[EMPLOYEE NUMBER]]="","",MATCH(T_EMPLOYEES[[#This Row],[JOB LEVEL]],L_JOBLEVEL,0))</f>
        <v/>
      </c>
      <c r="AM239">
        <f>IF(T_EMPLOYEES[[#This Row],[EMPLOYEE NUMBER]]="","",MATCH(T_EMPLOYEES[[#This Row],[JOB TITLE]],L_JOBTITLE,0))</f>
        <v/>
      </c>
      <c r="AN239">
        <f>IF(T_EMPLOYEES[[#This Row],[EMPLOYEE NUMBER]]="","",MATCH(T_EMPLOYEES[[#This Row],[MANAGER]],L_EMPLABELS,0))</f>
        <v/>
      </c>
      <c r="AO239">
        <f>IF(T_EMPLOYEES[[#This Row],[EMPLOYEE NUMBER]]="","",IF(T_EMPLOYEES[[#This Row],[ERROR]]="",0,1))</f>
        <v/>
      </c>
      <c r="AP23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0">
      <c r="A240" t="inlineStr">
        <is>
          <t>Prajwal</t>
        </is>
      </c>
      <c r="B240" t="inlineStr">
        <is>
          <t xml:space="preserve"> Nayak</t>
        </is>
      </c>
      <c r="C240" t="n">
        <v>1025948</v>
      </c>
      <c r="D240" t="inlineStr">
        <is>
          <t>Prajwal.Nayak@infinite.com</t>
        </is>
      </c>
      <c r="E240" s="26" t="n">
        <v>34042</v>
      </c>
      <c r="F240" s="26" t="n">
        <v>44405</v>
      </c>
      <c r="H240" t="inlineStr">
        <is>
          <t>Male</t>
        </is>
      </c>
      <c r="I240" t="inlineStr">
        <is>
          <t>Asian</t>
        </is>
      </c>
      <c r="J240" t="inlineStr">
        <is>
          <t>WEBSITE</t>
        </is>
      </c>
      <c r="K240" t="inlineStr">
        <is>
          <t>Hyderabad</t>
        </is>
      </c>
      <c r="L240" s="27" t="inlineStr">
        <is>
          <t>IT</t>
        </is>
      </c>
      <c r="M240" t="inlineStr">
        <is>
          <t>Full-Time</t>
        </is>
      </c>
      <c r="N240" t="inlineStr">
        <is>
          <t>Senior Software Test Engineer</t>
        </is>
      </c>
      <c r="O240" t="inlineStr">
        <is>
          <t>E3</t>
        </is>
      </c>
      <c r="P240" t="inlineStr">
        <is>
          <t>Senior Software Test Engineer</t>
        </is>
      </c>
      <c r="Q240" t="inlineStr">
        <is>
          <t>Sreekanth  Pulumati (1022868)</t>
        </is>
      </c>
      <c r="R240" s="27" t="n">
        <v>4</v>
      </c>
      <c r="S240" s="1" t="n">
        <v>250000</v>
      </c>
      <c r="T240" s="1">
        <f>ROUND(T_EMPLOYEES[[#This Row],[EMP_CTC1]]/12, 0)</f>
        <v/>
      </c>
      <c r="U240" s="1" t="n">
        <v>150000</v>
      </c>
      <c r="V240" s="1" t="inlineStr">
        <is>
          <t>NH</t>
        </is>
      </c>
      <c r="W240" s="1" t="inlineStr">
        <is>
          <t>NH</t>
        </is>
      </c>
      <c r="X24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0" t="n">
        <v>100000</v>
      </c>
      <c r="Z240" s="29">
        <f>(S240 - U240)/S240 * 100</f>
        <v/>
      </c>
      <c r="AA240">
        <f>IF(T_EMPLOYEES[[#This Row],[EMPLOYEE NUMBER]]="","",ROW(T_EMPLOYEES[[#This Row],[EMPLOYEE LABEL]])-ROW(T_EMPLOYEES[[#Headers],[EMPLOYEE LABEL]]))</f>
        <v/>
      </c>
      <c r="AB240">
        <f>IF(T_EMPLOYEES[[#This Row],[EMPLOYEE NUMBER]]="","",IF(COUNTIF(T_EMPLOYEES[EMPLOYEE NUMBER],T_EMPLOYEES[[#This Row],[EMPLOYEE NUMBER]])&gt;1,1,0))</f>
        <v/>
      </c>
      <c r="AC240">
        <f>IF(T_EMPLOYEES[[#This Row],[EMPLOYEE NUMBER]]="","",IF(AND(T_EMPLOYEES[[#This Row],[DATE OF BIRTH]]&gt;0,T_EMPLOYEES[[#This Row],[DATE OF BIRTH]]&lt;TODAY()),0,1))</f>
        <v/>
      </c>
      <c r="AD240">
        <f>IF(T_EMPLOYEES[[#This Row],[EMPLOYEE NUMBER]]="","",IF(AND(T_EMPLOYEES[[#This Row],[START DATE]]&gt;0,T_EMPLOYEES[[#This Row],[START DATE]]&lt;TODAY()+60),0,1))</f>
        <v/>
      </c>
      <c r="AE240">
        <f>IF(T_EMPLOYEES[[#This Row],[EMPLOYEE NUMBER]]="","",MATCH(T_EMPLOYEES[[#This Row],[GENDER]],L_GENDER,0))</f>
        <v/>
      </c>
      <c r="AF240">
        <f>IF(T_EMPLOYEES[[#This Row],[EMPLOYEE NUMBER]]="","",MATCH(T_EMPLOYEES[[#This Row],[HIRE SOURCE]],L_HIRESOURCE,0))</f>
        <v/>
      </c>
      <c r="AG240">
        <f>IF(T_EMPLOYEES[[#This Row],[EMPLOYEE NUMBER]]="","",MATCH(T_EMPLOYEES[[#This Row],[ETHNICITY]],L_ETHNICITY,0))</f>
        <v/>
      </c>
      <c r="AH240">
        <f>IF(T_EMPLOYEES[[#This Row],[EMPLOYEE NUMBER]]="","",MATCH(T_EMPLOYEES[[#This Row],[LOCATION]],L_LOCATION,0))</f>
        <v/>
      </c>
      <c r="AI240">
        <f>IF(T_EMPLOYEES[[#This Row],[EMPLOYEE NUMBER]]="","",MATCH(T_EMPLOYEES[[#This Row],[DEPARTMENT]],L_DEPARTMENT,0))</f>
        <v/>
      </c>
      <c r="AJ240">
        <f>IF(T_EMPLOYEES[[#This Row],[EMPLOYEE NUMBER]]="","",MATCH(T_EMPLOYEES[[#This Row],[JOB TYPE]],L_JOBTYPE,0))</f>
        <v/>
      </c>
      <c r="AK240">
        <f>IF(T_EMPLOYEES[[#This Row],[EMPLOYEE NUMBER]]="","",MATCH(T_EMPLOYEES[[#This Row],[JOB CATEGORY]],L_JOBCATEGORY,0))</f>
        <v/>
      </c>
      <c r="AL240">
        <f>IF(T_EMPLOYEES[[#This Row],[EMPLOYEE NUMBER]]="","",MATCH(T_EMPLOYEES[[#This Row],[JOB LEVEL]],L_JOBLEVEL,0))</f>
        <v/>
      </c>
      <c r="AM240">
        <f>IF(T_EMPLOYEES[[#This Row],[EMPLOYEE NUMBER]]="","",MATCH(T_EMPLOYEES[[#This Row],[JOB TITLE]],L_JOBTITLE,0))</f>
        <v/>
      </c>
      <c r="AN240">
        <f>IF(T_EMPLOYEES[[#This Row],[EMPLOYEE NUMBER]]="","",MATCH(T_EMPLOYEES[[#This Row],[MANAGER]],L_EMPLABELS,0))</f>
        <v/>
      </c>
      <c r="AO240">
        <f>IF(T_EMPLOYEES[[#This Row],[EMPLOYEE NUMBER]]="","",IF(T_EMPLOYEES[[#This Row],[ERROR]]="",0,1))</f>
        <v/>
      </c>
      <c r="AP24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1">
      <c r="A241" t="inlineStr">
        <is>
          <t>Vasam</t>
        </is>
      </c>
      <c r="B241" t="inlineStr">
        <is>
          <t>Ranjith Raj</t>
        </is>
      </c>
      <c r="C241" t="n">
        <v>1029841</v>
      </c>
      <c r="D241" t="inlineStr">
        <is>
          <t>Ranjithraj.Vasam@infinite.com</t>
        </is>
      </c>
      <c r="E241" s="26" t="n">
        <v>34059</v>
      </c>
      <c r="F241" s="26" t="n">
        <v>44789</v>
      </c>
      <c r="H241" t="inlineStr">
        <is>
          <t>Male</t>
        </is>
      </c>
      <c r="I241" t="inlineStr">
        <is>
          <t>Asian</t>
        </is>
      </c>
      <c r="J241" t="inlineStr">
        <is>
          <t>WEBSITE</t>
        </is>
      </c>
      <c r="K241" t="inlineStr">
        <is>
          <t>Bangalore</t>
        </is>
      </c>
      <c r="L241" s="27" t="inlineStr">
        <is>
          <t>IT</t>
        </is>
      </c>
      <c r="M241" t="inlineStr">
        <is>
          <t>Full-Time</t>
        </is>
      </c>
      <c r="N241" t="inlineStr">
        <is>
          <t>Senior Software Engineer</t>
        </is>
      </c>
      <c r="O241" t="inlineStr">
        <is>
          <t>E3</t>
        </is>
      </c>
      <c r="P241" t="inlineStr">
        <is>
          <t>Senior Software Engineer</t>
        </is>
      </c>
      <c r="Q241" t="inlineStr">
        <is>
          <t>Niranjan Reddy G (1032824)</t>
        </is>
      </c>
      <c r="R241" t="n">
        <v>4</v>
      </c>
      <c r="S241" s="1" t="n">
        <v>250000</v>
      </c>
      <c r="T241" s="1">
        <f>ROUND(T_EMPLOYEES[[#This Row],[EMP_CTC1]]/12, 0)</f>
        <v/>
      </c>
      <c r="U241" s="1" t="n">
        <v>150000</v>
      </c>
      <c r="V241" s="1" t="inlineStr">
        <is>
          <t>NH</t>
        </is>
      </c>
      <c r="W241" s="1" t="inlineStr">
        <is>
          <t>NH</t>
        </is>
      </c>
      <c r="X24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1" t="n">
        <v>100000</v>
      </c>
      <c r="Z241" s="29">
        <f>(S241 - U241)/S241 * 100</f>
        <v/>
      </c>
      <c r="AA241">
        <f>IF(T_EMPLOYEES[[#This Row],[EMPLOYEE NUMBER]]="","",ROW(T_EMPLOYEES[[#This Row],[EMPLOYEE LABEL]])-ROW(T_EMPLOYEES[[#Headers],[EMPLOYEE LABEL]]))</f>
        <v/>
      </c>
      <c r="AB241">
        <f>IF(T_EMPLOYEES[[#This Row],[EMPLOYEE NUMBER]]="","",IF(COUNTIF(T_EMPLOYEES[EMPLOYEE NUMBER],T_EMPLOYEES[[#This Row],[EMPLOYEE NUMBER]])&gt;1,1,0))</f>
        <v/>
      </c>
      <c r="AC241">
        <f>IF(T_EMPLOYEES[[#This Row],[EMPLOYEE NUMBER]]="","",IF(AND(T_EMPLOYEES[[#This Row],[DATE OF BIRTH]]&gt;0,T_EMPLOYEES[[#This Row],[DATE OF BIRTH]]&lt;TODAY()),0,1))</f>
        <v/>
      </c>
      <c r="AD241">
        <f>IF(T_EMPLOYEES[[#This Row],[EMPLOYEE NUMBER]]="","",IF(AND(T_EMPLOYEES[[#This Row],[START DATE]]&gt;0,T_EMPLOYEES[[#This Row],[START DATE]]&lt;TODAY()+60),0,1))</f>
        <v/>
      </c>
      <c r="AE241">
        <f>IF(T_EMPLOYEES[[#This Row],[EMPLOYEE NUMBER]]="","",MATCH(T_EMPLOYEES[[#This Row],[GENDER]],L_GENDER,0))</f>
        <v/>
      </c>
      <c r="AF241">
        <f>IF(T_EMPLOYEES[[#This Row],[EMPLOYEE NUMBER]]="","",MATCH(T_EMPLOYEES[[#This Row],[HIRE SOURCE]],L_HIRESOURCE,0))</f>
        <v/>
      </c>
      <c r="AG241">
        <f>IF(T_EMPLOYEES[[#This Row],[EMPLOYEE NUMBER]]="","",MATCH(T_EMPLOYEES[[#This Row],[ETHNICITY]],L_ETHNICITY,0))</f>
        <v/>
      </c>
      <c r="AH241">
        <f>IF(T_EMPLOYEES[[#This Row],[EMPLOYEE NUMBER]]="","",MATCH(T_EMPLOYEES[[#This Row],[LOCATION]],L_LOCATION,0))</f>
        <v/>
      </c>
      <c r="AI241">
        <f>IF(T_EMPLOYEES[[#This Row],[EMPLOYEE NUMBER]]="","",MATCH(T_EMPLOYEES[[#This Row],[DEPARTMENT]],L_DEPARTMENT,0))</f>
        <v/>
      </c>
      <c r="AJ241">
        <f>IF(T_EMPLOYEES[[#This Row],[EMPLOYEE NUMBER]]="","",MATCH(T_EMPLOYEES[[#This Row],[JOB TYPE]],L_JOBTYPE,0))</f>
        <v/>
      </c>
      <c r="AK241">
        <f>IF(T_EMPLOYEES[[#This Row],[EMPLOYEE NUMBER]]="","",MATCH(T_EMPLOYEES[[#This Row],[JOB CATEGORY]],L_JOBCATEGORY,0))</f>
        <v/>
      </c>
      <c r="AL241">
        <f>IF(T_EMPLOYEES[[#This Row],[EMPLOYEE NUMBER]]="","",MATCH(T_EMPLOYEES[[#This Row],[JOB LEVEL]],L_JOBLEVEL,0))</f>
        <v/>
      </c>
      <c r="AM241">
        <f>IF(T_EMPLOYEES[[#This Row],[EMPLOYEE NUMBER]]="","",MATCH(T_EMPLOYEES[[#This Row],[JOB TITLE]],L_JOBTITLE,0))</f>
        <v/>
      </c>
      <c r="AN241">
        <f>IF(T_EMPLOYEES[[#This Row],[EMPLOYEE NUMBER]]="","",MATCH(T_EMPLOYEES[[#This Row],[MANAGER]],L_EMPLABELS,0))</f>
        <v/>
      </c>
      <c r="AO241">
        <f>IF(T_EMPLOYEES[[#This Row],[EMPLOYEE NUMBER]]="","",IF(T_EMPLOYEES[[#This Row],[ERROR]]="",0,1))</f>
        <v/>
      </c>
      <c r="AP24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2">
      <c r="A242" t="inlineStr">
        <is>
          <t>Murali</t>
        </is>
      </c>
      <c r="B242" t="inlineStr">
        <is>
          <t xml:space="preserve"> V</t>
        </is>
      </c>
      <c r="C242" t="n">
        <v>1024783</v>
      </c>
      <c r="D242" t="inlineStr">
        <is>
          <t>Murali.Venkatapathy@infinite.com</t>
        </is>
      </c>
      <c r="E242" s="26" t="n">
        <v>33626</v>
      </c>
      <c r="F242" s="26" t="n">
        <v>44270</v>
      </c>
      <c r="H242" t="inlineStr">
        <is>
          <t>Male</t>
        </is>
      </c>
      <c r="I242" t="inlineStr">
        <is>
          <t>Asian</t>
        </is>
      </c>
      <c r="J242" t="inlineStr">
        <is>
          <t>WEBSITE</t>
        </is>
      </c>
      <c r="K242" t="inlineStr">
        <is>
          <t>Bangalore</t>
        </is>
      </c>
      <c r="L242" s="27" t="inlineStr">
        <is>
          <t>Core</t>
        </is>
      </c>
      <c r="M242" t="inlineStr">
        <is>
          <t>Full-Time</t>
        </is>
      </c>
      <c r="N242" t="inlineStr">
        <is>
          <t>Senior Software Engineer</t>
        </is>
      </c>
      <c r="O242" t="inlineStr">
        <is>
          <t>E3</t>
        </is>
      </c>
      <c r="P242" t="inlineStr">
        <is>
          <t>Senior Software Engineer</t>
        </is>
      </c>
      <c r="Q242" t="inlineStr">
        <is>
          <t>Kishore Kumar N (1019765)</t>
        </is>
      </c>
      <c r="R242" s="27" t="n">
        <v>4</v>
      </c>
      <c r="S242" s="1" t="n">
        <v>250000</v>
      </c>
      <c r="T242" s="1">
        <f>ROUND(T_EMPLOYEES[[#This Row],[EMP_CTC1]]/12, 0)</f>
        <v/>
      </c>
      <c r="U242" s="1" t="n">
        <v>150000</v>
      </c>
      <c r="V242" s="1" t="inlineStr">
        <is>
          <t>NH</t>
        </is>
      </c>
      <c r="W242" s="1" t="inlineStr">
        <is>
          <t>NH</t>
        </is>
      </c>
      <c r="X24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2" t="n">
        <v>100000</v>
      </c>
      <c r="Z242" s="29">
        <f>(S242 - U242)/S242 * 100</f>
        <v/>
      </c>
      <c r="AA242">
        <f>IF(T_EMPLOYEES[[#This Row],[EMPLOYEE NUMBER]]="","",ROW(T_EMPLOYEES[[#This Row],[EMPLOYEE LABEL]])-ROW(T_EMPLOYEES[[#Headers],[EMPLOYEE LABEL]]))</f>
        <v/>
      </c>
      <c r="AB242">
        <f>IF(T_EMPLOYEES[[#This Row],[EMPLOYEE NUMBER]]="","",IF(COUNTIF(T_EMPLOYEES[EMPLOYEE NUMBER],T_EMPLOYEES[[#This Row],[EMPLOYEE NUMBER]])&gt;1,1,0))</f>
        <v/>
      </c>
      <c r="AC242">
        <f>IF(T_EMPLOYEES[[#This Row],[EMPLOYEE NUMBER]]="","",IF(AND(T_EMPLOYEES[[#This Row],[DATE OF BIRTH]]&gt;0,T_EMPLOYEES[[#This Row],[DATE OF BIRTH]]&lt;TODAY()),0,1))</f>
        <v/>
      </c>
      <c r="AD242">
        <f>IF(T_EMPLOYEES[[#This Row],[EMPLOYEE NUMBER]]="","",IF(AND(T_EMPLOYEES[[#This Row],[START DATE]]&gt;0,T_EMPLOYEES[[#This Row],[START DATE]]&lt;TODAY()+60),0,1))</f>
        <v/>
      </c>
      <c r="AE242">
        <f>IF(T_EMPLOYEES[[#This Row],[EMPLOYEE NUMBER]]="","",MATCH(T_EMPLOYEES[[#This Row],[GENDER]],L_GENDER,0))</f>
        <v/>
      </c>
      <c r="AF242">
        <f>IF(T_EMPLOYEES[[#This Row],[EMPLOYEE NUMBER]]="","",MATCH(T_EMPLOYEES[[#This Row],[HIRE SOURCE]],L_HIRESOURCE,0))</f>
        <v/>
      </c>
      <c r="AG242">
        <f>IF(T_EMPLOYEES[[#This Row],[EMPLOYEE NUMBER]]="","",MATCH(T_EMPLOYEES[[#This Row],[ETHNICITY]],L_ETHNICITY,0))</f>
        <v/>
      </c>
      <c r="AH242">
        <f>IF(T_EMPLOYEES[[#This Row],[EMPLOYEE NUMBER]]="","",MATCH(T_EMPLOYEES[[#This Row],[LOCATION]],L_LOCATION,0))</f>
        <v/>
      </c>
      <c r="AI242">
        <f>IF(T_EMPLOYEES[[#This Row],[EMPLOYEE NUMBER]]="","",MATCH(T_EMPLOYEES[[#This Row],[DEPARTMENT]],L_DEPARTMENT,0))</f>
        <v/>
      </c>
      <c r="AJ242">
        <f>IF(T_EMPLOYEES[[#This Row],[EMPLOYEE NUMBER]]="","",MATCH(T_EMPLOYEES[[#This Row],[JOB TYPE]],L_JOBTYPE,0))</f>
        <v/>
      </c>
      <c r="AK242">
        <f>IF(T_EMPLOYEES[[#This Row],[EMPLOYEE NUMBER]]="","",MATCH(T_EMPLOYEES[[#This Row],[JOB CATEGORY]],L_JOBCATEGORY,0))</f>
        <v/>
      </c>
      <c r="AL242">
        <f>IF(T_EMPLOYEES[[#This Row],[EMPLOYEE NUMBER]]="","",MATCH(T_EMPLOYEES[[#This Row],[JOB LEVEL]],L_JOBLEVEL,0))</f>
        <v/>
      </c>
      <c r="AM242">
        <f>IF(T_EMPLOYEES[[#This Row],[EMPLOYEE NUMBER]]="","",MATCH(T_EMPLOYEES[[#This Row],[JOB TITLE]],L_JOBTITLE,0))</f>
        <v/>
      </c>
      <c r="AN242">
        <f>IF(T_EMPLOYEES[[#This Row],[EMPLOYEE NUMBER]]="","",MATCH(T_EMPLOYEES[[#This Row],[MANAGER]],L_EMPLABELS,0))</f>
        <v/>
      </c>
      <c r="AO242">
        <f>IF(T_EMPLOYEES[[#This Row],[EMPLOYEE NUMBER]]="","",IF(T_EMPLOYEES[[#This Row],[ERROR]]="",0,1))</f>
        <v/>
      </c>
      <c r="AP24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3">
      <c r="A243" t="inlineStr">
        <is>
          <t>Vulasala</t>
        </is>
      </c>
      <c r="B243" t="inlineStr">
        <is>
          <t>Sravya</t>
        </is>
      </c>
      <c r="C243" t="n">
        <v>1032081</v>
      </c>
      <c r="D243" t="inlineStr">
        <is>
          <t>Sravya.Vulasala@infinite.com</t>
        </is>
      </c>
      <c r="E243" s="26" t="n">
        <v>34079</v>
      </c>
      <c r="F243" s="26" t="n">
        <v>44946</v>
      </c>
      <c r="H243" t="inlineStr">
        <is>
          <t>Female</t>
        </is>
      </c>
      <c r="I243" t="inlineStr">
        <is>
          <t>Asian</t>
        </is>
      </c>
      <c r="J243" t="inlineStr">
        <is>
          <t>WEBSITE</t>
        </is>
      </c>
      <c r="K243" t="inlineStr">
        <is>
          <t>Hyderabad</t>
        </is>
      </c>
      <c r="L243" s="27" t="inlineStr">
        <is>
          <t>IT</t>
        </is>
      </c>
      <c r="M243" t="inlineStr">
        <is>
          <t>Full-Time</t>
        </is>
      </c>
      <c r="N243" t="inlineStr">
        <is>
          <t>Senior Business Analyst</t>
        </is>
      </c>
      <c r="O243" t="inlineStr">
        <is>
          <t>E3</t>
        </is>
      </c>
      <c r="P243" t="inlineStr">
        <is>
          <t>Senior Business Analyst</t>
        </is>
      </c>
      <c r="Q243" t="inlineStr">
        <is>
          <t>Ravi V (1027169)</t>
        </is>
      </c>
      <c r="R243" t="n">
        <v>4</v>
      </c>
      <c r="S243" s="1" t="n">
        <v>250000</v>
      </c>
      <c r="T243" s="1">
        <f>ROUND(T_EMPLOYEES[[#This Row],[EMP_CTC1]]/12, 0)</f>
        <v/>
      </c>
      <c r="U243" s="1" t="n">
        <v>150000</v>
      </c>
      <c r="V243" s="1" t="inlineStr">
        <is>
          <t>NH</t>
        </is>
      </c>
      <c r="W243" s="1" t="inlineStr">
        <is>
          <t>NH</t>
        </is>
      </c>
      <c r="X24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3" t="n">
        <v>100000</v>
      </c>
      <c r="Z243" s="29">
        <f>(S243 - U243)/S243 * 100</f>
        <v/>
      </c>
      <c r="AA243">
        <f>IF(T_EMPLOYEES[[#This Row],[EMPLOYEE NUMBER]]="","",ROW(T_EMPLOYEES[[#This Row],[EMPLOYEE LABEL]])-ROW(T_EMPLOYEES[[#Headers],[EMPLOYEE LABEL]]))</f>
        <v/>
      </c>
      <c r="AB243">
        <f>IF(T_EMPLOYEES[[#This Row],[EMPLOYEE NUMBER]]="","",IF(COUNTIF(T_EMPLOYEES[EMPLOYEE NUMBER],T_EMPLOYEES[[#This Row],[EMPLOYEE NUMBER]])&gt;1,1,0))</f>
        <v/>
      </c>
      <c r="AC243">
        <f>IF(T_EMPLOYEES[[#This Row],[EMPLOYEE NUMBER]]="","",IF(AND(T_EMPLOYEES[[#This Row],[DATE OF BIRTH]]&gt;0,T_EMPLOYEES[[#This Row],[DATE OF BIRTH]]&lt;TODAY()),0,1))</f>
        <v/>
      </c>
      <c r="AD243">
        <f>IF(T_EMPLOYEES[[#This Row],[EMPLOYEE NUMBER]]="","",IF(AND(T_EMPLOYEES[[#This Row],[START DATE]]&gt;0,T_EMPLOYEES[[#This Row],[START DATE]]&lt;TODAY()+60),0,1))</f>
        <v/>
      </c>
      <c r="AE243">
        <f>IF(T_EMPLOYEES[[#This Row],[EMPLOYEE NUMBER]]="","",MATCH(T_EMPLOYEES[[#This Row],[GENDER]],L_GENDER,0))</f>
        <v/>
      </c>
      <c r="AF243">
        <f>IF(T_EMPLOYEES[[#This Row],[EMPLOYEE NUMBER]]="","",MATCH(T_EMPLOYEES[[#This Row],[HIRE SOURCE]],L_HIRESOURCE,0))</f>
        <v/>
      </c>
      <c r="AG243">
        <f>IF(T_EMPLOYEES[[#This Row],[EMPLOYEE NUMBER]]="","",MATCH(T_EMPLOYEES[[#This Row],[ETHNICITY]],L_ETHNICITY,0))</f>
        <v/>
      </c>
      <c r="AH243">
        <f>IF(T_EMPLOYEES[[#This Row],[EMPLOYEE NUMBER]]="","",MATCH(T_EMPLOYEES[[#This Row],[LOCATION]],L_LOCATION,0))</f>
        <v/>
      </c>
      <c r="AI243">
        <f>IF(T_EMPLOYEES[[#This Row],[EMPLOYEE NUMBER]]="","",MATCH(T_EMPLOYEES[[#This Row],[DEPARTMENT]],L_DEPARTMENT,0))</f>
        <v/>
      </c>
      <c r="AJ243">
        <f>IF(T_EMPLOYEES[[#This Row],[EMPLOYEE NUMBER]]="","",MATCH(T_EMPLOYEES[[#This Row],[JOB TYPE]],L_JOBTYPE,0))</f>
        <v/>
      </c>
      <c r="AK243">
        <f>IF(T_EMPLOYEES[[#This Row],[EMPLOYEE NUMBER]]="","",MATCH(T_EMPLOYEES[[#This Row],[JOB CATEGORY]],L_JOBCATEGORY,0))</f>
        <v/>
      </c>
      <c r="AL243">
        <f>IF(T_EMPLOYEES[[#This Row],[EMPLOYEE NUMBER]]="","",MATCH(T_EMPLOYEES[[#This Row],[JOB LEVEL]],L_JOBLEVEL,0))</f>
        <v/>
      </c>
      <c r="AM243">
        <f>IF(T_EMPLOYEES[[#This Row],[EMPLOYEE NUMBER]]="","",MATCH(T_EMPLOYEES[[#This Row],[JOB TITLE]],L_JOBTITLE,0))</f>
        <v/>
      </c>
      <c r="AN243">
        <f>IF(T_EMPLOYEES[[#This Row],[EMPLOYEE NUMBER]]="","",MATCH(T_EMPLOYEES[[#This Row],[MANAGER]],L_EMPLABELS,0))</f>
        <v/>
      </c>
      <c r="AO243">
        <f>IF(T_EMPLOYEES[[#This Row],[EMPLOYEE NUMBER]]="","",IF(T_EMPLOYEES[[#This Row],[ERROR]]="",0,1))</f>
        <v/>
      </c>
      <c r="AP24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4">
      <c r="A244" t="inlineStr">
        <is>
          <t>G</t>
        </is>
      </c>
      <c r="B244" t="inlineStr">
        <is>
          <t>Vinod Kumar</t>
        </is>
      </c>
      <c r="C244" t="n">
        <v>1029508</v>
      </c>
      <c r="D244" t="inlineStr">
        <is>
          <t>Vinod.Kumar6@infinite.com</t>
        </is>
      </c>
      <c r="E244" s="26" t="n">
        <v>34090</v>
      </c>
      <c r="F244" s="26" t="n">
        <v>44755</v>
      </c>
      <c r="H244" t="inlineStr">
        <is>
          <t>Male</t>
        </is>
      </c>
      <c r="I244" t="inlineStr">
        <is>
          <t>Asian</t>
        </is>
      </c>
      <c r="J244" t="inlineStr">
        <is>
          <t>WEBSITE</t>
        </is>
      </c>
      <c r="K244" t="inlineStr">
        <is>
          <t>Hyderabad</t>
        </is>
      </c>
      <c r="L244" s="27" t="inlineStr">
        <is>
          <t>IT</t>
        </is>
      </c>
      <c r="M244" t="inlineStr">
        <is>
          <t>Full-Time</t>
        </is>
      </c>
      <c r="N244" t="inlineStr">
        <is>
          <t>Associate Support Engineer</t>
        </is>
      </c>
      <c r="O244" t="inlineStr">
        <is>
          <t>E1</t>
        </is>
      </c>
      <c r="P244" t="inlineStr">
        <is>
          <t>Associate Support Engineer</t>
        </is>
      </c>
      <c r="Q244" t="inlineStr">
        <is>
          <t>Santosh Kumar B (1033071)</t>
        </is>
      </c>
      <c r="R244" s="27" t="n">
        <v>0</v>
      </c>
      <c r="S244" s="1" t="n">
        <v>250000</v>
      </c>
      <c r="T244" s="1">
        <f>ROUND(T_EMPLOYEES[[#This Row],[EMP_CTC1]]/12, 0)</f>
        <v/>
      </c>
      <c r="U244" s="1" t="n">
        <v>150000</v>
      </c>
      <c r="V244" s="1" t="inlineStr">
        <is>
          <t>NH</t>
        </is>
      </c>
      <c r="W244" s="1" t="inlineStr">
        <is>
          <t>NH</t>
        </is>
      </c>
      <c r="X24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4" t="n">
        <v>100000</v>
      </c>
      <c r="Z244" s="29">
        <f>(S244 - U244)/S244 * 100</f>
        <v/>
      </c>
      <c r="AA244">
        <f>IF(T_EMPLOYEES[[#This Row],[EMPLOYEE NUMBER]]="","",ROW(T_EMPLOYEES[[#This Row],[EMPLOYEE LABEL]])-ROW(T_EMPLOYEES[[#Headers],[EMPLOYEE LABEL]]))</f>
        <v/>
      </c>
      <c r="AB244">
        <f>IF(T_EMPLOYEES[[#This Row],[EMPLOYEE NUMBER]]="","",IF(COUNTIF(T_EMPLOYEES[EMPLOYEE NUMBER],T_EMPLOYEES[[#This Row],[EMPLOYEE NUMBER]])&gt;1,1,0))</f>
        <v/>
      </c>
      <c r="AC244">
        <f>IF(T_EMPLOYEES[[#This Row],[EMPLOYEE NUMBER]]="","",IF(AND(T_EMPLOYEES[[#This Row],[DATE OF BIRTH]]&gt;0,T_EMPLOYEES[[#This Row],[DATE OF BIRTH]]&lt;TODAY()),0,1))</f>
        <v/>
      </c>
      <c r="AD244">
        <f>IF(T_EMPLOYEES[[#This Row],[EMPLOYEE NUMBER]]="","",IF(AND(T_EMPLOYEES[[#This Row],[START DATE]]&gt;0,T_EMPLOYEES[[#This Row],[START DATE]]&lt;TODAY()+60),0,1))</f>
        <v/>
      </c>
      <c r="AE244">
        <f>IF(T_EMPLOYEES[[#This Row],[EMPLOYEE NUMBER]]="","",MATCH(T_EMPLOYEES[[#This Row],[GENDER]],L_GENDER,0))</f>
        <v/>
      </c>
      <c r="AF244">
        <f>IF(T_EMPLOYEES[[#This Row],[EMPLOYEE NUMBER]]="","",MATCH(T_EMPLOYEES[[#This Row],[HIRE SOURCE]],L_HIRESOURCE,0))</f>
        <v/>
      </c>
      <c r="AG244">
        <f>IF(T_EMPLOYEES[[#This Row],[EMPLOYEE NUMBER]]="","",MATCH(T_EMPLOYEES[[#This Row],[ETHNICITY]],L_ETHNICITY,0))</f>
        <v/>
      </c>
      <c r="AH244">
        <f>IF(T_EMPLOYEES[[#This Row],[EMPLOYEE NUMBER]]="","",MATCH(T_EMPLOYEES[[#This Row],[LOCATION]],L_LOCATION,0))</f>
        <v/>
      </c>
      <c r="AI244">
        <f>IF(T_EMPLOYEES[[#This Row],[EMPLOYEE NUMBER]]="","",MATCH(T_EMPLOYEES[[#This Row],[DEPARTMENT]],L_DEPARTMENT,0))</f>
        <v/>
      </c>
      <c r="AJ244">
        <f>IF(T_EMPLOYEES[[#This Row],[EMPLOYEE NUMBER]]="","",MATCH(T_EMPLOYEES[[#This Row],[JOB TYPE]],L_JOBTYPE,0))</f>
        <v/>
      </c>
      <c r="AK244">
        <f>IF(T_EMPLOYEES[[#This Row],[EMPLOYEE NUMBER]]="","",MATCH(T_EMPLOYEES[[#This Row],[JOB CATEGORY]],L_JOBCATEGORY,0))</f>
        <v/>
      </c>
      <c r="AL244">
        <f>IF(T_EMPLOYEES[[#This Row],[EMPLOYEE NUMBER]]="","",MATCH(T_EMPLOYEES[[#This Row],[JOB LEVEL]],L_JOBLEVEL,0))</f>
        <v/>
      </c>
      <c r="AM244">
        <f>IF(T_EMPLOYEES[[#This Row],[EMPLOYEE NUMBER]]="","",MATCH(T_EMPLOYEES[[#This Row],[JOB TITLE]],L_JOBTITLE,0))</f>
        <v/>
      </c>
      <c r="AN244">
        <f>IF(T_EMPLOYEES[[#This Row],[EMPLOYEE NUMBER]]="","",MATCH(T_EMPLOYEES[[#This Row],[MANAGER]],L_EMPLABELS,0))</f>
        <v/>
      </c>
      <c r="AO244">
        <f>IF(T_EMPLOYEES[[#This Row],[EMPLOYEE NUMBER]]="","",IF(T_EMPLOYEES[[#This Row],[ERROR]]="",0,1))</f>
        <v/>
      </c>
      <c r="AP24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5">
      <c r="A245" t="inlineStr">
        <is>
          <t>Shaik</t>
        </is>
      </c>
      <c r="B245" t="inlineStr">
        <is>
          <t>Nazeer</t>
        </is>
      </c>
      <c r="C245" t="n">
        <v>1032636</v>
      </c>
      <c r="D245" t="inlineStr">
        <is>
          <t>Nazeer.Shaik@infinite.com</t>
        </is>
      </c>
      <c r="E245" s="26" t="n">
        <v>34107</v>
      </c>
      <c r="F245" s="26" t="n">
        <v>45042</v>
      </c>
      <c r="H245" t="inlineStr">
        <is>
          <t>Male</t>
        </is>
      </c>
      <c r="I245" t="inlineStr">
        <is>
          <t>Asian</t>
        </is>
      </c>
      <c r="J245" t="inlineStr">
        <is>
          <t>WEBSITE</t>
        </is>
      </c>
      <c r="K245" t="inlineStr">
        <is>
          <t>Bangalore</t>
        </is>
      </c>
      <c r="L245" s="27" t="inlineStr">
        <is>
          <t>IT</t>
        </is>
      </c>
      <c r="M245" t="inlineStr">
        <is>
          <t>Full-Time</t>
        </is>
      </c>
      <c r="N245" t="inlineStr">
        <is>
          <t>Senior Software Engineer</t>
        </is>
      </c>
      <c r="O245" t="inlineStr">
        <is>
          <t>E3</t>
        </is>
      </c>
      <c r="P245" t="inlineStr">
        <is>
          <t>Senior Software Engineer</t>
        </is>
      </c>
      <c r="Q245" t="inlineStr">
        <is>
          <t>Mohammed Abdul Azeem (1030739)</t>
        </is>
      </c>
      <c r="R245" t="n">
        <v>4</v>
      </c>
      <c r="S245" s="1" t="n">
        <v>250000</v>
      </c>
      <c r="T245" s="1">
        <f>ROUND(T_EMPLOYEES[[#This Row],[EMP_CTC1]]/12, 0)</f>
        <v/>
      </c>
      <c r="U245" s="1" t="n">
        <v>150000</v>
      </c>
      <c r="V245" s="1" t="inlineStr">
        <is>
          <t>NH</t>
        </is>
      </c>
      <c r="W245" s="1" t="inlineStr">
        <is>
          <t>NH</t>
        </is>
      </c>
      <c r="X24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5" t="n">
        <v>100000</v>
      </c>
      <c r="Z245" s="29">
        <f>(S245 - U245)/S245 * 100</f>
        <v/>
      </c>
      <c r="AA245">
        <f>IF(T_EMPLOYEES[[#This Row],[EMPLOYEE NUMBER]]="","",ROW(T_EMPLOYEES[[#This Row],[EMPLOYEE LABEL]])-ROW(T_EMPLOYEES[[#Headers],[EMPLOYEE LABEL]]))</f>
        <v/>
      </c>
      <c r="AB245">
        <f>IF(T_EMPLOYEES[[#This Row],[EMPLOYEE NUMBER]]="","",IF(COUNTIF(T_EMPLOYEES[EMPLOYEE NUMBER],T_EMPLOYEES[[#This Row],[EMPLOYEE NUMBER]])&gt;1,1,0))</f>
        <v/>
      </c>
      <c r="AC245">
        <f>IF(T_EMPLOYEES[[#This Row],[EMPLOYEE NUMBER]]="","",IF(AND(T_EMPLOYEES[[#This Row],[DATE OF BIRTH]]&gt;0,T_EMPLOYEES[[#This Row],[DATE OF BIRTH]]&lt;TODAY()),0,1))</f>
        <v/>
      </c>
      <c r="AD245">
        <f>IF(T_EMPLOYEES[[#This Row],[EMPLOYEE NUMBER]]="","",IF(AND(T_EMPLOYEES[[#This Row],[START DATE]]&gt;0,T_EMPLOYEES[[#This Row],[START DATE]]&lt;TODAY()+60),0,1))</f>
        <v/>
      </c>
      <c r="AE245">
        <f>IF(T_EMPLOYEES[[#This Row],[EMPLOYEE NUMBER]]="","",MATCH(T_EMPLOYEES[[#This Row],[GENDER]],L_GENDER,0))</f>
        <v/>
      </c>
      <c r="AF245">
        <f>IF(T_EMPLOYEES[[#This Row],[EMPLOYEE NUMBER]]="","",MATCH(T_EMPLOYEES[[#This Row],[HIRE SOURCE]],L_HIRESOURCE,0))</f>
        <v/>
      </c>
      <c r="AG245">
        <f>IF(T_EMPLOYEES[[#This Row],[EMPLOYEE NUMBER]]="","",MATCH(T_EMPLOYEES[[#This Row],[ETHNICITY]],L_ETHNICITY,0))</f>
        <v/>
      </c>
      <c r="AH245">
        <f>IF(T_EMPLOYEES[[#This Row],[EMPLOYEE NUMBER]]="","",MATCH(T_EMPLOYEES[[#This Row],[LOCATION]],L_LOCATION,0))</f>
        <v/>
      </c>
      <c r="AI245">
        <f>IF(T_EMPLOYEES[[#This Row],[EMPLOYEE NUMBER]]="","",MATCH(T_EMPLOYEES[[#This Row],[DEPARTMENT]],L_DEPARTMENT,0))</f>
        <v/>
      </c>
      <c r="AJ245">
        <f>IF(T_EMPLOYEES[[#This Row],[EMPLOYEE NUMBER]]="","",MATCH(T_EMPLOYEES[[#This Row],[JOB TYPE]],L_JOBTYPE,0))</f>
        <v/>
      </c>
      <c r="AK245">
        <f>IF(T_EMPLOYEES[[#This Row],[EMPLOYEE NUMBER]]="","",MATCH(T_EMPLOYEES[[#This Row],[JOB CATEGORY]],L_JOBCATEGORY,0))</f>
        <v/>
      </c>
      <c r="AL245">
        <f>IF(T_EMPLOYEES[[#This Row],[EMPLOYEE NUMBER]]="","",MATCH(T_EMPLOYEES[[#This Row],[JOB LEVEL]],L_JOBLEVEL,0))</f>
        <v/>
      </c>
      <c r="AM245">
        <f>IF(T_EMPLOYEES[[#This Row],[EMPLOYEE NUMBER]]="","",MATCH(T_EMPLOYEES[[#This Row],[JOB TITLE]],L_JOBTITLE,0))</f>
        <v/>
      </c>
      <c r="AN245">
        <f>IF(T_EMPLOYEES[[#This Row],[EMPLOYEE NUMBER]]="","",MATCH(T_EMPLOYEES[[#This Row],[MANAGER]],L_EMPLABELS,0))</f>
        <v/>
      </c>
      <c r="AO245">
        <f>IF(T_EMPLOYEES[[#This Row],[EMPLOYEE NUMBER]]="","",IF(T_EMPLOYEES[[#This Row],[ERROR]]="",0,1))</f>
        <v/>
      </c>
      <c r="AP24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45" t="inlineStr">
        <is>
          <t>Benefit Plan</t>
        </is>
      </c>
    </row>
    <row r="246">
      <c r="A246" t="inlineStr">
        <is>
          <t>Siddanna</t>
        </is>
      </c>
      <c r="C246" t="n">
        <v>1027766</v>
      </c>
      <c r="D246" t="inlineStr">
        <is>
          <t>Siddanna.Mallappa@infinite.com</t>
        </is>
      </c>
      <c r="E246" s="26" t="n">
        <v>34121</v>
      </c>
      <c r="F246" s="26" t="n">
        <v>44552</v>
      </c>
      <c r="H246" t="inlineStr">
        <is>
          <t>Male</t>
        </is>
      </c>
      <c r="I246" t="inlineStr">
        <is>
          <t>Asian</t>
        </is>
      </c>
      <c r="J246" t="inlineStr">
        <is>
          <t>WEBSITE</t>
        </is>
      </c>
      <c r="K246" t="inlineStr">
        <is>
          <t>Hyderabad</t>
        </is>
      </c>
      <c r="L246" s="27" t="inlineStr">
        <is>
          <t>IT</t>
        </is>
      </c>
      <c r="M246" t="inlineStr">
        <is>
          <t>Full-Time</t>
        </is>
      </c>
      <c r="N246" t="inlineStr">
        <is>
          <t>Software Test Engineer</t>
        </is>
      </c>
      <c r="O246" t="inlineStr">
        <is>
          <t>E2</t>
        </is>
      </c>
      <c r="P246" t="inlineStr">
        <is>
          <t>Software Test Engineer</t>
        </is>
      </c>
      <c r="Q246" t="inlineStr">
        <is>
          <t>Someshwara Prabhu Nanje Gowda (1021418)</t>
        </is>
      </c>
      <c r="R246" s="27" t="n">
        <v>4</v>
      </c>
      <c r="S246" s="1" t="n">
        <v>250000</v>
      </c>
      <c r="T246" s="1">
        <f>ROUND(T_EMPLOYEES[[#This Row],[EMP_CTC1]]/12, 0)</f>
        <v/>
      </c>
      <c r="U246" s="1" t="n">
        <v>150000</v>
      </c>
      <c r="V246" s="1" t="inlineStr">
        <is>
          <t>NH</t>
        </is>
      </c>
      <c r="W246" s="1" t="inlineStr">
        <is>
          <t>NH</t>
        </is>
      </c>
      <c r="X24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6" t="n">
        <v>100000</v>
      </c>
      <c r="Z246" s="29">
        <f>(S246 - U246)/S246 * 100</f>
        <v/>
      </c>
      <c r="AA246">
        <f>IF(T_EMPLOYEES[[#This Row],[EMPLOYEE NUMBER]]="","",ROW(T_EMPLOYEES[[#This Row],[EMPLOYEE LABEL]])-ROW(T_EMPLOYEES[[#Headers],[EMPLOYEE LABEL]]))</f>
        <v/>
      </c>
      <c r="AB246">
        <f>IF(T_EMPLOYEES[[#This Row],[EMPLOYEE NUMBER]]="","",IF(COUNTIF(T_EMPLOYEES[EMPLOYEE NUMBER],T_EMPLOYEES[[#This Row],[EMPLOYEE NUMBER]])&gt;1,1,0))</f>
        <v/>
      </c>
      <c r="AC246">
        <f>IF(T_EMPLOYEES[[#This Row],[EMPLOYEE NUMBER]]="","",IF(AND(T_EMPLOYEES[[#This Row],[DATE OF BIRTH]]&gt;0,T_EMPLOYEES[[#This Row],[DATE OF BIRTH]]&lt;TODAY()),0,1))</f>
        <v/>
      </c>
      <c r="AD246">
        <f>IF(T_EMPLOYEES[[#This Row],[EMPLOYEE NUMBER]]="","",IF(AND(T_EMPLOYEES[[#This Row],[START DATE]]&gt;0,T_EMPLOYEES[[#This Row],[START DATE]]&lt;TODAY()+60),0,1))</f>
        <v/>
      </c>
      <c r="AE246">
        <f>IF(T_EMPLOYEES[[#This Row],[EMPLOYEE NUMBER]]="","",MATCH(T_EMPLOYEES[[#This Row],[GENDER]],L_GENDER,0))</f>
        <v/>
      </c>
      <c r="AF246">
        <f>IF(T_EMPLOYEES[[#This Row],[EMPLOYEE NUMBER]]="","",MATCH(T_EMPLOYEES[[#This Row],[HIRE SOURCE]],L_HIRESOURCE,0))</f>
        <v/>
      </c>
      <c r="AG246">
        <f>IF(T_EMPLOYEES[[#This Row],[EMPLOYEE NUMBER]]="","",MATCH(T_EMPLOYEES[[#This Row],[ETHNICITY]],L_ETHNICITY,0))</f>
        <v/>
      </c>
      <c r="AH246">
        <f>IF(T_EMPLOYEES[[#This Row],[EMPLOYEE NUMBER]]="","",MATCH(T_EMPLOYEES[[#This Row],[LOCATION]],L_LOCATION,0))</f>
        <v/>
      </c>
      <c r="AI246">
        <f>IF(T_EMPLOYEES[[#This Row],[EMPLOYEE NUMBER]]="","",MATCH(T_EMPLOYEES[[#This Row],[DEPARTMENT]],L_DEPARTMENT,0))</f>
        <v/>
      </c>
      <c r="AJ246">
        <f>IF(T_EMPLOYEES[[#This Row],[EMPLOYEE NUMBER]]="","",MATCH(T_EMPLOYEES[[#This Row],[JOB TYPE]],L_JOBTYPE,0))</f>
        <v/>
      </c>
      <c r="AK246">
        <f>IF(T_EMPLOYEES[[#This Row],[EMPLOYEE NUMBER]]="","",MATCH(T_EMPLOYEES[[#This Row],[JOB CATEGORY]],L_JOBCATEGORY,0))</f>
        <v/>
      </c>
      <c r="AL246">
        <f>IF(T_EMPLOYEES[[#This Row],[EMPLOYEE NUMBER]]="","",MATCH(T_EMPLOYEES[[#This Row],[JOB LEVEL]],L_JOBLEVEL,0))</f>
        <v/>
      </c>
      <c r="AM246">
        <f>IF(T_EMPLOYEES[[#This Row],[EMPLOYEE NUMBER]]="","",MATCH(T_EMPLOYEES[[#This Row],[JOB TITLE]],L_JOBTITLE,0))</f>
        <v/>
      </c>
      <c r="AN246">
        <f>IF(T_EMPLOYEES[[#This Row],[EMPLOYEE NUMBER]]="","",MATCH(T_EMPLOYEES[[#This Row],[MANAGER]],L_EMPLABELS,0))</f>
        <v/>
      </c>
      <c r="AO246">
        <f>IF(T_EMPLOYEES[[#This Row],[EMPLOYEE NUMBER]]="","",IF(T_EMPLOYEES[[#This Row],[ERROR]]="",0,1))</f>
        <v/>
      </c>
      <c r="AP24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7">
      <c r="A247" t="inlineStr">
        <is>
          <t>Kotla</t>
        </is>
      </c>
      <c r="B247" t="inlineStr">
        <is>
          <t>Mariyababu</t>
        </is>
      </c>
      <c r="C247" t="n">
        <v>1033106</v>
      </c>
      <c r="D247" t="inlineStr">
        <is>
          <t>Mariyababu.Kotla@infinite.com</t>
        </is>
      </c>
      <c r="E247" s="26" t="n">
        <v>34125</v>
      </c>
      <c r="F247" s="26" t="n">
        <v>45135</v>
      </c>
      <c r="H247" t="inlineStr">
        <is>
          <t>Male</t>
        </is>
      </c>
      <c r="I247" t="inlineStr">
        <is>
          <t>Asian</t>
        </is>
      </c>
      <c r="J247" t="inlineStr">
        <is>
          <t>WEBSITE</t>
        </is>
      </c>
      <c r="K247" t="inlineStr">
        <is>
          <t>Hyderabad</t>
        </is>
      </c>
      <c r="L247" s="27" t="inlineStr">
        <is>
          <t>IT</t>
        </is>
      </c>
      <c r="M247" t="inlineStr">
        <is>
          <t>Full-Time</t>
        </is>
      </c>
      <c r="N247" t="inlineStr">
        <is>
          <t>Technical Lead</t>
        </is>
      </c>
      <c r="O247" t="inlineStr">
        <is>
          <t>E4</t>
        </is>
      </c>
      <c r="P247" t="inlineStr">
        <is>
          <t>Technical Lead</t>
        </is>
      </c>
      <c r="Q247" t="inlineStr">
        <is>
          <t>P Vinoth  Kumar (1023066)</t>
        </is>
      </c>
      <c r="R247" t="n">
        <v>5</v>
      </c>
      <c r="S247" s="1" t="n">
        <v>250000</v>
      </c>
      <c r="T247" s="1">
        <f>ROUND(T_EMPLOYEES[[#This Row],[EMP_CTC1]]/12, 0)</f>
        <v/>
      </c>
      <c r="U247" s="1" t="n">
        <v>150000</v>
      </c>
      <c r="V247" s="1" t="inlineStr">
        <is>
          <t>NH</t>
        </is>
      </c>
      <c r="W247" s="1" t="inlineStr">
        <is>
          <t>NH</t>
        </is>
      </c>
      <c r="X24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7" t="n">
        <v>100000</v>
      </c>
      <c r="Z247" s="29">
        <f>(S247 - U247)/S247 * 100</f>
        <v/>
      </c>
      <c r="AA247">
        <f>IF(T_EMPLOYEES[[#This Row],[EMPLOYEE NUMBER]]="","",ROW(T_EMPLOYEES[[#This Row],[EMPLOYEE LABEL]])-ROW(T_EMPLOYEES[[#Headers],[EMPLOYEE LABEL]]))</f>
        <v/>
      </c>
      <c r="AB247">
        <f>IF(T_EMPLOYEES[[#This Row],[EMPLOYEE NUMBER]]="","",IF(COUNTIF(T_EMPLOYEES[EMPLOYEE NUMBER],T_EMPLOYEES[[#This Row],[EMPLOYEE NUMBER]])&gt;1,1,0))</f>
        <v/>
      </c>
      <c r="AC247">
        <f>IF(T_EMPLOYEES[[#This Row],[EMPLOYEE NUMBER]]="","",IF(AND(T_EMPLOYEES[[#This Row],[DATE OF BIRTH]]&gt;0,T_EMPLOYEES[[#This Row],[DATE OF BIRTH]]&lt;TODAY()),0,1))</f>
        <v/>
      </c>
      <c r="AD247">
        <f>IF(T_EMPLOYEES[[#This Row],[EMPLOYEE NUMBER]]="","",IF(AND(T_EMPLOYEES[[#This Row],[START DATE]]&gt;0,T_EMPLOYEES[[#This Row],[START DATE]]&lt;TODAY()+60),0,1))</f>
        <v/>
      </c>
      <c r="AE247">
        <f>IF(T_EMPLOYEES[[#This Row],[EMPLOYEE NUMBER]]="","",MATCH(T_EMPLOYEES[[#This Row],[GENDER]],L_GENDER,0))</f>
        <v/>
      </c>
      <c r="AF247">
        <f>IF(T_EMPLOYEES[[#This Row],[EMPLOYEE NUMBER]]="","",MATCH(T_EMPLOYEES[[#This Row],[HIRE SOURCE]],L_HIRESOURCE,0))</f>
        <v/>
      </c>
      <c r="AG247">
        <f>IF(T_EMPLOYEES[[#This Row],[EMPLOYEE NUMBER]]="","",MATCH(T_EMPLOYEES[[#This Row],[ETHNICITY]],L_ETHNICITY,0))</f>
        <v/>
      </c>
      <c r="AH247">
        <f>IF(T_EMPLOYEES[[#This Row],[EMPLOYEE NUMBER]]="","",MATCH(T_EMPLOYEES[[#This Row],[LOCATION]],L_LOCATION,0))</f>
        <v/>
      </c>
      <c r="AI247">
        <f>IF(T_EMPLOYEES[[#This Row],[EMPLOYEE NUMBER]]="","",MATCH(T_EMPLOYEES[[#This Row],[DEPARTMENT]],L_DEPARTMENT,0))</f>
        <v/>
      </c>
      <c r="AJ247">
        <f>IF(T_EMPLOYEES[[#This Row],[EMPLOYEE NUMBER]]="","",MATCH(T_EMPLOYEES[[#This Row],[JOB TYPE]],L_JOBTYPE,0))</f>
        <v/>
      </c>
      <c r="AK247">
        <f>IF(T_EMPLOYEES[[#This Row],[EMPLOYEE NUMBER]]="","",MATCH(T_EMPLOYEES[[#This Row],[JOB CATEGORY]],L_JOBCATEGORY,0))</f>
        <v/>
      </c>
      <c r="AL247">
        <f>IF(T_EMPLOYEES[[#This Row],[EMPLOYEE NUMBER]]="","",MATCH(T_EMPLOYEES[[#This Row],[JOB LEVEL]],L_JOBLEVEL,0))</f>
        <v/>
      </c>
      <c r="AM247">
        <f>IF(T_EMPLOYEES[[#This Row],[EMPLOYEE NUMBER]]="","",MATCH(T_EMPLOYEES[[#This Row],[JOB TITLE]],L_JOBTITLE,0))</f>
        <v/>
      </c>
      <c r="AN247">
        <f>IF(T_EMPLOYEES[[#This Row],[EMPLOYEE NUMBER]]="","",MATCH(T_EMPLOYEES[[#This Row],[MANAGER]],L_EMPLABELS,0))</f>
        <v/>
      </c>
      <c r="AO247">
        <f>IF(T_EMPLOYEES[[#This Row],[EMPLOYEE NUMBER]]="","",IF(T_EMPLOYEES[[#This Row],[ERROR]]="",0,1))</f>
        <v/>
      </c>
      <c r="AP24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8">
      <c r="A248" t="inlineStr">
        <is>
          <t>Sarvesh</t>
        </is>
      </c>
      <c r="B248" t="inlineStr">
        <is>
          <t>Duragannavar</t>
        </is>
      </c>
      <c r="C248" t="n">
        <v>1033117</v>
      </c>
      <c r="D248" t="inlineStr">
        <is>
          <t>Sarvesh.Duragannavar@infinite.com</t>
        </is>
      </c>
      <c r="E248" s="26" t="n">
        <v>34132</v>
      </c>
      <c r="F248" s="26" t="n">
        <v>45138</v>
      </c>
      <c r="H248" t="inlineStr">
        <is>
          <t>Male</t>
        </is>
      </c>
      <c r="I248" t="inlineStr">
        <is>
          <t>Asian</t>
        </is>
      </c>
      <c r="J248" t="inlineStr">
        <is>
          <t>WEBSITE</t>
        </is>
      </c>
      <c r="K248" t="inlineStr">
        <is>
          <t>Bangalore</t>
        </is>
      </c>
      <c r="L248" s="27" t="inlineStr">
        <is>
          <t>IT</t>
        </is>
      </c>
      <c r="M248" t="inlineStr">
        <is>
          <t>Full-Time</t>
        </is>
      </c>
      <c r="N248" t="inlineStr">
        <is>
          <t>Senior Software Engineer</t>
        </is>
      </c>
      <c r="O248" t="inlineStr">
        <is>
          <t>E3</t>
        </is>
      </c>
      <c r="P248" t="inlineStr">
        <is>
          <t>Senior Software Engineer</t>
        </is>
      </c>
      <c r="Q248" t="inlineStr">
        <is>
          <t>P Vinoth  Kumar (1023066)</t>
        </is>
      </c>
      <c r="R248" s="27" t="n">
        <v>4</v>
      </c>
      <c r="S248" s="1" t="n">
        <v>250000</v>
      </c>
      <c r="T248" s="1">
        <f>ROUND(T_EMPLOYEES[[#This Row],[EMP_CTC1]]/12, 0)</f>
        <v/>
      </c>
      <c r="U248" s="1" t="n">
        <v>150000</v>
      </c>
      <c r="V248" s="1" t="inlineStr">
        <is>
          <t>NH</t>
        </is>
      </c>
      <c r="W248" s="1" t="inlineStr">
        <is>
          <t>NH</t>
        </is>
      </c>
      <c r="X24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8" t="n">
        <v>100000</v>
      </c>
      <c r="Z248" s="29">
        <f>(S248 - U248)/S248 * 100</f>
        <v/>
      </c>
      <c r="AA248">
        <f>IF(T_EMPLOYEES[[#This Row],[EMPLOYEE NUMBER]]="","",ROW(T_EMPLOYEES[[#This Row],[EMPLOYEE LABEL]])-ROW(T_EMPLOYEES[[#Headers],[EMPLOYEE LABEL]]))</f>
        <v/>
      </c>
      <c r="AB248">
        <f>IF(T_EMPLOYEES[[#This Row],[EMPLOYEE NUMBER]]="","",IF(COUNTIF(T_EMPLOYEES[EMPLOYEE NUMBER],T_EMPLOYEES[[#This Row],[EMPLOYEE NUMBER]])&gt;1,1,0))</f>
        <v/>
      </c>
      <c r="AC248">
        <f>IF(T_EMPLOYEES[[#This Row],[EMPLOYEE NUMBER]]="","",IF(AND(T_EMPLOYEES[[#This Row],[DATE OF BIRTH]]&gt;0,T_EMPLOYEES[[#This Row],[DATE OF BIRTH]]&lt;TODAY()),0,1))</f>
        <v/>
      </c>
      <c r="AD248">
        <f>IF(T_EMPLOYEES[[#This Row],[EMPLOYEE NUMBER]]="","",IF(AND(T_EMPLOYEES[[#This Row],[START DATE]]&gt;0,T_EMPLOYEES[[#This Row],[START DATE]]&lt;TODAY()+60),0,1))</f>
        <v/>
      </c>
      <c r="AE248">
        <f>IF(T_EMPLOYEES[[#This Row],[EMPLOYEE NUMBER]]="","",MATCH(T_EMPLOYEES[[#This Row],[GENDER]],L_GENDER,0))</f>
        <v/>
      </c>
      <c r="AF248">
        <f>IF(T_EMPLOYEES[[#This Row],[EMPLOYEE NUMBER]]="","",MATCH(T_EMPLOYEES[[#This Row],[HIRE SOURCE]],L_HIRESOURCE,0))</f>
        <v/>
      </c>
      <c r="AG248">
        <f>IF(T_EMPLOYEES[[#This Row],[EMPLOYEE NUMBER]]="","",MATCH(T_EMPLOYEES[[#This Row],[ETHNICITY]],L_ETHNICITY,0))</f>
        <v/>
      </c>
      <c r="AH248">
        <f>IF(T_EMPLOYEES[[#This Row],[EMPLOYEE NUMBER]]="","",MATCH(T_EMPLOYEES[[#This Row],[LOCATION]],L_LOCATION,0))</f>
        <v/>
      </c>
      <c r="AI248">
        <f>IF(T_EMPLOYEES[[#This Row],[EMPLOYEE NUMBER]]="","",MATCH(T_EMPLOYEES[[#This Row],[DEPARTMENT]],L_DEPARTMENT,0))</f>
        <v/>
      </c>
      <c r="AJ248">
        <f>IF(T_EMPLOYEES[[#This Row],[EMPLOYEE NUMBER]]="","",MATCH(T_EMPLOYEES[[#This Row],[JOB TYPE]],L_JOBTYPE,0))</f>
        <v/>
      </c>
      <c r="AK248">
        <f>IF(T_EMPLOYEES[[#This Row],[EMPLOYEE NUMBER]]="","",MATCH(T_EMPLOYEES[[#This Row],[JOB CATEGORY]],L_JOBCATEGORY,0))</f>
        <v/>
      </c>
      <c r="AL248">
        <f>IF(T_EMPLOYEES[[#This Row],[EMPLOYEE NUMBER]]="","",MATCH(T_EMPLOYEES[[#This Row],[JOB LEVEL]],L_JOBLEVEL,0))</f>
        <v/>
      </c>
      <c r="AM248">
        <f>IF(T_EMPLOYEES[[#This Row],[EMPLOYEE NUMBER]]="","",MATCH(T_EMPLOYEES[[#This Row],[JOB TITLE]],L_JOBTITLE,0))</f>
        <v/>
      </c>
      <c r="AN248">
        <f>IF(T_EMPLOYEES[[#This Row],[EMPLOYEE NUMBER]]="","",MATCH(T_EMPLOYEES[[#This Row],[MANAGER]],L_EMPLABELS,0))</f>
        <v/>
      </c>
      <c r="AO248">
        <f>IF(T_EMPLOYEES[[#This Row],[EMPLOYEE NUMBER]]="","",IF(T_EMPLOYEES[[#This Row],[ERROR]]="",0,1))</f>
        <v/>
      </c>
      <c r="AP24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49">
      <c r="A249" t="inlineStr">
        <is>
          <t>Sourav</t>
        </is>
      </c>
      <c r="B249" t="inlineStr">
        <is>
          <t>Roy</t>
        </is>
      </c>
      <c r="C249" t="n">
        <v>1018593</v>
      </c>
      <c r="D249" t="inlineStr">
        <is>
          <t>Sourav.Roy@infinite.com</t>
        </is>
      </c>
      <c r="E249" s="26" t="n">
        <v>34135</v>
      </c>
      <c r="F249" s="26" t="n">
        <v>42578</v>
      </c>
      <c r="H249" t="inlineStr">
        <is>
          <t>Male</t>
        </is>
      </c>
      <c r="I249" t="inlineStr">
        <is>
          <t>Asian</t>
        </is>
      </c>
      <c r="J249" t="inlineStr">
        <is>
          <t>WEBSITE</t>
        </is>
      </c>
      <c r="K249" t="inlineStr">
        <is>
          <t>Bangalore</t>
        </is>
      </c>
      <c r="L249" s="27" t="inlineStr">
        <is>
          <t>Core</t>
        </is>
      </c>
      <c r="M249" t="inlineStr">
        <is>
          <t>Full-Time</t>
        </is>
      </c>
      <c r="N249" t="inlineStr">
        <is>
          <t>Technical Lead</t>
        </is>
      </c>
      <c r="O249" t="inlineStr">
        <is>
          <t>E4</t>
        </is>
      </c>
      <c r="P249" t="inlineStr">
        <is>
          <t>Technical Lead</t>
        </is>
      </c>
      <c r="Q249" t="inlineStr">
        <is>
          <t>Anil Kumar Khamari (1013201)</t>
        </is>
      </c>
      <c r="R249" t="n">
        <v>5</v>
      </c>
      <c r="S249" s="1" t="n">
        <v>250000</v>
      </c>
      <c r="T249" s="1">
        <f>ROUND(T_EMPLOYEES[[#This Row],[EMP_CTC1]]/12, 0)</f>
        <v/>
      </c>
      <c r="U249" s="1" t="n">
        <v>150000</v>
      </c>
      <c r="V249" s="1" t="inlineStr">
        <is>
          <t>NH</t>
        </is>
      </c>
      <c r="W249" s="1" t="inlineStr">
        <is>
          <t>NH</t>
        </is>
      </c>
      <c r="X24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49" t="n">
        <v>100000</v>
      </c>
      <c r="Z249" s="29">
        <f>(S249 - U249)/S249 * 100</f>
        <v/>
      </c>
      <c r="AA249">
        <f>IF(T_EMPLOYEES[[#This Row],[EMPLOYEE NUMBER]]="","",ROW(T_EMPLOYEES[[#This Row],[EMPLOYEE LABEL]])-ROW(T_EMPLOYEES[[#Headers],[EMPLOYEE LABEL]]))</f>
        <v/>
      </c>
      <c r="AB249">
        <f>IF(T_EMPLOYEES[[#This Row],[EMPLOYEE NUMBER]]="","",IF(COUNTIF(T_EMPLOYEES[EMPLOYEE NUMBER],T_EMPLOYEES[[#This Row],[EMPLOYEE NUMBER]])&gt;1,1,0))</f>
        <v/>
      </c>
      <c r="AC249">
        <f>IF(T_EMPLOYEES[[#This Row],[EMPLOYEE NUMBER]]="","",IF(AND(T_EMPLOYEES[[#This Row],[DATE OF BIRTH]]&gt;0,T_EMPLOYEES[[#This Row],[DATE OF BIRTH]]&lt;TODAY()),0,1))</f>
        <v/>
      </c>
      <c r="AD249">
        <f>IF(T_EMPLOYEES[[#This Row],[EMPLOYEE NUMBER]]="","",IF(AND(T_EMPLOYEES[[#This Row],[START DATE]]&gt;0,T_EMPLOYEES[[#This Row],[START DATE]]&lt;TODAY()+60),0,1))</f>
        <v/>
      </c>
      <c r="AE249">
        <f>IF(T_EMPLOYEES[[#This Row],[EMPLOYEE NUMBER]]="","",MATCH(T_EMPLOYEES[[#This Row],[GENDER]],L_GENDER,0))</f>
        <v/>
      </c>
      <c r="AF249">
        <f>IF(T_EMPLOYEES[[#This Row],[EMPLOYEE NUMBER]]="","",MATCH(T_EMPLOYEES[[#This Row],[HIRE SOURCE]],L_HIRESOURCE,0))</f>
        <v/>
      </c>
      <c r="AG249">
        <f>IF(T_EMPLOYEES[[#This Row],[EMPLOYEE NUMBER]]="","",MATCH(T_EMPLOYEES[[#This Row],[ETHNICITY]],L_ETHNICITY,0))</f>
        <v/>
      </c>
      <c r="AH249">
        <f>IF(T_EMPLOYEES[[#This Row],[EMPLOYEE NUMBER]]="","",MATCH(T_EMPLOYEES[[#This Row],[LOCATION]],L_LOCATION,0))</f>
        <v/>
      </c>
      <c r="AI249">
        <f>IF(T_EMPLOYEES[[#This Row],[EMPLOYEE NUMBER]]="","",MATCH(T_EMPLOYEES[[#This Row],[DEPARTMENT]],L_DEPARTMENT,0))</f>
        <v/>
      </c>
      <c r="AJ249">
        <f>IF(T_EMPLOYEES[[#This Row],[EMPLOYEE NUMBER]]="","",MATCH(T_EMPLOYEES[[#This Row],[JOB TYPE]],L_JOBTYPE,0))</f>
        <v/>
      </c>
      <c r="AK249">
        <f>IF(T_EMPLOYEES[[#This Row],[EMPLOYEE NUMBER]]="","",MATCH(T_EMPLOYEES[[#This Row],[JOB CATEGORY]],L_JOBCATEGORY,0))</f>
        <v/>
      </c>
      <c r="AL249">
        <f>IF(T_EMPLOYEES[[#This Row],[EMPLOYEE NUMBER]]="","",MATCH(T_EMPLOYEES[[#This Row],[JOB LEVEL]],L_JOBLEVEL,0))</f>
        <v/>
      </c>
      <c r="AM249">
        <f>IF(T_EMPLOYEES[[#This Row],[EMPLOYEE NUMBER]]="","",MATCH(T_EMPLOYEES[[#This Row],[JOB TITLE]],L_JOBTITLE,0))</f>
        <v/>
      </c>
      <c r="AN249">
        <f>IF(T_EMPLOYEES[[#This Row],[EMPLOYEE NUMBER]]="","",MATCH(T_EMPLOYEES[[#This Row],[MANAGER]],L_EMPLABELS,0))</f>
        <v/>
      </c>
      <c r="AO249">
        <f>IF(T_EMPLOYEES[[#This Row],[EMPLOYEE NUMBER]]="","",IF(T_EMPLOYEES[[#This Row],[ERROR]]="",0,1))</f>
        <v/>
      </c>
      <c r="AP24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0">
      <c r="A250" t="inlineStr">
        <is>
          <t>S</t>
        </is>
      </c>
      <c r="B250" t="inlineStr">
        <is>
          <t>Yuvaraj</t>
        </is>
      </c>
      <c r="C250" t="n">
        <v>1031775</v>
      </c>
      <c r="D250" t="inlineStr">
        <is>
          <t>Yuvaraj.Shankar@infinite.com</t>
        </is>
      </c>
      <c r="E250" s="26" t="n">
        <v>34135</v>
      </c>
      <c r="F250" s="26" t="n">
        <v>44904</v>
      </c>
      <c r="H250" t="inlineStr">
        <is>
          <t>Male</t>
        </is>
      </c>
      <c r="I250" t="inlineStr">
        <is>
          <t>Asian</t>
        </is>
      </c>
      <c r="J250" t="inlineStr">
        <is>
          <t>WEBSITE</t>
        </is>
      </c>
      <c r="K250" t="inlineStr">
        <is>
          <t>Bangalore</t>
        </is>
      </c>
      <c r="L250" s="27" t="inlineStr">
        <is>
          <t>IT</t>
        </is>
      </c>
      <c r="M250" t="inlineStr">
        <is>
          <t>Full-Time</t>
        </is>
      </c>
      <c r="N250" t="inlineStr">
        <is>
          <t>Lead Business Analyst</t>
        </is>
      </c>
      <c r="O250" t="inlineStr">
        <is>
          <t>E4</t>
        </is>
      </c>
      <c r="P250" t="inlineStr">
        <is>
          <t>Lead Business Analyst</t>
        </is>
      </c>
      <c r="Q250" t="inlineStr">
        <is>
          <t>Gangadhar Chiluka (1022458)</t>
        </is>
      </c>
      <c r="R250" s="27" t="n">
        <v>5</v>
      </c>
      <c r="S250" s="1" t="n">
        <v>250000</v>
      </c>
      <c r="T250" s="1">
        <f>ROUND(T_EMPLOYEES[[#This Row],[EMP_CTC1]]/12, 0)</f>
        <v/>
      </c>
      <c r="U250" s="1" t="n">
        <v>150000</v>
      </c>
      <c r="V250" s="1" t="inlineStr">
        <is>
          <t>NH</t>
        </is>
      </c>
      <c r="W250" s="1" t="inlineStr">
        <is>
          <t>NH</t>
        </is>
      </c>
      <c r="X25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0" t="n">
        <v>100000</v>
      </c>
      <c r="Z250" s="29">
        <f>(S250 - U250)/S250 * 100</f>
        <v/>
      </c>
      <c r="AA250">
        <f>IF(T_EMPLOYEES[[#This Row],[EMPLOYEE NUMBER]]="","",ROW(T_EMPLOYEES[[#This Row],[EMPLOYEE LABEL]])-ROW(T_EMPLOYEES[[#Headers],[EMPLOYEE LABEL]]))</f>
        <v/>
      </c>
      <c r="AB250">
        <f>IF(T_EMPLOYEES[[#This Row],[EMPLOYEE NUMBER]]="","",IF(COUNTIF(T_EMPLOYEES[EMPLOYEE NUMBER],T_EMPLOYEES[[#This Row],[EMPLOYEE NUMBER]])&gt;1,1,0))</f>
        <v/>
      </c>
      <c r="AC250">
        <f>IF(T_EMPLOYEES[[#This Row],[EMPLOYEE NUMBER]]="","",IF(AND(T_EMPLOYEES[[#This Row],[DATE OF BIRTH]]&gt;0,T_EMPLOYEES[[#This Row],[DATE OF BIRTH]]&lt;TODAY()),0,1))</f>
        <v/>
      </c>
      <c r="AD250">
        <f>IF(T_EMPLOYEES[[#This Row],[EMPLOYEE NUMBER]]="","",IF(AND(T_EMPLOYEES[[#This Row],[START DATE]]&gt;0,T_EMPLOYEES[[#This Row],[START DATE]]&lt;TODAY()+60),0,1))</f>
        <v/>
      </c>
      <c r="AE250">
        <f>IF(T_EMPLOYEES[[#This Row],[EMPLOYEE NUMBER]]="","",MATCH(T_EMPLOYEES[[#This Row],[GENDER]],L_GENDER,0))</f>
        <v/>
      </c>
      <c r="AF250">
        <f>IF(T_EMPLOYEES[[#This Row],[EMPLOYEE NUMBER]]="","",MATCH(T_EMPLOYEES[[#This Row],[HIRE SOURCE]],L_HIRESOURCE,0))</f>
        <v/>
      </c>
      <c r="AG250">
        <f>IF(T_EMPLOYEES[[#This Row],[EMPLOYEE NUMBER]]="","",MATCH(T_EMPLOYEES[[#This Row],[ETHNICITY]],L_ETHNICITY,0))</f>
        <v/>
      </c>
      <c r="AH250">
        <f>IF(T_EMPLOYEES[[#This Row],[EMPLOYEE NUMBER]]="","",MATCH(T_EMPLOYEES[[#This Row],[LOCATION]],L_LOCATION,0))</f>
        <v/>
      </c>
      <c r="AI250">
        <f>IF(T_EMPLOYEES[[#This Row],[EMPLOYEE NUMBER]]="","",MATCH(T_EMPLOYEES[[#This Row],[DEPARTMENT]],L_DEPARTMENT,0))</f>
        <v/>
      </c>
      <c r="AJ250">
        <f>IF(T_EMPLOYEES[[#This Row],[EMPLOYEE NUMBER]]="","",MATCH(T_EMPLOYEES[[#This Row],[JOB TYPE]],L_JOBTYPE,0))</f>
        <v/>
      </c>
      <c r="AK250">
        <f>IF(T_EMPLOYEES[[#This Row],[EMPLOYEE NUMBER]]="","",MATCH(T_EMPLOYEES[[#This Row],[JOB CATEGORY]],L_JOBCATEGORY,0))</f>
        <v/>
      </c>
      <c r="AL250">
        <f>IF(T_EMPLOYEES[[#This Row],[EMPLOYEE NUMBER]]="","",MATCH(T_EMPLOYEES[[#This Row],[JOB LEVEL]],L_JOBLEVEL,0))</f>
        <v/>
      </c>
      <c r="AM250">
        <f>IF(T_EMPLOYEES[[#This Row],[EMPLOYEE NUMBER]]="","",MATCH(T_EMPLOYEES[[#This Row],[JOB TITLE]],L_JOBTITLE,0))</f>
        <v/>
      </c>
      <c r="AN250">
        <f>IF(T_EMPLOYEES[[#This Row],[EMPLOYEE NUMBER]]="","",MATCH(T_EMPLOYEES[[#This Row],[MANAGER]],L_EMPLABELS,0))</f>
        <v/>
      </c>
      <c r="AO250">
        <f>IF(T_EMPLOYEES[[#This Row],[EMPLOYEE NUMBER]]="","",IF(T_EMPLOYEES[[#This Row],[ERROR]]="",0,1))</f>
        <v/>
      </c>
      <c r="AP25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1">
      <c r="A251" t="inlineStr">
        <is>
          <t>Mohd</t>
        </is>
      </c>
      <c r="B251" t="inlineStr">
        <is>
          <t>Mujtaba Farooqui</t>
        </is>
      </c>
      <c r="C251" t="n">
        <v>1022326</v>
      </c>
      <c r="D251" t="inlineStr">
        <is>
          <t>Mujtaba.Farooqui@infinite.com</t>
        </is>
      </c>
      <c r="E251" s="26" t="n">
        <v>34136</v>
      </c>
      <c r="F251" s="26" t="n">
        <v>43649</v>
      </c>
      <c r="H251" t="inlineStr">
        <is>
          <t>Male</t>
        </is>
      </c>
      <c r="I251" t="inlineStr">
        <is>
          <t>Asian</t>
        </is>
      </c>
      <c r="J251" t="inlineStr">
        <is>
          <t>WEBSITE</t>
        </is>
      </c>
      <c r="K251" t="inlineStr">
        <is>
          <t>Hyderabad</t>
        </is>
      </c>
      <c r="L251" s="27" t="inlineStr">
        <is>
          <t>IT</t>
        </is>
      </c>
      <c r="M251" t="inlineStr">
        <is>
          <t>Full-Time</t>
        </is>
      </c>
      <c r="N251" t="inlineStr">
        <is>
          <t>Senior System Administrator</t>
        </is>
      </c>
      <c r="O251" t="inlineStr">
        <is>
          <t>E3</t>
        </is>
      </c>
      <c r="P251" t="inlineStr">
        <is>
          <t>Senior System Administrator</t>
        </is>
      </c>
      <c r="Q251" t="inlineStr">
        <is>
          <t>Radhakanta  Samantara (1010164)</t>
        </is>
      </c>
      <c r="R251" t="n">
        <v>4</v>
      </c>
      <c r="S251" s="1" t="n">
        <v>250000</v>
      </c>
      <c r="T251" s="1">
        <f>ROUND(T_EMPLOYEES[[#This Row],[EMP_CTC1]]/12, 0)</f>
        <v/>
      </c>
      <c r="U251" s="1" t="n">
        <v>150000</v>
      </c>
      <c r="V251" s="1" t="inlineStr">
        <is>
          <t>NH</t>
        </is>
      </c>
      <c r="W251" s="1" t="inlineStr">
        <is>
          <t>NH</t>
        </is>
      </c>
      <c r="X25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1" t="n">
        <v>100000</v>
      </c>
      <c r="Z251" s="29">
        <f>(S251 - U251)/S251 * 100</f>
        <v/>
      </c>
      <c r="AA251">
        <f>IF(T_EMPLOYEES[[#This Row],[EMPLOYEE NUMBER]]="","",ROW(T_EMPLOYEES[[#This Row],[EMPLOYEE LABEL]])-ROW(T_EMPLOYEES[[#Headers],[EMPLOYEE LABEL]]))</f>
        <v/>
      </c>
      <c r="AB251">
        <f>IF(T_EMPLOYEES[[#This Row],[EMPLOYEE NUMBER]]="","",IF(COUNTIF(T_EMPLOYEES[EMPLOYEE NUMBER],T_EMPLOYEES[[#This Row],[EMPLOYEE NUMBER]])&gt;1,1,0))</f>
        <v/>
      </c>
      <c r="AC251">
        <f>IF(T_EMPLOYEES[[#This Row],[EMPLOYEE NUMBER]]="","",IF(AND(T_EMPLOYEES[[#This Row],[DATE OF BIRTH]]&gt;0,T_EMPLOYEES[[#This Row],[DATE OF BIRTH]]&lt;TODAY()),0,1))</f>
        <v/>
      </c>
      <c r="AD251">
        <f>IF(T_EMPLOYEES[[#This Row],[EMPLOYEE NUMBER]]="","",IF(AND(T_EMPLOYEES[[#This Row],[START DATE]]&gt;0,T_EMPLOYEES[[#This Row],[START DATE]]&lt;TODAY()+60),0,1))</f>
        <v/>
      </c>
      <c r="AE251">
        <f>IF(T_EMPLOYEES[[#This Row],[EMPLOYEE NUMBER]]="","",MATCH(T_EMPLOYEES[[#This Row],[GENDER]],L_GENDER,0))</f>
        <v/>
      </c>
      <c r="AF251">
        <f>IF(T_EMPLOYEES[[#This Row],[EMPLOYEE NUMBER]]="","",MATCH(T_EMPLOYEES[[#This Row],[HIRE SOURCE]],L_HIRESOURCE,0))</f>
        <v/>
      </c>
      <c r="AG251">
        <f>IF(T_EMPLOYEES[[#This Row],[EMPLOYEE NUMBER]]="","",MATCH(T_EMPLOYEES[[#This Row],[ETHNICITY]],L_ETHNICITY,0))</f>
        <v/>
      </c>
      <c r="AH251">
        <f>IF(T_EMPLOYEES[[#This Row],[EMPLOYEE NUMBER]]="","",MATCH(T_EMPLOYEES[[#This Row],[LOCATION]],L_LOCATION,0))</f>
        <v/>
      </c>
      <c r="AI251">
        <f>IF(T_EMPLOYEES[[#This Row],[EMPLOYEE NUMBER]]="","",MATCH(T_EMPLOYEES[[#This Row],[DEPARTMENT]],L_DEPARTMENT,0))</f>
        <v/>
      </c>
      <c r="AJ251">
        <f>IF(T_EMPLOYEES[[#This Row],[EMPLOYEE NUMBER]]="","",MATCH(T_EMPLOYEES[[#This Row],[JOB TYPE]],L_JOBTYPE,0))</f>
        <v/>
      </c>
      <c r="AK251">
        <f>IF(T_EMPLOYEES[[#This Row],[EMPLOYEE NUMBER]]="","",MATCH(T_EMPLOYEES[[#This Row],[JOB CATEGORY]],L_JOBCATEGORY,0))</f>
        <v/>
      </c>
      <c r="AL251">
        <f>IF(T_EMPLOYEES[[#This Row],[EMPLOYEE NUMBER]]="","",MATCH(T_EMPLOYEES[[#This Row],[JOB LEVEL]],L_JOBLEVEL,0))</f>
        <v/>
      </c>
      <c r="AM251">
        <f>IF(T_EMPLOYEES[[#This Row],[EMPLOYEE NUMBER]]="","",MATCH(T_EMPLOYEES[[#This Row],[JOB TITLE]],L_JOBTITLE,0))</f>
        <v/>
      </c>
      <c r="AN251">
        <f>IF(T_EMPLOYEES[[#This Row],[EMPLOYEE NUMBER]]="","",MATCH(T_EMPLOYEES[[#This Row],[MANAGER]],L_EMPLABELS,0))</f>
        <v/>
      </c>
      <c r="AO251">
        <f>IF(T_EMPLOYEES[[#This Row],[EMPLOYEE NUMBER]]="","",IF(T_EMPLOYEES[[#This Row],[ERROR]]="",0,1))</f>
        <v/>
      </c>
      <c r="AP25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2">
      <c r="A252" t="inlineStr">
        <is>
          <t>Anusha</t>
        </is>
      </c>
      <c r="B252" t="inlineStr">
        <is>
          <t>Boda</t>
        </is>
      </c>
      <c r="C252" t="n">
        <v>1028236</v>
      </c>
      <c r="D252" t="inlineStr">
        <is>
          <t>Anusha.Boda@infinite.com</t>
        </is>
      </c>
      <c r="E252" s="26" t="n">
        <v>34168</v>
      </c>
      <c r="F252" s="26" t="n">
        <v>44594</v>
      </c>
      <c r="H252" t="inlineStr">
        <is>
          <t>Female</t>
        </is>
      </c>
      <c r="I252" t="inlineStr">
        <is>
          <t>Asian</t>
        </is>
      </c>
      <c r="J252" t="inlineStr">
        <is>
          <t>WEBSITE</t>
        </is>
      </c>
      <c r="K252" t="inlineStr">
        <is>
          <t>Hyderabad</t>
        </is>
      </c>
      <c r="L252" s="27" t="inlineStr">
        <is>
          <t>IT</t>
        </is>
      </c>
      <c r="M252" t="inlineStr">
        <is>
          <t>Full-Time</t>
        </is>
      </c>
      <c r="N252" t="inlineStr">
        <is>
          <t>Senior Software Engineer</t>
        </is>
      </c>
      <c r="O252" t="inlineStr">
        <is>
          <t>E3</t>
        </is>
      </c>
      <c r="P252" t="inlineStr">
        <is>
          <t>Senior Software Engineer</t>
        </is>
      </c>
      <c r="Q252" t="inlineStr">
        <is>
          <t>Joel Clifton Dsouza (1012233)</t>
        </is>
      </c>
      <c r="R252" s="27" t="n">
        <v>4</v>
      </c>
      <c r="S252" s="1" t="n">
        <v>250000</v>
      </c>
      <c r="T252" s="1">
        <f>ROUND(T_EMPLOYEES[[#This Row],[EMP_CTC1]]/12, 0)</f>
        <v/>
      </c>
      <c r="U252" s="1" t="n">
        <v>150000</v>
      </c>
      <c r="V252" s="1" t="inlineStr">
        <is>
          <t>NH</t>
        </is>
      </c>
      <c r="W252" s="1" t="inlineStr">
        <is>
          <t>NH</t>
        </is>
      </c>
      <c r="X25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2" t="n">
        <v>100000</v>
      </c>
      <c r="Z252" s="29">
        <f>(S252 - U252)/S252 * 100</f>
        <v/>
      </c>
      <c r="AA252">
        <f>IF(T_EMPLOYEES[[#This Row],[EMPLOYEE NUMBER]]="","",ROW(T_EMPLOYEES[[#This Row],[EMPLOYEE LABEL]])-ROW(T_EMPLOYEES[[#Headers],[EMPLOYEE LABEL]]))</f>
        <v/>
      </c>
      <c r="AB252">
        <f>IF(T_EMPLOYEES[[#This Row],[EMPLOYEE NUMBER]]="","",IF(COUNTIF(T_EMPLOYEES[EMPLOYEE NUMBER],T_EMPLOYEES[[#This Row],[EMPLOYEE NUMBER]])&gt;1,1,0))</f>
        <v/>
      </c>
      <c r="AC252">
        <f>IF(T_EMPLOYEES[[#This Row],[EMPLOYEE NUMBER]]="","",IF(AND(T_EMPLOYEES[[#This Row],[DATE OF BIRTH]]&gt;0,T_EMPLOYEES[[#This Row],[DATE OF BIRTH]]&lt;TODAY()),0,1))</f>
        <v/>
      </c>
      <c r="AD252">
        <f>IF(T_EMPLOYEES[[#This Row],[EMPLOYEE NUMBER]]="","",IF(AND(T_EMPLOYEES[[#This Row],[START DATE]]&gt;0,T_EMPLOYEES[[#This Row],[START DATE]]&lt;TODAY()+60),0,1))</f>
        <v/>
      </c>
      <c r="AE252">
        <f>IF(T_EMPLOYEES[[#This Row],[EMPLOYEE NUMBER]]="","",MATCH(T_EMPLOYEES[[#This Row],[GENDER]],L_GENDER,0))</f>
        <v/>
      </c>
      <c r="AF252">
        <f>IF(T_EMPLOYEES[[#This Row],[EMPLOYEE NUMBER]]="","",MATCH(T_EMPLOYEES[[#This Row],[HIRE SOURCE]],L_HIRESOURCE,0))</f>
        <v/>
      </c>
      <c r="AG252">
        <f>IF(T_EMPLOYEES[[#This Row],[EMPLOYEE NUMBER]]="","",MATCH(T_EMPLOYEES[[#This Row],[ETHNICITY]],L_ETHNICITY,0))</f>
        <v/>
      </c>
      <c r="AH252">
        <f>IF(T_EMPLOYEES[[#This Row],[EMPLOYEE NUMBER]]="","",MATCH(T_EMPLOYEES[[#This Row],[LOCATION]],L_LOCATION,0))</f>
        <v/>
      </c>
      <c r="AI252">
        <f>IF(T_EMPLOYEES[[#This Row],[EMPLOYEE NUMBER]]="","",MATCH(T_EMPLOYEES[[#This Row],[DEPARTMENT]],L_DEPARTMENT,0))</f>
        <v/>
      </c>
      <c r="AJ252">
        <f>IF(T_EMPLOYEES[[#This Row],[EMPLOYEE NUMBER]]="","",MATCH(T_EMPLOYEES[[#This Row],[JOB TYPE]],L_JOBTYPE,0))</f>
        <v/>
      </c>
      <c r="AK252">
        <f>IF(T_EMPLOYEES[[#This Row],[EMPLOYEE NUMBER]]="","",MATCH(T_EMPLOYEES[[#This Row],[JOB CATEGORY]],L_JOBCATEGORY,0))</f>
        <v/>
      </c>
      <c r="AL252">
        <f>IF(T_EMPLOYEES[[#This Row],[EMPLOYEE NUMBER]]="","",MATCH(T_EMPLOYEES[[#This Row],[JOB LEVEL]],L_JOBLEVEL,0))</f>
        <v/>
      </c>
      <c r="AM252">
        <f>IF(T_EMPLOYEES[[#This Row],[EMPLOYEE NUMBER]]="","",MATCH(T_EMPLOYEES[[#This Row],[JOB TITLE]],L_JOBTITLE,0))</f>
        <v/>
      </c>
      <c r="AN252">
        <f>IF(T_EMPLOYEES[[#This Row],[EMPLOYEE NUMBER]]="","",MATCH(T_EMPLOYEES[[#This Row],[MANAGER]],L_EMPLABELS,0))</f>
        <v/>
      </c>
      <c r="AO252">
        <f>IF(T_EMPLOYEES[[#This Row],[EMPLOYEE NUMBER]]="","",IF(T_EMPLOYEES[[#This Row],[ERROR]]="",0,1))</f>
        <v/>
      </c>
      <c r="AP25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3">
      <c r="A253" t="inlineStr">
        <is>
          <t>Shankar</t>
        </is>
      </c>
      <c r="B253" t="inlineStr">
        <is>
          <t>Kalyanrao Deshpande</t>
        </is>
      </c>
      <c r="C253" t="n">
        <v>1027928</v>
      </c>
      <c r="D253" t="inlineStr">
        <is>
          <t>Shankar.Deshpande@infinite.com</t>
        </is>
      </c>
      <c r="E253" s="26" t="n">
        <v>34176</v>
      </c>
      <c r="F253" s="26" t="n">
        <v>44566</v>
      </c>
      <c r="H253" t="inlineStr">
        <is>
          <t>Male</t>
        </is>
      </c>
      <c r="I253" t="inlineStr">
        <is>
          <t>Asian</t>
        </is>
      </c>
      <c r="J253" t="inlineStr">
        <is>
          <t>WEBSITE</t>
        </is>
      </c>
      <c r="K253" t="inlineStr">
        <is>
          <t>Hyderabad</t>
        </is>
      </c>
      <c r="L253" s="27" t="inlineStr">
        <is>
          <t>QA</t>
        </is>
      </c>
      <c r="M253" t="inlineStr">
        <is>
          <t>Full-Time</t>
        </is>
      </c>
      <c r="N253" t="inlineStr">
        <is>
          <t>Software Test Engineer</t>
        </is>
      </c>
      <c r="O253" t="inlineStr">
        <is>
          <t>E2</t>
        </is>
      </c>
      <c r="P253" t="inlineStr">
        <is>
          <t>Software Test Engineer</t>
        </is>
      </c>
      <c r="Q253" t="inlineStr">
        <is>
          <t>Vinayak  Tatuskar (1023387)</t>
        </is>
      </c>
      <c r="R253" t="n">
        <v>4</v>
      </c>
      <c r="S253" s="1" t="n">
        <v>250000</v>
      </c>
      <c r="T253" s="1">
        <f>ROUND(T_EMPLOYEES[[#This Row],[EMP_CTC1]]/12, 0)</f>
        <v/>
      </c>
      <c r="U253" s="1" t="n">
        <v>150000</v>
      </c>
      <c r="V253" s="1" t="inlineStr">
        <is>
          <t>NH</t>
        </is>
      </c>
      <c r="W253" s="1" t="inlineStr">
        <is>
          <t>NH</t>
        </is>
      </c>
      <c r="X25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3" t="n">
        <v>100000</v>
      </c>
      <c r="Z253" s="29">
        <f>(S253 - U253)/S253 * 100</f>
        <v/>
      </c>
      <c r="AA253">
        <f>IF(T_EMPLOYEES[[#This Row],[EMPLOYEE NUMBER]]="","",ROW(T_EMPLOYEES[[#This Row],[EMPLOYEE LABEL]])-ROW(T_EMPLOYEES[[#Headers],[EMPLOYEE LABEL]]))</f>
        <v/>
      </c>
      <c r="AB253">
        <f>IF(T_EMPLOYEES[[#This Row],[EMPLOYEE NUMBER]]="","",IF(COUNTIF(T_EMPLOYEES[EMPLOYEE NUMBER],T_EMPLOYEES[[#This Row],[EMPLOYEE NUMBER]])&gt;1,1,0))</f>
        <v/>
      </c>
      <c r="AC253">
        <f>IF(T_EMPLOYEES[[#This Row],[EMPLOYEE NUMBER]]="","",IF(AND(T_EMPLOYEES[[#This Row],[DATE OF BIRTH]]&gt;0,T_EMPLOYEES[[#This Row],[DATE OF BIRTH]]&lt;TODAY()),0,1))</f>
        <v/>
      </c>
      <c r="AD253">
        <f>IF(T_EMPLOYEES[[#This Row],[EMPLOYEE NUMBER]]="","",IF(AND(T_EMPLOYEES[[#This Row],[START DATE]]&gt;0,T_EMPLOYEES[[#This Row],[START DATE]]&lt;TODAY()+60),0,1))</f>
        <v/>
      </c>
      <c r="AE253">
        <f>IF(T_EMPLOYEES[[#This Row],[EMPLOYEE NUMBER]]="","",MATCH(T_EMPLOYEES[[#This Row],[GENDER]],L_GENDER,0))</f>
        <v/>
      </c>
      <c r="AF253">
        <f>IF(T_EMPLOYEES[[#This Row],[EMPLOYEE NUMBER]]="","",MATCH(T_EMPLOYEES[[#This Row],[HIRE SOURCE]],L_HIRESOURCE,0))</f>
        <v/>
      </c>
      <c r="AG253">
        <f>IF(T_EMPLOYEES[[#This Row],[EMPLOYEE NUMBER]]="","",MATCH(T_EMPLOYEES[[#This Row],[ETHNICITY]],L_ETHNICITY,0))</f>
        <v/>
      </c>
      <c r="AH253">
        <f>IF(T_EMPLOYEES[[#This Row],[EMPLOYEE NUMBER]]="","",MATCH(T_EMPLOYEES[[#This Row],[LOCATION]],L_LOCATION,0))</f>
        <v/>
      </c>
      <c r="AI253">
        <f>IF(T_EMPLOYEES[[#This Row],[EMPLOYEE NUMBER]]="","",MATCH(T_EMPLOYEES[[#This Row],[DEPARTMENT]],L_DEPARTMENT,0))</f>
        <v/>
      </c>
      <c r="AJ253">
        <f>IF(T_EMPLOYEES[[#This Row],[EMPLOYEE NUMBER]]="","",MATCH(T_EMPLOYEES[[#This Row],[JOB TYPE]],L_JOBTYPE,0))</f>
        <v/>
      </c>
      <c r="AK253">
        <f>IF(T_EMPLOYEES[[#This Row],[EMPLOYEE NUMBER]]="","",MATCH(T_EMPLOYEES[[#This Row],[JOB CATEGORY]],L_JOBCATEGORY,0))</f>
        <v/>
      </c>
      <c r="AL253">
        <f>IF(T_EMPLOYEES[[#This Row],[EMPLOYEE NUMBER]]="","",MATCH(T_EMPLOYEES[[#This Row],[JOB LEVEL]],L_JOBLEVEL,0))</f>
        <v/>
      </c>
      <c r="AM253">
        <f>IF(T_EMPLOYEES[[#This Row],[EMPLOYEE NUMBER]]="","",MATCH(T_EMPLOYEES[[#This Row],[JOB TITLE]],L_JOBTITLE,0))</f>
        <v/>
      </c>
      <c r="AN253">
        <f>IF(T_EMPLOYEES[[#This Row],[EMPLOYEE NUMBER]]="","",MATCH(T_EMPLOYEES[[#This Row],[MANAGER]],L_EMPLABELS,0))</f>
        <v/>
      </c>
      <c r="AO253">
        <f>IF(T_EMPLOYEES[[#This Row],[EMPLOYEE NUMBER]]="","",IF(T_EMPLOYEES[[#This Row],[ERROR]]="",0,1))</f>
        <v/>
      </c>
      <c r="AP25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4">
      <c r="A254" t="inlineStr">
        <is>
          <t>Shaik</t>
        </is>
      </c>
      <c r="B254" t="inlineStr">
        <is>
          <t>Kalesha Vali</t>
        </is>
      </c>
      <c r="C254" t="n">
        <v>1028277</v>
      </c>
      <c r="D254" t="inlineStr">
        <is>
          <t>Kalesha.Shaik@infinite.com</t>
        </is>
      </c>
      <c r="E254" s="26" t="n">
        <v>34198</v>
      </c>
      <c r="F254" s="26" t="n">
        <v>44599</v>
      </c>
      <c r="H254" t="inlineStr">
        <is>
          <t>Male</t>
        </is>
      </c>
      <c r="I254" t="inlineStr">
        <is>
          <t>Asian</t>
        </is>
      </c>
      <c r="J254" t="inlineStr">
        <is>
          <t>WEBSITE</t>
        </is>
      </c>
      <c r="K254" t="inlineStr">
        <is>
          <t>Bangalore</t>
        </is>
      </c>
      <c r="L254" s="27" t="inlineStr">
        <is>
          <t>IT</t>
        </is>
      </c>
      <c r="M254" t="inlineStr">
        <is>
          <t>Full-Time</t>
        </is>
      </c>
      <c r="N254" t="inlineStr">
        <is>
          <t>Senior Software Test Engineer</t>
        </is>
      </c>
      <c r="O254" t="inlineStr">
        <is>
          <t>E3</t>
        </is>
      </c>
      <c r="P254" t="inlineStr">
        <is>
          <t>Senior Software Test Engineer</t>
        </is>
      </c>
      <c r="Q254" t="inlineStr">
        <is>
          <t>Banuka  Hari Prasad (1026788)</t>
        </is>
      </c>
      <c r="R254" s="27" t="n">
        <v>4</v>
      </c>
      <c r="S254" s="1" t="n">
        <v>250000</v>
      </c>
      <c r="T254" s="1">
        <f>ROUND(T_EMPLOYEES[[#This Row],[EMP_CTC1]]/12, 0)</f>
        <v/>
      </c>
      <c r="U254" s="1" t="n">
        <v>150000</v>
      </c>
      <c r="V254" s="1" t="inlineStr">
        <is>
          <t>NH</t>
        </is>
      </c>
      <c r="W254" s="1" t="inlineStr">
        <is>
          <t>NH</t>
        </is>
      </c>
      <c r="X25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4" t="n">
        <v>100000</v>
      </c>
      <c r="Z254" s="29">
        <f>(S254 - U254)/S254 * 100</f>
        <v/>
      </c>
      <c r="AA254">
        <f>IF(T_EMPLOYEES[[#This Row],[EMPLOYEE NUMBER]]="","",ROW(T_EMPLOYEES[[#This Row],[EMPLOYEE LABEL]])-ROW(T_EMPLOYEES[[#Headers],[EMPLOYEE LABEL]]))</f>
        <v/>
      </c>
      <c r="AB254">
        <f>IF(T_EMPLOYEES[[#This Row],[EMPLOYEE NUMBER]]="","",IF(COUNTIF(T_EMPLOYEES[EMPLOYEE NUMBER],T_EMPLOYEES[[#This Row],[EMPLOYEE NUMBER]])&gt;1,1,0))</f>
        <v/>
      </c>
      <c r="AC254">
        <f>IF(T_EMPLOYEES[[#This Row],[EMPLOYEE NUMBER]]="","",IF(AND(T_EMPLOYEES[[#This Row],[DATE OF BIRTH]]&gt;0,T_EMPLOYEES[[#This Row],[DATE OF BIRTH]]&lt;TODAY()),0,1))</f>
        <v/>
      </c>
      <c r="AD254">
        <f>IF(T_EMPLOYEES[[#This Row],[EMPLOYEE NUMBER]]="","",IF(AND(T_EMPLOYEES[[#This Row],[START DATE]]&gt;0,T_EMPLOYEES[[#This Row],[START DATE]]&lt;TODAY()+60),0,1))</f>
        <v/>
      </c>
      <c r="AE254">
        <f>IF(T_EMPLOYEES[[#This Row],[EMPLOYEE NUMBER]]="","",MATCH(T_EMPLOYEES[[#This Row],[GENDER]],L_GENDER,0))</f>
        <v/>
      </c>
      <c r="AF254">
        <f>IF(T_EMPLOYEES[[#This Row],[EMPLOYEE NUMBER]]="","",MATCH(T_EMPLOYEES[[#This Row],[HIRE SOURCE]],L_HIRESOURCE,0))</f>
        <v/>
      </c>
      <c r="AG254">
        <f>IF(T_EMPLOYEES[[#This Row],[EMPLOYEE NUMBER]]="","",MATCH(T_EMPLOYEES[[#This Row],[ETHNICITY]],L_ETHNICITY,0))</f>
        <v/>
      </c>
      <c r="AH254">
        <f>IF(T_EMPLOYEES[[#This Row],[EMPLOYEE NUMBER]]="","",MATCH(T_EMPLOYEES[[#This Row],[LOCATION]],L_LOCATION,0))</f>
        <v/>
      </c>
      <c r="AI254">
        <f>IF(T_EMPLOYEES[[#This Row],[EMPLOYEE NUMBER]]="","",MATCH(T_EMPLOYEES[[#This Row],[DEPARTMENT]],L_DEPARTMENT,0))</f>
        <v/>
      </c>
      <c r="AJ254">
        <f>IF(T_EMPLOYEES[[#This Row],[EMPLOYEE NUMBER]]="","",MATCH(T_EMPLOYEES[[#This Row],[JOB TYPE]],L_JOBTYPE,0))</f>
        <v/>
      </c>
      <c r="AK254">
        <f>IF(T_EMPLOYEES[[#This Row],[EMPLOYEE NUMBER]]="","",MATCH(T_EMPLOYEES[[#This Row],[JOB CATEGORY]],L_JOBCATEGORY,0))</f>
        <v/>
      </c>
      <c r="AL254">
        <f>IF(T_EMPLOYEES[[#This Row],[EMPLOYEE NUMBER]]="","",MATCH(T_EMPLOYEES[[#This Row],[JOB LEVEL]],L_JOBLEVEL,0))</f>
        <v/>
      </c>
      <c r="AM254">
        <f>IF(T_EMPLOYEES[[#This Row],[EMPLOYEE NUMBER]]="","",MATCH(T_EMPLOYEES[[#This Row],[JOB TITLE]],L_JOBTITLE,0))</f>
        <v/>
      </c>
      <c r="AN254">
        <f>IF(T_EMPLOYEES[[#This Row],[EMPLOYEE NUMBER]]="","",MATCH(T_EMPLOYEES[[#This Row],[MANAGER]],L_EMPLABELS,0))</f>
        <v/>
      </c>
      <c r="AO254">
        <f>IF(T_EMPLOYEES[[#This Row],[EMPLOYEE NUMBER]]="","",IF(T_EMPLOYEES[[#This Row],[ERROR]]="",0,1))</f>
        <v/>
      </c>
      <c r="AP25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5">
      <c r="A255" t="inlineStr">
        <is>
          <t>Akshay</t>
        </is>
      </c>
      <c r="B255" t="inlineStr">
        <is>
          <t>Sharad Patil</t>
        </is>
      </c>
      <c r="C255" t="n">
        <v>1031092</v>
      </c>
      <c r="D255" t="inlineStr">
        <is>
          <t>Akshay.Patil@infinite.com</t>
        </is>
      </c>
      <c r="E255" s="26" t="n">
        <v>34225</v>
      </c>
      <c r="F255" s="26" t="n">
        <v>44889</v>
      </c>
      <c r="H255" t="inlineStr">
        <is>
          <t>Male</t>
        </is>
      </c>
      <c r="I255" t="inlineStr">
        <is>
          <t>Asian</t>
        </is>
      </c>
      <c r="J255" t="inlineStr">
        <is>
          <t>WEBSITE</t>
        </is>
      </c>
      <c r="K255" t="inlineStr">
        <is>
          <t>Hyderabad</t>
        </is>
      </c>
      <c r="L255" s="27" t="inlineStr">
        <is>
          <t>IT</t>
        </is>
      </c>
      <c r="M255" t="inlineStr">
        <is>
          <t>Full-Time</t>
        </is>
      </c>
      <c r="N255" t="inlineStr">
        <is>
          <t>Associate Software Engineer</t>
        </is>
      </c>
      <c r="O255" t="inlineStr">
        <is>
          <t>E1</t>
        </is>
      </c>
      <c r="P255" t="inlineStr">
        <is>
          <t>Associate Software Engineer</t>
        </is>
      </c>
      <c r="Q255" t="inlineStr">
        <is>
          <t>Sunny Bhattacharjee (1025863)</t>
        </is>
      </c>
      <c r="R255" t="n">
        <v>0</v>
      </c>
      <c r="S255" s="1" t="n">
        <v>250000</v>
      </c>
      <c r="T255" s="1">
        <f>ROUND(T_EMPLOYEES[[#This Row],[EMP_CTC1]]/12, 0)</f>
        <v/>
      </c>
      <c r="U255" s="1" t="n">
        <v>150000</v>
      </c>
      <c r="V255" s="1" t="inlineStr">
        <is>
          <t>NH</t>
        </is>
      </c>
      <c r="W255" s="1" t="inlineStr">
        <is>
          <t>NH</t>
        </is>
      </c>
      <c r="X25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5" t="n">
        <v>100000</v>
      </c>
      <c r="Z255" s="29">
        <f>(S255 - U255)/S255 * 100</f>
        <v/>
      </c>
      <c r="AA255">
        <f>IF(T_EMPLOYEES[[#This Row],[EMPLOYEE NUMBER]]="","",ROW(T_EMPLOYEES[[#This Row],[EMPLOYEE LABEL]])-ROW(T_EMPLOYEES[[#Headers],[EMPLOYEE LABEL]]))</f>
        <v/>
      </c>
      <c r="AB255">
        <f>IF(T_EMPLOYEES[[#This Row],[EMPLOYEE NUMBER]]="","",IF(COUNTIF(T_EMPLOYEES[EMPLOYEE NUMBER],T_EMPLOYEES[[#This Row],[EMPLOYEE NUMBER]])&gt;1,1,0))</f>
        <v/>
      </c>
      <c r="AC255">
        <f>IF(T_EMPLOYEES[[#This Row],[EMPLOYEE NUMBER]]="","",IF(AND(T_EMPLOYEES[[#This Row],[DATE OF BIRTH]]&gt;0,T_EMPLOYEES[[#This Row],[DATE OF BIRTH]]&lt;TODAY()),0,1))</f>
        <v/>
      </c>
      <c r="AD255">
        <f>IF(T_EMPLOYEES[[#This Row],[EMPLOYEE NUMBER]]="","",IF(AND(T_EMPLOYEES[[#This Row],[START DATE]]&gt;0,T_EMPLOYEES[[#This Row],[START DATE]]&lt;TODAY()+60),0,1))</f>
        <v/>
      </c>
      <c r="AE255">
        <f>IF(T_EMPLOYEES[[#This Row],[EMPLOYEE NUMBER]]="","",MATCH(T_EMPLOYEES[[#This Row],[GENDER]],L_GENDER,0))</f>
        <v/>
      </c>
      <c r="AF255">
        <f>IF(T_EMPLOYEES[[#This Row],[EMPLOYEE NUMBER]]="","",MATCH(T_EMPLOYEES[[#This Row],[HIRE SOURCE]],L_HIRESOURCE,0))</f>
        <v/>
      </c>
      <c r="AG255">
        <f>IF(T_EMPLOYEES[[#This Row],[EMPLOYEE NUMBER]]="","",MATCH(T_EMPLOYEES[[#This Row],[ETHNICITY]],L_ETHNICITY,0))</f>
        <v/>
      </c>
      <c r="AH255">
        <f>IF(T_EMPLOYEES[[#This Row],[EMPLOYEE NUMBER]]="","",MATCH(T_EMPLOYEES[[#This Row],[LOCATION]],L_LOCATION,0))</f>
        <v/>
      </c>
      <c r="AI255">
        <f>IF(T_EMPLOYEES[[#This Row],[EMPLOYEE NUMBER]]="","",MATCH(T_EMPLOYEES[[#This Row],[DEPARTMENT]],L_DEPARTMENT,0))</f>
        <v/>
      </c>
      <c r="AJ255">
        <f>IF(T_EMPLOYEES[[#This Row],[EMPLOYEE NUMBER]]="","",MATCH(T_EMPLOYEES[[#This Row],[JOB TYPE]],L_JOBTYPE,0))</f>
        <v/>
      </c>
      <c r="AK255">
        <f>IF(T_EMPLOYEES[[#This Row],[EMPLOYEE NUMBER]]="","",MATCH(T_EMPLOYEES[[#This Row],[JOB CATEGORY]],L_JOBCATEGORY,0))</f>
        <v/>
      </c>
      <c r="AL255">
        <f>IF(T_EMPLOYEES[[#This Row],[EMPLOYEE NUMBER]]="","",MATCH(T_EMPLOYEES[[#This Row],[JOB LEVEL]],L_JOBLEVEL,0))</f>
        <v/>
      </c>
      <c r="AM255">
        <f>IF(T_EMPLOYEES[[#This Row],[EMPLOYEE NUMBER]]="","",MATCH(T_EMPLOYEES[[#This Row],[JOB TITLE]],L_JOBTITLE,0))</f>
        <v/>
      </c>
      <c r="AN255">
        <f>IF(T_EMPLOYEES[[#This Row],[EMPLOYEE NUMBER]]="","",MATCH(T_EMPLOYEES[[#This Row],[MANAGER]],L_EMPLABELS,0))</f>
        <v/>
      </c>
      <c r="AO255">
        <f>IF(T_EMPLOYEES[[#This Row],[EMPLOYEE NUMBER]]="","",IF(T_EMPLOYEES[[#This Row],[ERROR]]="",0,1))</f>
        <v/>
      </c>
      <c r="AP25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6">
      <c r="A256" t="inlineStr">
        <is>
          <t>Roshan</t>
        </is>
      </c>
      <c r="B256" t="inlineStr">
        <is>
          <t xml:space="preserve"> Lomga</t>
        </is>
      </c>
      <c r="C256" t="n">
        <v>1032459</v>
      </c>
      <c r="D256" t="inlineStr">
        <is>
          <t>Roshan.Lomga@infinite.com</t>
        </is>
      </c>
      <c r="E256" s="26" t="n">
        <v>34239</v>
      </c>
      <c r="F256" s="26" t="n">
        <v>45013</v>
      </c>
      <c r="H256" t="inlineStr">
        <is>
          <t>Male</t>
        </is>
      </c>
      <c r="I256" t="inlineStr">
        <is>
          <t>Asian</t>
        </is>
      </c>
      <c r="J256" t="inlineStr">
        <is>
          <t>WEBSITE</t>
        </is>
      </c>
      <c r="K256" t="inlineStr">
        <is>
          <t>Bangalore</t>
        </is>
      </c>
      <c r="L256" s="27" t="inlineStr">
        <is>
          <t>IT</t>
        </is>
      </c>
      <c r="M256" t="inlineStr">
        <is>
          <t>Full-Time</t>
        </is>
      </c>
      <c r="N256" t="inlineStr">
        <is>
          <t>Senior Software Engineer</t>
        </is>
      </c>
      <c r="O256" t="inlineStr">
        <is>
          <t>E3</t>
        </is>
      </c>
      <c r="P256" t="inlineStr">
        <is>
          <t>Senior Software Engineer</t>
        </is>
      </c>
      <c r="Q256" t="inlineStr">
        <is>
          <t>Niranjan Reddy G (1032824)</t>
        </is>
      </c>
      <c r="R256" s="27" t="n">
        <v>4</v>
      </c>
      <c r="S256" s="1" t="n">
        <v>250000</v>
      </c>
      <c r="T256" s="1">
        <f>ROUND(T_EMPLOYEES[[#This Row],[EMP_CTC1]]/12, 0)</f>
        <v/>
      </c>
      <c r="U256" s="1" t="n">
        <v>150000</v>
      </c>
      <c r="V256" s="1" t="inlineStr">
        <is>
          <t>NH</t>
        </is>
      </c>
      <c r="W256" s="1" t="inlineStr">
        <is>
          <t>NH</t>
        </is>
      </c>
      <c r="X25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6" t="n">
        <v>100000</v>
      </c>
      <c r="Z256" s="29">
        <f>(S256 - U256)/S256 * 100</f>
        <v/>
      </c>
      <c r="AA256">
        <f>IF(T_EMPLOYEES[[#This Row],[EMPLOYEE NUMBER]]="","",ROW(T_EMPLOYEES[[#This Row],[EMPLOYEE LABEL]])-ROW(T_EMPLOYEES[[#Headers],[EMPLOYEE LABEL]]))</f>
        <v/>
      </c>
      <c r="AB256">
        <f>IF(T_EMPLOYEES[[#This Row],[EMPLOYEE NUMBER]]="","",IF(COUNTIF(T_EMPLOYEES[EMPLOYEE NUMBER],T_EMPLOYEES[[#This Row],[EMPLOYEE NUMBER]])&gt;1,1,0))</f>
        <v/>
      </c>
      <c r="AC256">
        <f>IF(T_EMPLOYEES[[#This Row],[EMPLOYEE NUMBER]]="","",IF(AND(T_EMPLOYEES[[#This Row],[DATE OF BIRTH]]&gt;0,T_EMPLOYEES[[#This Row],[DATE OF BIRTH]]&lt;TODAY()),0,1))</f>
        <v/>
      </c>
      <c r="AD256">
        <f>IF(T_EMPLOYEES[[#This Row],[EMPLOYEE NUMBER]]="","",IF(AND(T_EMPLOYEES[[#This Row],[START DATE]]&gt;0,T_EMPLOYEES[[#This Row],[START DATE]]&lt;TODAY()+60),0,1))</f>
        <v/>
      </c>
      <c r="AE256">
        <f>IF(T_EMPLOYEES[[#This Row],[EMPLOYEE NUMBER]]="","",MATCH(T_EMPLOYEES[[#This Row],[GENDER]],L_GENDER,0))</f>
        <v/>
      </c>
      <c r="AF256">
        <f>IF(T_EMPLOYEES[[#This Row],[EMPLOYEE NUMBER]]="","",MATCH(T_EMPLOYEES[[#This Row],[HIRE SOURCE]],L_HIRESOURCE,0))</f>
        <v/>
      </c>
      <c r="AG256">
        <f>IF(T_EMPLOYEES[[#This Row],[EMPLOYEE NUMBER]]="","",MATCH(T_EMPLOYEES[[#This Row],[ETHNICITY]],L_ETHNICITY,0))</f>
        <v/>
      </c>
      <c r="AH256">
        <f>IF(T_EMPLOYEES[[#This Row],[EMPLOYEE NUMBER]]="","",MATCH(T_EMPLOYEES[[#This Row],[LOCATION]],L_LOCATION,0))</f>
        <v/>
      </c>
      <c r="AI256">
        <f>IF(T_EMPLOYEES[[#This Row],[EMPLOYEE NUMBER]]="","",MATCH(T_EMPLOYEES[[#This Row],[DEPARTMENT]],L_DEPARTMENT,0))</f>
        <v/>
      </c>
      <c r="AJ256">
        <f>IF(T_EMPLOYEES[[#This Row],[EMPLOYEE NUMBER]]="","",MATCH(T_EMPLOYEES[[#This Row],[JOB TYPE]],L_JOBTYPE,0))</f>
        <v/>
      </c>
      <c r="AK256">
        <f>IF(T_EMPLOYEES[[#This Row],[EMPLOYEE NUMBER]]="","",MATCH(T_EMPLOYEES[[#This Row],[JOB CATEGORY]],L_JOBCATEGORY,0))</f>
        <v/>
      </c>
      <c r="AL256">
        <f>IF(T_EMPLOYEES[[#This Row],[EMPLOYEE NUMBER]]="","",MATCH(T_EMPLOYEES[[#This Row],[JOB LEVEL]],L_JOBLEVEL,0))</f>
        <v/>
      </c>
      <c r="AM256">
        <f>IF(T_EMPLOYEES[[#This Row],[EMPLOYEE NUMBER]]="","",MATCH(T_EMPLOYEES[[#This Row],[JOB TITLE]],L_JOBTITLE,0))</f>
        <v/>
      </c>
      <c r="AN256">
        <f>IF(T_EMPLOYEES[[#This Row],[EMPLOYEE NUMBER]]="","",MATCH(T_EMPLOYEES[[#This Row],[MANAGER]],L_EMPLABELS,0))</f>
        <v/>
      </c>
      <c r="AO256">
        <f>IF(T_EMPLOYEES[[#This Row],[EMPLOYEE NUMBER]]="","",IF(T_EMPLOYEES[[#This Row],[ERROR]]="",0,1))</f>
        <v/>
      </c>
      <c r="AP25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7">
      <c r="A257" t="inlineStr">
        <is>
          <t>Deepiga</t>
        </is>
      </c>
      <c r="B257" t="inlineStr">
        <is>
          <t xml:space="preserve"> Senthivel</t>
        </is>
      </c>
      <c r="C257" t="n">
        <v>1033523</v>
      </c>
      <c r="D257" t="inlineStr">
        <is>
          <t>Deepiga.Senthivel@infinite.com</t>
        </is>
      </c>
      <c r="E257" s="26" t="n">
        <v>34252</v>
      </c>
      <c r="F257" s="26" t="n">
        <v>45182</v>
      </c>
      <c r="H257" t="inlineStr">
        <is>
          <t>Female</t>
        </is>
      </c>
      <c r="I257" t="inlineStr">
        <is>
          <t>Asian</t>
        </is>
      </c>
      <c r="J257" t="inlineStr">
        <is>
          <t>WEBSITE</t>
        </is>
      </c>
      <c r="K257" t="inlineStr">
        <is>
          <t>Bangalore</t>
        </is>
      </c>
      <c r="L257" s="27" t="inlineStr">
        <is>
          <t>IT</t>
        </is>
      </c>
      <c r="M257" t="inlineStr">
        <is>
          <t>Full-Time</t>
        </is>
      </c>
      <c r="N257" t="inlineStr">
        <is>
          <t>Technical Lead</t>
        </is>
      </c>
      <c r="O257" t="inlineStr">
        <is>
          <t>E4</t>
        </is>
      </c>
      <c r="P257" t="inlineStr">
        <is>
          <t>Technical Lead</t>
        </is>
      </c>
      <c r="Q257" t="inlineStr">
        <is>
          <t>Santhosh B K (1025129)</t>
        </is>
      </c>
      <c r="R257" t="n">
        <v>5</v>
      </c>
      <c r="S257" s="1" t="n">
        <v>250000</v>
      </c>
      <c r="T257" s="1">
        <f>ROUND(T_EMPLOYEES[[#This Row],[EMP_CTC1]]/12, 0)</f>
        <v/>
      </c>
      <c r="U257" s="1" t="n">
        <v>150000</v>
      </c>
      <c r="V257" s="1" t="inlineStr">
        <is>
          <t>NH</t>
        </is>
      </c>
      <c r="W257" s="1" t="inlineStr">
        <is>
          <t>NH</t>
        </is>
      </c>
      <c r="X25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7" t="n">
        <v>100000</v>
      </c>
      <c r="Z257" s="29">
        <f>(S257 - U257)/S257 * 100</f>
        <v/>
      </c>
      <c r="AA257">
        <f>IF(T_EMPLOYEES[[#This Row],[EMPLOYEE NUMBER]]="","",ROW(T_EMPLOYEES[[#This Row],[EMPLOYEE LABEL]])-ROW(T_EMPLOYEES[[#Headers],[EMPLOYEE LABEL]]))</f>
        <v/>
      </c>
      <c r="AB257">
        <f>IF(T_EMPLOYEES[[#This Row],[EMPLOYEE NUMBER]]="","",IF(COUNTIF(T_EMPLOYEES[EMPLOYEE NUMBER],T_EMPLOYEES[[#This Row],[EMPLOYEE NUMBER]])&gt;1,1,0))</f>
        <v/>
      </c>
      <c r="AC257">
        <f>IF(T_EMPLOYEES[[#This Row],[EMPLOYEE NUMBER]]="","",IF(AND(T_EMPLOYEES[[#This Row],[DATE OF BIRTH]]&gt;0,T_EMPLOYEES[[#This Row],[DATE OF BIRTH]]&lt;TODAY()),0,1))</f>
        <v/>
      </c>
      <c r="AD257">
        <f>IF(T_EMPLOYEES[[#This Row],[EMPLOYEE NUMBER]]="","",IF(AND(T_EMPLOYEES[[#This Row],[START DATE]]&gt;0,T_EMPLOYEES[[#This Row],[START DATE]]&lt;TODAY()+60),0,1))</f>
        <v/>
      </c>
      <c r="AE257">
        <f>IF(T_EMPLOYEES[[#This Row],[EMPLOYEE NUMBER]]="","",MATCH(T_EMPLOYEES[[#This Row],[GENDER]],L_GENDER,0))</f>
        <v/>
      </c>
      <c r="AF257">
        <f>IF(T_EMPLOYEES[[#This Row],[EMPLOYEE NUMBER]]="","",MATCH(T_EMPLOYEES[[#This Row],[HIRE SOURCE]],L_HIRESOURCE,0))</f>
        <v/>
      </c>
      <c r="AG257">
        <f>IF(T_EMPLOYEES[[#This Row],[EMPLOYEE NUMBER]]="","",MATCH(T_EMPLOYEES[[#This Row],[ETHNICITY]],L_ETHNICITY,0))</f>
        <v/>
      </c>
      <c r="AH257">
        <f>IF(T_EMPLOYEES[[#This Row],[EMPLOYEE NUMBER]]="","",MATCH(T_EMPLOYEES[[#This Row],[LOCATION]],L_LOCATION,0))</f>
        <v/>
      </c>
      <c r="AI257">
        <f>IF(T_EMPLOYEES[[#This Row],[EMPLOYEE NUMBER]]="","",MATCH(T_EMPLOYEES[[#This Row],[DEPARTMENT]],L_DEPARTMENT,0))</f>
        <v/>
      </c>
      <c r="AJ257">
        <f>IF(T_EMPLOYEES[[#This Row],[EMPLOYEE NUMBER]]="","",MATCH(T_EMPLOYEES[[#This Row],[JOB TYPE]],L_JOBTYPE,0))</f>
        <v/>
      </c>
      <c r="AK257">
        <f>IF(T_EMPLOYEES[[#This Row],[EMPLOYEE NUMBER]]="","",MATCH(T_EMPLOYEES[[#This Row],[JOB CATEGORY]],L_JOBCATEGORY,0))</f>
        <v/>
      </c>
      <c r="AL257">
        <f>IF(T_EMPLOYEES[[#This Row],[EMPLOYEE NUMBER]]="","",MATCH(T_EMPLOYEES[[#This Row],[JOB LEVEL]],L_JOBLEVEL,0))</f>
        <v/>
      </c>
      <c r="AM257">
        <f>IF(T_EMPLOYEES[[#This Row],[EMPLOYEE NUMBER]]="","",MATCH(T_EMPLOYEES[[#This Row],[JOB TITLE]],L_JOBTITLE,0))</f>
        <v/>
      </c>
      <c r="AN257">
        <f>IF(T_EMPLOYEES[[#This Row],[EMPLOYEE NUMBER]]="","",MATCH(T_EMPLOYEES[[#This Row],[MANAGER]],L_EMPLABELS,0))</f>
        <v/>
      </c>
      <c r="AO257">
        <f>IF(T_EMPLOYEES[[#This Row],[EMPLOYEE NUMBER]]="","",IF(T_EMPLOYEES[[#This Row],[ERROR]]="",0,1))</f>
        <v/>
      </c>
      <c r="AP25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8">
      <c r="A258" t="inlineStr">
        <is>
          <t>Rajasekar</t>
        </is>
      </c>
      <c r="B258" t="inlineStr">
        <is>
          <t>S</t>
        </is>
      </c>
      <c r="C258" t="n">
        <v>1025438</v>
      </c>
      <c r="D258" t="inlineStr">
        <is>
          <t>Rajasekar.Siva@infinite.com</t>
        </is>
      </c>
      <c r="E258" s="26" t="n">
        <v>34258</v>
      </c>
      <c r="F258" s="26" t="n">
        <v>44349</v>
      </c>
      <c r="H258" t="inlineStr">
        <is>
          <t>Male</t>
        </is>
      </c>
      <c r="I258" t="inlineStr">
        <is>
          <t>Asian</t>
        </is>
      </c>
      <c r="J258" t="inlineStr">
        <is>
          <t>WEBSITE</t>
        </is>
      </c>
      <c r="K258" t="inlineStr">
        <is>
          <t>Bangalore</t>
        </is>
      </c>
      <c r="L258" s="27" t="inlineStr">
        <is>
          <t>IT</t>
        </is>
      </c>
      <c r="M258" t="inlineStr">
        <is>
          <t>Full-Time</t>
        </is>
      </c>
      <c r="N258" t="inlineStr">
        <is>
          <t>Senior Software Test Engineer</t>
        </is>
      </c>
      <c r="O258" t="inlineStr">
        <is>
          <t>E3</t>
        </is>
      </c>
      <c r="P258" t="inlineStr">
        <is>
          <t>Senior Software Test Engineer</t>
        </is>
      </c>
      <c r="Q258" t="inlineStr">
        <is>
          <t>Richa Sharma (1031870)</t>
        </is>
      </c>
      <c r="R258" s="27" t="n">
        <v>4</v>
      </c>
      <c r="S258" s="1" t="n">
        <v>250000</v>
      </c>
      <c r="T258" s="1">
        <f>ROUND(T_EMPLOYEES[[#This Row],[EMP_CTC1]]/12, 0)</f>
        <v/>
      </c>
      <c r="U258" s="1" t="n">
        <v>150000</v>
      </c>
      <c r="V258" s="1" t="inlineStr">
        <is>
          <t>NH</t>
        </is>
      </c>
      <c r="W258" s="1" t="inlineStr">
        <is>
          <t>NH</t>
        </is>
      </c>
      <c r="X25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8" t="n">
        <v>100000</v>
      </c>
      <c r="Z258" s="29">
        <f>(S258 - U258)/S258 * 100</f>
        <v/>
      </c>
      <c r="AA258">
        <f>IF(T_EMPLOYEES[[#This Row],[EMPLOYEE NUMBER]]="","",ROW(T_EMPLOYEES[[#This Row],[EMPLOYEE LABEL]])-ROW(T_EMPLOYEES[[#Headers],[EMPLOYEE LABEL]]))</f>
        <v/>
      </c>
      <c r="AB258">
        <f>IF(T_EMPLOYEES[[#This Row],[EMPLOYEE NUMBER]]="","",IF(COUNTIF(T_EMPLOYEES[EMPLOYEE NUMBER],T_EMPLOYEES[[#This Row],[EMPLOYEE NUMBER]])&gt;1,1,0))</f>
        <v/>
      </c>
      <c r="AC258">
        <f>IF(T_EMPLOYEES[[#This Row],[EMPLOYEE NUMBER]]="","",IF(AND(T_EMPLOYEES[[#This Row],[DATE OF BIRTH]]&gt;0,T_EMPLOYEES[[#This Row],[DATE OF BIRTH]]&lt;TODAY()),0,1))</f>
        <v/>
      </c>
      <c r="AD258">
        <f>IF(T_EMPLOYEES[[#This Row],[EMPLOYEE NUMBER]]="","",IF(AND(T_EMPLOYEES[[#This Row],[START DATE]]&gt;0,T_EMPLOYEES[[#This Row],[START DATE]]&lt;TODAY()+60),0,1))</f>
        <v/>
      </c>
      <c r="AE258">
        <f>IF(T_EMPLOYEES[[#This Row],[EMPLOYEE NUMBER]]="","",MATCH(T_EMPLOYEES[[#This Row],[GENDER]],L_GENDER,0))</f>
        <v/>
      </c>
      <c r="AF258">
        <f>IF(T_EMPLOYEES[[#This Row],[EMPLOYEE NUMBER]]="","",MATCH(T_EMPLOYEES[[#This Row],[HIRE SOURCE]],L_HIRESOURCE,0))</f>
        <v/>
      </c>
      <c r="AG258">
        <f>IF(T_EMPLOYEES[[#This Row],[EMPLOYEE NUMBER]]="","",MATCH(T_EMPLOYEES[[#This Row],[ETHNICITY]],L_ETHNICITY,0))</f>
        <v/>
      </c>
      <c r="AH258">
        <f>IF(T_EMPLOYEES[[#This Row],[EMPLOYEE NUMBER]]="","",MATCH(T_EMPLOYEES[[#This Row],[LOCATION]],L_LOCATION,0))</f>
        <v/>
      </c>
      <c r="AI258">
        <f>IF(T_EMPLOYEES[[#This Row],[EMPLOYEE NUMBER]]="","",MATCH(T_EMPLOYEES[[#This Row],[DEPARTMENT]],L_DEPARTMENT,0))</f>
        <v/>
      </c>
      <c r="AJ258">
        <f>IF(T_EMPLOYEES[[#This Row],[EMPLOYEE NUMBER]]="","",MATCH(T_EMPLOYEES[[#This Row],[JOB TYPE]],L_JOBTYPE,0))</f>
        <v/>
      </c>
      <c r="AK258">
        <f>IF(T_EMPLOYEES[[#This Row],[EMPLOYEE NUMBER]]="","",MATCH(T_EMPLOYEES[[#This Row],[JOB CATEGORY]],L_JOBCATEGORY,0))</f>
        <v/>
      </c>
      <c r="AL258">
        <f>IF(T_EMPLOYEES[[#This Row],[EMPLOYEE NUMBER]]="","",MATCH(T_EMPLOYEES[[#This Row],[JOB LEVEL]],L_JOBLEVEL,0))</f>
        <v/>
      </c>
      <c r="AM258">
        <f>IF(T_EMPLOYEES[[#This Row],[EMPLOYEE NUMBER]]="","",MATCH(T_EMPLOYEES[[#This Row],[JOB TITLE]],L_JOBTITLE,0))</f>
        <v/>
      </c>
      <c r="AN258">
        <f>IF(T_EMPLOYEES[[#This Row],[EMPLOYEE NUMBER]]="","",MATCH(T_EMPLOYEES[[#This Row],[MANAGER]],L_EMPLABELS,0))</f>
        <v/>
      </c>
      <c r="AO258">
        <f>IF(T_EMPLOYEES[[#This Row],[EMPLOYEE NUMBER]]="","",IF(T_EMPLOYEES[[#This Row],[ERROR]]="",0,1))</f>
        <v/>
      </c>
      <c r="AP25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59">
      <c r="A259" t="inlineStr">
        <is>
          <t>Siddhartha</t>
        </is>
      </c>
      <c r="B259" t="inlineStr">
        <is>
          <t xml:space="preserve"> Mishra</t>
        </is>
      </c>
      <c r="C259" t="n">
        <v>1018884</v>
      </c>
      <c r="D259" t="inlineStr">
        <is>
          <t>Siddhartha.Mishra@infinite.com</t>
        </is>
      </c>
      <c r="E259" s="26" t="n">
        <v>34062</v>
      </c>
      <c r="F259" s="26" t="n">
        <v>42688</v>
      </c>
      <c r="H259" t="inlineStr">
        <is>
          <t>Male</t>
        </is>
      </c>
      <c r="I259" t="inlineStr">
        <is>
          <t>Asian</t>
        </is>
      </c>
      <c r="J259" t="inlineStr">
        <is>
          <t>WEBSITE</t>
        </is>
      </c>
      <c r="K259" t="inlineStr">
        <is>
          <t>Hyderabad</t>
        </is>
      </c>
      <c r="L259" s="27" t="inlineStr">
        <is>
          <t>Core</t>
        </is>
      </c>
      <c r="M259" t="inlineStr">
        <is>
          <t>Full-Time</t>
        </is>
      </c>
      <c r="N259" t="inlineStr">
        <is>
          <t>Technical Lead</t>
        </is>
      </c>
      <c r="O259" t="inlineStr">
        <is>
          <t>E4</t>
        </is>
      </c>
      <c r="P259" t="inlineStr">
        <is>
          <t>Technical Lead</t>
        </is>
      </c>
      <c r="Q259" t="inlineStr">
        <is>
          <t>Kishore Kumar N (1019765)</t>
        </is>
      </c>
      <c r="R259" t="n">
        <v>5</v>
      </c>
      <c r="S259" s="1" t="n">
        <v>250000</v>
      </c>
      <c r="T259" s="1">
        <f>ROUND(T_EMPLOYEES[[#This Row],[EMP_CTC1]]/12, 0)</f>
        <v/>
      </c>
      <c r="U259" s="1" t="n">
        <v>150000</v>
      </c>
      <c r="V259" s="1" t="inlineStr">
        <is>
          <t>NH</t>
        </is>
      </c>
      <c r="W259" s="1" t="inlineStr">
        <is>
          <t>NH</t>
        </is>
      </c>
      <c r="X25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59" t="n">
        <v>100000</v>
      </c>
      <c r="Z259" s="29">
        <f>(S259 - U259)/S259 * 100</f>
        <v/>
      </c>
      <c r="AA259">
        <f>IF(T_EMPLOYEES[[#This Row],[EMPLOYEE NUMBER]]="","",ROW(T_EMPLOYEES[[#This Row],[EMPLOYEE LABEL]])-ROW(T_EMPLOYEES[[#Headers],[EMPLOYEE LABEL]]))</f>
        <v/>
      </c>
      <c r="AB259">
        <f>IF(T_EMPLOYEES[[#This Row],[EMPLOYEE NUMBER]]="","",IF(COUNTIF(T_EMPLOYEES[EMPLOYEE NUMBER],T_EMPLOYEES[[#This Row],[EMPLOYEE NUMBER]])&gt;1,1,0))</f>
        <v/>
      </c>
      <c r="AC259">
        <f>IF(T_EMPLOYEES[[#This Row],[EMPLOYEE NUMBER]]="","",IF(AND(T_EMPLOYEES[[#This Row],[DATE OF BIRTH]]&gt;0,T_EMPLOYEES[[#This Row],[DATE OF BIRTH]]&lt;TODAY()),0,1))</f>
        <v/>
      </c>
      <c r="AD259">
        <f>IF(T_EMPLOYEES[[#This Row],[EMPLOYEE NUMBER]]="","",IF(AND(T_EMPLOYEES[[#This Row],[START DATE]]&gt;0,T_EMPLOYEES[[#This Row],[START DATE]]&lt;TODAY()+60),0,1))</f>
        <v/>
      </c>
      <c r="AE259">
        <f>IF(T_EMPLOYEES[[#This Row],[EMPLOYEE NUMBER]]="","",MATCH(T_EMPLOYEES[[#This Row],[GENDER]],L_GENDER,0))</f>
        <v/>
      </c>
      <c r="AF259">
        <f>IF(T_EMPLOYEES[[#This Row],[EMPLOYEE NUMBER]]="","",MATCH(T_EMPLOYEES[[#This Row],[HIRE SOURCE]],L_HIRESOURCE,0))</f>
        <v/>
      </c>
      <c r="AG259">
        <f>IF(T_EMPLOYEES[[#This Row],[EMPLOYEE NUMBER]]="","",MATCH(T_EMPLOYEES[[#This Row],[ETHNICITY]],L_ETHNICITY,0))</f>
        <v/>
      </c>
      <c r="AH259">
        <f>IF(T_EMPLOYEES[[#This Row],[EMPLOYEE NUMBER]]="","",MATCH(T_EMPLOYEES[[#This Row],[LOCATION]],L_LOCATION,0))</f>
        <v/>
      </c>
      <c r="AI259">
        <f>IF(T_EMPLOYEES[[#This Row],[EMPLOYEE NUMBER]]="","",MATCH(T_EMPLOYEES[[#This Row],[DEPARTMENT]],L_DEPARTMENT,0))</f>
        <v/>
      </c>
      <c r="AJ259">
        <f>IF(T_EMPLOYEES[[#This Row],[EMPLOYEE NUMBER]]="","",MATCH(T_EMPLOYEES[[#This Row],[JOB TYPE]],L_JOBTYPE,0))</f>
        <v/>
      </c>
      <c r="AK259">
        <f>IF(T_EMPLOYEES[[#This Row],[EMPLOYEE NUMBER]]="","",MATCH(T_EMPLOYEES[[#This Row],[JOB CATEGORY]],L_JOBCATEGORY,0))</f>
        <v/>
      </c>
      <c r="AL259">
        <f>IF(T_EMPLOYEES[[#This Row],[EMPLOYEE NUMBER]]="","",MATCH(T_EMPLOYEES[[#This Row],[JOB LEVEL]],L_JOBLEVEL,0))</f>
        <v/>
      </c>
      <c r="AM259">
        <f>IF(T_EMPLOYEES[[#This Row],[EMPLOYEE NUMBER]]="","",MATCH(T_EMPLOYEES[[#This Row],[JOB TITLE]],L_JOBTITLE,0))</f>
        <v/>
      </c>
      <c r="AN259">
        <f>IF(T_EMPLOYEES[[#This Row],[EMPLOYEE NUMBER]]="","",MATCH(T_EMPLOYEES[[#This Row],[MANAGER]],L_EMPLABELS,0))</f>
        <v/>
      </c>
      <c r="AO259">
        <f>IF(T_EMPLOYEES[[#This Row],[EMPLOYEE NUMBER]]="","",IF(T_EMPLOYEES[[#This Row],[ERROR]]="",0,1))</f>
        <v/>
      </c>
      <c r="AP25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59" t="inlineStr">
        <is>
          <t>Benefit Plan</t>
        </is>
      </c>
    </row>
    <row r="260">
      <c r="A260" t="inlineStr">
        <is>
          <t>Tadicherla</t>
        </is>
      </c>
      <c r="B260" t="inlineStr">
        <is>
          <t xml:space="preserve">Madhu </t>
        </is>
      </c>
      <c r="C260" t="n">
        <v>1032156</v>
      </c>
      <c r="D260" t="inlineStr">
        <is>
          <t>Tadicherla.Madhu2@infinite.com</t>
        </is>
      </c>
      <c r="E260" s="26" t="n">
        <v>34317</v>
      </c>
      <c r="F260" s="26" t="n">
        <v>44958</v>
      </c>
      <c r="H260" t="inlineStr">
        <is>
          <t>Male</t>
        </is>
      </c>
      <c r="I260" t="inlineStr">
        <is>
          <t>Asian</t>
        </is>
      </c>
      <c r="J260" t="inlineStr">
        <is>
          <t>WEBSITE</t>
        </is>
      </c>
      <c r="K260" t="inlineStr">
        <is>
          <t>Bangalore</t>
        </is>
      </c>
      <c r="L260" s="27" t="inlineStr">
        <is>
          <t>IT</t>
        </is>
      </c>
      <c r="M260" t="inlineStr">
        <is>
          <t>Full-Time</t>
        </is>
      </c>
      <c r="N260" t="inlineStr">
        <is>
          <t>Senior Software Engineer</t>
        </is>
      </c>
      <c r="O260" t="inlineStr">
        <is>
          <t>E3</t>
        </is>
      </c>
      <c r="P260" t="inlineStr">
        <is>
          <t>Senior Software Engineer</t>
        </is>
      </c>
      <c r="Q260" t="inlineStr">
        <is>
          <t>Srinivas Rao Vemana (1028538)</t>
        </is>
      </c>
      <c r="R260" s="27" t="n">
        <v>4</v>
      </c>
      <c r="S260" s="1" t="n">
        <v>250000</v>
      </c>
      <c r="T260" s="1">
        <f>ROUND(T_EMPLOYEES[[#This Row],[EMP_CTC1]]/12, 0)</f>
        <v/>
      </c>
      <c r="U260" s="1" t="n">
        <v>150000</v>
      </c>
      <c r="V260" s="1" t="inlineStr">
        <is>
          <t>NH</t>
        </is>
      </c>
      <c r="W260" s="1" t="inlineStr">
        <is>
          <t>NH</t>
        </is>
      </c>
      <c r="X26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0" t="n">
        <v>100000</v>
      </c>
      <c r="Z260" s="29">
        <f>(S260 - U260)/S260 * 100</f>
        <v/>
      </c>
      <c r="AA260">
        <f>IF(T_EMPLOYEES[[#This Row],[EMPLOYEE NUMBER]]="","",ROW(T_EMPLOYEES[[#This Row],[EMPLOYEE LABEL]])-ROW(T_EMPLOYEES[[#Headers],[EMPLOYEE LABEL]]))</f>
        <v/>
      </c>
      <c r="AB260">
        <f>IF(T_EMPLOYEES[[#This Row],[EMPLOYEE NUMBER]]="","",IF(COUNTIF(T_EMPLOYEES[EMPLOYEE NUMBER],T_EMPLOYEES[[#This Row],[EMPLOYEE NUMBER]])&gt;1,1,0))</f>
        <v/>
      </c>
      <c r="AC260">
        <f>IF(T_EMPLOYEES[[#This Row],[EMPLOYEE NUMBER]]="","",IF(AND(T_EMPLOYEES[[#This Row],[DATE OF BIRTH]]&gt;0,T_EMPLOYEES[[#This Row],[DATE OF BIRTH]]&lt;TODAY()),0,1))</f>
        <v/>
      </c>
      <c r="AD260">
        <f>IF(T_EMPLOYEES[[#This Row],[EMPLOYEE NUMBER]]="","",IF(AND(T_EMPLOYEES[[#This Row],[START DATE]]&gt;0,T_EMPLOYEES[[#This Row],[START DATE]]&lt;TODAY()+60),0,1))</f>
        <v/>
      </c>
      <c r="AE260">
        <f>IF(T_EMPLOYEES[[#This Row],[EMPLOYEE NUMBER]]="","",MATCH(T_EMPLOYEES[[#This Row],[GENDER]],L_GENDER,0))</f>
        <v/>
      </c>
      <c r="AF260">
        <f>IF(T_EMPLOYEES[[#This Row],[EMPLOYEE NUMBER]]="","",MATCH(T_EMPLOYEES[[#This Row],[HIRE SOURCE]],L_HIRESOURCE,0))</f>
        <v/>
      </c>
      <c r="AG260">
        <f>IF(T_EMPLOYEES[[#This Row],[EMPLOYEE NUMBER]]="","",MATCH(T_EMPLOYEES[[#This Row],[ETHNICITY]],L_ETHNICITY,0))</f>
        <v/>
      </c>
      <c r="AH260">
        <f>IF(T_EMPLOYEES[[#This Row],[EMPLOYEE NUMBER]]="","",MATCH(T_EMPLOYEES[[#This Row],[LOCATION]],L_LOCATION,0))</f>
        <v/>
      </c>
      <c r="AI260">
        <f>IF(T_EMPLOYEES[[#This Row],[EMPLOYEE NUMBER]]="","",MATCH(T_EMPLOYEES[[#This Row],[DEPARTMENT]],L_DEPARTMENT,0))</f>
        <v/>
      </c>
      <c r="AJ260">
        <f>IF(T_EMPLOYEES[[#This Row],[EMPLOYEE NUMBER]]="","",MATCH(T_EMPLOYEES[[#This Row],[JOB TYPE]],L_JOBTYPE,0))</f>
        <v/>
      </c>
      <c r="AK260">
        <f>IF(T_EMPLOYEES[[#This Row],[EMPLOYEE NUMBER]]="","",MATCH(T_EMPLOYEES[[#This Row],[JOB CATEGORY]],L_JOBCATEGORY,0))</f>
        <v/>
      </c>
      <c r="AL260">
        <f>IF(T_EMPLOYEES[[#This Row],[EMPLOYEE NUMBER]]="","",MATCH(T_EMPLOYEES[[#This Row],[JOB LEVEL]],L_JOBLEVEL,0))</f>
        <v/>
      </c>
      <c r="AM260">
        <f>IF(T_EMPLOYEES[[#This Row],[EMPLOYEE NUMBER]]="","",MATCH(T_EMPLOYEES[[#This Row],[JOB TITLE]],L_JOBTITLE,0))</f>
        <v/>
      </c>
      <c r="AN260">
        <f>IF(T_EMPLOYEES[[#This Row],[EMPLOYEE NUMBER]]="","",MATCH(T_EMPLOYEES[[#This Row],[MANAGER]],L_EMPLABELS,0))</f>
        <v/>
      </c>
      <c r="AO260">
        <f>IF(T_EMPLOYEES[[#This Row],[EMPLOYEE NUMBER]]="","",IF(T_EMPLOYEES[[#This Row],[ERROR]]="",0,1))</f>
        <v/>
      </c>
      <c r="AP26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60" t="inlineStr">
        <is>
          <t>TPL</t>
        </is>
      </c>
    </row>
    <row r="261">
      <c r="A261" t="inlineStr">
        <is>
          <t>Ramesha</t>
        </is>
      </c>
      <c r="B261" t="inlineStr">
        <is>
          <t>N P Puttaramaiah</t>
        </is>
      </c>
      <c r="C261" t="n">
        <v>1024521</v>
      </c>
      <c r="D261" t="inlineStr">
        <is>
          <t>Ramesha.Ningappa@infinite.com</t>
        </is>
      </c>
      <c r="E261" s="26" t="n">
        <v>34329</v>
      </c>
      <c r="F261" s="26" t="n">
        <v>44242</v>
      </c>
      <c r="H261" t="inlineStr">
        <is>
          <t>Male</t>
        </is>
      </c>
      <c r="I261" t="inlineStr">
        <is>
          <t>Asian</t>
        </is>
      </c>
      <c r="J261" t="inlineStr">
        <is>
          <t>WEBSITE</t>
        </is>
      </c>
      <c r="K261" t="inlineStr">
        <is>
          <t>Hyderabad</t>
        </is>
      </c>
      <c r="L261" s="27" t="inlineStr">
        <is>
          <t>IT</t>
        </is>
      </c>
      <c r="M261" t="inlineStr">
        <is>
          <t>Full-Time</t>
        </is>
      </c>
      <c r="N261" t="inlineStr">
        <is>
          <t>Senior Software Test Engineer</t>
        </is>
      </c>
      <c r="O261" t="inlineStr">
        <is>
          <t>E3</t>
        </is>
      </c>
      <c r="P261" t="inlineStr">
        <is>
          <t>Senior Software Test Engineer</t>
        </is>
      </c>
      <c r="Q261" t="inlineStr">
        <is>
          <t>Sreekanth  Pulumati (1022868)</t>
        </is>
      </c>
      <c r="R261" t="n">
        <v>4</v>
      </c>
      <c r="S261" s="1" t="n">
        <v>250000</v>
      </c>
      <c r="T261" s="1">
        <f>ROUND(T_EMPLOYEES[[#This Row],[EMP_CTC1]]/12, 0)</f>
        <v/>
      </c>
      <c r="U261" s="1" t="n">
        <v>150000</v>
      </c>
      <c r="V261" s="1" t="inlineStr">
        <is>
          <t>NH</t>
        </is>
      </c>
      <c r="W261" s="1" t="inlineStr">
        <is>
          <t>NH</t>
        </is>
      </c>
      <c r="X26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1" t="n">
        <v>100000</v>
      </c>
      <c r="Z261" s="29">
        <f>(S261 - U261)/S261 * 100</f>
        <v/>
      </c>
      <c r="AA261">
        <f>IF(T_EMPLOYEES[[#This Row],[EMPLOYEE NUMBER]]="","",ROW(T_EMPLOYEES[[#This Row],[EMPLOYEE LABEL]])-ROW(T_EMPLOYEES[[#Headers],[EMPLOYEE LABEL]]))</f>
        <v/>
      </c>
      <c r="AB261">
        <f>IF(T_EMPLOYEES[[#This Row],[EMPLOYEE NUMBER]]="","",IF(COUNTIF(T_EMPLOYEES[EMPLOYEE NUMBER],T_EMPLOYEES[[#This Row],[EMPLOYEE NUMBER]])&gt;1,1,0))</f>
        <v/>
      </c>
      <c r="AC261">
        <f>IF(T_EMPLOYEES[[#This Row],[EMPLOYEE NUMBER]]="","",IF(AND(T_EMPLOYEES[[#This Row],[DATE OF BIRTH]]&gt;0,T_EMPLOYEES[[#This Row],[DATE OF BIRTH]]&lt;TODAY()),0,1))</f>
        <v/>
      </c>
      <c r="AD261">
        <f>IF(T_EMPLOYEES[[#This Row],[EMPLOYEE NUMBER]]="","",IF(AND(T_EMPLOYEES[[#This Row],[START DATE]]&gt;0,T_EMPLOYEES[[#This Row],[START DATE]]&lt;TODAY()+60),0,1))</f>
        <v/>
      </c>
      <c r="AE261">
        <f>IF(T_EMPLOYEES[[#This Row],[EMPLOYEE NUMBER]]="","",MATCH(T_EMPLOYEES[[#This Row],[GENDER]],L_GENDER,0))</f>
        <v/>
      </c>
      <c r="AF261">
        <f>IF(T_EMPLOYEES[[#This Row],[EMPLOYEE NUMBER]]="","",MATCH(T_EMPLOYEES[[#This Row],[HIRE SOURCE]],L_HIRESOURCE,0))</f>
        <v/>
      </c>
      <c r="AG261">
        <f>IF(T_EMPLOYEES[[#This Row],[EMPLOYEE NUMBER]]="","",MATCH(T_EMPLOYEES[[#This Row],[ETHNICITY]],L_ETHNICITY,0))</f>
        <v/>
      </c>
      <c r="AH261">
        <f>IF(T_EMPLOYEES[[#This Row],[EMPLOYEE NUMBER]]="","",MATCH(T_EMPLOYEES[[#This Row],[LOCATION]],L_LOCATION,0))</f>
        <v/>
      </c>
      <c r="AI261">
        <f>IF(T_EMPLOYEES[[#This Row],[EMPLOYEE NUMBER]]="","",MATCH(T_EMPLOYEES[[#This Row],[DEPARTMENT]],L_DEPARTMENT,0))</f>
        <v/>
      </c>
      <c r="AJ261">
        <f>IF(T_EMPLOYEES[[#This Row],[EMPLOYEE NUMBER]]="","",MATCH(T_EMPLOYEES[[#This Row],[JOB TYPE]],L_JOBTYPE,0))</f>
        <v/>
      </c>
      <c r="AK261">
        <f>IF(T_EMPLOYEES[[#This Row],[EMPLOYEE NUMBER]]="","",MATCH(T_EMPLOYEES[[#This Row],[JOB CATEGORY]],L_JOBCATEGORY,0))</f>
        <v/>
      </c>
      <c r="AL261">
        <f>IF(T_EMPLOYEES[[#This Row],[EMPLOYEE NUMBER]]="","",MATCH(T_EMPLOYEES[[#This Row],[JOB LEVEL]],L_JOBLEVEL,0))</f>
        <v/>
      </c>
      <c r="AM261">
        <f>IF(T_EMPLOYEES[[#This Row],[EMPLOYEE NUMBER]]="","",MATCH(T_EMPLOYEES[[#This Row],[JOB TITLE]],L_JOBTITLE,0))</f>
        <v/>
      </c>
      <c r="AN261">
        <f>IF(T_EMPLOYEES[[#This Row],[EMPLOYEE NUMBER]]="","",MATCH(T_EMPLOYEES[[#This Row],[MANAGER]],L_EMPLABELS,0))</f>
        <v/>
      </c>
      <c r="AO261">
        <f>IF(T_EMPLOYEES[[#This Row],[EMPLOYEE NUMBER]]="","",IF(T_EMPLOYEES[[#This Row],[ERROR]]="",0,1))</f>
        <v/>
      </c>
      <c r="AP26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2">
      <c r="A262" t="inlineStr">
        <is>
          <t>Kudupudi</t>
        </is>
      </c>
      <c r="B262" t="inlineStr">
        <is>
          <t xml:space="preserve">Harika </t>
        </is>
      </c>
      <c r="C262" t="n">
        <v>1030984</v>
      </c>
      <c r="D262" t="inlineStr">
        <is>
          <t>Harika.Kudupudi@infinite.com</t>
        </is>
      </c>
      <c r="E262" s="26" t="n">
        <v>34333</v>
      </c>
      <c r="F262" s="26" t="n">
        <v>44883</v>
      </c>
      <c r="H262" t="inlineStr">
        <is>
          <t>Female</t>
        </is>
      </c>
      <c r="I262" t="inlineStr">
        <is>
          <t>Asian</t>
        </is>
      </c>
      <c r="J262" t="inlineStr">
        <is>
          <t>WEBSITE</t>
        </is>
      </c>
      <c r="K262" t="inlineStr">
        <is>
          <t>Bangalore</t>
        </is>
      </c>
      <c r="L262" s="27" t="inlineStr">
        <is>
          <t>IT</t>
        </is>
      </c>
      <c r="M262" t="inlineStr">
        <is>
          <t>Full-Time</t>
        </is>
      </c>
      <c r="N262" t="inlineStr">
        <is>
          <t>Technical Lead</t>
        </is>
      </c>
      <c r="O262" t="inlineStr">
        <is>
          <t>E4</t>
        </is>
      </c>
      <c r="P262" t="inlineStr">
        <is>
          <t>Technical Lead</t>
        </is>
      </c>
      <c r="Q262" t="inlineStr">
        <is>
          <t>Gangadhar Chiluka (1022458)</t>
        </is>
      </c>
      <c r="R262" s="27" t="n">
        <v>5</v>
      </c>
      <c r="S262" s="1" t="n">
        <v>250000</v>
      </c>
      <c r="T262" s="1">
        <f>ROUND(T_EMPLOYEES[[#This Row],[EMP_CTC1]]/12, 0)</f>
        <v/>
      </c>
      <c r="U262" s="1" t="n">
        <v>150000</v>
      </c>
      <c r="V262" s="1" t="inlineStr">
        <is>
          <t>NH</t>
        </is>
      </c>
      <c r="W262" s="1" t="inlineStr">
        <is>
          <t>NH</t>
        </is>
      </c>
      <c r="X26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2" t="n">
        <v>100000</v>
      </c>
      <c r="Z262" s="29">
        <f>(S262 - U262)/S262 * 100</f>
        <v/>
      </c>
      <c r="AA262">
        <f>IF(T_EMPLOYEES[[#This Row],[EMPLOYEE NUMBER]]="","",ROW(T_EMPLOYEES[[#This Row],[EMPLOYEE LABEL]])-ROW(T_EMPLOYEES[[#Headers],[EMPLOYEE LABEL]]))</f>
        <v/>
      </c>
      <c r="AB262">
        <f>IF(T_EMPLOYEES[[#This Row],[EMPLOYEE NUMBER]]="","",IF(COUNTIF(T_EMPLOYEES[EMPLOYEE NUMBER],T_EMPLOYEES[[#This Row],[EMPLOYEE NUMBER]])&gt;1,1,0))</f>
        <v/>
      </c>
      <c r="AC262">
        <f>IF(T_EMPLOYEES[[#This Row],[EMPLOYEE NUMBER]]="","",IF(AND(T_EMPLOYEES[[#This Row],[DATE OF BIRTH]]&gt;0,T_EMPLOYEES[[#This Row],[DATE OF BIRTH]]&lt;TODAY()),0,1))</f>
        <v/>
      </c>
      <c r="AD262">
        <f>IF(T_EMPLOYEES[[#This Row],[EMPLOYEE NUMBER]]="","",IF(AND(T_EMPLOYEES[[#This Row],[START DATE]]&gt;0,T_EMPLOYEES[[#This Row],[START DATE]]&lt;TODAY()+60),0,1))</f>
        <v/>
      </c>
      <c r="AE262">
        <f>IF(T_EMPLOYEES[[#This Row],[EMPLOYEE NUMBER]]="","",MATCH(T_EMPLOYEES[[#This Row],[GENDER]],L_GENDER,0))</f>
        <v/>
      </c>
      <c r="AF262">
        <f>IF(T_EMPLOYEES[[#This Row],[EMPLOYEE NUMBER]]="","",MATCH(T_EMPLOYEES[[#This Row],[HIRE SOURCE]],L_HIRESOURCE,0))</f>
        <v/>
      </c>
      <c r="AG262">
        <f>IF(T_EMPLOYEES[[#This Row],[EMPLOYEE NUMBER]]="","",MATCH(T_EMPLOYEES[[#This Row],[ETHNICITY]],L_ETHNICITY,0))</f>
        <v/>
      </c>
      <c r="AH262">
        <f>IF(T_EMPLOYEES[[#This Row],[EMPLOYEE NUMBER]]="","",MATCH(T_EMPLOYEES[[#This Row],[LOCATION]],L_LOCATION,0))</f>
        <v/>
      </c>
      <c r="AI262">
        <f>IF(T_EMPLOYEES[[#This Row],[EMPLOYEE NUMBER]]="","",MATCH(T_EMPLOYEES[[#This Row],[DEPARTMENT]],L_DEPARTMENT,0))</f>
        <v/>
      </c>
      <c r="AJ262">
        <f>IF(T_EMPLOYEES[[#This Row],[EMPLOYEE NUMBER]]="","",MATCH(T_EMPLOYEES[[#This Row],[JOB TYPE]],L_JOBTYPE,0))</f>
        <v/>
      </c>
      <c r="AK262">
        <f>IF(T_EMPLOYEES[[#This Row],[EMPLOYEE NUMBER]]="","",MATCH(T_EMPLOYEES[[#This Row],[JOB CATEGORY]],L_JOBCATEGORY,0))</f>
        <v/>
      </c>
      <c r="AL262">
        <f>IF(T_EMPLOYEES[[#This Row],[EMPLOYEE NUMBER]]="","",MATCH(T_EMPLOYEES[[#This Row],[JOB LEVEL]],L_JOBLEVEL,0))</f>
        <v/>
      </c>
      <c r="AM262">
        <f>IF(T_EMPLOYEES[[#This Row],[EMPLOYEE NUMBER]]="","",MATCH(T_EMPLOYEES[[#This Row],[JOB TITLE]],L_JOBTITLE,0))</f>
        <v/>
      </c>
      <c r="AN262">
        <f>IF(T_EMPLOYEES[[#This Row],[EMPLOYEE NUMBER]]="","",MATCH(T_EMPLOYEES[[#This Row],[MANAGER]],L_EMPLABELS,0))</f>
        <v/>
      </c>
      <c r="AO262">
        <f>IF(T_EMPLOYEES[[#This Row],[EMPLOYEE NUMBER]]="","",IF(T_EMPLOYEES[[#This Row],[ERROR]]="",0,1))</f>
        <v/>
      </c>
      <c r="AP26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3">
      <c r="A263" t="inlineStr">
        <is>
          <t>Kandula</t>
        </is>
      </c>
      <c r="B263" t="inlineStr">
        <is>
          <t>Maheshreddy</t>
        </is>
      </c>
      <c r="C263" t="n">
        <v>1027181</v>
      </c>
      <c r="D263" t="inlineStr">
        <is>
          <t>Maheshreddy.Kandula@infinite.com</t>
        </is>
      </c>
      <c r="E263" s="26" t="n">
        <v>34346</v>
      </c>
      <c r="F263" s="26" t="n">
        <v>44515</v>
      </c>
      <c r="H263" t="inlineStr">
        <is>
          <t>Male</t>
        </is>
      </c>
      <c r="I263" t="inlineStr">
        <is>
          <t>Asian</t>
        </is>
      </c>
      <c r="J263" t="inlineStr">
        <is>
          <t>WEBSITE</t>
        </is>
      </c>
      <c r="K263" t="inlineStr">
        <is>
          <t>Bangalore</t>
        </is>
      </c>
      <c r="L263" s="27" t="inlineStr">
        <is>
          <t>QA</t>
        </is>
      </c>
      <c r="M263" t="inlineStr">
        <is>
          <t>Full-Time</t>
        </is>
      </c>
      <c r="N263" t="inlineStr">
        <is>
          <t>Senior Software Test Engineer</t>
        </is>
      </c>
      <c r="O263" t="inlineStr">
        <is>
          <t>E3</t>
        </is>
      </c>
      <c r="P263" t="inlineStr">
        <is>
          <t>Senior Software Test Engineer</t>
        </is>
      </c>
      <c r="Q263" t="inlineStr">
        <is>
          <t>Vinayak  Tatuskar (1023387)</t>
        </is>
      </c>
      <c r="R263" t="n">
        <v>4</v>
      </c>
      <c r="S263" s="1" t="n">
        <v>250000</v>
      </c>
      <c r="T263" s="1">
        <f>ROUND(T_EMPLOYEES[[#This Row],[EMP_CTC1]]/12, 0)</f>
        <v/>
      </c>
      <c r="U263" s="1" t="n">
        <v>150000</v>
      </c>
      <c r="V263" s="1" t="inlineStr">
        <is>
          <t>NH</t>
        </is>
      </c>
      <c r="W263" s="1" t="inlineStr">
        <is>
          <t>NH</t>
        </is>
      </c>
      <c r="X26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3" t="n">
        <v>100000</v>
      </c>
      <c r="Z263" s="29">
        <f>(S263 - U263)/S263 * 100</f>
        <v/>
      </c>
      <c r="AA263">
        <f>IF(T_EMPLOYEES[[#This Row],[EMPLOYEE NUMBER]]="","",ROW(T_EMPLOYEES[[#This Row],[EMPLOYEE LABEL]])-ROW(T_EMPLOYEES[[#Headers],[EMPLOYEE LABEL]]))</f>
        <v/>
      </c>
      <c r="AB263">
        <f>IF(T_EMPLOYEES[[#This Row],[EMPLOYEE NUMBER]]="","",IF(COUNTIF(T_EMPLOYEES[EMPLOYEE NUMBER],T_EMPLOYEES[[#This Row],[EMPLOYEE NUMBER]])&gt;1,1,0))</f>
        <v/>
      </c>
      <c r="AC263">
        <f>IF(T_EMPLOYEES[[#This Row],[EMPLOYEE NUMBER]]="","",IF(AND(T_EMPLOYEES[[#This Row],[DATE OF BIRTH]]&gt;0,T_EMPLOYEES[[#This Row],[DATE OF BIRTH]]&lt;TODAY()),0,1))</f>
        <v/>
      </c>
      <c r="AD263">
        <f>IF(T_EMPLOYEES[[#This Row],[EMPLOYEE NUMBER]]="","",IF(AND(T_EMPLOYEES[[#This Row],[START DATE]]&gt;0,T_EMPLOYEES[[#This Row],[START DATE]]&lt;TODAY()+60),0,1))</f>
        <v/>
      </c>
      <c r="AE263">
        <f>IF(T_EMPLOYEES[[#This Row],[EMPLOYEE NUMBER]]="","",MATCH(T_EMPLOYEES[[#This Row],[GENDER]],L_GENDER,0))</f>
        <v/>
      </c>
      <c r="AF263">
        <f>IF(T_EMPLOYEES[[#This Row],[EMPLOYEE NUMBER]]="","",MATCH(T_EMPLOYEES[[#This Row],[HIRE SOURCE]],L_HIRESOURCE,0))</f>
        <v/>
      </c>
      <c r="AG263">
        <f>IF(T_EMPLOYEES[[#This Row],[EMPLOYEE NUMBER]]="","",MATCH(T_EMPLOYEES[[#This Row],[ETHNICITY]],L_ETHNICITY,0))</f>
        <v/>
      </c>
      <c r="AH263">
        <f>IF(T_EMPLOYEES[[#This Row],[EMPLOYEE NUMBER]]="","",MATCH(T_EMPLOYEES[[#This Row],[LOCATION]],L_LOCATION,0))</f>
        <v/>
      </c>
      <c r="AI263">
        <f>IF(T_EMPLOYEES[[#This Row],[EMPLOYEE NUMBER]]="","",MATCH(T_EMPLOYEES[[#This Row],[DEPARTMENT]],L_DEPARTMENT,0))</f>
        <v/>
      </c>
      <c r="AJ263">
        <f>IF(T_EMPLOYEES[[#This Row],[EMPLOYEE NUMBER]]="","",MATCH(T_EMPLOYEES[[#This Row],[JOB TYPE]],L_JOBTYPE,0))</f>
        <v/>
      </c>
      <c r="AK263">
        <f>IF(T_EMPLOYEES[[#This Row],[EMPLOYEE NUMBER]]="","",MATCH(T_EMPLOYEES[[#This Row],[JOB CATEGORY]],L_JOBCATEGORY,0))</f>
        <v/>
      </c>
      <c r="AL263">
        <f>IF(T_EMPLOYEES[[#This Row],[EMPLOYEE NUMBER]]="","",MATCH(T_EMPLOYEES[[#This Row],[JOB LEVEL]],L_JOBLEVEL,0))</f>
        <v/>
      </c>
      <c r="AM263">
        <f>IF(T_EMPLOYEES[[#This Row],[EMPLOYEE NUMBER]]="","",MATCH(T_EMPLOYEES[[#This Row],[JOB TITLE]],L_JOBTITLE,0))</f>
        <v/>
      </c>
      <c r="AN263">
        <f>IF(T_EMPLOYEES[[#This Row],[EMPLOYEE NUMBER]]="","",MATCH(T_EMPLOYEES[[#This Row],[MANAGER]],L_EMPLABELS,0))</f>
        <v/>
      </c>
      <c r="AO263">
        <f>IF(T_EMPLOYEES[[#This Row],[EMPLOYEE NUMBER]]="","",IF(T_EMPLOYEES[[#This Row],[ERROR]]="",0,1))</f>
        <v/>
      </c>
      <c r="AP26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4">
      <c r="A264" t="inlineStr">
        <is>
          <t>Swaleha</t>
        </is>
      </c>
      <c r="B264" t="inlineStr">
        <is>
          <t xml:space="preserve"> Baig</t>
        </is>
      </c>
      <c r="C264" t="n">
        <v>1027829</v>
      </c>
      <c r="D264" t="inlineStr">
        <is>
          <t>Swaleha.Baig@infinite.com</t>
        </is>
      </c>
      <c r="E264" s="26" t="n">
        <v>34346</v>
      </c>
      <c r="F264" s="26" t="n">
        <v>44559</v>
      </c>
      <c r="H264" t="inlineStr">
        <is>
          <t>Male</t>
        </is>
      </c>
      <c r="I264" t="inlineStr">
        <is>
          <t>Asian</t>
        </is>
      </c>
      <c r="J264" t="inlineStr">
        <is>
          <t>WEBSITE</t>
        </is>
      </c>
      <c r="K264" t="inlineStr">
        <is>
          <t>Bangalore</t>
        </is>
      </c>
      <c r="L264" s="27" t="inlineStr">
        <is>
          <t>IT</t>
        </is>
      </c>
      <c r="M264" t="inlineStr">
        <is>
          <t>Full-Time</t>
        </is>
      </c>
      <c r="N264" t="inlineStr">
        <is>
          <t>Associate Software Engineer</t>
        </is>
      </c>
      <c r="O264" t="inlineStr">
        <is>
          <t>E1</t>
        </is>
      </c>
      <c r="P264" t="inlineStr">
        <is>
          <t>Associate Software Engineer</t>
        </is>
      </c>
      <c r="Q264" t="inlineStr">
        <is>
          <t>Unnikrishnan Chellappan C (1025919)</t>
        </is>
      </c>
      <c r="R264" s="27" t="n">
        <v>0</v>
      </c>
      <c r="S264" s="1" t="n">
        <v>250000</v>
      </c>
      <c r="T264" s="1">
        <f>ROUND(T_EMPLOYEES[[#This Row],[EMP_CTC1]]/12, 0)</f>
        <v/>
      </c>
      <c r="U264" s="1" t="n">
        <v>150000</v>
      </c>
      <c r="V264" s="1" t="inlineStr">
        <is>
          <t>NH</t>
        </is>
      </c>
      <c r="W264" s="1" t="inlineStr">
        <is>
          <t>NH</t>
        </is>
      </c>
      <c r="X26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4" t="n">
        <v>100000</v>
      </c>
      <c r="Z264" s="29">
        <f>(S264 - U264)/S264 * 100</f>
        <v/>
      </c>
      <c r="AA264">
        <f>IF(T_EMPLOYEES[[#This Row],[EMPLOYEE NUMBER]]="","",ROW(T_EMPLOYEES[[#This Row],[EMPLOYEE LABEL]])-ROW(T_EMPLOYEES[[#Headers],[EMPLOYEE LABEL]]))</f>
        <v/>
      </c>
      <c r="AB264">
        <f>IF(T_EMPLOYEES[[#This Row],[EMPLOYEE NUMBER]]="","",IF(COUNTIF(T_EMPLOYEES[EMPLOYEE NUMBER],T_EMPLOYEES[[#This Row],[EMPLOYEE NUMBER]])&gt;1,1,0))</f>
        <v/>
      </c>
      <c r="AC264">
        <f>IF(T_EMPLOYEES[[#This Row],[EMPLOYEE NUMBER]]="","",IF(AND(T_EMPLOYEES[[#This Row],[DATE OF BIRTH]]&gt;0,T_EMPLOYEES[[#This Row],[DATE OF BIRTH]]&lt;TODAY()),0,1))</f>
        <v/>
      </c>
      <c r="AD264">
        <f>IF(T_EMPLOYEES[[#This Row],[EMPLOYEE NUMBER]]="","",IF(AND(T_EMPLOYEES[[#This Row],[START DATE]]&gt;0,T_EMPLOYEES[[#This Row],[START DATE]]&lt;TODAY()+60),0,1))</f>
        <v/>
      </c>
      <c r="AE264">
        <f>IF(T_EMPLOYEES[[#This Row],[EMPLOYEE NUMBER]]="","",MATCH(T_EMPLOYEES[[#This Row],[GENDER]],L_GENDER,0))</f>
        <v/>
      </c>
      <c r="AF264">
        <f>IF(T_EMPLOYEES[[#This Row],[EMPLOYEE NUMBER]]="","",MATCH(T_EMPLOYEES[[#This Row],[HIRE SOURCE]],L_HIRESOURCE,0))</f>
        <v/>
      </c>
      <c r="AG264">
        <f>IF(T_EMPLOYEES[[#This Row],[EMPLOYEE NUMBER]]="","",MATCH(T_EMPLOYEES[[#This Row],[ETHNICITY]],L_ETHNICITY,0))</f>
        <v/>
      </c>
      <c r="AH264">
        <f>IF(T_EMPLOYEES[[#This Row],[EMPLOYEE NUMBER]]="","",MATCH(T_EMPLOYEES[[#This Row],[LOCATION]],L_LOCATION,0))</f>
        <v/>
      </c>
      <c r="AI264">
        <f>IF(T_EMPLOYEES[[#This Row],[EMPLOYEE NUMBER]]="","",MATCH(T_EMPLOYEES[[#This Row],[DEPARTMENT]],L_DEPARTMENT,0))</f>
        <v/>
      </c>
      <c r="AJ264">
        <f>IF(T_EMPLOYEES[[#This Row],[EMPLOYEE NUMBER]]="","",MATCH(T_EMPLOYEES[[#This Row],[JOB TYPE]],L_JOBTYPE,0))</f>
        <v/>
      </c>
      <c r="AK264">
        <f>IF(T_EMPLOYEES[[#This Row],[EMPLOYEE NUMBER]]="","",MATCH(T_EMPLOYEES[[#This Row],[JOB CATEGORY]],L_JOBCATEGORY,0))</f>
        <v/>
      </c>
      <c r="AL264">
        <f>IF(T_EMPLOYEES[[#This Row],[EMPLOYEE NUMBER]]="","",MATCH(T_EMPLOYEES[[#This Row],[JOB LEVEL]],L_JOBLEVEL,0))</f>
        <v/>
      </c>
      <c r="AM264">
        <f>IF(T_EMPLOYEES[[#This Row],[EMPLOYEE NUMBER]]="","",MATCH(T_EMPLOYEES[[#This Row],[JOB TITLE]],L_JOBTITLE,0))</f>
        <v/>
      </c>
      <c r="AN264">
        <f>IF(T_EMPLOYEES[[#This Row],[EMPLOYEE NUMBER]]="","",MATCH(T_EMPLOYEES[[#This Row],[MANAGER]],L_EMPLABELS,0))</f>
        <v/>
      </c>
      <c r="AO264">
        <f>IF(T_EMPLOYEES[[#This Row],[EMPLOYEE NUMBER]]="","",IF(T_EMPLOYEES[[#This Row],[ERROR]]="",0,1))</f>
        <v/>
      </c>
      <c r="AP26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5">
      <c r="A265" t="inlineStr">
        <is>
          <t>Mettu</t>
        </is>
      </c>
      <c r="B265" t="inlineStr">
        <is>
          <t xml:space="preserve"> Teja</t>
        </is>
      </c>
      <c r="C265" t="n">
        <v>1024600</v>
      </c>
      <c r="D265" t="inlineStr">
        <is>
          <t>Mettu.Teja@infinite.com</t>
        </is>
      </c>
      <c r="E265" s="26" t="n">
        <v>34370</v>
      </c>
      <c r="F265" s="26" t="n">
        <v>44249</v>
      </c>
      <c r="H265" t="inlineStr">
        <is>
          <t>Male</t>
        </is>
      </c>
      <c r="I265" t="inlineStr">
        <is>
          <t>Asian</t>
        </is>
      </c>
      <c r="J265" t="inlineStr">
        <is>
          <t>WEBSITE</t>
        </is>
      </c>
      <c r="K265" t="inlineStr">
        <is>
          <t>Hyderabad</t>
        </is>
      </c>
      <c r="L265" s="27" t="inlineStr">
        <is>
          <t>IT</t>
        </is>
      </c>
      <c r="M265" t="inlineStr">
        <is>
          <t>Full-Time</t>
        </is>
      </c>
      <c r="N265" t="inlineStr">
        <is>
          <t>Lead Business Analyst</t>
        </is>
      </c>
      <c r="O265" t="inlineStr">
        <is>
          <t>E4</t>
        </is>
      </c>
      <c r="P265" t="inlineStr">
        <is>
          <t>Lead Business Analyst</t>
        </is>
      </c>
      <c r="Q265" t="inlineStr">
        <is>
          <t>Siddharth Kumar (1027551)</t>
        </is>
      </c>
      <c r="R265" t="n">
        <v>5</v>
      </c>
      <c r="S265" s="1" t="n">
        <v>250000</v>
      </c>
      <c r="T265" s="1">
        <f>ROUND(T_EMPLOYEES[[#This Row],[EMP_CTC1]]/12, 0)</f>
        <v/>
      </c>
      <c r="U265" s="1" t="n">
        <v>150000</v>
      </c>
      <c r="V265" s="1" t="inlineStr">
        <is>
          <t>NH</t>
        </is>
      </c>
      <c r="W265" s="1" t="inlineStr">
        <is>
          <t>NH</t>
        </is>
      </c>
      <c r="X26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5" t="n">
        <v>100000</v>
      </c>
      <c r="Z265" s="29">
        <f>(S265 - U265)/S265 * 100</f>
        <v/>
      </c>
      <c r="AA265">
        <f>IF(T_EMPLOYEES[[#This Row],[EMPLOYEE NUMBER]]="","",ROW(T_EMPLOYEES[[#This Row],[EMPLOYEE LABEL]])-ROW(T_EMPLOYEES[[#Headers],[EMPLOYEE LABEL]]))</f>
        <v/>
      </c>
      <c r="AB265">
        <f>IF(T_EMPLOYEES[[#This Row],[EMPLOYEE NUMBER]]="","",IF(COUNTIF(T_EMPLOYEES[EMPLOYEE NUMBER],T_EMPLOYEES[[#This Row],[EMPLOYEE NUMBER]])&gt;1,1,0))</f>
        <v/>
      </c>
      <c r="AC265">
        <f>IF(T_EMPLOYEES[[#This Row],[EMPLOYEE NUMBER]]="","",IF(AND(T_EMPLOYEES[[#This Row],[DATE OF BIRTH]]&gt;0,T_EMPLOYEES[[#This Row],[DATE OF BIRTH]]&lt;TODAY()),0,1))</f>
        <v/>
      </c>
      <c r="AD265">
        <f>IF(T_EMPLOYEES[[#This Row],[EMPLOYEE NUMBER]]="","",IF(AND(T_EMPLOYEES[[#This Row],[START DATE]]&gt;0,T_EMPLOYEES[[#This Row],[START DATE]]&lt;TODAY()+60),0,1))</f>
        <v/>
      </c>
      <c r="AE265">
        <f>IF(T_EMPLOYEES[[#This Row],[EMPLOYEE NUMBER]]="","",MATCH(T_EMPLOYEES[[#This Row],[GENDER]],L_GENDER,0))</f>
        <v/>
      </c>
      <c r="AF265">
        <f>IF(T_EMPLOYEES[[#This Row],[EMPLOYEE NUMBER]]="","",MATCH(T_EMPLOYEES[[#This Row],[HIRE SOURCE]],L_HIRESOURCE,0))</f>
        <v/>
      </c>
      <c r="AG265">
        <f>IF(T_EMPLOYEES[[#This Row],[EMPLOYEE NUMBER]]="","",MATCH(T_EMPLOYEES[[#This Row],[ETHNICITY]],L_ETHNICITY,0))</f>
        <v/>
      </c>
      <c r="AH265">
        <f>IF(T_EMPLOYEES[[#This Row],[EMPLOYEE NUMBER]]="","",MATCH(T_EMPLOYEES[[#This Row],[LOCATION]],L_LOCATION,0))</f>
        <v/>
      </c>
      <c r="AI265">
        <f>IF(T_EMPLOYEES[[#This Row],[EMPLOYEE NUMBER]]="","",MATCH(T_EMPLOYEES[[#This Row],[DEPARTMENT]],L_DEPARTMENT,0))</f>
        <v/>
      </c>
      <c r="AJ265">
        <f>IF(T_EMPLOYEES[[#This Row],[EMPLOYEE NUMBER]]="","",MATCH(T_EMPLOYEES[[#This Row],[JOB TYPE]],L_JOBTYPE,0))</f>
        <v/>
      </c>
      <c r="AK265">
        <f>IF(T_EMPLOYEES[[#This Row],[EMPLOYEE NUMBER]]="","",MATCH(T_EMPLOYEES[[#This Row],[JOB CATEGORY]],L_JOBCATEGORY,0))</f>
        <v/>
      </c>
      <c r="AL265">
        <f>IF(T_EMPLOYEES[[#This Row],[EMPLOYEE NUMBER]]="","",MATCH(T_EMPLOYEES[[#This Row],[JOB LEVEL]],L_JOBLEVEL,0))</f>
        <v/>
      </c>
      <c r="AM265">
        <f>IF(T_EMPLOYEES[[#This Row],[EMPLOYEE NUMBER]]="","",MATCH(T_EMPLOYEES[[#This Row],[JOB TITLE]],L_JOBTITLE,0))</f>
        <v/>
      </c>
      <c r="AN265">
        <f>IF(T_EMPLOYEES[[#This Row],[EMPLOYEE NUMBER]]="","",MATCH(T_EMPLOYEES[[#This Row],[MANAGER]],L_EMPLABELS,0))</f>
        <v/>
      </c>
      <c r="AO265">
        <f>IF(T_EMPLOYEES[[#This Row],[EMPLOYEE NUMBER]]="","",IF(T_EMPLOYEES[[#This Row],[ERROR]]="",0,1))</f>
        <v/>
      </c>
      <c r="AP26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6">
      <c r="A266" t="inlineStr">
        <is>
          <t>Parvathy</t>
        </is>
      </c>
      <c r="B266" t="inlineStr">
        <is>
          <t>S Nair</t>
        </is>
      </c>
      <c r="C266" t="n">
        <v>1024679</v>
      </c>
      <c r="D266" t="inlineStr">
        <is>
          <t>Parvathy.Nair@infinite.com</t>
        </is>
      </c>
      <c r="E266" s="26" t="n">
        <v>34391</v>
      </c>
      <c r="F266" s="26" t="n">
        <v>44256</v>
      </c>
      <c r="H266" t="inlineStr">
        <is>
          <t>Female</t>
        </is>
      </c>
      <c r="I266" t="inlineStr">
        <is>
          <t>Asian</t>
        </is>
      </c>
      <c r="J266" t="inlineStr">
        <is>
          <t>WEBSITE</t>
        </is>
      </c>
      <c r="K266" t="inlineStr">
        <is>
          <t>Hyderabad</t>
        </is>
      </c>
      <c r="L266" s="27" t="inlineStr">
        <is>
          <t>IT</t>
        </is>
      </c>
      <c r="M266" t="inlineStr">
        <is>
          <t>Full-Time</t>
        </is>
      </c>
      <c r="N266" t="inlineStr">
        <is>
          <t>Executive</t>
        </is>
      </c>
      <c r="O266" t="inlineStr">
        <is>
          <t>E2</t>
        </is>
      </c>
      <c r="P266" t="inlineStr">
        <is>
          <t>Executive</t>
        </is>
      </c>
      <c r="Q266" t="inlineStr">
        <is>
          <t>Shambhavi Priya (1015227)</t>
        </is>
      </c>
      <c r="R266" s="27" t="n">
        <v>4</v>
      </c>
      <c r="S266" s="1" t="n">
        <v>250000</v>
      </c>
      <c r="T266" s="1">
        <f>ROUND(T_EMPLOYEES[[#This Row],[EMP_CTC1]]/12, 0)</f>
        <v/>
      </c>
      <c r="U266" s="1" t="n">
        <v>150000</v>
      </c>
      <c r="V266" s="1" t="inlineStr">
        <is>
          <t>NH</t>
        </is>
      </c>
      <c r="W266" s="1" t="inlineStr">
        <is>
          <t>NH</t>
        </is>
      </c>
      <c r="X26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6" t="n">
        <v>100000</v>
      </c>
      <c r="Z266" s="29">
        <f>(S266 - U266)/S266 * 100</f>
        <v/>
      </c>
      <c r="AA266">
        <f>IF(T_EMPLOYEES[[#This Row],[EMPLOYEE NUMBER]]="","",ROW(T_EMPLOYEES[[#This Row],[EMPLOYEE LABEL]])-ROW(T_EMPLOYEES[[#Headers],[EMPLOYEE LABEL]]))</f>
        <v/>
      </c>
      <c r="AB266">
        <f>IF(T_EMPLOYEES[[#This Row],[EMPLOYEE NUMBER]]="","",IF(COUNTIF(T_EMPLOYEES[EMPLOYEE NUMBER],T_EMPLOYEES[[#This Row],[EMPLOYEE NUMBER]])&gt;1,1,0))</f>
        <v/>
      </c>
      <c r="AC266">
        <f>IF(T_EMPLOYEES[[#This Row],[EMPLOYEE NUMBER]]="","",IF(AND(T_EMPLOYEES[[#This Row],[DATE OF BIRTH]]&gt;0,T_EMPLOYEES[[#This Row],[DATE OF BIRTH]]&lt;TODAY()),0,1))</f>
        <v/>
      </c>
      <c r="AD266">
        <f>IF(T_EMPLOYEES[[#This Row],[EMPLOYEE NUMBER]]="","",IF(AND(T_EMPLOYEES[[#This Row],[START DATE]]&gt;0,T_EMPLOYEES[[#This Row],[START DATE]]&lt;TODAY()+60),0,1))</f>
        <v/>
      </c>
      <c r="AE266">
        <f>IF(T_EMPLOYEES[[#This Row],[EMPLOYEE NUMBER]]="","",MATCH(T_EMPLOYEES[[#This Row],[GENDER]],L_GENDER,0))</f>
        <v/>
      </c>
      <c r="AF266">
        <f>IF(T_EMPLOYEES[[#This Row],[EMPLOYEE NUMBER]]="","",MATCH(T_EMPLOYEES[[#This Row],[HIRE SOURCE]],L_HIRESOURCE,0))</f>
        <v/>
      </c>
      <c r="AG266">
        <f>IF(T_EMPLOYEES[[#This Row],[EMPLOYEE NUMBER]]="","",MATCH(T_EMPLOYEES[[#This Row],[ETHNICITY]],L_ETHNICITY,0))</f>
        <v/>
      </c>
      <c r="AH266">
        <f>IF(T_EMPLOYEES[[#This Row],[EMPLOYEE NUMBER]]="","",MATCH(T_EMPLOYEES[[#This Row],[LOCATION]],L_LOCATION,0))</f>
        <v/>
      </c>
      <c r="AI266">
        <f>IF(T_EMPLOYEES[[#This Row],[EMPLOYEE NUMBER]]="","",MATCH(T_EMPLOYEES[[#This Row],[DEPARTMENT]],L_DEPARTMENT,0))</f>
        <v/>
      </c>
      <c r="AJ266">
        <f>IF(T_EMPLOYEES[[#This Row],[EMPLOYEE NUMBER]]="","",MATCH(T_EMPLOYEES[[#This Row],[JOB TYPE]],L_JOBTYPE,0))</f>
        <v/>
      </c>
      <c r="AK266">
        <f>IF(T_EMPLOYEES[[#This Row],[EMPLOYEE NUMBER]]="","",MATCH(T_EMPLOYEES[[#This Row],[JOB CATEGORY]],L_JOBCATEGORY,0))</f>
        <v/>
      </c>
      <c r="AL266">
        <f>IF(T_EMPLOYEES[[#This Row],[EMPLOYEE NUMBER]]="","",MATCH(T_EMPLOYEES[[#This Row],[JOB LEVEL]],L_JOBLEVEL,0))</f>
        <v/>
      </c>
      <c r="AM266">
        <f>IF(T_EMPLOYEES[[#This Row],[EMPLOYEE NUMBER]]="","",MATCH(T_EMPLOYEES[[#This Row],[JOB TITLE]],L_JOBTITLE,0))</f>
        <v/>
      </c>
      <c r="AN266">
        <f>IF(T_EMPLOYEES[[#This Row],[EMPLOYEE NUMBER]]="","",MATCH(T_EMPLOYEES[[#This Row],[MANAGER]],L_EMPLABELS,0))</f>
        <v/>
      </c>
      <c r="AO266">
        <f>IF(T_EMPLOYEES[[#This Row],[EMPLOYEE NUMBER]]="","",IF(T_EMPLOYEES[[#This Row],[ERROR]]="",0,1))</f>
        <v/>
      </c>
      <c r="AP26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7">
      <c r="A267" t="inlineStr">
        <is>
          <t>Sagar</t>
        </is>
      </c>
      <c r="B267" t="inlineStr">
        <is>
          <t>Shivanand Ghante</t>
        </is>
      </c>
      <c r="C267" t="n">
        <v>1021180</v>
      </c>
      <c r="D267" t="inlineStr">
        <is>
          <t>Sagar.Ghante@infinite.com</t>
        </is>
      </c>
      <c r="E267" s="26" t="n">
        <v>34400</v>
      </c>
      <c r="F267" s="26" t="n">
        <v>43402</v>
      </c>
      <c r="H267" t="inlineStr">
        <is>
          <t>Male</t>
        </is>
      </c>
      <c r="I267" t="inlineStr">
        <is>
          <t>Asian</t>
        </is>
      </c>
      <c r="J267" t="inlineStr">
        <is>
          <t>WEBSITE</t>
        </is>
      </c>
      <c r="K267" t="inlineStr">
        <is>
          <t>Bangalore</t>
        </is>
      </c>
      <c r="L267" s="27" t="inlineStr">
        <is>
          <t>IT</t>
        </is>
      </c>
      <c r="M267" t="inlineStr">
        <is>
          <t>Full-Time</t>
        </is>
      </c>
      <c r="N267" t="inlineStr">
        <is>
          <t>Senior Support Engineer</t>
        </is>
      </c>
      <c r="O267" t="inlineStr">
        <is>
          <t>E3</t>
        </is>
      </c>
      <c r="P267" t="inlineStr">
        <is>
          <t>Senior Support Engineer</t>
        </is>
      </c>
      <c r="Q267" t="inlineStr">
        <is>
          <t>Neha  Rajput (1020112)</t>
        </is>
      </c>
      <c r="R267" t="n">
        <v>4</v>
      </c>
      <c r="S267" s="1" t="n">
        <v>250000</v>
      </c>
      <c r="T267" s="1">
        <f>ROUND(T_EMPLOYEES[[#This Row],[EMP_CTC1]]/12, 0)</f>
        <v/>
      </c>
      <c r="U267" s="1" t="n">
        <v>150000</v>
      </c>
      <c r="V267" s="1" t="inlineStr">
        <is>
          <t>NH</t>
        </is>
      </c>
      <c r="W267" s="1" t="inlineStr">
        <is>
          <t>NH</t>
        </is>
      </c>
      <c r="X26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7" t="n">
        <v>100000</v>
      </c>
      <c r="Z267" s="29">
        <f>(S267 - U267)/S267 * 100</f>
        <v/>
      </c>
      <c r="AA267">
        <f>IF(T_EMPLOYEES[[#This Row],[EMPLOYEE NUMBER]]="","",ROW(T_EMPLOYEES[[#This Row],[EMPLOYEE LABEL]])-ROW(T_EMPLOYEES[[#Headers],[EMPLOYEE LABEL]]))</f>
        <v/>
      </c>
      <c r="AB267">
        <f>IF(T_EMPLOYEES[[#This Row],[EMPLOYEE NUMBER]]="","",IF(COUNTIF(T_EMPLOYEES[EMPLOYEE NUMBER],T_EMPLOYEES[[#This Row],[EMPLOYEE NUMBER]])&gt;1,1,0))</f>
        <v/>
      </c>
      <c r="AC267">
        <f>IF(T_EMPLOYEES[[#This Row],[EMPLOYEE NUMBER]]="","",IF(AND(T_EMPLOYEES[[#This Row],[DATE OF BIRTH]]&gt;0,T_EMPLOYEES[[#This Row],[DATE OF BIRTH]]&lt;TODAY()),0,1))</f>
        <v/>
      </c>
      <c r="AD267">
        <f>IF(T_EMPLOYEES[[#This Row],[EMPLOYEE NUMBER]]="","",IF(AND(T_EMPLOYEES[[#This Row],[START DATE]]&gt;0,T_EMPLOYEES[[#This Row],[START DATE]]&lt;TODAY()+60),0,1))</f>
        <v/>
      </c>
      <c r="AE267">
        <f>IF(T_EMPLOYEES[[#This Row],[EMPLOYEE NUMBER]]="","",MATCH(T_EMPLOYEES[[#This Row],[GENDER]],L_GENDER,0))</f>
        <v/>
      </c>
      <c r="AF267">
        <f>IF(T_EMPLOYEES[[#This Row],[EMPLOYEE NUMBER]]="","",MATCH(T_EMPLOYEES[[#This Row],[HIRE SOURCE]],L_HIRESOURCE,0))</f>
        <v/>
      </c>
      <c r="AG267">
        <f>IF(T_EMPLOYEES[[#This Row],[EMPLOYEE NUMBER]]="","",MATCH(T_EMPLOYEES[[#This Row],[ETHNICITY]],L_ETHNICITY,0))</f>
        <v/>
      </c>
      <c r="AH267">
        <f>IF(T_EMPLOYEES[[#This Row],[EMPLOYEE NUMBER]]="","",MATCH(T_EMPLOYEES[[#This Row],[LOCATION]],L_LOCATION,0))</f>
        <v/>
      </c>
      <c r="AI267">
        <f>IF(T_EMPLOYEES[[#This Row],[EMPLOYEE NUMBER]]="","",MATCH(T_EMPLOYEES[[#This Row],[DEPARTMENT]],L_DEPARTMENT,0))</f>
        <v/>
      </c>
      <c r="AJ267">
        <f>IF(T_EMPLOYEES[[#This Row],[EMPLOYEE NUMBER]]="","",MATCH(T_EMPLOYEES[[#This Row],[JOB TYPE]],L_JOBTYPE,0))</f>
        <v/>
      </c>
      <c r="AK267">
        <f>IF(T_EMPLOYEES[[#This Row],[EMPLOYEE NUMBER]]="","",MATCH(T_EMPLOYEES[[#This Row],[JOB CATEGORY]],L_JOBCATEGORY,0))</f>
        <v/>
      </c>
      <c r="AL267">
        <f>IF(T_EMPLOYEES[[#This Row],[EMPLOYEE NUMBER]]="","",MATCH(T_EMPLOYEES[[#This Row],[JOB LEVEL]],L_JOBLEVEL,0))</f>
        <v/>
      </c>
      <c r="AM267">
        <f>IF(T_EMPLOYEES[[#This Row],[EMPLOYEE NUMBER]]="","",MATCH(T_EMPLOYEES[[#This Row],[JOB TITLE]],L_JOBTITLE,0))</f>
        <v/>
      </c>
      <c r="AN267">
        <f>IF(T_EMPLOYEES[[#This Row],[EMPLOYEE NUMBER]]="","",MATCH(T_EMPLOYEES[[#This Row],[MANAGER]],L_EMPLABELS,0))</f>
        <v/>
      </c>
      <c r="AO267">
        <f>IF(T_EMPLOYEES[[#This Row],[EMPLOYEE NUMBER]]="","",IF(T_EMPLOYEES[[#This Row],[ERROR]]="",0,1))</f>
        <v/>
      </c>
      <c r="AP26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8">
      <c r="A268" t="inlineStr">
        <is>
          <t>Sweta</t>
        </is>
      </c>
      <c r="B268" t="inlineStr">
        <is>
          <t>Korwar</t>
        </is>
      </c>
      <c r="C268" t="n">
        <v>1020234</v>
      </c>
      <c r="D268" t="inlineStr">
        <is>
          <t>Sweta.Korwar@infinite.com</t>
        </is>
      </c>
      <c r="E268" s="26" t="n">
        <v>34415</v>
      </c>
      <c r="F268" s="26" t="n">
        <v>43143</v>
      </c>
      <c r="H268" t="inlineStr">
        <is>
          <t>Female</t>
        </is>
      </c>
      <c r="I268" t="inlineStr">
        <is>
          <t>Asian</t>
        </is>
      </c>
      <c r="J268" t="inlineStr">
        <is>
          <t>WEBSITE</t>
        </is>
      </c>
      <c r="K268" t="inlineStr">
        <is>
          <t>Bangalore</t>
        </is>
      </c>
      <c r="L268" s="27" t="inlineStr">
        <is>
          <t>IT</t>
        </is>
      </c>
      <c r="M268" t="inlineStr">
        <is>
          <t>Full-Time</t>
        </is>
      </c>
      <c r="N268" t="inlineStr">
        <is>
          <t>Senior Support Engineer</t>
        </is>
      </c>
      <c r="O268" t="inlineStr">
        <is>
          <t>E3</t>
        </is>
      </c>
      <c r="P268" t="inlineStr">
        <is>
          <t>Senior Support Engineer</t>
        </is>
      </c>
      <c r="Q268" t="inlineStr">
        <is>
          <t>Neha  Rajput (1020112)</t>
        </is>
      </c>
      <c r="R268" s="27" t="n">
        <v>4</v>
      </c>
      <c r="S268" s="1" t="n">
        <v>250000</v>
      </c>
      <c r="T268" s="1">
        <f>ROUND(T_EMPLOYEES[[#This Row],[EMP_CTC1]]/12, 0)</f>
        <v/>
      </c>
      <c r="U268" s="1" t="n">
        <v>150000</v>
      </c>
      <c r="V268" s="1" t="inlineStr">
        <is>
          <t>NH</t>
        </is>
      </c>
      <c r="W268" s="1" t="inlineStr">
        <is>
          <t>NH</t>
        </is>
      </c>
      <c r="X26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8" t="n">
        <v>100000</v>
      </c>
      <c r="Z268" s="29">
        <f>(S268 - U268)/S268 * 100</f>
        <v/>
      </c>
      <c r="AA268">
        <f>IF(T_EMPLOYEES[[#This Row],[EMPLOYEE NUMBER]]="","",ROW(T_EMPLOYEES[[#This Row],[EMPLOYEE LABEL]])-ROW(T_EMPLOYEES[[#Headers],[EMPLOYEE LABEL]]))</f>
        <v/>
      </c>
      <c r="AB268">
        <f>IF(T_EMPLOYEES[[#This Row],[EMPLOYEE NUMBER]]="","",IF(COUNTIF(T_EMPLOYEES[EMPLOYEE NUMBER],T_EMPLOYEES[[#This Row],[EMPLOYEE NUMBER]])&gt;1,1,0))</f>
        <v/>
      </c>
      <c r="AC268">
        <f>IF(T_EMPLOYEES[[#This Row],[EMPLOYEE NUMBER]]="","",IF(AND(T_EMPLOYEES[[#This Row],[DATE OF BIRTH]]&gt;0,T_EMPLOYEES[[#This Row],[DATE OF BIRTH]]&lt;TODAY()),0,1))</f>
        <v/>
      </c>
      <c r="AD268">
        <f>IF(T_EMPLOYEES[[#This Row],[EMPLOYEE NUMBER]]="","",IF(AND(T_EMPLOYEES[[#This Row],[START DATE]]&gt;0,T_EMPLOYEES[[#This Row],[START DATE]]&lt;TODAY()+60),0,1))</f>
        <v/>
      </c>
      <c r="AE268">
        <f>IF(T_EMPLOYEES[[#This Row],[EMPLOYEE NUMBER]]="","",MATCH(T_EMPLOYEES[[#This Row],[GENDER]],L_GENDER,0))</f>
        <v/>
      </c>
      <c r="AF268">
        <f>IF(T_EMPLOYEES[[#This Row],[EMPLOYEE NUMBER]]="","",MATCH(T_EMPLOYEES[[#This Row],[HIRE SOURCE]],L_HIRESOURCE,0))</f>
        <v/>
      </c>
      <c r="AG268">
        <f>IF(T_EMPLOYEES[[#This Row],[EMPLOYEE NUMBER]]="","",MATCH(T_EMPLOYEES[[#This Row],[ETHNICITY]],L_ETHNICITY,0))</f>
        <v/>
      </c>
      <c r="AH268">
        <f>IF(T_EMPLOYEES[[#This Row],[EMPLOYEE NUMBER]]="","",MATCH(T_EMPLOYEES[[#This Row],[LOCATION]],L_LOCATION,0))</f>
        <v/>
      </c>
      <c r="AI268">
        <f>IF(T_EMPLOYEES[[#This Row],[EMPLOYEE NUMBER]]="","",MATCH(T_EMPLOYEES[[#This Row],[DEPARTMENT]],L_DEPARTMENT,0))</f>
        <v/>
      </c>
      <c r="AJ268">
        <f>IF(T_EMPLOYEES[[#This Row],[EMPLOYEE NUMBER]]="","",MATCH(T_EMPLOYEES[[#This Row],[JOB TYPE]],L_JOBTYPE,0))</f>
        <v/>
      </c>
      <c r="AK268">
        <f>IF(T_EMPLOYEES[[#This Row],[EMPLOYEE NUMBER]]="","",MATCH(T_EMPLOYEES[[#This Row],[JOB CATEGORY]],L_JOBCATEGORY,0))</f>
        <v/>
      </c>
      <c r="AL268">
        <f>IF(T_EMPLOYEES[[#This Row],[EMPLOYEE NUMBER]]="","",MATCH(T_EMPLOYEES[[#This Row],[JOB LEVEL]],L_JOBLEVEL,0))</f>
        <v/>
      </c>
      <c r="AM268">
        <f>IF(T_EMPLOYEES[[#This Row],[EMPLOYEE NUMBER]]="","",MATCH(T_EMPLOYEES[[#This Row],[JOB TITLE]],L_JOBTITLE,0))</f>
        <v/>
      </c>
      <c r="AN268">
        <f>IF(T_EMPLOYEES[[#This Row],[EMPLOYEE NUMBER]]="","",MATCH(T_EMPLOYEES[[#This Row],[MANAGER]],L_EMPLABELS,0))</f>
        <v/>
      </c>
      <c r="AO268">
        <f>IF(T_EMPLOYEES[[#This Row],[EMPLOYEE NUMBER]]="","",IF(T_EMPLOYEES[[#This Row],[ERROR]]="",0,1))</f>
        <v/>
      </c>
      <c r="AP26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69">
      <c r="A269" t="inlineStr">
        <is>
          <t>Priyanga</t>
        </is>
      </c>
      <c r="B269" t="inlineStr">
        <is>
          <t>R</t>
        </is>
      </c>
      <c r="C269" t="n">
        <v>1018335</v>
      </c>
      <c r="D269" t="inlineStr">
        <is>
          <t>Priyanga.Rajendran@infinite.com</t>
        </is>
      </c>
      <c r="E269" s="26" t="n">
        <v>34423</v>
      </c>
      <c r="F269" s="26" t="n">
        <v>42513</v>
      </c>
      <c r="H269" t="inlineStr">
        <is>
          <t>Female</t>
        </is>
      </c>
      <c r="I269" t="inlineStr">
        <is>
          <t>Asian</t>
        </is>
      </c>
      <c r="J269" t="inlineStr">
        <is>
          <t>WEBSITE</t>
        </is>
      </c>
      <c r="K269" t="inlineStr">
        <is>
          <t>Hyderabad</t>
        </is>
      </c>
      <c r="L269" s="27" t="inlineStr">
        <is>
          <t>IT</t>
        </is>
      </c>
      <c r="M269" t="inlineStr">
        <is>
          <t>Full-Time</t>
        </is>
      </c>
      <c r="N269" t="inlineStr">
        <is>
          <t>Senior Support Engineer</t>
        </is>
      </c>
      <c r="O269" t="inlineStr">
        <is>
          <t>E3</t>
        </is>
      </c>
      <c r="P269" t="inlineStr">
        <is>
          <t>Senior Support Engineer</t>
        </is>
      </c>
      <c r="Q269" t="inlineStr">
        <is>
          <t>Neha  Rajput (1020112)</t>
        </is>
      </c>
      <c r="R269" t="n">
        <v>4</v>
      </c>
      <c r="S269" s="1" t="n">
        <v>250000</v>
      </c>
      <c r="T269" s="1">
        <f>ROUND(T_EMPLOYEES[[#This Row],[EMP_CTC1]]/12, 0)</f>
        <v/>
      </c>
      <c r="U269" s="1" t="n">
        <v>150000</v>
      </c>
      <c r="V269" s="1" t="inlineStr">
        <is>
          <t>NH</t>
        </is>
      </c>
      <c r="W269" s="1" t="inlineStr">
        <is>
          <t>NH</t>
        </is>
      </c>
      <c r="X26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69" t="n">
        <v>100000</v>
      </c>
      <c r="Z269" s="29">
        <f>(S269 - U269)/S269 * 100</f>
        <v/>
      </c>
      <c r="AA269">
        <f>IF(T_EMPLOYEES[[#This Row],[EMPLOYEE NUMBER]]="","",ROW(T_EMPLOYEES[[#This Row],[EMPLOYEE LABEL]])-ROW(T_EMPLOYEES[[#Headers],[EMPLOYEE LABEL]]))</f>
        <v/>
      </c>
      <c r="AB269">
        <f>IF(T_EMPLOYEES[[#This Row],[EMPLOYEE NUMBER]]="","",IF(COUNTIF(T_EMPLOYEES[EMPLOYEE NUMBER],T_EMPLOYEES[[#This Row],[EMPLOYEE NUMBER]])&gt;1,1,0))</f>
        <v/>
      </c>
      <c r="AC269">
        <f>IF(T_EMPLOYEES[[#This Row],[EMPLOYEE NUMBER]]="","",IF(AND(T_EMPLOYEES[[#This Row],[DATE OF BIRTH]]&gt;0,T_EMPLOYEES[[#This Row],[DATE OF BIRTH]]&lt;TODAY()),0,1))</f>
        <v/>
      </c>
      <c r="AD269">
        <f>IF(T_EMPLOYEES[[#This Row],[EMPLOYEE NUMBER]]="","",IF(AND(T_EMPLOYEES[[#This Row],[START DATE]]&gt;0,T_EMPLOYEES[[#This Row],[START DATE]]&lt;TODAY()+60),0,1))</f>
        <v/>
      </c>
      <c r="AE269">
        <f>IF(T_EMPLOYEES[[#This Row],[EMPLOYEE NUMBER]]="","",MATCH(T_EMPLOYEES[[#This Row],[GENDER]],L_GENDER,0))</f>
        <v/>
      </c>
      <c r="AF269">
        <f>IF(T_EMPLOYEES[[#This Row],[EMPLOYEE NUMBER]]="","",MATCH(T_EMPLOYEES[[#This Row],[HIRE SOURCE]],L_HIRESOURCE,0))</f>
        <v/>
      </c>
      <c r="AG269">
        <f>IF(T_EMPLOYEES[[#This Row],[EMPLOYEE NUMBER]]="","",MATCH(T_EMPLOYEES[[#This Row],[ETHNICITY]],L_ETHNICITY,0))</f>
        <v/>
      </c>
      <c r="AH269">
        <f>IF(T_EMPLOYEES[[#This Row],[EMPLOYEE NUMBER]]="","",MATCH(T_EMPLOYEES[[#This Row],[LOCATION]],L_LOCATION,0))</f>
        <v/>
      </c>
      <c r="AI269">
        <f>IF(T_EMPLOYEES[[#This Row],[EMPLOYEE NUMBER]]="","",MATCH(T_EMPLOYEES[[#This Row],[DEPARTMENT]],L_DEPARTMENT,0))</f>
        <v/>
      </c>
      <c r="AJ269">
        <f>IF(T_EMPLOYEES[[#This Row],[EMPLOYEE NUMBER]]="","",MATCH(T_EMPLOYEES[[#This Row],[JOB TYPE]],L_JOBTYPE,0))</f>
        <v/>
      </c>
      <c r="AK269">
        <f>IF(T_EMPLOYEES[[#This Row],[EMPLOYEE NUMBER]]="","",MATCH(T_EMPLOYEES[[#This Row],[JOB CATEGORY]],L_JOBCATEGORY,0))</f>
        <v/>
      </c>
      <c r="AL269">
        <f>IF(T_EMPLOYEES[[#This Row],[EMPLOYEE NUMBER]]="","",MATCH(T_EMPLOYEES[[#This Row],[JOB LEVEL]],L_JOBLEVEL,0))</f>
        <v/>
      </c>
      <c r="AM269">
        <f>IF(T_EMPLOYEES[[#This Row],[EMPLOYEE NUMBER]]="","",MATCH(T_EMPLOYEES[[#This Row],[JOB TITLE]],L_JOBTITLE,0))</f>
        <v/>
      </c>
      <c r="AN269">
        <f>IF(T_EMPLOYEES[[#This Row],[EMPLOYEE NUMBER]]="","",MATCH(T_EMPLOYEES[[#This Row],[MANAGER]],L_EMPLABELS,0))</f>
        <v/>
      </c>
      <c r="AO269">
        <f>IF(T_EMPLOYEES[[#This Row],[EMPLOYEE NUMBER]]="","",IF(T_EMPLOYEES[[#This Row],[ERROR]]="",0,1))</f>
        <v/>
      </c>
      <c r="AP26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0">
      <c r="A270" t="inlineStr">
        <is>
          <t>Shermila</t>
        </is>
      </c>
      <c r="B270" t="inlineStr">
        <is>
          <t>Devi</t>
        </is>
      </c>
      <c r="C270" t="n">
        <v>1032646</v>
      </c>
      <c r="D270" t="inlineStr">
        <is>
          <t>Shermila.Devi@infinite.com</t>
        </is>
      </c>
      <c r="E270" s="26" t="n">
        <v>34432</v>
      </c>
      <c r="F270" s="26" t="n">
        <v>45042</v>
      </c>
      <c r="H270" t="inlineStr">
        <is>
          <t>Female</t>
        </is>
      </c>
      <c r="I270" t="inlineStr">
        <is>
          <t>Asian</t>
        </is>
      </c>
      <c r="J270" t="inlineStr">
        <is>
          <t>WEBSITE</t>
        </is>
      </c>
      <c r="K270" t="inlineStr">
        <is>
          <t>Pune</t>
        </is>
      </c>
      <c r="L270" s="27" t="inlineStr">
        <is>
          <t>IT</t>
        </is>
      </c>
      <c r="M270" t="inlineStr">
        <is>
          <t>Full-Time</t>
        </is>
      </c>
      <c r="N270" t="inlineStr">
        <is>
          <t>Senior Software Engineer</t>
        </is>
      </c>
      <c r="O270" t="inlineStr">
        <is>
          <t>E3</t>
        </is>
      </c>
      <c r="P270" t="inlineStr">
        <is>
          <t>Senior Software Engineer</t>
        </is>
      </c>
      <c r="Q270" t="inlineStr">
        <is>
          <t>Sunitha Panguluri (1031865)</t>
        </is>
      </c>
      <c r="R270" s="27" t="n">
        <v>4</v>
      </c>
      <c r="S270" s="1" t="n">
        <v>250000</v>
      </c>
      <c r="T270" s="1">
        <f>ROUND(T_EMPLOYEES[[#This Row],[EMP_CTC1]]/12, 0)</f>
        <v/>
      </c>
      <c r="U270" s="1" t="n">
        <v>150000</v>
      </c>
      <c r="V270" s="1" t="inlineStr">
        <is>
          <t>NH</t>
        </is>
      </c>
      <c r="W270" s="1" t="inlineStr">
        <is>
          <t>NH</t>
        </is>
      </c>
      <c r="X27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0" t="n">
        <v>100000</v>
      </c>
      <c r="Z270" s="29">
        <f>(S270 - U270)/S270 * 100</f>
        <v/>
      </c>
      <c r="AA270">
        <f>IF(T_EMPLOYEES[[#This Row],[EMPLOYEE NUMBER]]="","",ROW(T_EMPLOYEES[[#This Row],[EMPLOYEE LABEL]])-ROW(T_EMPLOYEES[[#Headers],[EMPLOYEE LABEL]]))</f>
        <v/>
      </c>
      <c r="AB270">
        <f>IF(T_EMPLOYEES[[#This Row],[EMPLOYEE NUMBER]]="","",IF(COUNTIF(T_EMPLOYEES[EMPLOYEE NUMBER],T_EMPLOYEES[[#This Row],[EMPLOYEE NUMBER]])&gt;1,1,0))</f>
        <v/>
      </c>
      <c r="AC270">
        <f>IF(T_EMPLOYEES[[#This Row],[EMPLOYEE NUMBER]]="","",IF(AND(T_EMPLOYEES[[#This Row],[DATE OF BIRTH]]&gt;0,T_EMPLOYEES[[#This Row],[DATE OF BIRTH]]&lt;TODAY()),0,1))</f>
        <v/>
      </c>
      <c r="AD270">
        <f>IF(T_EMPLOYEES[[#This Row],[EMPLOYEE NUMBER]]="","",IF(AND(T_EMPLOYEES[[#This Row],[START DATE]]&gt;0,T_EMPLOYEES[[#This Row],[START DATE]]&lt;TODAY()+60),0,1))</f>
        <v/>
      </c>
      <c r="AE270">
        <f>IF(T_EMPLOYEES[[#This Row],[EMPLOYEE NUMBER]]="","",MATCH(T_EMPLOYEES[[#This Row],[GENDER]],L_GENDER,0))</f>
        <v/>
      </c>
      <c r="AF270">
        <f>IF(T_EMPLOYEES[[#This Row],[EMPLOYEE NUMBER]]="","",MATCH(T_EMPLOYEES[[#This Row],[HIRE SOURCE]],L_HIRESOURCE,0))</f>
        <v/>
      </c>
      <c r="AG270">
        <f>IF(T_EMPLOYEES[[#This Row],[EMPLOYEE NUMBER]]="","",MATCH(T_EMPLOYEES[[#This Row],[ETHNICITY]],L_ETHNICITY,0))</f>
        <v/>
      </c>
      <c r="AH270">
        <f>IF(T_EMPLOYEES[[#This Row],[EMPLOYEE NUMBER]]="","",MATCH(T_EMPLOYEES[[#This Row],[LOCATION]],L_LOCATION,0))</f>
        <v/>
      </c>
      <c r="AI270">
        <f>IF(T_EMPLOYEES[[#This Row],[EMPLOYEE NUMBER]]="","",MATCH(T_EMPLOYEES[[#This Row],[DEPARTMENT]],L_DEPARTMENT,0))</f>
        <v/>
      </c>
      <c r="AJ270">
        <f>IF(T_EMPLOYEES[[#This Row],[EMPLOYEE NUMBER]]="","",MATCH(T_EMPLOYEES[[#This Row],[JOB TYPE]],L_JOBTYPE,0))</f>
        <v/>
      </c>
      <c r="AK270">
        <f>IF(T_EMPLOYEES[[#This Row],[EMPLOYEE NUMBER]]="","",MATCH(T_EMPLOYEES[[#This Row],[JOB CATEGORY]],L_JOBCATEGORY,0))</f>
        <v/>
      </c>
      <c r="AL270">
        <f>IF(T_EMPLOYEES[[#This Row],[EMPLOYEE NUMBER]]="","",MATCH(T_EMPLOYEES[[#This Row],[JOB LEVEL]],L_JOBLEVEL,0))</f>
        <v/>
      </c>
      <c r="AM270">
        <f>IF(T_EMPLOYEES[[#This Row],[EMPLOYEE NUMBER]]="","",MATCH(T_EMPLOYEES[[#This Row],[JOB TITLE]],L_JOBTITLE,0))</f>
        <v/>
      </c>
      <c r="AN270">
        <f>IF(T_EMPLOYEES[[#This Row],[EMPLOYEE NUMBER]]="","",MATCH(T_EMPLOYEES[[#This Row],[MANAGER]],L_EMPLABELS,0))</f>
        <v/>
      </c>
      <c r="AO270">
        <f>IF(T_EMPLOYEES[[#This Row],[EMPLOYEE NUMBER]]="","",IF(T_EMPLOYEES[[#This Row],[ERROR]]="",0,1))</f>
        <v/>
      </c>
      <c r="AP27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1">
      <c r="A271" t="inlineStr">
        <is>
          <t>Pallerla</t>
        </is>
      </c>
      <c r="B271" t="inlineStr">
        <is>
          <t>Saikrishna Reddy</t>
        </is>
      </c>
      <c r="C271" t="n">
        <v>1024511</v>
      </c>
      <c r="D271" t="inlineStr">
        <is>
          <t>Saikrishna.Reddy@infinite.com</t>
        </is>
      </c>
      <c r="E271" s="26" t="n">
        <v>34445</v>
      </c>
      <c r="F271" s="26" t="n">
        <v>44242</v>
      </c>
      <c r="H271" t="inlineStr">
        <is>
          <t>Male</t>
        </is>
      </c>
      <c r="I271" t="inlineStr">
        <is>
          <t>Asian</t>
        </is>
      </c>
      <c r="J271" t="inlineStr">
        <is>
          <t>WEBSITE</t>
        </is>
      </c>
      <c r="K271" t="inlineStr">
        <is>
          <t>Pune</t>
        </is>
      </c>
      <c r="L271" s="27" t="inlineStr">
        <is>
          <t>IT</t>
        </is>
      </c>
      <c r="M271" t="inlineStr">
        <is>
          <t>Full-Time</t>
        </is>
      </c>
      <c r="N271" t="inlineStr">
        <is>
          <t>Senior Software Engineer</t>
        </is>
      </c>
      <c r="O271" t="inlineStr">
        <is>
          <t>E3</t>
        </is>
      </c>
      <c r="P271" t="inlineStr">
        <is>
          <t>Senior Software Engineer</t>
        </is>
      </c>
      <c r="Q271" t="inlineStr">
        <is>
          <t>Kiran Kumar Uppara (1020047)</t>
        </is>
      </c>
      <c r="R271" t="n">
        <v>4</v>
      </c>
      <c r="S271" s="1" t="n">
        <v>250000</v>
      </c>
      <c r="T271" s="1">
        <f>ROUND(T_EMPLOYEES[[#This Row],[EMP_CTC1]]/12, 0)</f>
        <v/>
      </c>
      <c r="U271" s="1" t="n">
        <v>150000</v>
      </c>
      <c r="V271" s="1" t="inlineStr">
        <is>
          <t>NH</t>
        </is>
      </c>
      <c r="W271" s="1" t="inlineStr">
        <is>
          <t>NH</t>
        </is>
      </c>
      <c r="X27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1" t="n">
        <v>100000</v>
      </c>
      <c r="Z271" s="29">
        <f>(S271 - U271)/S271 * 100</f>
        <v/>
      </c>
      <c r="AA271">
        <f>IF(T_EMPLOYEES[[#This Row],[EMPLOYEE NUMBER]]="","",ROW(T_EMPLOYEES[[#This Row],[EMPLOYEE LABEL]])-ROW(T_EMPLOYEES[[#Headers],[EMPLOYEE LABEL]]))</f>
        <v/>
      </c>
      <c r="AB271">
        <f>IF(T_EMPLOYEES[[#This Row],[EMPLOYEE NUMBER]]="","",IF(COUNTIF(T_EMPLOYEES[EMPLOYEE NUMBER],T_EMPLOYEES[[#This Row],[EMPLOYEE NUMBER]])&gt;1,1,0))</f>
        <v/>
      </c>
      <c r="AC271">
        <f>IF(T_EMPLOYEES[[#This Row],[EMPLOYEE NUMBER]]="","",IF(AND(T_EMPLOYEES[[#This Row],[DATE OF BIRTH]]&gt;0,T_EMPLOYEES[[#This Row],[DATE OF BIRTH]]&lt;TODAY()),0,1))</f>
        <v/>
      </c>
      <c r="AD271">
        <f>IF(T_EMPLOYEES[[#This Row],[EMPLOYEE NUMBER]]="","",IF(AND(T_EMPLOYEES[[#This Row],[START DATE]]&gt;0,T_EMPLOYEES[[#This Row],[START DATE]]&lt;TODAY()+60),0,1))</f>
        <v/>
      </c>
      <c r="AE271">
        <f>IF(T_EMPLOYEES[[#This Row],[EMPLOYEE NUMBER]]="","",MATCH(T_EMPLOYEES[[#This Row],[GENDER]],L_GENDER,0))</f>
        <v/>
      </c>
      <c r="AF271">
        <f>IF(T_EMPLOYEES[[#This Row],[EMPLOYEE NUMBER]]="","",MATCH(T_EMPLOYEES[[#This Row],[HIRE SOURCE]],L_HIRESOURCE,0))</f>
        <v/>
      </c>
      <c r="AG271">
        <f>IF(T_EMPLOYEES[[#This Row],[EMPLOYEE NUMBER]]="","",MATCH(T_EMPLOYEES[[#This Row],[ETHNICITY]],L_ETHNICITY,0))</f>
        <v/>
      </c>
      <c r="AH271">
        <f>IF(T_EMPLOYEES[[#This Row],[EMPLOYEE NUMBER]]="","",MATCH(T_EMPLOYEES[[#This Row],[LOCATION]],L_LOCATION,0))</f>
        <v/>
      </c>
      <c r="AI271">
        <f>IF(T_EMPLOYEES[[#This Row],[EMPLOYEE NUMBER]]="","",MATCH(T_EMPLOYEES[[#This Row],[DEPARTMENT]],L_DEPARTMENT,0))</f>
        <v/>
      </c>
      <c r="AJ271">
        <f>IF(T_EMPLOYEES[[#This Row],[EMPLOYEE NUMBER]]="","",MATCH(T_EMPLOYEES[[#This Row],[JOB TYPE]],L_JOBTYPE,0))</f>
        <v/>
      </c>
      <c r="AK271">
        <f>IF(T_EMPLOYEES[[#This Row],[EMPLOYEE NUMBER]]="","",MATCH(T_EMPLOYEES[[#This Row],[JOB CATEGORY]],L_JOBCATEGORY,0))</f>
        <v/>
      </c>
      <c r="AL271">
        <f>IF(T_EMPLOYEES[[#This Row],[EMPLOYEE NUMBER]]="","",MATCH(T_EMPLOYEES[[#This Row],[JOB LEVEL]],L_JOBLEVEL,0))</f>
        <v/>
      </c>
      <c r="AM271">
        <f>IF(T_EMPLOYEES[[#This Row],[EMPLOYEE NUMBER]]="","",MATCH(T_EMPLOYEES[[#This Row],[JOB TITLE]],L_JOBTITLE,0))</f>
        <v/>
      </c>
      <c r="AN271">
        <f>IF(T_EMPLOYEES[[#This Row],[EMPLOYEE NUMBER]]="","",MATCH(T_EMPLOYEES[[#This Row],[MANAGER]],L_EMPLABELS,0))</f>
        <v/>
      </c>
      <c r="AO271">
        <f>IF(T_EMPLOYEES[[#This Row],[EMPLOYEE NUMBER]]="","",IF(T_EMPLOYEES[[#This Row],[ERROR]]="",0,1))</f>
        <v/>
      </c>
      <c r="AP27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2">
      <c r="A272" t="inlineStr">
        <is>
          <t>Subhasmita</t>
        </is>
      </c>
      <c r="B272" t="inlineStr">
        <is>
          <t>Bal</t>
        </is>
      </c>
      <c r="C272" t="n">
        <v>1028315</v>
      </c>
      <c r="D272" t="inlineStr">
        <is>
          <t>Subhasmita.Bal@infinite.com</t>
        </is>
      </c>
      <c r="E272" s="26" t="n">
        <v>34478</v>
      </c>
      <c r="F272" s="26" t="n">
        <v>44603</v>
      </c>
      <c r="H272" t="inlineStr">
        <is>
          <t>Female</t>
        </is>
      </c>
      <c r="I272" t="inlineStr">
        <is>
          <t>Asian</t>
        </is>
      </c>
      <c r="J272" t="inlineStr">
        <is>
          <t>WEBSITE</t>
        </is>
      </c>
      <c r="K272" t="inlineStr">
        <is>
          <t>Pune</t>
        </is>
      </c>
      <c r="L272" s="27" t="inlineStr">
        <is>
          <t>IT</t>
        </is>
      </c>
      <c r="M272" t="inlineStr">
        <is>
          <t>Full-Time</t>
        </is>
      </c>
      <c r="N272" t="inlineStr">
        <is>
          <t>Support Engineer</t>
        </is>
      </c>
      <c r="O272" t="inlineStr">
        <is>
          <t>E2</t>
        </is>
      </c>
      <c r="P272" t="inlineStr">
        <is>
          <t>Support Engineer</t>
        </is>
      </c>
      <c r="Q272" t="inlineStr">
        <is>
          <t>Neha  Rajput (1020112)</t>
        </is>
      </c>
      <c r="R272" s="27" t="n">
        <v>4</v>
      </c>
      <c r="S272" s="1" t="n">
        <v>250000</v>
      </c>
      <c r="T272" s="1">
        <f>ROUND(T_EMPLOYEES[[#This Row],[EMP_CTC1]]/12, 0)</f>
        <v/>
      </c>
      <c r="U272" s="1" t="n">
        <v>150000</v>
      </c>
      <c r="V272" s="1" t="inlineStr">
        <is>
          <t>NH</t>
        </is>
      </c>
      <c r="W272" s="1" t="inlineStr">
        <is>
          <t>NH</t>
        </is>
      </c>
      <c r="X27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2" t="n">
        <v>100000</v>
      </c>
      <c r="Z272" s="29">
        <f>(S272 - U272)/S272 * 100</f>
        <v/>
      </c>
      <c r="AA272">
        <f>IF(T_EMPLOYEES[[#This Row],[EMPLOYEE NUMBER]]="","",ROW(T_EMPLOYEES[[#This Row],[EMPLOYEE LABEL]])-ROW(T_EMPLOYEES[[#Headers],[EMPLOYEE LABEL]]))</f>
        <v/>
      </c>
      <c r="AB272">
        <f>IF(T_EMPLOYEES[[#This Row],[EMPLOYEE NUMBER]]="","",IF(COUNTIF(T_EMPLOYEES[EMPLOYEE NUMBER],T_EMPLOYEES[[#This Row],[EMPLOYEE NUMBER]])&gt;1,1,0))</f>
        <v/>
      </c>
      <c r="AC272">
        <f>IF(T_EMPLOYEES[[#This Row],[EMPLOYEE NUMBER]]="","",IF(AND(T_EMPLOYEES[[#This Row],[DATE OF BIRTH]]&gt;0,T_EMPLOYEES[[#This Row],[DATE OF BIRTH]]&lt;TODAY()),0,1))</f>
        <v/>
      </c>
      <c r="AD272">
        <f>IF(T_EMPLOYEES[[#This Row],[EMPLOYEE NUMBER]]="","",IF(AND(T_EMPLOYEES[[#This Row],[START DATE]]&gt;0,T_EMPLOYEES[[#This Row],[START DATE]]&lt;TODAY()+60),0,1))</f>
        <v/>
      </c>
      <c r="AE272">
        <f>IF(T_EMPLOYEES[[#This Row],[EMPLOYEE NUMBER]]="","",MATCH(T_EMPLOYEES[[#This Row],[GENDER]],L_GENDER,0))</f>
        <v/>
      </c>
      <c r="AF272">
        <f>IF(T_EMPLOYEES[[#This Row],[EMPLOYEE NUMBER]]="","",MATCH(T_EMPLOYEES[[#This Row],[HIRE SOURCE]],L_HIRESOURCE,0))</f>
        <v/>
      </c>
      <c r="AG272">
        <f>IF(T_EMPLOYEES[[#This Row],[EMPLOYEE NUMBER]]="","",MATCH(T_EMPLOYEES[[#This Row],[ETHNICITY]],L_ETHNICITY,0))</f>
        <v/>
      </c>
      <c r="AH272">
        <f>IF(T_EMPLOYEES[[#This Row],[EMPLOYEE NUMBER]]="","",MATCH(T_EMPLOYEES[[#This Row],[LOCATION]],L_LOCATION,0))</f>
        <v/>
      </c>
      <c r="AI272">
        <f>IF(T_EMPLOYEES[[#This Row],[EMPLOYEE NUMBER]]="","",MATCH(T_EMPLOYEES[[#This Row],[DEPARTMENT]],L_DEPARTMENT,0))</f>
        <v/>
      </c>
      <c r="AJ272">
        <f>IF(T_EMPLOYEES[[#This Row],[EMPLOYEE NUMBER]]="","",MATCH(T_EMPLOYEES[[#This Row],[JOB TYPE]],L_JOBTYPE,0))</f>
        <v/>
      </c>
      <c r="AK272">
        <f>IF(T_EMPLOYEES[[#This Row],[EMPLOYEE NUMBER]]="","",MATCH(T_EMPLOYEES[[#This Row],[JOB CATEGORY]],L_JOBCATEGORY,0))</f>
        <v/>
      </c>
      <c r="AL272">
        <f>IF(T_EMPLOYEES[[#This Row],[EMPLOYEE NUMBER]]="","",MATCH(T_EMPLOYEES[[#This Row],[JOB LEVEL]],L_JOBLEVEL,0))</f>
        <v/>
      </c>
      <c r="AM272">
        <f>IF(T_EMPLOYEES[[#This Row],[EMPLOYEE NUMBER]]="","",MATCH(T_EMPLOYEES[[#This Row],[JOB TITLE]],L_JOBTITLE,0))</f>
        <v/>
      </c>
      <c r="AN272">
        <f>IF(T_EMPLOYEES[[#This Row],[EMPLOYEE NUMBER]]="","",MATCH(T_EMPLOYEES[[#This Row],[MANAGER]],L_EMPLABELS,0))</f>
        <v/>
      </c>
      <c r="AO272">
        <f>IF(T_EMPLOYEES[[#This Row],[EMPLOYEE NUMBER]]="","",IF(T_EMPLOYEES[[#This Row],[ERROR]]="",0,1))</f>
        <v/>
      </c>
      <c r="AP27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3">
      <c r="A273" t="inlineStr">
        <is>
          <t>Shrihari</t>
        </is>
      </c>
      <c r="B273" t="inlineStr">
        <is>
          <t>S Butti</t>
        </is>
      </c>
      <c r="C273" t="n">
        <v>1029760</v>
      </c>
      <c r="D273" t="inlineStr">
        <is>
          <t>Shrihari.Butti@infinite.com</t>
        </is>
      </c>
      <c r="E273" s="26" t="n">
        <v>34479</v>
      </c>
      <c r="F273" s="26" t="n">
        <v>44781</v>
      </c>
      <c r="H273" t="inlineStr">
        <is>
          <t>Male</t>
        </is>
      </c>
      <c r="I273" t="inlineStr">
        <is>
          <t>Asian</t>
        </is>
      </c>
      <c r="J273" t="inlineStr">
        <is>
          <t>WEBSITE</t>
        </is>
      </c>
      <c r="K273" t="inlineStr">
        <is>
          <t>Pune</t>
        </is>
      </c>
      <c r="L273" s="27" t="inlineStr">
        <is>
          <t>IT</t>
        </is>
      </c>
      <c r="M273" t="inlineStr">
        <is>
          <t>Full-Time</t>
        </is>
      </c>
      <c r="N273" t="inlineStr">
        <is>
          <t>Software Test Engineer</t>
        </is>
      </c>
      <c r="O273" t="inlineStr">
        <is>
          <t>E2</t>
        </is>
      </c>
      <c r="P273" t="inlineStr">
        <is>
          <t>Software Test Engineer</t>
        </is>
      </c>
      <c r="Q273" t="inlineStr">
        <is>
          <t>Someshwara Prabhu Nanje Gowda (1021418)</t>
        </is>
      </c>
      <c r="R273" t="n">
        <v>4</v>
      </c>
      <c r="S273" s="1" t="n">
        <v>250000</v>
      </c>
      <c r="T273" s="1">
        <f>ROUND(T_EMPLOYEES[[#This Row],[EMP_CTC1]]/12, 0)</f>
        <v/>
      </c>
      <c r="U273" s="1" t="n">
        <v>150000</v>
      </c>
      <c r="V273" s="1" t="inlineStr">
        <is>
          <t>NH</t>
        </is>
      </c>
      <c r="W273" s="1" t="inlineStr">
        <is>
          <t>NH</t>
        </is>
      </c>
      <c r="X27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3" t="n">
        <v>100000</v>
      </c>
      <c r="Z273" s="29">
        <f>(S273 - U273)/S273 * 100</f>
        <v/>
      </c>
      <c r="AA273">
        <f>IF(T_EMPLOYEES[[#This Row],[EMPLOYEE NUMBER]]="","",ROW(T_EMPLOYEES[[#This Row],[EMPLOYEE LABEL]])-ROW(T_EMPLOYEES[[#Headers],[EMPLOYEE LABEL]]))</f>
        <v/>
      </c>
      <c r="AB273">
        <f>IF(T_EMPLOYEES[[#This Row],[EMPLOYEE NUMBER]]="","",IF(COUNTIF(T_EMPLOYEES[EMPLOYEE NUMBER],T_EMPLOYEES[[#This Row],[EMPLOYEE NUMBER]])&gt;1,1,0))</f>
        <v/>
      </c>
      <c r="AC273">
        <f>IF(T_EMPLOYEES[[#This Row],[EMPLOYEE NUMBER]]="","",IF(AND(T_EMPLOYEES[[#This Row],[DATE OF BIRTH]]&gt;0,T_EMPLOYEES[[#This Row],[DATE OF BIRTH]]&lt;TODAY()),0,1))</f>
        <v/>
      </c>
      <c r="AD273">
        <f>IF(T_EMPLOYEES[[#This Row],[EMPLOYEE NUMBER]]="","",IF(AND(T_EMPLOYEES[[#This Row],[START DATE]]&gt;0,T_EMPLOYEES[[#This Row],[START DATE]]&lt;TODAY()+60),0,1))</f>
        <v/>
      </c>
      <c r="AE273">
        <f>IF(T_EMPLOYEES[[#This Row],[EMPLOYEE NUMBER]]="","",MATCH(T_EMPLOYEES[[#This Row],[GENDER]],L_GENDER,0))</f>
        <v/>
      </c>
      <c r="AF273">
        <f>IF(T_EMPLOYEES[[#This Row],[EMPLOYEE NUMBER]]="","",MATCH(T_EMPLOYEES[[#This Row],[HIRE SOURCE]],L_HIRESOURCE,0))</f>
        <v/>
      </c>
      <c r="AG273">
        <f>IF(T_EMPLOYEES[[#This Row],[EMPLOYEE NUMBER]]="","",MATCH(T_EMPLOYEES[[#This Row],[ETHNICITY]],L_ETHNICITY,0))</f>
        <v/>
      </c>
      <c r="AH273">
        <f>IF(T_EMPLOYEES[[#This Row],[EMPLOYEE NUMBER]]="","",MATCH(T_EMPLOYEES[[#This Row],[LOCATION]],L_LOCATION,0))</f>
        <v/>
      </c>
      <c r="AI273">
        <f>IF(T_EMPLOYEES[[#This Row],[EMPLOYEE NUMBER]]="","",MATCH(T_EMPLOYEES[[#This Row],[DEPARTMENT]],L_DEPARTMENT,0))</f>
        <v/>
      </c>
      <c r="AJ273">
        <f>IF(T_EMPLOYEES[[#This Row],[EMPLOYEE NUMBER]]="","",MATCH(T_EMPLOYEES[[#This Row],[JOB TYPE]],L_JOBTYPE,0))</f>
        <v/>
      </c>
      <c r="AK273">
        <f>IF(T_EMPLOYEES[[#This Row],[EMPLOYEE NUMBER]]="","",MATCH(T_EMPLOYEES[[#This Row],[JOB CATEGORY]],L_JOBCATEGORY,0))</f>
        <v/>
      </c>
      <c r="AL273">
        <f>IF(T_EMPLOYEES[[#This Row],[EMPLOYEE NUMBER]]="","",MATCH(T_EMPLOYEES[[#This Row],[JOB LEVEL]],L_JOBLEVEL,0))</f>
        <v/>
      </c>
      <c r="AM273">
        <f>IF(T_EMPLOYEES[[#This Row],[EMPLOYEE NUMBER]]="","",MATCH(T_EMPLOYEES[[#This Row],[JOB TITLE]],L_JOBTITLE,0))</f>
        <v/>
      </c>
      <c r="AN273">
        <f>IF(T_EMPLOYEES[[#This Row],[EMPLOYEE NUMBER]]="","",MATCH(T_EMPLOYEES[[#This Row],[MANAGER]],L_EMPLABELS,0))</f>
        <v/>
      </c>
      <c r="AO273">
        <f>IF(T_EMPLOYEES[[#This Row],[EMPLOYEE NUMBER]]="","",IF(T_EMPLOYEES[[#This Row],[ERROR]]="",0,1))</f>
        <v/>
      </c>
      <c r="AP27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4">
      <c r="A274" t="inlineStr">
        <is>
          <t>Archana</t>
        </is>
      </c>
      <c r="B274" t="inlineStr">
        <is>
          <t xml:space="preserve"> Jaiswal</t>
        </is>
      </c>
      <c r="C274" t="n">
        <v>1024503</v>
      </c>
      <c r="D274" t="inlineStr">
        <is>
          <t>Archana.Jaiswal@infinite.com</t>
        </is>
      </c>
      <c r="E274" s="26" t="n">
        <v>34522</v>
      </c>
      <c r="F274" s="26" t="n">
        <v>44238</v>
      </c>
      <c r="H274" t="inlineStr">
        <is>
          <t>Female</t>
        </is>
      </c>
      <c r="I274" t="inlineStr">
        <is>
          <t>Asian</t>
        </is>
      </c>
      <c r="J274" t="inlineStr">
        <is>
          <t>WEBSITE</t>
        </is>
      </c>
      <c r="K274" t="inlineStr">
        <is>
          <t>Pune</t>
        </is>
      </c>
      <c r="L274" s="27" t="inlineStr">
        <is>
          <t>IT</t>
        </is>
      </c>
      <c r="M274" t="inlineStr">
        <is>
          <t>Full-Time</t>
        </is>
      </c>
      <c r="N274" t="inlineStr">
        <is>
          <t>Senior Software Test Engineer</t>
        </is>
      </c>
      <c r="O274" t="inlineStr">
        <is>
          <t>E3</t>
        </is>
      </c>
      <c r="P274" t="inlineStr">
        <is>
          <t>Senior Software Test Engineer</t>
        </is>
      </c>
      <c r="Q274" t="inlineStr">
        <is>
          <t>Someshwara Prabhu Nanje Gowda (1021418)</t>
        </is>
      </c>
      <c r="R274" s="27" t="n">
        <v>4</v>
      </c>
      <c r="S274" s="1" t="n">
        <v>250000</v>
      </c>
      <c r="T274" s="1">
        <f>ROUND(T_EMPLOYEES[[#This Row],[EMP_CTC1]]/12, 0)</f>
        <v/>
      </c>
      <c r="U274" s="1" t="n">
        <v>150000</v>
      </c>
      <c r="V274" s="1" t="inlineStr">
        <is>
          <t>NH</t>
        </is>
      </c>
      <c r="W274" s="1" t="inlineStr">
        <is>
          <t>NH</t>
        </is>
      </c>
      <c r="X27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4" t="n">
        <v>100000</v>
      </c>
      <c r="Z274" s="29">
        <f>(S274 - U274)/S274 * 100</f>
        <v/>
      </c>
      <c r="AA274">
        <f>IF(T_EMPLOYEES[[#This Row],[EMPLOYEE NUMBER]]="","",ROW(T_EMPLOYEES[[#This Row],[EMPLOYEE LABEL]])-ROW(T_EMPLOYEES[[#Headers],[EMPLOYEE LABEL]]))</f>
        <v/>
      </c>
      <c r="AB274">
        <f>IF(T_EMPLOYEES[[#This Row],[EMPLOYEE NUMBER]]="","",IF(COUNTIF(T_EMPLOYEES[EMPLOYEE NUMBER],T_EMPLOYEES[[#This Row],[EMPLOYEE NUMBER]])&gt;1,1,0))</f>
        <v/>
      </c>
      <c r="AC274">
        <f>IF(T_EMPLOYEES[[#This Row],[EMPLOYEE NUMBER]]="","",IF(AND(T_EMPLOYEES[[#This Row],[DATE OF BIRTH]]&gt;0,T_EMPLOYEES[[#This Row],[DATE OF BIRTH]]&lt;TODAY()),0,1))</f>
        <v/>
      </c>
      <c r="AD274">
        <f>IF(T_EMPLOYEES[[#This Row],[EMPLOYEE NUMBER]]="","",IF(AND(T_EMPLOYEES[[#This Row],[START DATE]]&gt;0,T_EMPLOYEES[[#This Row],[START DATE]]&lt;TODAY()+60),0,1))</f>
        <v/>
      </c>
      <c r="AE274">
        <f>IF(T_EMPLOYEES[[#This Row],[EMPLOYEE NUMBER]]="","",MATCH(T_EMPLOYEES[[#This Row],[GENDER]],L_GENDER,0))</f>
        <v/>
      </c>
      <c r="AF274">
        <f>IF(T_EMPLOYEES[[#This Row],[EMPLOYEE NUMBER]]="","",MATCH(T_EMPLOYEES[[#This Row],[HIRE SOURCE]],L_HIRESOURCE,0))</f>
        <v/>
      </c>
      <c r="AG274">
        <f>IF(T_EMPLOYEES[[#This Row],[EMPLOYEE NUMBER]]="","",MATCH(T_EMPLOYEES[[#This Row],[ETHNICITY]],L_ETHNICITY,0))</f>
        <v/>
      </c>
      <c r="AH274">
        <f>IF(T_EMPLOYEES[[#This Row],[EMPLOYEE NUMBER]]="","",MATCH(T_EMPLOYEES[[#This Row],[LOCATION]],L_LOCATION,0))</f>
        <v/>
      </c>
      <c r="AI274">
        <f>IF(T_EMPLOYEES[[#This Row],[EMPLOYEE NUMBER]]="","",MATCH(T_EMPLOYEES[[#This Row],[DEPARTMENT]],L_DEPARTMENT,0))</f>
        <v/>
      </c>
      <c r="AJ274">
        <f>IF(T_EMPLOYEES[[#This Row],[EMPLOYEE NUMBER]]="","",MATCH(T_EMPLOYEES[[#This Row],[JOB TYPE]],L_JOBTYPE,0))</f>
        <v/>
      </c>
      <c r="AK274">
        <f>IF(T_EMPLOYEES[[#This Row],[EMPLOYEE NUMBER]]="","",MATCH(T_EMPLOYEES[[#This Row],[JOB CATEGORY]],L_JOBCATEGORY,0))</f>
        <v/>
      </c>
      <c r="AL274">
        <f>IF(T_EMPLOYEES[[#This Row],[EMPLOYEE NUMBER]]="","",MATCH(T_EMPLOYEES[[#This Row],[JOB LEVEL]],L_JOBLEVEL,0))</f>
        <v/>
      </c>
      <c r="AM274">
        <f>IF(T_EMPLOYEES[[#This Row],[EMPLOYEE NUMBER]]="","",MATCH(T_EMPLOYEES[[#This Row],[JOB TITLE]],L_JOBTITLE,0))</f>
        <v/>
      </c>
      <c r="AN274">
        <f>IF(T_EMPLOYEES[[#This Row],[EMPLOYEE NUMBER]]="","",MATCH(T_EMPLOYEES[[#This Row],[MANAGER]],L_EMPLABELS,0))</f>
        <v/>
      </c>
      <c r="AO274">
        <f>IF(T_EMPLOYEES[[#This Row],[EMPLOYEE NUMBER]]="","",IF(T_EMPLOYEES[[#This Row],[ERROR]]="",0,1))</f>
        <v/>
      </c>
      <c r="AP27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5">
      <c r="A275" t="inlineStr">
        <is>
          <t>Usha</t>
        </is>
      </c>
      <c r="B275" t="inlineStr">
        <is>
          <t>B R</t>
        </is>
      </c>
      <c r="C275" t="n">
        <v>1033116</v>
      </c>
      <c r="D275" t="inlineStr">
        <is>
          <t>Usha.Rajgopal@infinite.com</t>
        </is>
      </c>
      <c r="E275" s="26" t="n">
        <v>34522</v>
      </c>
      <c r="F275" s="26" t="n">
        <v>45138</v>
      </c>
      <c r="H275" t="inlineStr">
        <is>
          <t>Female</t>
        </is>
      </c>
      <c r="I275" t="inlineStr">
        <is>
          <t>Asian</t>
        </is>
      </c>
      <c r="J275" t="inlineStr">
        <is>
          <t>WEBSITE</t>
        </is>
      </c>
      <c r="K275" t="inlineStr">
        <is>
          <t>Hyderabad</t>
        </is>
      </c>
      <c r="L275" s="27" t="inlineStr">
        <is>
          <t>IT</t>
        </is>
      </c>
      <c r="M275" t="inlineStr">
        <is>
          <t>Full-Time</t>
        </is>
      </c>
      <c r="N275" t="inlineStr">
        <is>
          <t>Software Engineer</t>
        </is>
      </c>
      <c r="O275" t="inlineStr">
        <is>
          <t>E2</t>
        </is>
      </c>
      <c r="P275" t="inlineStr">
        <is>
          <t>Software Engineer</t>
        </is>
      </c>
      <c r="Q275" t="inlineStr">
        <is>
          <t>Someshwara Prabhu Nanje Gowda (1021418)</t>
        </is>
      </c>
      <c r="R275" t="n">
        <v>4</v>
      </c>
      <c r="S275" s="1" t="n">
        <v>250000</v>
      </c>
      <c r="T275" s="1">
        <f>ROUND(T_EMPLOYEES[[#This Row],[EMP_CTC1]]/12, 0)</f>
        <v/>
      </c>
      <c r="U275" s="1" t="n">
        <v>150000</v>
      </c>
      <c r="V275" s="1" t="inlineStr">
        <is>
          <t>NH</t>
        </is>
      </c>
      <c r="W275" s="1" t="inlineStr">
        <is>
          <t>NH</t>
        </is>
      </c>
      <c r="X27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5" t="n">
        <v>100000</v>
      </c>
      <c r="Z275" s="29">
        <f>(S275 - U275)/S275 * 100</f>
        <v/>
      </c>
      <c r="AA275">
        <f>IF(T_EMPLOYEES[[#This Row],[EMPLOYEE NUMBER]]="","",ROW(T_EMPLOYEES[[#This Row],[EMPLOYEE LABEL]])-ROW(T_EMPLOYEES[[#Headers],[EMPLOYEE LABEL]]))</f>
        <v/>
      </c>
      <c r="AB275">
        <f>IF(T_EMPLOYEES[[#This Row],[EMPLOYEE NUMBER]]="","",IF(COUNTIF(T_EMPLOYEES[EMPLOYEE NUMBER],T_EMPLOYEES[[#This Row],[EMPLOYEE NUMBER]])&gt;1,1,0))</f>
        <v/>
      </c>
      <c r="AC275">
        <f>IF(T_EMPLOYEES[[#This Row],[EMPLOYEE NUMBER]]="","",IF(AND(T_EMPLOYEES[[#This Row],[DATE OF BIRTH]]&gt;0,T_EMPLOYEES[[#This Row],[DATE OF BIRTH]]&lt;TODAY()),0,1))</f>
        <v/>
      </c>
      <c r="AD275">
        <f>IF(T_EMPLOYEES[[#This Row],[EMPLOYEE NUMBER]]="","",IF(AND(T_EMPLOYEES[[#This Row],[START DATE]]&gt;0,T_EMPLOYEES[[#This Row],[START DATE]]&lt;TODAY()+60),0,1))</f>
        <v/>
      </c>
      <c r="AE275">
        <f>IF(T_EMPLOYEES[[#This Row],[EMPLOYEE NUMBER]]="","",MATCH(T_EMPLOYEES[[#This Row],[GENDER]],L_GENDER,0))</f>
        <v/>
      </c>
      <c r="AF275">
        <f>IF(T_EMPLOYEES[[#This Row],[EMPLOYEE NUMBER]]="","",MATCH(T_EMPLOYEES[[#This Row],[HIRE SOURCE]],L_HIRESOURCE,0))</f>
        <v/>
      </c>
      <c r="AG275">
        <f>IF(T_EMPLOYEES[[#This Row],[EMPLOYEE NUMBER]]="","",MATCH(T_EMPLOYEES[[#This Row],[ETHNICITY]],L_ETHNICITY,0))</f>
        <v/>
      </c>
      <c r="AH275">
        <f>IF(T_EMPLOYEES[[#This Row],[EMPLOYEE NUMBER]]="","",MATCH(T_EMPLOYEES[[#This Row],[LOCATION]],L_LOCATION,0))</f>
        <v/>
      </c>
      <c r="AI275">
        <f>IF(T_EMPLOYEES[[#This Row],[EMPLOYEE NUMBER]]="","",MATCH(T_EMPLOYEES[[#This Row],[DEPARTMENT]],L_DEPARTMENT,0))</f>
        <v/>
      </c>
      <c r="AJ275">
        <f>IF(T_EMPLOYEES[[#This Row],[EMPLOYEE NUMBER]]="","",MATCH(T_EMPLOYEES[[#This Row],[JOB TYPE]],L_JOBTYPE,0))</f>
        <v/>
      </c>
      <c r="AK275">
        <f>IF(T_EMPLOYEES[[#This Row],[EMPLOYEE NUMBER]]="","",MATCH(T_EMPLOYEES[[#This Row],[JOB CATEGORY]],L_JOBCATEGORY,0))</f>
        <v/>
      </c>
      <c r="AL275">
        <f>IF(T_EMPLOYEES[[#This Row],[EMPLOYEE NUMBER]]="","",MATCH(T_EMPLOYEES[[#This Row],[JOB LEVEL]],L_JOBLEVEL,0))</f>
        <v/>
      </c>
      <c r="AM275">
        <f>IF(T_EMPLOYEES[[#This Row],[EMPLOYEE NUMBER]]="","",MATCH(T_EMPLOYEES[[#This Row],[JOB TITLE]],L_JOBTITLE,0))</f>
        <v/>
      </c>
      <c r="AN275">
        <f>IF(T_EMPLOYEES[[#This Row],[EMPLOYEE NUMBER]]="","",MATCH(T_EMPLOYEES[[#This Row],[MANAGER]],L_EMPLABELS,0))</f>
        <v/>
      </c>
      <c r="AO275">
        <f>IF(T_EMPLOYEES[[#This Row],[EMPLOYEE NUMBER]]="","",IF(T_EMPLOYEES[[#This Row],[ERROR]]="",0,1))</f>
        <v/>
      </c>
      <c r="AP27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75" t="inlineStr">
        <is>
          <t>TPL</t>
        </is>
      </c>
    </row>
    <row r="276">
      <c r="A276" t="inlineStr">
        <is>
          <t>Chinthaparthi</t>
        </is>
      </c>
      <c r="B276" t="inlineStr">
        <is>
          <t>Supriya</t>
        </is>
      </c>
      <c r="C276" t="n">
        <v>1018591</v>
      </c>
      <c r="D276" t="inlineStr">
        <is>
          <t>Chinthaparthi.Supriya@infinite.com</t>
        </is>
      </c>
      <c r="E276" s="26" t="n">
        <v>34530</v>
      </c>
      <c r="F276" s="26" t="n">
        <v>42578</v>
      </c>
      <c r="H276" t="inlineStr">
        <is>
          <t>Female</t>
        </is>
      </c>
      <c r="I276" t="inlineStr">
        <is>
          <t>Asian</t>
        </is>
      </c>
      <c r="J276" t="inlineStr">
        <is>
          <t>WEBSITE</t>
        </is>
      </c>
      <c r="K276" t="inlineStr">
        <is>
          <t>Bangalore</t>
        </is>
      </c>
      <c r="L276" s="27" t="inlineStr">
        <is>
          <t>Core</t>
        </is>
      </c>
      <c r="M276" t="inlineStr">
        <is>
          <t>Full-Time</t>
        </is>
      </c>
      <c r="N276" t="inlineStr">
        <is>
          <t>Technical Lead</t>
        </is>
      </c>
      <c r="O276" t="inlineStr">
        <is>
          <t>E4</t>
        </is>
      </c>
      <c r="P276" t="inlineStr">
        <is>
          <t>Technical Lead</t>
        </is>
      </c>
      <c r="Q276" t="inlineStr">
        <is>
          <t>Anil Kumar Khamari (1013201)</t>
        </is>
      </c>
      <c r="R276" s="27" t="n">
        <v>5</v>
      </c>
      <c r="S276" s="1" t="n">
        <v>250000</v>
      </c>
      <c r="T276" s="1">
        <f>ROUND(T_EMPLOYEES[[#This Row],[EMP_CTC1]]/12, 0)</f>
        <v/>
      </c>
      <c r="U276" s="1" t="n">
        <v>150000</v>
      </c>
      <c r="V276" s="1" t="inlineStr">
        <is>
          <t>NH</t>
        </is>
      </c>
      <c r="W276" s="1" t="inlineStr">
        <is>
          <t>NH</t>
        </is>
      </c>
      <c r="X27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6" t="n">
        <v>100000</v>
      </c>
      <c r="Z276" s="29">
        <f>(S276 - U276)/S276 * 100</f>
        <v/>
      </c>
      <c r="AA276">
        <f>IF(T_EMPLOYEES[[#This Row],[EMPLOYEE NUMBER]]="","",ROW(T_EMPLOYEES[[#This Row],[EMPLOYEE LABEL]])-ROW(T_EMPLOYEES[[#Headers],[EMPLOYEE LABEL]]))</f>
        <v/>
      </c>
      <c r="AB276">
        <f>IF(T_EMPLOYEES[[#This Row],[EMPLOYEE NUMBER]]="","",IF(COUNTIF(T_EMPLOYEES[EMPLOYEE NUMBER],T_EMPLOYEES[[#This Row],[EMPLOYEE NUMBER]])&gt;1,1,0))</f>
        <v/>
      </c>
      <c r="AC276">
        <f>IF(T_EMPLOYEES[[#This Row],[EMPLOYEE NUMBER]]="","",IF(AND(T_EMPLOYEES[[#This Row],[DATE OF BIRTH]]&gt;0,T_EMPLOYEES[[#This Row],[DATE OF BIRTH]]&lt;TODAY()),0,1))</f>
        <v/>
      </c>
      <c r="AD276">
        <f>IF(T_EMPLOYEES[[#This Row],[EMPLOYEE NUMBER]]="","",IF(AND(T_EMPLOYEES[[#This Row],[START DATE]]&gt;0,T_EMPLOYEES[[#This Row],[START DATE]]&lt;TODAY()+60),0,1))</f>
        <v/>
      </c>
      <c r="AE276">
        <f>IF(T_EMPLOYEES[[#This Row],[EMPLOYEE NUMBER]]="","",MATCH(T_EMPLOYEES[[#This Row],[GENDER]],L_GENDER,0))</f>
        <v/>
      </c>
      <c r="AF276">
        <f>IF(T_EMPLOYEES[[#This Row],[EMPLOYEE NUMBER]]="","",MATCH(T_EMPLOYEES[[#This Row],[HIRE SOURCE]],L_HIRESOURCE,0))</f>
        <v/>
      </c>
      <c r="AG276">
        <f>IF(T_EMPLOYEES[[#This Row],[EMPLOYEE NUMBER]]="","",MATCH(T_EMPLOYEES[[#This Row],[ETHNICITY]],L_ETHNICITY,0))</f>
        <v/>
      </c>
      <c r="AH276">
        <f>IF(T_EMPLOYEES[[#This Row],[EMPLOYEE NUMBER]]="","",MATCH(T_EMPLOYEES[[#This Row],[LOCATION]],L_LOCATION,0))</f>
        <v/>
      </c>
      <c r="AI276">
        <f>IF(T_EMPLOYEES[[#This Row],[EMPLOYEE NUMBER]]="","",MATCH(T_EMPLOYEES[[#This Row],[DEPARTMENT]],L_DEPARTMENT,0))</f>
        <v/>
      </c>
      <c r="AJ276">
        <f>IF(T_EMPLOYEES[[#This Row],[EMPLOYEE NUMBER]]="","",MATCH(T_EMPLOYEES[[#This Row],[JOB TYPE]],L_JOBTYPE,0))</f>
        <v/>
      </c>
      <c r="AK276">
        <f>IF(T_EMPLOYEES[[#This Row],[EMPLOYEE NUMBER]]="","",MATCH(T_EMPLOYEES[[#This Row],[JOB CATEGORY]],L_JOBCATEGORY,0))</f>
        <v/>
      </c>
      <c r="AL276">
        <f>IF(T_EMPLOYEES[[#This Row],[EMPLOYEE NUMBER]]="","",MATCH(T_EMPLOYEES[[#This Row],[JOB LEVEL]],L_JOBLEVEL,0))</f>
        <v/>
      </c>
      <c r="AM276">
        <f>IF(T_EMPLOYEES[[#This Row],[EMPLOYEE NUMBER]]="","",MATCH(T_EMPLOYEES[[#This Row],[JOB TITLE]],L_JOBTITLE,0))</f>
        <v/>
      </c>
      <c r="AN276">
        <f>IF(T_EMPLOYEES[[#This Row],[EMPLOYEE NUMBER]]="","",MATCH(T_EMPLOYEES[[#This Row],[MANAGER]],L_EMPLABELS,0))</f>
        <v/>
      </c>
      <c r="AO276">
        <f>IF(T_EMPLOYEES[[#This Row],[EMPLOYEE NUMBER]]="","",IF(T_EMPLOYEES[[#This Row],[ERROR]]="",0,1))</f>
        <v/>
      </c>
      <c r="AP27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7">
      <c r="A277" t="inlineStr">
        <is>
          <t>Kella</t>
        </is>
      </c>
      <c r="B277" t="inlineStr">
        <is>
          <t>Prudhvi Naidu</t>
        </is>
      </c>
      <c r="C277" t="n">
        <v>1033847</v>
      </c>
      <c r="D277" t="inlineStr">
        <is>
          <t>Prudhvi.Kella@infinite.com</t>
        </is>
      </c>
      <c r="E277" s="26" t="n">
        <v>34530</v>
      </c>
      <c r="F277" s="26" t="n">
        <v>45238</v>
      </c>
      <c r="H277" t="inlineStr">
        <is>
          <t>Male</t>
        </is>
      </c>
      <c r="I277" t="inlineStr">
        <is>
          <t>Asian</t>
        </is>
      </c>
      <c r="J277" t="inlineStr">
        <is>
          <t>WEBSITE</t>
        </is>
      </c>
      <c r="K277" t="inlineStr">
        <is>
          <t>Bangalore</t>
        </is>
      </c>
      <c r="L277" s="27" t="inlineStr">
        <is>
          <t>IT</t>
        </is>
      </c>
      <c r="M277" t="inlineStr">
        <is>
          <t>Full-Time</t>
        </is>
      </c>
      <c r="N277" t="inlineStr">
        <is>
          <t>Senior Software Engineer</t>
        </is>
      </c>
      <c r="O277" t="inlineStr">
        <is>
          <t>E3</t>
        </is>
      </c>
      <c r="P277" t="inlineStr">
        <is>
          <t>Senior Software Engineer</t>
        </is>
      </c>
      <c r="Q277" t="inlineStr">
        <is>
          <t>Avdhut Sunil Kavdikar (1032836)</t>
        </is>
      </c>
      <c r="R277" t="n">
        <v>4</v>
      </c>
      <c r="S277" s="1" t="n">
        <v>250000</v>
      </c>
      <c r="T277" s="1">
        <f>ROUND(T_EMPLOYEES[[#This Row],[EMP_CTC1]]/12, 0)</f>
        <v/>
      </c>
      <c r="U277" s="1" t="n">
        <v>150000</v>
      </c>
      <c r="V277" s="1" t="inlineStr">
        <is>
          <t>NH</t>
        </is>
      </c>
      <c r="W277" s="1" t="inlineStr">
        <is>
          <t>NH</t>
        </is>
      </c>
      <c r="X27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7" t="n">
        <v>100000</v>
      </c>
      <c r="Z277" s="29">
        <f>(S277 - U277)/S277 * 100</f>
        <v/>
      </c>
      <c r="AA277">
        <f>IF(T_EMPLOYEES[[#This Row],[EMPLOYEE NUMBER]]="","",ROW(T_EMPLOYEES[[#This Row],[EMPLOYEE LABEL]])-ROW(T_EMPLOYEES[[#Headers],[EMPLOYEE LABEL]]))</f>
        <v/>
      </c>
      <c r="AB277">
        <f>IF(T_EMPLOYEES[[#This Row],[EMPLOYEE NUMBER]]="","",IF(COUNTIF(T_EMPLOYEES[EMPLOYEE NUMBER],T_EMPLOYEES[[#This Row],[EMPLOYEE NUMBER]])&gt;1,1,0))</f>
        <v/>
      </c>
      <c r="AC277">
        <f>IF(T_EMPLOYEES[[#This Row],[EMPLOYEE NUMBER]]="","",IF(AND(T_EMPLOYEES[[#This Row],[DATE OF BIRTH]]&gt;0,T_EMPLOYEES[[#This Row],[DATE OF BIRTH]]&lt;TODAY()),0,1))</f>
        <v/>
      </c>
      <c r="AD277">
        <f>IF(T_EMPLOYEES[[#This Row],[EMPLOYEE NUMBER]]="","",IF(AND(T_EMPLOYEES[[#This Row],[START DATE]]&gt;0,T_EMPLOYEES[[#This Row],[START DATE]]&lt;TODAY()+60),0,1))</f>
        <v/>
      </c>
      <c r="AE277">
        <f>IF(T_EMPLOYEES[[#This Row],[EMPLOYEE NUMBER]]="","",MATCH(T_EMPLOYEES[[#This Row],[GENDER]],L_GENDER,0))</f>
        <v/>
      </c>
      <c r="AF277">
        <f>IF(T_EMPLOYEES[[#This Row],[EMPLOYEE NUMBER]]="","",MATCH(T_EMPLOYEES[[#This Row],[HIRE SOURCE]],L_HIRESOURCE,0))</f>
        <v/>
      </c>
      <c r="AG277">
        <f>IF(T_EMPLOYEES[[#This Row],[EMPLOYEE NUMBER]]="","",MATCH(T_EMPLOYEES[[#This Row],[ETHNICITY]],L_ETHNICITY,0))</f>
        <v/>
      </c>
      <c r="AH277">
        <f>IF(T_EMPLOYEES[[#This Row],[EMPLOYEE NUMBER]]="","",MATCH(T_EMPLOYEES[[#This Row],[LOCATION]],L_LOCATION,0))</f>
        <v/>
      </c>
      <c r="AI277">
        <f>IF(T_EMPLOYEES[[#This Row],[EMPLOYEE NUMBER]]="","",MATCH(T_EMPLOYEES[[#This Row],[DEPARTMENT]],L_DEPARTMENT,0))</f>
        <v/>
      </c>
      <c r="AJ277">
        <f>IF(T_EMPLOYEES[[#This Row],[EMPLOYEE NUMBER]]="","",MATCH(T_EMPLOYEES[[#This Row],[JOB TYPE]],L_JOBTYPE,0))</f>
        <v/>
      </c>
      <c r="AK277">
        <f>IF(T_EMPLOYEES[[#This Row],[EMPLOYEE NUMBER]]="","",MATCH(T_EMPLOYEES[[#This Row],[JOB CATEGORY]],L_JOBCATEGORY,0))</f>
        <v/>
      </c>
      <c r="AL277">
        <f>IF(T_EMPLOYEES[[#This Row],[EMPLOYEE NUMBER]]="","",MATCH(T_EMPLOYEES[[#This Row],[JOB LEVEL]],L_JOBLEVEL,0))</f>
        <v/>
      </c>
      <c r="AM277">
        <f>IF(T_EMPLOYEES[[#This Row],[EMPLOYEE NUMBER]]="","",MATCH(T_EMPLOYEES[[#This Row],[JOB TITLE]],L_JOBTITLE,0))</f>
        <v/>
      </c>
      <c r="AN277">
        <f>IF(T_EMPLOYEES[[#This Row],[EMPLOYEE NUMBER]]="","",MATCH(T_EMPLOYEES[[#This Row],[MANAGER]],L_EMPLABELS,0))</f>
        <v/>
      </c>
      <c r="AO277">
        <f>IF(T_EMPLOYEES[[#This Row],[EMPLOYEE NUMBER]]="","",IF(T_EMPLOYEES[[#This Row],[ERROR]]="",0,1))</f>
        <v/>
      </c>
      <c r="AP27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78">
      <c r="A278" t="inlineStr">
        <is>
          <t>Prajwal</t>
        </is>
      </c>
      <c r="B278" t="inlineStr">
        <is>
          <t xml:space="preserve"> M</t>
        </is>
      </c>
      <c r="C278" t="n">
        <v>1028328</v>
      </c>
      <c r="D278" t="inlineStr">
        <is>
          <t>Prajwal.Muthanahithilu@infinite.com</t>
        </is>
      </c>
      <c r="E278" s="26" t="n">
        <v>34575</v>
      </c>
      <c r="F278" s="26" t="n">
        <v>44606</v>
      </c>
      <c r="H278" t="inlineStr">
        <is>
          <t>Male</t>
        </is>
      </c>
      <c r="I278" t="inlineStr">
        <is>
          <t>Asian</t>
        </is>
      </c>
      <c r="J278" t="inlineStr">
        <is>
          <t>WEBSITE</t>
        </is>
      </c>
      <c r="K278" t="inlineStr">
        <is>
          <t>Pune</t>
        </is>
      </c>
      <c r="L278" s="27" t="inlineStr">
        <is>
          <t>Core</t>
        </is>
      </c>
      <c r="M278" t="inlineStr">
        <is>
          <t>Full-Time</t>
        </is>
      </c>
      <c r="N278" t="inlineStr">
        <is>
          <t>Software Engineer</t>
        </is>
      </c>
      <c r="O278" t="inlineStr">
        <is>
          <t>E2</t>
        </is>
      </c>
      <c r="P278" t="inlineStr">
        <is>
          <t>Software Engineer</t>
        </is>
      </c>
      <c r="Q278" t="inlineStr">
        <is>
          <t>Dipakbhai Motibhai Tandel (1027230)</t>
        </is>
      </c>
      <c r="R278" s="27" t="n">
        <v>4</v>
      </c>
      <c r="S278" s="1" t="n">
        <v>250000</v>
      </c>
      <c r="T278" s="1">
        <f>ROUND(T_EMPLOYEES[[#This Row],[EMP_CTC1]]/12, 0)</f>
        <v/>
      </c>
      <c r="U278" s="1" t="n">
        <v>150000</v>
      </c>
      <c r="V278" s="1" t="inlineStr">
        <is>
          <t>NH</t>
        </is>
      </c>
      <c r="W278" s="1" t="inlineStr">
        <is>
          <t>NH</t>
        </is>
      </c>
      <c r="X27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8" t="n">
        <v>100000</v>
      </c>
      <c r="Z278" s="29">
        <f>(S278 - U278)/S278 * 100</f>
        <v/>
      </c>
      <c r="AA278">
        <f>IF(T_EMPLOYEES[[#This Row],[EMPLOYEE NUMBER]]="","",ROW(T_EMPLOYEES[[#This Row],[EMPLOYEE LABEL]])-ROW(T_EMPLOYEES[[#Headers],[EMPLOYEE LABEL]]))</f>
        <v/>
      </c>
      <c r="AB278">
        <f>IF(T_EMPLOYEES[[#This Row],[EMPLOYEE NUMBER]]="","",IF(COUNTIF(T_EMPLOYEES[EMPLOYEE NUMBER],T_EMPLOYEES[[#This Row],[EMPLOYEE NUMBER]])&gt;1,1,0))</f>
        <v/>
      </c>
      <c r="AC278">
        <f>IF(T_EMPLOYEES[[#This Row],[EMPLOYEE NUMBER]]="","",IF(AND(T_EMPLOYEES[[#This Row],[DATE OF BIRTH]]&gt;0,T_EMPLOYEES[[#This Row],[DATE OF BIRTH]]&lt;TODAY()),0,1))</f>
        <v/>
      </c>
      <c r="AD278">
        <f>IF(T_EMPLOYEES[[#This Row],[EMPLOYEE NUMBER]]="","",IF(AND(T_EMPLOYEES[[#This Row],[START DATE]]&gt;0,T_EMPLOYEES[[#This Row],[START DATE]]&lt;TODAY()+60),0,1))</f>
        <v/>
      </c>
      <c r="AE278">
        <f>IF(T_EMPLOYEES[[#This Row],[EMPLOYEE NUMBER]]="","",MATCH(T_EMPLOYEES[[#This Row],[GENDER]],L_GENDER,0))</f>
        <v/>
      </c>
      <c r="AF278">
        <f>IF(T_EMPLOYEES[[#This Row],[EMPLOYEE NUMBER]]="","",MATCH(T_EMPLOYEES[[#This Row],[HIRE SOURCE]],L_HIRESOURCE,0))</f>
        <v/>
      </c>
      <c r="AG278">
        <f>IF(T_EMPLOYEES[[#This Row],[EMPLOYEE NUMBER]]="","",MATCH(T_EMPLOYEES[[#This Row],[ETHNICITY]],L_ETHNICITY,0))</f>
        <v/>
      </c>
      <c r="AH278">
        <f>IF(T_EMPLOYEES[[#This Row],[EMPLOYEE NUMBER]]="","",MATCH(T_EMPLOYEES[[#This Row],[LOCATION]],L_LOCATION,0))</f>
        <v/>
      </c>
      <c r="AI278">
        <f>IF(T_EMPLOYEES[[#This Row],[EMPLOYEE NUMBER]]="","",MATCH(T_EMPLOYEES[[#This Row],[DEPARTMENT]],L_DEPARTMENT,0))</f>
        <v/>
      </c>
      <c r="AJ278">
        <f>IF(T_EMPLOYEES[[#This Row],[EMPLOYEE NUMBER]]="","",MATCH(T_EMPLOYEES[[#This Row],[JOB TYPE]],L_JOBTYPE,0))</f>
        <v/>
      </c>
      <c r="AK278">
        <f>IF(T_EMPLOYEES[[#This Row],[EMPLOYEE NUMBER]]="","",MATCH(T_EMPLOYEES[[#This Row],[JOB CATEGORY]],L_JOBCATEGORY,0))</f>
        <v/>
      </c>
      <c r="AL278">
        <f>IF(T_EMPLOYEES[[#This Row],[EMPLOYEE NUMBER]]="","",MATCH(T_EMPLOYEES[[#This Row],[JOB LEVEL]],L_JOBLEVEL,0))</f>
        <v/>
      </c>
      <c r="AM278">
        <f>IF(T_EMPLOYEES[[#This Row],[EMPLOYEE NUMBER]]="","",MATCH(T_EMPLOYEES[[#This Row],[JOB TITLE]],L_JOBTITLE,0))</f>
        <v/>
      </c>
      <c r="AN278">
        <f>IF(T_EMPLOYEES[[#This Row],[EMPLOYEE NUMBER]]="","",MATCH(T_EMPLOYEES[[#This Row],[MANAGER]],L_EMPLABELS,0))</f>
        <v/>
      </c>
      <c r="AO278">
        <f>IF(T_EMPLOYEES[[#This Row],[EMPLOYEE NUMBER]]="","",IF(T_EMPLOYEES[[#This Row],[ERROR]]="",0,1))</f>
        <v/>
      </c>
      <c r="AP27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78" t="inlineStr">
        <is>
          <t>EDI</t>
        </is>
      </c>
    </row>
    <row r="279">
      <c r="A279" t="inlineStr">
        <is>
          <t>Nallagorla</t>
        </is>
      </c>
      <c r="B279" t="inlineStr">
        <is>
          <t>Phanisri</t>
        </is>
      </c>
      <c r="C279" t="n">
        <v>1027328</v>
      </c>
      <c r="D279" t="inlineStr">
        <is>
          <t>Nallagorla.Phanisri@infinite.com</t>
        </is>
      </c>
      <c r="E279" s="26" t="n">
        <v>34577</v>
      </c>
      <c r="F279" s="26" t="n">
        <v>44524</v>
      </c>
      <c r="H279" t="inlineStr">
        <is>
          <t>Female</t>
        </is>
      </c>
      <c r="I279" t="inlineStr">
        <is>
          <t>Asian</t>
        </is>
      </c>
      <c r="J279" t="inlineStr">
        <is>
          <t>WEBSITE</t>
        </is>
      </c>
      <c r="K279" t="inlineStr">
        <is>
          <t>Hyderabad</t>
        </is>
      </c>
      <c r="L279" s="27" t="inlineStr">
        <is>
          <t>IT</t>
        </is>
      </c>
      <c r="M279" t="inlineStr">
        <is>
          <t>Full-Time</t>
        </is>
      </c>
      <c r="N279" t="inlineStr">
        <is>
          <t>Software Engineer</t>
        </is>
      </c>
      <c r="O279" t="inlineStr">
        <is>
          <t>E2</t>
        </is>
      </c>
      <c r="P279" t="inlineStr">
        <is>
          <t>Software Engineer</t>
        </is>
      </c>
      <c r="Q279" t="inlineStr">
        <is>
          <t>Joel Clifton Dsouza (1012233)</t>
        </is>
      </c>
      <c r="R279" t="n">
        <v>4</v>
      </c>
      <c r="S279" s="1" t="n">
        <v>250000</v>
      </c>
      <c r="T279" s="1">
        <f>ROUND(T_EMPLOYEES[[#This Row],[EMP_CTC1]]/12, 0)</f>
        <v/>
      </c>
      <c r="U279" s="1" t="n">
        <v>150000</v>
      </c>
      <c r="V279" s="1" t="inlineStr">
        <is>
          <t>NH</t>
        </is>
      </c>
      <c r="W279" s="1" t="inlineStr">
        <is>
          <t>NH</t>
        </is>
      </c>
      <c r="X27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79" t="n">
        <v>100000</v>
      </c>
      <c r="Z279" s="29">
        <f>(S279 - U279)/S279 * 100</f>
        <v/>
      </c>
      <c r="AA279">
        <f>IF(T_EMPLOYEES[[#This Row],[EMPLOYEE NUMBER]]="","",ROW(T_EMPLOYEES[[#This Row],[EMPLOYEE LABEL]])-ROW(T_EMPLOYEES[[#Headers],[EMPLOYEE LABEL]]))</f>
        <v/>
      </c>
      <c r="AB279">
        <f>IF(T_EMPLOYEES[[#This Row],[EMPLOYEE NUMBER]]="","",IF(COUNTIF(T_EMPLOYEES[EMPLOYEE NUMBER],T_EMPLOYEES[[#This Row],[EMPLOYEE NUMBER]])&gt;1,1,0))</f>
        <v/>
      </c>
      <c r="AC279">
        <f>IF(T_EMPLOYEES[[#This Row],[EMPLOYEE NUMBER]]="","",IF(AND(T_EMPLOYEES[[#This Row],[DATE OF BIRTH]]&gt;0,T_EMPLOYEES[[#This Row],[DATE OF BIRTH]]&lt;TODAY()),0,1))</f>
        <v/>
      </c>
      <c r="AD279">
        <f>IF(T_EMPLOYEES[[#This Row],[EMPLOYEE NUMBER]]="","",IF(AND(T_EMPLOYEES[[#This Row],[START DATE]]&gt;0,T_EMPLOYEES[[#This Row],[START DATE]]&lt;TODAY()+60),0,1))</f>
        <v/>
      </c>
      <c r="AE279">
        <f>IF(T_EMPLOYEES[[#This Row],[EMPLOYEE NUMBER]]="","",MATCH(T_EMPLOYEES[[#This Row],[GENDER]],L_GENDER,0))</f>
        <v/>
      </c>
      <c r="AF279">
        <f>IF(T_EMPLOYEES[[#This Row],[EMPLOYEE NUMBER]]="","",MATCH(T_EMPLOYEES[[#This Row],[HIRE SOURCE]],L_HIRESOURCE,0))</f>
        <v/>
      </c>
      <c r="AG279">
        <f>IF(T_EMPLOYEES[[#This Row],[EMPLOYEE NUMBER]]="","",MATCH(T_EMPLOYEES[[#This Row],[ETHNICITY]],L_ETHNICITY,0))</f>
        <v/>
      </c>
      <c r="AH279">
        <f>IF(T_EMPLOYEES[[#This Row],[EMPLOYEE NUMBER]]="","",MATCH(T_EMPLOYEES[[#This Row],[LOCATION]],L_LOCATION,0))</f>
        <v/>
      </c>
      <c r="AI279">
        <f>IF(T_EMPLOYEES[[#This Row],[EMPLOYEE NUMBER]]="","",MATCH(T_EMPLOYEES[[#This Row],[DEPARTMENT]],L_DEPARTMENT,0))</f>
        <v/>
      </c>
      <c r="AJ279">
        <f>IF(T_EMPLOYEES[[#This Row],[EMPLOYEE NUMBER]]="","",MATCH(T_EMPLOYEES[[#This Row],[JOB TYPE]],L_JOBTYPE,0))</f>
        <v/>
      </c>
      <c r="AK279">
        <f>IF(T_EMPLOYEES[[#This Row],[EMPLOYEE NUMBER]]="","",MATCH(T_EMPLOYEES[[#This Row],[JOB CATEGORY]],L_JOBCATEGORY,0))</f>
        <v/>
      </c>
      <c r="AL279">
        <f>IF(T_EMPLOYEES[[#This Row],[EMPLOYEE NUMBER]]="","",MATCH(T_EMPLOYEES[[#This Row],[JOB LEVEL]],L_JOBLEVEL,0))</f>
        <v/>
      </c>
      <c r="AM279">
        <f>IF(T_EMPLOYEES[[#This Row],[EMPLOYEE NUMBER]]="","",MATCH(T_EMPLOYEES[[#This Row],[JOB TITLE]],L_JOBTITLE,0))</f>
        <v/>
      </c>
      <c r="AN279">
        <f>IF(T_EMPLOYEES[[#This Row],[EMPLOYEE NUMBER]]="","",MATCH(T_EMPLOYEES[[#This Row],[MANAGER]],L_EMPLABELS,0))</f>
        <v/>
      </c>
      <c r="AO279">
        <f>IF(T_EMPLOYEES[[#This Row],[EMPLOYEE NUMBER]]="","",IF(T_EMPLOYEES[[#This Row],[ERROR]]="",0,1))</f>
        <v/>
      </c>
      <c r="AP27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79" t="inlineStr">
        <is>
          <t>Benefit Plan</t>
        </is>
      </c>
    </row>
    <row r="280">
      <c r="A280" t="inlineStr">
        <is>
          <t>Gattamaneni</t>
        </is>
      </c>
      <c r="B280" t="inlineStr">
        <is>
          <t xml:space="preserve"> Kusumakar</t>
        </is>
      </c>
      <c r="C280" t="n">
        <v>1026912</v>
      </c>
      <c r="D280" t="inlineStr">
        <is>
          <t>Kusumakar.Gattamaneni@infinite.com</t>
        </is>
      </c>
      <c r="E280" s="26" t="n">
        <v>34578</v>
      </c>
      <c r="F280" s="26" t="n">
        <v>44489</v>
      </c>
      <c r="H280" t="inlineStr">
        <is>
          <t>Male</t>
        </is>
      </c>
      <c r="I280" t="inlineStr">
        <is>
          <t>Asian</t>
        </is>
      </c>
      <c r="J280" t="inlineStr">
        <is>
          <t>WEBSITE</t>
        </is>
      </c>
      <c r="K280" t="inlineStr">
        <is>
          <t>Hyderabad</t>
        </is>
      </c>
      <c r="L280" s="27" t="inlineStr">
        <is>
          <t>IT</t>
        </is>
      </c>
      <c r="M280" t="inlineStr">
        <is>
          <t>Full-Time</t>
        </is>
      </c>
      <c r="N280" t="inlineStr">
        <is>
          <t>Senior Software Test Engineer</t>
        </is>
      </c>
      <c r="O280" t="inlineStr">
        <is>
          <t>E3</t>
        </is>
      </c>
      <c r="P280" t="inlineStr">
        <is>
          <t>Senior Software Test Engineer</t>
        </is>
      </c>
      <c r="Q280" t="inlineStr">
        <is>
          <t>Siddharth Kumar (1027551)</t>
        </is>
      </c>
      <c r="R280" s="27" t="n">
        <v>4</v>
      </c>
      <c r="S280" s="1" t="n">
        <v>250000</v>
      </c>
      <c r="T280" s="1">
        <f>ROUND(T_EMPLOYEES[[#This Row],[EMP_CTC1]]/12, 0)</f>
        <v/>
      </c>
      <c r="U280" s="1" t="n">
        <v>150000</v>
      </c>
      <c r="V280" s="1" t="inlineStr">
        <is>
          <t>NH</t>
        </is>
      </c>
      <c r="W280" s="1" t="inlineStr">
        <is>
          <t>NH</t>
        </is>
      </c>
      <c r="X28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0" t="n">
        <v>100000</v>
      </c>
      <c r="Z280" s="29">
        <f>(S280 - U280)/S280 * 100</f>
        <v/>
      </c>
      <c r="AA280">
        <f>IF(T_EMPLOYEES[[#This Row],[EMPLOYEE NUMBER]]="","",ROW(T_EMPLOYEES[[#This Row],[EMPLOYEE LABEL]])-ROW(T_EMPLOYEES[[#Headers],[EMPLOYEE LABEL]]))</f>
        <v/>
      </c>
      <c r="AB280">
        <f>IF(T_EMPLOYEES[[#This Row],[EMPLOYEE NUMBER]]="","",IF(COUNTIF(T_EMPLOYEES[EMPLOYEE NUMBER],T_EMPLOYEES[[#This Row],[EMPLOYEE NUMBER]])&gt;1,1,0))</f>
        <v/>
      </c>
      <c r="AC280">
        <f>IF(T_EMPLOYEES[[#This Row],[EMPLOYEE NUMBER]]="","",IF(AND(T_EMPLOYEES[[#This Row],[DATE OF BIRTH]]&gt;0,T_EMPLOYEES[[#This Row],[DATE OF BIRTH]]&lt;TODAY()),0,1))</f>
        <v/>
      </c>
      <c r="AD280">
        <f>IF(T_EMPLOYEES[[#This Row],[EMPLOYEE NUMBER]]="","",IF(AND(T_EMPLOYEES[[#This Row],[START DATE]]&gt;0,T_EMPLOYEES[[#This Row],[START DATE]]&lt;TODAY()+60),0,1))</f>
        <v/>
      </c>
      <c r="AE280">
        <f>IF(T_EMPLOYEES[[#This Row],[EMPLOYEE NUMBER]]="","",MATCH(T_EMPLOYEES[[#This Row],[GENDER]],L_GENDER,0))</f>
        <v/>
      </c>
      <c r="AF280">
        <f>IF(T_EMPLOYEES[[#This Row],[EMPLOYEE NUMBER]]="","",MATCH(T_EMPLOYEES[[#This Row],[HIRE SOURCE]],L_HIRESOURCE,0))</f>
        <v/>
      </c>
      <c r="AG280">
        <f>IF(T_EMPLOYEES[[#This Row],[EMPLOYEE NUMBER]]="","",MATCH(T_EMPLOYEES[[#This Row],[ETHNICITY]],L_ETHNICITY,0))</f>
        <v/>
      </c>
      <c r="AH280">
        <f>IF(T_EMPLOYEES[[#This Row],[EMPLOYEE NUMBER]]="","",MATCH(T_EMPLOYEES[[#This Row],[LOCATION]],L_LOCATION,0))</f>
        <v/>
      </c>
      <c r="AI280">
        <f>IF(T_EMPLOYEES[[#This Row],[EMPLOYEE NUMBER]]="","",MATCH(T_EMPLOYEES[[#This Row],[DEPARTMENT]],L_DEPARTMENT,0))</f>
        <v/>
      </c>
      <c r="AJ280">
        <f>IF(T_EMPLOYEES[[#This Row],[EMPLOYEE NUMBER]]="","",MATCH(T_EMPLOYEES[[#This Row],[JOB TYPE]],L_JOBTYPE,0))</f>
        <v/>
      </c>
      <c r="AK280">
        <f>IF(T_EMPLOYEES[[#This Row],[EMPLOYEE NUMBER]]="","",MATCH(T_EMPLOYEES[[#This Row],[JOB CATEGORY]],L_JOBCATEGORY,0))</f>
        <v/>
      </c>
      <c r="AL280">
        <f>IF(T_EMPLOYEES[[#This Row],[EMPLOYEE NUMBER]]="","",MATCH(T_EMPLOYEES[[#This Row],[JOB LEVEL]],L_JOBLEVEL,0))</f>
        <v/>
      </c>
      <c r="AM280">
        <f>IF(T_EMPLOYEES[[#This Row],[EMPLOYEE NUMBER]]="","",MATCH(T_EMPLOYEES[[#This Row],[JOB TITLE]],L_JOBTITLE,0))</f>
        <v/>
      </c>
      <c r="AN280">
        <f>IF(T_EMPLOYEES[[#This Row],[EMPLOYEE NUMBER]]="","",MATCH(T_EMPLOYEES[[#This Row],[MANAGER]],L_EMPLABELS,0))</f>
        <v/>
      </c>
      <c r="AO280">
        <f>IF(T_EMPLOYEES[[#This Row],[EMPLOYEE NUMBER]]="","",IF(T_EMPLOYEES[[#This Row],[ERROR]]="",0,1))</f>
        <v/>
      </c>
      <c r="AP28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1">
      <c r="A281" t="inlineStr">
        <is>
          <t>Swathi</t>
        </is>
      </c>
      <c r="B281" t="inlineStr">
        <is>
          <t>S S</t>
        </is>
      </c>
      <c r="C281" t="n">
        <v>1021299</v>
      </c>
      <c r="D281" t="inlineStr">
        <is>
          <t>Swathi.Shanmukhappa@infinite.com</t>
        </is>
      </c>
      <c r="E281" s="26" t="n">
        <v>34584</v>
      </c>
      <c r="F281" s="26" t="n">
        <v>43439</v>
      </c>
      <c r="H281" t="inlineStr">
        <is>
          <t>Female</t>
        </is>
      </c>
      <c r="I281" t="inlineStr">
        <is>
          <t>Asian</t>
        </is>
      </c>
      <c r="J281" t="inlineStr">
        <is>
          <t>WEBSITE</t>
        </is>
      </c>
      <c r="K281" t="inlineStr">
        <is>
          <t>Bangalore</t>
        </is>
      </c>
      <c r="L281" s="27" t="inlineStr">
        <is>
          <t>IT</t>
        </is>
      </c>
      <c r="M281" t="inlineStr">
        <is>
          <t>Full-Time</t>
        </is>
      </c>
      <c r="N281" t="inlineStr">
        <is>
          <t>Senior Support Engineer</t>
        </is>
      </c>
      <c r="O281" t="inlineStr">
        <is>
          <t>E3</t>
        </is>
      </c>
      <c r="P281" t="inlineStr">
        <is>
          <t>Senior Support Engineer</t>
        </is>
      </c>
      <c r="Q281" t="inlineStr">
        <is>
          <t>Neha  Rajput (1020112)</t>
        </is>
      </c>
      <c r="R281" t="n">
        <v>4</v>
      </c>
      <c r="S281" s="1" t="n">
        <v>250000</v>
      </c>
      <c r="T281" s="1">
        <f>ROUND(T_EMPLOYEES[[#This Row],[EMP_CTC1]]/12, 0)</f>
        <v/>
      </c>
      <c r="U281" s="1" t="n">
        <v>150000</v>
      </c>
      <c r="V281" s="1" t="inlineStr">
        <is>
          <t>NH</t>
        </is>
      </c>
      <c r="W281" s="1" t="inlineStr">
        <is>
          <t>NH</t>
        </is>
      </c>
      <c r="X28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1" t="n">
        <v>100000</v>
      </c>
      <c r="Z281" s="29">
        <f>(S281 - U281)/S281 * 100</f>
        <v/>
      </c>
      <c r="AA281">
        <f>IF(T_EMPLOYEES[[#This Row],[EMPLOYEE NUMBER]]="","",ROW(T_EMPLOYEES[[#This Row],[EMPLOYEE LABEL]])-ROW(T_EMPLOYEES[[#Headers],[EMPLOYEE LABEL]]))</f>
        <v/>
      </c>
      <c r="AB281">
        <f>IF(T_EMPLOYEES[[#This Row],[EMPLOYEE NUMBER]]="","",IF(COUNTIF(T_EMPLOYEES[EMPLOYEE NUMBER],T_EMPLOYEES[[#This Row],[EMPLOYEE NUMBER]])&gt;1,1,0))</f>
        <v/>
      </c>
      <c r="AC281">
        <f>IF(T_EMPLOYEES[[#This Row],[EMPLOYEE NUMBER]]="","",IF(AND(T_EMPLOYEES[[#This Row],[DATE OF BIRTH]]&gt;0,T_EMPLOYEES[[#This Row],[DATE OF BIRTH]]&lt;TODAY()),0,1))</f>
        <v/>
      </c>
      <c r="AD281">
        <f>IF(T_EMPLOYEES[[#This Row],[EMPLOYEE NUMBER]]="","",IF(AND(T_EMPLOYEES[[#This Row],[START DATE]]&gt;0,T_EMPLOYEES[[#This Row],[START DATE]]&lt;TODAY()+60),0,1))</f>
        <v/>
      </c>
      <c r="AE281">
        <f>IF(T_EMPLOYEES[[#This Row],[EMPLOYEE NUMBER]]="","",MATCH(T_EMPLOYEES[[#This Row],[GENDER]],L_GENDER,0))</f>
        <v/>
      </c>
      <c r="AF281">
        <f>IF(T_EMPLOYEES[[#This Row],[EMPLOYEE NUMBER]]="","",MATCH(T_EMPLOYEES[[#This Row],[HIRE SOURCE]],L_HIRESOURCE,0))</f>
        <v/>
      </c>
      <c r="AG281">
        <f>IF(T_EMPLOYEES[[#This Row],[EMPLOYEE NUMBER]]="","",MATCH(T_EMPLOYEES[[#This Row],[ETHNICITY]],L_ETHNICITY,0))</f>
        <v/>
      </c>
      <c r="AH281">
        <f>IF(T_EMPLOYEES[[#This Row],[EMPLOYEE NUMBER]]="","",MATCH(T_EMPLOYEES[[#This Row],[LOCATION]],L_LOCATION,0))</f>
        <v/>
      </c>
      <c r="AI281">
        <f>IF(T_EMPLOYEES[[#This Row],[EMPLOYEE NUMBER]]="","",MATCH(T_EMPLOYEES[[#This Row],[DEPARTMENT]],L_DEPARTMENT,0))</f>
        <v/>
      </c>
      <c r="AJ281">
        <f>IF(T_EMPLOYEES[[#This Row],[EMPLOYEE NUMBER]]="","",MATCH(T_EMPLOYEES[[#This Row],[JOB TYPE]],L_JOBTYPE,0))</f>
        <v/>
      </c>
      <c r="AK281">
        <f>IF(T_EMPLOYEES[[#This Row],[EMPLOYEE NUMBER]]="","",MATCH(T_EMPLOYEES[[#This Row],[JOB CATEGORY]],L_JOBCATEGORY,0))</f>
        <v/>
      </c>
      <c r="AL281">
        <f>IF(T_EMPLOYEES[[#This Row],[EMPLOYEE NUMBER]]="","",MATCH(T_EMPLOYEES[[#This Row],[JOB LEVEL]],L_JOBLEVEL,0))</f>
        <v/>
      </c>
      <c r="AM281">
        <f>IF(T_EMPLOYEES[[#This Row],[EMPLOYEE NUMBER]]="","",MATCH(T_EMPLOYEES[[#This Row],[JOB TITLE]],L_JOBTITLE,0))</f>
        <v/>
      </c>
      <c r="AN281">
        <f>IF(T_EMPLOYEES[[#This Row],[EMPLOYEE NUMBER]]="","",MATCH(T_EMPLOYEES[[#This Row],[MANAGER]],L_EMPLABELS,0))</f>
        <v/>
      </c>
      <c r="AO281">
        <f>IF(T_EMPLOYEES[[#This Row],[EMPLOYEE NUMBER]]="","",IF(T_EMPLOYEES[[#This Row],[ERROR]]="",0,1))</f>
        <v/>
      </c>
      <c r="AP28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2">
      <c r="A282" t="inlineStr">
        <is>
          <t>V</t>
        </is>
      </c>
      <c r="B282" t="inlineStr">
        <is>
          <t>S  Mounika</t>
        </is>
      </c>
      <c r="C282" t="n">
        <v>1018581</v>
      </c>
      <c r="D282" t="inlineStr">
        <is>
          <t>Mounika.Velkur@infinite.com</t>
        </is>
      </c>
      <c r="E282" s="26" t="n">
        <v>34592</v>
      </c>
      <c r="F282" s="26" t="n">
        <v>42578</v>
      </c>
      <c r="H282" t="inlineStr">
        <is>
          <t>Female</t>
        </is>
      </c>
      <c r="I282" t="inlineStr">
        <is>
          <t>Asian</t>
        </is>
      </c>
      <c r="J282" t="inlineStr">
        <is>
          <t>WEBSITE</t>
        </is>
      </c>
      <c r="K282" t="inlineStr">
        <is>
          <t>Bangalore</t>
        </is>
      </c>
      <c r="L282" s="27" t="inlineStr">
        <is>
          <t>IT</t>
        </is>
      </c>
      <c r="M282" t="inlineStr">
        <is>
          <t>Full-Time</t>
        </is>
      </c>
      <c r="N282" t="inlineStr">
        <is>
          <t>Senior Technical Lead</t>
        </is>
      </c>
      <c r="O282" t="inlineStr">
        <is>
          <t>E5</t>
        </is>
      </c>
      <c r="P282" t="inlineStr">
        <is>
          <t>Senior Technical Lead</t>
        </is>
      </c>
      <c r="Q282" t="inlineStr">
        <is>
          <t>Syed Atif Ali Syed Arshad Taher Subzwari (1024996)</t>
        </is>
      </c>
      <c r="R282" s="27" t="n">
        <v>7</v>
      </c>
      <c r="S282" s="1" t="n">
        <v>250000</v>
      </c>
      <c r="T282" s="1">
        <f>ROUND(T_EMPLOYEES[[#This Row],[EMP_CTC1]]/12, 0)</f>
        <v/>
      </c>
      <c r="U282" s="1" t="n">
        <v>150000</v>
      </c>
      <c r="V282" s="1" t="inlineStr">
        <is>
          <t>NH</t>
        </is>
      </c>
      <c r="W282" s="1" t="inlineStr">
        <is>
          <t>NH</t>
        </is>
      </c>
      <c r="X28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2" t="n">
        <v>100000</v>
      </c>
      <c r="Z282" s="29">
        <f>(S282 - U282)/S282 * 100</f>
        <v/>
      </c>
      <c r="AA282">
        <f>IF(T_EMPLOYEES[[#This Row],[EMPLOYEE NUMBER]]="","",ROW(T_EMPLOYEES[[#This Row],[EMPLOYEE LABEL]])-ROW(T_EMPLOYEES[[#Headers],[EMPLOYEE LABEL]]))</f>
        <v/>
      </c>
      <c r="AB282">
        <f>IF(T_EMPLOYEES[[#This Row],[EMPLOYEE NUMBER]]="","",IF(COUNTIF(T_EMPLOYEES[EMPLOYEE NUMBER],T_EMPLOYEES[[#This Row],[EMPLOYEE NUMBER]])&gt;1,1,0))</f>
        <v/>
      </c>
      <c r="AC282">
        <f>IF(T_EMPLOYEES[[#This Row],[EMPLOYEE NUMBER]]="","",IF(AND(T_EMPLOYEES[[#This Row],[DATE OF BIRTH]]&gt;0,T_EMPLOYEES[[#This Row],[DATE OF BIRTH]]&lt;TODAY()),0,1))</f>
        <v/>
      </c>
      <c r="AD282">
        <f>IF(T_EMPLOYEES[[#This Row],[EMPLOYEE NUMBER]]="","",IF(AND(T_EMPLOYEES[[#This Row],[START DATE]]&gt;0,T_EMPLOYEES[[#This Row],[START DATE]]&lt;TODAY()+60),0,1))</f>
        <v/>
      </c>
      <c r="AE282">
        <f>IF(T_EMPLOYEES[[#This Row],[EMPLOYEE NUMBER]]="","",MATCH(T_EMPLOYEES[[#This Row],[GENDER]],L_GENDER,0))</f>
        <v/>
      </c>
      <c r="AF282">
        <f>IF(T_EMPLOYEES[[#This Row],[EMPLOYEE NUMBER]]="","",MATCH(T_EMPLOYEES[[#This Row],[HIRE SOURCE]],L_HIRESOURCE,0))</f>
        <v/>
      </c>
      <c r="AG282">
        <f>IF(T_EMPLOYEES[[#This Row],[EMPLOYEE NUMBER]]="","",MATCH(T_EMPLOYEES[[#This Row],[ETHNICITY]],L_ETHNICITY,0))</f>
        <v/>
      </c>
      <c r="AH282">
        <f>IF(T_EMPLOYEES[[#This Row],[EMPLOYEE NUMBER]]="","",MATCH(T_EMPLOYEES[[#This Row],[LOCATION]],L_LOCATION,0))</f>
        <v/>
      </c>
      <c r="AI282">
        <f>IF(T_EMPLOYEES[[#This Row],[EMPLOYEE NUMBER]]="","",MATCH(T_EMPLOYEES[[#This Row],[DEPARTMENT]],L_DEPARTMENT,0))</f>
        <v/>
      </c>
      <c r="AJ282">
        <f>IF(T_EMPLOYEES[[#This Row],[EMPLOYEE NUMBER]]="","",MATCH(T_EMPLOYEES[[#This Row],[JOB TYPE]],L_JOBTYPE,0))</f>
        <v/>
      </c>
      <c r="AK282">
        <f>IF(T_EMPLOYEES[[#This Row],[EMPLOYEE NUMBER]]="","",MATCH(T_EMPLOYEES[[#This Row],[JOB CATEGORY]],L_JOBCATEGORY,0))</f>
        <v/>
      </c>
      <c r="AL282">
        <f>IF(T_EMPLOYEES[[#This Row],[EMPLOYEE NUMBER]]="","",MATCH(T_EMPLOYEES[[#This Row],[JOB LEVEL]],L_JOBLEVEL,0))</f>
        <v/>
      </c>
      <c r="AM282">
        <f>IF(T_EMPLOYEES[[#This Row],[EMPLOYEE NUMBER]]="","",MATCH(T_EMPLOYEES[[#This Row],[JOB TITLE]],L_JOBTITLE,0))</f>
        <v/>
      </c>
      <c r="AN282">
        <f>IF(T_EMPLOYEES[[#This Row],[EMPLOYEE NUMBER]]="","",MATCH(T_EMPLOYEES[[#This Row],[MANAGER]],L_EMPLABELS,0))</f>
        <v/>
      </c>
      <c r="AO282">
        <f>IF(T_EMPLOYEES[[#This Row],[EMPLOYEE NUMBER]]="","",IF(T_EMPLOYEES[[#This Row],[ERROR]]="",0,1))</f>
        <v/>
      </c>
      <c r="AP28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3">
      <c r="A283" t="inlineStr">
        <is>
          <t>Pakalapati</t>
        </is>
      </c>
      <c r="B283" t="inlineStr">
        <is>
          <t>S S Prashanth Varma</t>
        </is>
      </c>
      <c r="C283" t="n">
        <v>1032812</v>
      </c>
      <c r="D283" t="inlineStr">
        <is>
          <t>Prashanth.Varma@infinite.com</t>
        </is>
      </c>
      <c r="E283" s="26" t="n">
        <v>34613</v>
      </c>
      <c r="F283" s="26" t="n">
        <v>45063</v>
      </c>
      <c r="H283" t="inlineStr">
        <is>
          <t>Male</t>
        </is>
      </c>
      <c r="I283" t="inlineStr">
        <is>
          <t>Asian</t>
        </is>
      </c>
      <c r="J283" t="inlineStr">
        <is>
          <t>WEBSITE</t>
        </is>
      </c>
      <c r="K283" t="inlineStr">
        <is>
          <t>Bangalore</t>
        </is>
      </c>
      <c r="L283" s="27" t="inlineStr">
        <is>
          <t>IT</t>
        </is>
      </c>
      <c r="M283" t="inlineStr">
        <is>
          <t>Full-Time</t>
        </is>
      </c>
      <c r="N283" t="inlineStr">
        <is>
          <t>Test Lead</t>
        </is>
      </c>
      <c r="O283" t="inlineStr">
        <is>
          <t>E4</t>
        </is>
      </c>
      <c r="P283" t="inlineStr">
        <is>
          <t>Test Lead</t>
        </is>
      </c>
      <c r="Q283" t="inlineStr">
        <is>
          <t>Someshwara Prabhu Nanje Gowda (1021418)</t>
        </is>
      </c>
      <c r="R283" t="n">
        <v>5</v>
      </c>
      <c r="S283" s="1" t="n">
        <v>250000</v>
      </c>
      <c r="T283" s="1">
        <f>ROUND(T_EMPLOYEES[[#This Row],[EMP_CTC1]]/12, 0)</f>
        <v/>
      </c>
      <c r="U283" s="1" t="n">
        <v>150000</v>
      </c>
      <c r="V283" s="1" t="inlineStr">
        <is>
          <t>NH</t>
        </is>
      </c>
      <c r="W283" s="1" t="inlineStr">
        <is>
          <t>NH</t>
        </is>
      </c>
      <c r="X28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3" t="n">
        <v>100000</v>
      </c>
      <c r="Z283" s="29">
        <f>(S283 - U283)/S283 * 100</f>
        <v/>
      </c>
      <c r="AA283">
        <f>IF(T_EMPLOYEES[[#This Row],[EMPLOYEE NUMBER]]="","",ROW(T_EMPLOYEES[[#This Row],[EMPLOYEE LABEL]])-ROW(T_EMPLOYEES[[#Headers],[EMPLOYEE LABEL]]))</f>
        <v/>
      </c>
      <c r="AB283">
        <f>IF(T_EMPLOYEES[[#This Row],[EMPLOYEE NUMBER]]="","",IF(COUNTIF(T_EMPLOYEES[EMPLOYEE NUMBER],T_EMPLOYEES[[#This Row],[EMPLOYEE NUMBER]])&gt;1,1,0))</f>
        <v/>
      </c>
      <c r="AC283">
        <f>IF(T_EMPLOYEES[[#This Row],[EMPLOYEE NUMBER]]="","",IF(AND(T_EMPLOYEES[[#This Row],[DATE OF BIRTH]]&gt;0,T_EMPLOYEES[[#This Row],[DATE OF BIRTH]]&lt;TODAY()),0,1))</f>
        <v/>
      </c>
      <c r="AD283">
        <f>IF(T_EMPLOYEES[[#This Row],[EMPLOYEE NUMBER]]="","",IF(AND(T_EMPLOYEES[[#This Row],[START DATE]]&gt;0,T_EMPLOYEES[[#This Row],[START DATE]]&lt;TODAY()+60),0,1))</f>
        <v/>
      </c>
      <c r="AE283">
        <f>IF(T_EMPLOYEES[[#This Row],[EMPLOYEE NUMBER]]="","",MATCH(T_EMPLOYEES[[#This Row],[GENDER]],L_GENDER,0))</f>
        <v/>
      </c>
      <c r="AF283">
        <f>IF(T_EMPLOYEES[[#This Row],[EMPLOYEE NUMBER]]="","",MATCH(T_EMPLOYEES[[#This Row],[HIRE SOURCE]],L_HIRESOURCE,0))</f>
        <v/>
      </c>
      <c r="AG283">
        <f>IF(T_EMPLOYEES[[#This Row],[EMPLOYEE NUMBER]]="","",MATCH(T_EMPLOYEES[[#This Row],[ETHNICITY]],L_ETHNICITY,0))</f>
        <v/>
      </c>
      <c r="AH283">
        <f>IF(T_EMPLOYEES[[#This Row],[EMPLOYEE NUMBER]]="","",MATCH(T_EMPLOYEES[[#This Row],[LOCATION]],L_LOCATION,0))</f>
        <v/>
      </c>
      <c r="AI283">
        <f>IF(T_EMPLOYEES[[#This Row],[EMPLOYEE NUMBER]]="","",MATCH(T_EMPLOYEES[[#This Row],[DEPARTMENT]],L_DEPARTMENT,0))</f>
        <v/>
      </c>
      <c r="AJ283">
        <f>IF(T_EMPLOYEES[[#This Row],[EMPLOYEE NUMBER]]="","",MATCH(T_EMPLOYEES[[#This Row],[JOB TYPE]],L_JOBTYPE,0))</f>
        <v/>
      </c>
      <c r="AK283">
        <f>IF(T_EMPLOYEES[[#This Row],[EMPLOYEE NUMBER]]="","",MATCH(T_EMPLOYEES[[#This Row],[JOB CATEGORY]],L_JOBCATEGORY,0))</f>
        <v/>
      </c>
      <c r="AL283">
        <f>IF(T_EMPLOYEES[[#This Row],[EMPLOYEE NUMBER]]="","",MATCH(T_EMPLOYEES[[#This Row],[JOB LEVEL]],L_JOBLEVEL,0))</f>
        <v/>
      </c>
      <c r="AM283">
        <f>IF(T_EMPLOYEES[[#This Row],[EMPLOYEE NUMBER]]="","",MATCH(T_EMPLOYEES[[#This Row],[JOB TITLE]],L_JOBTITLE,0))</f>
        <v/>
      </c>
      <c r="AN283">
        <f>IF(T_EMPLOYEES[[#This Row],[EMPLOYEE NUMBER]]="","",MATCH(T_EMPLOYEES[[#This Row],[MANAGER]],L_EMPLABELS,0))</f>
        <v/>
      </c>
      <c r="AO283">
        <f>IF(T_EMPLOYEES[[#This Row],[EMPLOYEE NUMBER]]="","",IF(T_EMPLOYEES[[#This Row],[ERROR]]="",0,1))</f>
        <v/>
      </c>
      <c r="AP28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4">
      <c r="A284" t="inlineStr">
        <is>
          <t>Vidya</t>
        </is>
      </c>
      <c r="B284" t="inlineStr">
        <is>
          <t>H B</t>
        </is>
      </c>
      <c r="C284" t="n">
        <v>1031877</v>
      </c>
      <c r="D284" t="inlineStr">
        <is>
          <t>Vidya.H@infinite.com</t>
        </is>
      </c>
      <c r="E284" s="26" t="n">
        <v>34618</v>
      </c>
      <c r="F284" s="26" t="n">
        <v>44914</v>
      </c>
      <c r="H284" t="inlineStr">
        <is>
          <t>Female</t>
        </is>
      </c>
      <c r="I284" t="inlineStr">
        <is>
          <t>Asian</t>
        </is>
      </c>
      <c r="J284" t="inlineStr">
        <is>
          <t>WEBSITE</t>
        </is>
      </c>
      <c r="K284" t="inlineStr">
        <is>
          <t>Bangalore</t>
        </is>
      </c>
      <c r="L284" s="27" t="inlineStr">
        <is>
          <t>IT</t>
        </is>
      </c>
      <c r="M284" t="inlineStr">
        <is>
          <t>Full-Time</t>
        </is>
      </c>
      <c r="N284" t="inlineStr">
        <is>
          <t>Senior Software Test Engineer</t>
        </is>
      </c>
      <c r="O284" t="inlineStr">
        <is>
          <t>E3</t>
        </is>
      </c>
      <c r="P284" t="inlineStr">
        <is>
          <t>Senior Software Test Engineer</t>
        </is>
      </c>
      <c r="Q284" t="inlineStr">
        <is>
          <t>Prabhakar Janardhanam (1031867)</t>
        </is>
      </c>
      <c r="R284" s="27" t="n">
        <v>4</v>
      </c>
      <c r="S284" s="1" t="n">
        <v>250000</v>
      </c>
      <c r="T284" s="1">
        <f>ROUND(T_EMPLOYEES[[#This Row],[EMP_CTC1]]/12, 0)</f>
        <v/>
      </c>
      <c r="U284" s="1" t="n">
        <v>150000</v>
      </c>
      <c r="V284" s="1" t="inlineStr">
        <is>
          <t>NH</t>
        </is>
      </c>
      <c r="W284" s="1" t="inlineStr">
        <is>
          <t>NH</t>
        </is>
      </c>
      <c r="X28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4" t="n">
        <v>100000</v>
      </c>
      <c r="Z284" s="29">
        <f>(S284 - U284)/S284 * 100</f>
        <v/>
      </c>
      <c r="AA284">
        <f>IF(T_EMPLOYEES[[#This Row],[EMPLOYEE NUMBER]]="","",ROW(T_EMPLOYEES[[#This Row],[EMPLOYEE LABEL]])-ROW(T_EMPLOYEES[[#Headers],[EMPLOYEE LABEL]]))</f>
        <v/>
      </c>
      <c r="AB284">
        <f>IF(T_EMPLOYEES[[#This Row],[EMPLOYEE NUMBER]]="","",IF(COUNTIF(T_EMPLOYEES[EMPLOYEE NUMBER],T_EMPLOYEES[[#This Row],[EMPLOYEE NUMBER]])&gt;1,1,0))</f>
        <v/>
      </c>
      <c r="AC284">
        <f>IF(T_EMPLOYEES[[#This Row],[EMPLOYEE NUMBER]]="","",IF(AND(T_EMPLOYEES[[#This Row],[DATE OF BIRTH]]&gt;0,T_EMPLOYEES[[#This Row],[DATE OF BIRTH]]&lt;TODAY()),0,1))</f>
        <v/>
      </c>
      <c r="AD284">
        <f>IF(T_EMPLOYEES[[#This Row],[EMPLOYEE NUMBER]]="","",IF(AND(T_EMPLOYEES[[#This Row],[START DATE]]&gt;0,T_EMPLOYEES[[#This Row],[START DATE]]&lt;TODAY()+60),0,1))</f>
        <v/>
      </c>
      <c r="AE284">
        <f>IF(T_EMPLOYEES[[#This Row],[EMPLOYEE NUMBER]]="","",MATCH(T_EMPLOYEES[[#This Row],[GENDER]],L_GENDER,0))</f>
        <v/>
      </c>
      <c r="AF284">
        <f>IF(T_EMPLOYEES[[#This Row],[EMPLOYEE NUMBER]]="","",MATCH(T_EMPLOYEES[[#This Row],[HIRE SOURCE]],L_HIRESOURCE,0))</f>
        <v/>
      </c>
      <c r="AG284">
        <f>IF(T_EMPLOYEES[[#This Row],[EMPLOYEE NUMBER]]="","",MATCH(T_EMPLOYEES[[#This Row],[ETHNICITY]],L_ETHNICITY,0))</f>
        <v/>
      </c>
      <c r="AH284">
        <f>IF(T_EMPLOYEES[[#This Row],[EMPLOYEE NUMBER]]="","",MATCH(T_EMPLOYEES[[#This Row],[LOCATION]],L_LOCATION,0))</f>
        <v/>
      </c>
      <c r="AI284">
        <f>IF(T_EMPLOYEES[[#This Row],[EMPLOYEE NUMBER]]="","",MATCH(T_EMPLOYEES[[#This Row],[DEPARTMENT]],L_DEPARTMENT,0))</f>
        <v/>
      </c>
      <c r="AJ284">
        <f>IF(T_EMPLOYEES[[#This Row],[EMPLOYEE NUMBER]]="","",MATCH(T_EMPLOYEES[[#This Row],[JOB TYPE]],L_JOBTYPE,0))</f>
        <v/>
      </c>
      <c r="AK284">
        <f>IF(T_EMPLOYEES[[#This Row],[EMPLOYEE NUMBER]]="","",MATCH(T_EMPLOYEES[[#This Row],[JOB CATEGORY]],L_JOBCATEGORY,0))</f>
        <v/>
      </c>
      <c r="AL284">
        <f>IF(T_EMPLOYEES[[#This Row],[EMPLOYEE NUMBER]]="","",MATCH(T_EMPLOYEES[[#This Row],[JOB LEVEL]],L_JOBLEVEL,0))</f>
        <v/>
      </c>
      <c r="AM284">
        <f>IF(T_EMPLOYEES[[#This Row],[EMPLOYEE NUMBER]]="","",MATCH(T_EMPLOYEES[[#This Row],[JOB TITLE]],L_JOBTITLE,0))</f>
        <v/>
      </c>
      <c r="AN284">
        <f>IF(T_EMPLOYEES[[#This Row],[EMPLOYEE NUMBER]]="","",MATCH(T_EMPLOYEES[[#This Row],[MANAGER]],L_EMPLABELS,0))</f>
        <v/>
      </c>
      <c r="AO284">
        <f>IF(T_EMPLOYEES[[#This Row],[EMPLOYEE NUMBER]]="","",IF(T_EMPLOYEES[[#This Row],[ERROR]]="",0,1))</f>
        <v/>
      </c>
      <c r="AP28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5">
      <c r="A285" t="inlineStr">
        <is>
          <t>K</t>
        </is>
      </c>
      <c r="B285" t="inlineStr">
        <is>
          <t>Prem Sagar</t>
        </is>
      </c>
      <c r="C285" t="n">
        <v>1032146</v>
      </c>
      <c r="D285" t="inlineStr">
        <is>
          <t>Prem.Sagar2@infinite.com</t>
        </is>
      </c>
      <c r="E285" s="26" t="n">
        <v>34627</v>
      </c>
      <c r="F285" s="26" t="n">
        <v>44958</v>
      </c>
      <c r="H285" t="inlineStr">
        <is>
          <t>Male</t>
        </is>
      </c>
      <c r="I285" t="inlineStr">
        <is>
          <t>Asian</t>
        </is>
      </c>
      <c r="J285" t="inlineStr">
        <is>
          <t>WEBSITE</t>
        </is>
      </c>
      <c r="K285" t="inlineStr">
        <is>
          <t>Hyderabad</t>
        </is>
      </c>
      <c r="L285" s="27" t="inlineStr">
        <is>
          <t>IT</t>
        </is>
      </c>
      <c r="M285" t="inlineStr">
        <is>
          <t>Full-Time</t>
        </is>
      </c>
      <c r="N285" t="inlineStr">
        <is>
          <t>Support Engineer</t>
        </is>
      </c>
      <c r="O285" t="inlineStr">
        <is>
          <t>E2</t>
        </is>
      </c>
      <c r="P285" t="inlineStr">
        <is>
          <t>Support Engineer</t>
        </is>
      </c>
      <c r="Q285" t="inlineStr">
        <is>
          <t>Santosh Kumar B (1033071)</t>
        </is>
      </c>
      <c r="R285" t="n">
        <v>4</v>
      </c>
      <c r="S285" s="1" t="n">
        <v>250000</v>
      </c>
      <c r="T285" s="1">
        <f>ROUND(T_EMPLOYEES[[#This Row],[EMP_CTC1]]/12, 0)</f>
        <v/>
      </c>
      <c r="U285" s="1" t="n">
        <v>150000</v>
      </c>
      <c r="V285" s="1" t="inlineStr">
        <is>
          <t>NH</t>
        </is>
      </c>
      <c r="W285" s="1" t="inlineStr">
        <is>
          <t>NH</t>
        </is>
      </c>
      <c r="X28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5" t="n">
        <v>100000</v>
      </c>
      <c r="Z285" s="29">
        <f>(S285 - U285)/S285 * 100</f>
        <v/>
      </c>
      <c r="AA285">
        <f>IF(T_EMPLOYEES[[#This Row],[EMPLOYEE NUMBER]]="","",ROW(T_EMPLOYEES[[#This Row],[EMPLOYEE LABEL]])-ROW(T_EMPLOYEES[[#Headers],[EMPLOYEE LABEL]]))</f>
        <v/>
      </c>
      <c r="AB285">
        <f>IF(T_EMPLOYEES[[#This Row],[EMPLOYEE NUMBER]]="","",IF(COUNTIF(T_EMPLOYEES[EMPLOYEE NUMBER],T_EMPLOYEES[[#This Row],[EMPLOYEE NUMBER]])&gt;1,1,0))</f>
        <v/>
      </c>
      <c r="AC285">
        <f>IF(T_EMPLOYEES[[#This Row],[EMPLOYEE NUMBER]]="","",IF(AND(T_EMPLOYEES[[#This Row],[DATE OF BIRTH]]&gt;0,T_EMPLOYEES[[#This Row],[DATE OF BIRTH]]&lt;TODAY()),0,1))</f>
        <v/>
      </c>
      <c r="AD285">
        <f>IF(T_EMPLOYEES[[#This Row],[EMPLOYEE NUMBER]]="","",IF(AND(T_EMPLOYEES[[#This Row],[START DATE]]&gt;0,T_EMPLOYEES[[#This Row],[START DATE]]&lt;TODAY()+60),0,1))</f>
        <v/>
      </c>
      <c r="AE285">
        <f>IF(T_EMPLOYEES[[#This Row],[EMPLOYEE NUMBER]]="","",MATCH(T_EMPLOYEES[[#This Row],[GENDER]],L_GENDER,0))</f>
        <v/>
      </c>
      <c r="AF285">
        <f>IF(T_EMPLOYEES[[#This Row],[EMPLOYEE NUMBER]]="","",MATCH(T_EMPLOYEES[[#This Row],[HIRE SOURCE]],L_HIRESOURCE,0))</f>
        <v/>
      </c>
      <c r="AG285">
        <f>IF(T_EMPLOYEES[[#This Row],[EMPLOYEE NUMBER]]="","",MATCH(T_EMPLOYEES[[#This Row],[ETHNICITY]],L_ETHNICITY,0))</f>
        <v/>
      </c>
      <c r="AH285">
        <f>IF(T_EMPLOYEES[[#This Row],[EMPLOYEE NUMBER]]="","",MATCH(T_EMPLOYEES[[#This Row],[LOCATION]],L_LOCATION,0))</f>
        <v/>
      </c>
      <c r="AI285">
        <f>IF(T_EMPLOYEES[[#This Row],[EMPLOYEE NUMBER]]="","",MATCH(T_EMPLOYEES[[#This Row],[DEPARTMENT]],L_DEPARTMENT,0))</f>
        <v/>
      </c>
      <c r="AJ285">
        <f>IF(T_EMPLOYEES[[#This Row],[EMPLOYEE NUMBER]]="","",MATCH(T_EMPLOYEES[[#This Row],[JOB TYPE]],L_JOBTYPE,0))</f>
        <v/>
      </c>
      <c r="AK285">
        <f>IF(T_EMPLOYEES[[#This Row],[EMPLOYEE NUMBER]]="","",MATCH(T_EMPLOYEES[[#This Row],[JOB CATEGORY]],L_JOBCATEGORY,0))</f>
        <v/>
      </c>
      <c r="AL285">
        <f>IF(T_EMPLOYEES[[#This Row],[EMPLOYEE NUMBER]]="","",MATCH(T_EMPLOYEES[[#This Row],[JOB LEVEL]],L_JOBLEVEL,0))</f>
        <v/>
      </c>
      <c r="AM285">
        <f>IF(T_EMPLOYEES[[#This Row],[EMPLOYEE NUMBER]]="","",MATCH(T_EMPLOYEES[[#This Row],[JOB TITLE]],L_JOBTITLE,0))</f>
        <v/>
      </c>
      <c r="AN285">
        <f>IF(T_EMPLOYEES[[#This Row],[EMPLOYEE NUMBER]]="","",MATCH(T_EMPLOYEES[[#This Row],[MANAGER]],L_EMPLABELS,0))</f>
        <v/>
      </c>
      <c r="AO285">
        <f>IF(T_EMPLOYEES[[#This Row],[EMPLOYEE NUMBER]]="","",IF(T_EMPLOYEES[[#This Row],[ERROR]]="",0,1))</f>
        <v/>
      </c>
      <c r="AP28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6">
      <c r="A286" t="inlineStr">
        <is>
          <t>Chaithra</t>
        </is>
      </c>
      <c r="B286" t="inlineStr">
        <is>
          <t>R</t>
        </is>
      </c>
      <c r="C286" t="n">
        <v>1027610</v>
      </c>
      <c r="D286" t="inlineStr">
        <is>
          <t>Chaithra.Ramalingaigh@infinite.com</t>
        </is>
      </c>
      <c r="E286" s="26" t="n">
        <v>34629</v>
      </c>
      <c r="F286" s="26" t="n">
        <v>44540</v>
      </c>
      <c r="H286" t="inlineStr">
        <is>
          <t>Female</t>
        </is>
      </c>
      <c r="I286" t="inlineStr">
        <is>
          <t>Asian</t>
        </is>
      </c>
      <c r="J286" t="inlineStr">
        <is>
          <t>WEBSITE</t>
        </is>
      </c>
      <c r="K286" t="inlineStr">
        <is>
          <t>Chennai</t>
        </is>
      </c>
      <c r="L286" s="27" t="inlineStr">
        <is>
          <t>IT</t>
        </is>
      </c>
      <c r="M286" t="inlineStr">
        <is>
          <t>Full-Time</t>
        </is>
      </c>
      <c r="N286" t="inlineStr">
        <is>
          <t>Software Engineer</t>
        </is>
      </c>
      <c r="O286" t="inlineStr">
        <is>
          <t>E2</t>
        </is>
      </c>
      <c r="P286" t="inlineStr">
        <is>
          <t>Software Engineer</t>
        </is>
      </c>
      <c r="Q286" t="inlineStr">
        <is>
          <t>Sudhakar  Channegowda (1031110)</t>
        </is>
      </c>
      <c r="R286" s="27" t="n">
        <v>4</v>
      </c>
      <c r="S286" s="1" t="n">
        <v>250000</v>
      </c>
      <c r="T286" s="1">
        <f>ROUND(T_EMPLOYEES[[#This Row],[EMP_CTC1]]/12, 0)</f>
        <v/>
      </c>
      <c r="U286" s="1" t="n">
        <v>150000</v>
      </c>
      <c r="V286" s="1" t="inlineStr">
        <is>
          <t>NH</t>
        </is>
      </c>
      <c r="W286" s="1" t="inlineStr">
        <is>
          <t>NH</t>
        </is>
      </c>
      <c r="X28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6" t="n">
        <v>100000</v>
      </c>
      <c r="Z286" s="29">
        <f>(S286 - U286)/S286 * 100</f>
        <v/>
      </c>
      <c r="AA286">
        <f>IF(T_EMPLOYEES[[#This Row],[EMPLOYEE NUMBER]]="","",ROW(T_EMPLOYEES[[#This Row],[EMPLOYEE LABEL]])-ROW(T_EMPLOYEES[[#Headers],[EMPLOYEE LABEL]]))</f>
        <v/>
      </c>
      <c r="AB286">
        <f>IF(T_EMPLOYEES[[#This Row],[EMPLOYEE NUMBER]]="","",IF(COUNTIF(T_EMPLOYEES[EMPLOYEE NUMBER],T_EMPLOYEES[[#This Row],[EMPLOYEE NUMBER]])&gt;1,1,0))</f>
        <v/>
      </c>
      <c r="AC286">
        <f>IF(T_EMPLOYEES[[#This Row],[EMPLOYEE NUMBER]]="","",IF(AND(T_EMPLOYEES[[#This Row],[DATE OF BIRTH]]&gt;0,T_EMPLOYEES[[#This Row],[DATE OF BIRTH]]&lt;TODAY()),0,1))</f>
        <v/>
      </c>
      <c r="AD286">
        <f>IF(T_EMPLOYEES[[#This Row],[EMPLOYEE NUMBER]]="","",IF(AND(T_EMPLOYEES[[#This Row],[START DATE]]&gt;0,T_EMPLOYEES[[#This Row],[START DATE]]&lt;TODAY()+60),0,1))</f>
        <v/>
      </c>
      <c r="AE286">
        <f>IF(T_EMPLOYEES[[#This Row],[EMPLOYEE NUMBER]]="","",MATCH(T_EMPLOYEES[[#This Row],[GENDER]],L_GENDER,0))</f>
        <v/>
      </c>
      <c r="AF286">
        <f>IF(T_EMPLOYEES[[#This Row],[EMPLOYEE NUMBER]]="","",MATCH(T_EMPLOYEES[[#This Row],[HIRE SOURCE]],L_HIRESOURCE,0))</f>
        <v/>
      </c>
      <c r="AG286">
        <f>IF(T_EMPLOYEES[[#This Row],[EMPLOYEE NUMBER]]="","",MATCH(T_EMPLOYEES[[#This Row],[ETHNICITY]],L_ETHNICITY,0))</f>
        <v/>
      </c>
      <c r="AH286">
        <f>IF(T_EMPLOYEES[[#This Row],[EMPLOYEE NUMBER]]="","",MATCH(T_EMPLOYEES[[#This Row],[LOCATION]],L_LOCATION,0))</f>
        <v/>
      </c>
      <c r="AI286">
        <f>IF(T_EMPLOYEES[[#This Row],[EMPLOYEE NUMBER]]="","",MATCH(T_EMPLOYEES[[#This Row],[DEPARTMENT]],L_DEPARTMENT,0))</f>
        <v/>
      </c>
      <c r="AJ286">
        <f>IF(T_EMPLOYEES[[#This Row],[EMPLOYEE NUMBER]]="","",MATCH(T_EMPLOYEES[[#This Row],[JOB TYPE]],L_JOBTYPE,0))</f>
        <v/>
      </c>
      <c r="AK286">
        <f>IF(T_EMPLOYEES[[#This Row],[EMPLOYEE NUMBER]]="","",MATCH(T_EMPLOYEES[[#This Row],[JOB CATEGORY]],L_JOBCATEGORY,0))</f>
        <v/>
      </c>
      <c r="AL286">
        <f>IF(T_EMPLOYEES[[#This Row],[EMPLOYEE NUMBER]]="","",MATCH(T_EMPLOYEES[[#This Row],[JOB LEVEL]],L_JOBLEVEL,0))</f>
        <v/>
      </c>
      <c r="AM286">
        <f>IF(T_EMPLOYEES[[#This Row],[EMPLOYEE NUMBER]]="","",MATCH(T_EMPLOYEES[[#This Row],[JOB TITLE]],L_JOBTITLE,0))</f>
        <v/>
      </c>
      <c r="AN286">
        <f>IF(T_EMPLOYEES[[#This Row],[EMPLOYEE NUMBER]]="","",MATCH(T_EMPLOYEES[[#This Row],[MANAGER]],L_EMPLABELS,0))</f>
        <v/>
      </c>
      <c r="AO286">
        <f>IF(T_EMPLOYEES[[#This Row],[EMPLOYEE NUMBER]]="","",IF(T_EMPLOYEES[[#This Row],[ERROR]]="",0,1))</f>
        <v/>
      </c>
      <c r="AP28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86" t="inlineStr">
        <is>
          <t>TMSIS</t>
        </is>
      </c>
    </row>
    <row r="287">
      <c r="A287" t="inlineStr">
        <is>
          <t>N</t>
        </is>
      </c>
      <c r="B287" t="inlineStr">
        <is>
          <t>Kapilraj</t>
        </is>
      </c>
      <c r="C287" t="n">
        <v>1028801</v>
      </c>
      <c r="D287" t="inlineStr">
        <is>
          <t>Kapilraj.Nagarajan@infinite.com</t>
        </is>
      </c>
      <c r="E287" s="26" t="n">
        <v>34649</v>
      </c>
      <c r="F287" s="26" t="n">
        <v>44662</v>
      </c>
      <c r="H287" t="inlineStr">
        <is>
          <t>Male</t>
        </is>
      </c>
      <c r="I287" t="inlineStr">
        <is>
          <t>Asian</t>
        </is>
      </c>
      <c r="J287" t="inlineStr">
        <is>
          <t>WEBSITE</t>
        </is>
      </c>
      <c r="K287" t="inlineStr">
        <is>
          <t>Hyderabad</t>
        </is>
      </c>
      <c r="L287" s="27" t="inlineStr">
        <is>
          <t>IT</t>
        </is>
      </c>
      <c r="M287" t="inlineStr">
        <is>
          <t>Full-Time</t>
        </is>
      </c>
      <c r="N287" t="inlineStr">
        <is>
          <t>Senior Software Test Engineer</t>
        </is>
      </c>
      <c r="O287" t="inlineStr">
        <is>
          <t>E3</t>
        </is>
      </c>
      <c r="P287" t="inlineStr">
        <is>
          <t>Senior Software Test Engineer</t>
        </is>
      </c>
      <c r="Q287" t="inlineStr">
        <is>
          <t>Talluri  Mangarao (1004641)</t>
        </is>
      </c>
      <c r="R287" t="n">
        <v>4</v>
      </c>
      <c r="S287" s="1" t="n">
        <v>250000</v>
      </c>
      <c r="T287" s="1">
        <f>ROUND(T_EMPLOYEES[[#This Row],[EMP_CTC1]]/12, 0)</f>
        <v/>
      </c>
      <c r="U287" s="1" t="n">
        <v>150000</v>
      </c>
      <c r="V287" s="1" t="inlineStr">
        <is>
          <t>NH</t>
        </is>
      </c>
      <c r="W287" s="1" t="inlineStr">
        <is>
          <t>NH</t>
        </is>
      </c>
      <c r="X28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7" t="n">
        <v>100000</v>
      </c>
      <c r="Z287" s="29">
        <f>(S287 - U287)/S287 * 100</f>
        <v/>
      </c>
      <c r="AA287">
        <f>IF(T_EMPLOYEES[[#This Row],[EMPLOYEE NUMBER]]="","",ROW(T_EMPLOYEES[[#This Row],[EMPLOYEE LABEL]])-ROW(T_EMPLOYEES[[#Headers],[EMPLOYEE LABEL]]))</f>
        <v/>
      </c>
      <c r="AB287">
        <f>IF(T_EMPLOYEES[[#This Row],[EMPLOYEE NUMBER]]="","",IF(COUNTIF(T_EMPLOYEES[EMPLOYEE NUMBER],T_EMPLOYEES[[#This Row],[EMPLOYEE NUMBER]])&gt;1,1,0))</f>
        <v/>
      </c>
      <c r="AC287">
        <f>IF(T_EMPLOYEES[[#This Row],[EMPLOYEE NUMBER]]="","",IF(AND(T_EMPLOYEES[[#This Row],[DATE OF BIRTH]]&gt;0,T_EMPLOYEES[[#This Row],[DATE OF BIRTH]]&lt;TODAY()),0,1))</f>
        <v/>
      </c>
      <c r="AD287">
        <f>IF(T_EMPLOYEES[[#This Row],[EMPLOYEE NUMBER]]="","",IF(AND(T_EMPLOYEES[[#This Row],[START DATE]]&gt;0,T_EMPLOYEES[[#This Row],[START DATE]]&lt;TODAY()+60),0,1))</f>
        <v/>
      </c>
      <c r="AE287">
        <f>IF(T_EMPLOYEES[[#This Row],[EMPLOYEE NUMBER]]="","",MATCH(T_EMPLOYEES[[#This Row],[GENDER]],L_GENDER,0))</f>
        <v/>
      </c>
      <c r="AF287">
        <f>IF(T_EMPLOYEES[[#This Row],[EMPLOYEE NUMBER]]="","",MATCH(T_EMPLOYEES[[#This Row],[HIRE SOURCE]],L_HIRESOURCE,0))</f>
        <v/>
      </c>
      <c r="AG287">
        <f>IF(T_EMPLOYEES[[#This Row],[EMPLOYEE NUMBER]]="","",MATCH(T_EMPLOYEES[[#This Row],[ETHNICITY]],L_ETHNICITY,0))</f>
        <v/>
      </c>
      <c r="AH287">
        <f>IF(T_EMPLOYEES[[#This Row],[EMPLOYEE NUMBER]]="","",MATCH(T_EMPLOYEES[[#This Row],[LOCATION]],L_LOCATION,0))</f>
        <v/>
      </c>
      <c r="AI287">
        <f>IF(T_EMPLOYEES[[#This Row],[EMPLOYEE NUMBER]]="","",MATCH(T_EMPLOYEES[[#This Row],[DEPARTMENT]],L_DEPARTMENT,0))</f>
        <v/>
      </c>
      <c r="AJ287">
        <f>IF(T_EMPLOYEES[[#This Row],[EMPLOYEE NUMBER]]="","",MATCH(T_EMPLOYEES[[#This Row],[JOB TYPE]],L_JOBTYPE,0))</f>
        <v/>
      </c>
      <c r="AK287">
        <f>IF(T_EMPLOYEES[[#This Row],[EMPLOYEE NUMBER]]="","",MATCH(T_EMPLOYEES[[#This Row],[JOB CATEGORY]],L_JOBCATEGORY,0))</f>
        <v/>
      </c>
      <c r="AL287">
        <f>IF(T_EMPLOYEES[[#This Row],[EMPLOYEE NUMBER]]="","",MATCH(T_EMPLOYEES[[#This Row],[JOB LEVEL]],L_JOBLEVEL,0))</f>
        <v/>
      </c>
      <c r="AM287">
        <f>IF(T_EMPLOYEES[[#This Row],[EMPLOYEE NUMBER]]="","",MATCH(T_EMPLOYEES[[#This Row],[JOB TITLE]],L_JOBTITLE,0))</f>
        <v/>
      </c>
      <c r="AN287">
        <f>IF(T_EMPLOYEES[[#This Row],[EMPLOYEE NUMBER]]="","",MATCH(T_EMPLOYEES[[#This Row],[MANAGER]],L_EMPLABELS,0))</f>
        <v/>
      </c>
      <c r="AO287">
        <f>IF(T_EMPLOYEES[[#This Row],[EMPLOYEE NUMBER]]="","",IF(T_EMPLOYEES[[#This Row],[ERROR]]="",0,1))</f>
        <v/>
      </c>
      <c r="AP28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8">
      <c r="A288" t="inlineStr">
        <is>
          <t>Sudharani</t>
        </is>
      </c>
      <c r="C288" t="n">
        <v>1030822</v>
      </c>
      <c r="D288" t="inlineStr">
        <is>
          <t>Sudharani.Navadgi@infinite.com</t>
        </is>
      </c>
      <c r="E288" s="26" t="n">
        <v>34663</v>
      </c>
      <c r="F288" s="26" t="n">
        <v>44867</v>
      </c>
      <c r="H288" t="inlineStr">
        <is>
          <t>Female</t>
        </is>
      </c>
      <c r="I288" t="inlineStr">
        <is>
          <t>Asian</t>
        </is>
      </c>
      <c r="J288" t="inlineStr">
        <is>
          <t>WEBSITE</t>
        </is>
      </c>
      <c r="K288" t="inlineStr">
        <is>
          <t>Bangalore</t>
        </is>
      </c>
      <c r="L288" s="27" t="inlineStr">
        <is>
          <t>IT</t>
        </is>
      </c>
      <c r="M288" t="inlineStr">
        <is>
          <t>Full-Time</t>
        </is>
      </c>
      <c r="N288" t="inlineStr">
        <is>
          <t>Senior Software Test Engineer</t>
        </is>
      </c>
      <c r="O288" t="inlineStr">
        <is>
          <t>E3</t>
        </is>
      </c>
      <c r="P288" t="inlineStr">
        <is>
          <t>Senior Software Test Engineer</t>
        </is>
      </c>
      <c r="Q288" t="inlineStr">
        <is>
          <t>Talluri  Mangarao (1004641)</t>
        </is>
      </c>
      <c r="R288" s="27" t="n">
        <v>4</v>
      </c>
      <c r="S288" s="1" t="n">
        <v>250000</v>
      </c>
      <c r="T288" s="1">
        <f>ROUND(T_EMPLOYEES[[#This Row],[EMP_CTC1]]/12, 0)</f>
        <v/>
      </c>
      <c r="U288" s="1" t="n">
        <v>150000</v>
      </c>
      <c r="V288" s="1" t="inlineStr">
        <is>
          <t>NH</t>
        </is>
      </c>
      <c r="W288" s="1" t="inlineStr">
        <is>
          <t>NH</t>
        </is>
      </c>
      <c r="X28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8" t="n">
        <v>100000</v>
      </c>
      <c r="Z288" s="29">
        <f>(S288 - U288)/S288 * 100</f>
        <v/>
      </c>
      <c r="AA288">
        <f>IF(T_EMPLOYEES[[#This Row],[EMPLOYEE NUMBER]]="","",ROW(T_EMPLOYEES[[#This Row],[EMPLOYEE LABEL]])-ROW(T_EMPLOYEES[[#Headers],[EMPLOYEE LABEL]]))</f>
        <v/>
      </c>
      <c r="AB288">
        <f>IF(T_EMPLOYEES[[#This Row],[EMPLOYEE NUMBER]]="","",IF(COUNTIF(T_EMPLOYEES[EMPLOYEE NUMBER],T_EMPLOYEES[[#This Row],[EMPLOYEE NUMBER]])&gt;1,1,0))</f>
        <v/>
      </c>
      <c r="AC288">
        <f>IF(T_EMPLOYEES[[#This Row],[EMPLOYEE NUMBER]]="","",IF(AND(T_EMPLOYEES[[#This Row],[DATE OF BIRTH]]&gt;0,T_EMPLOYEES[[#This Row],[DATE OF BIRTH]]&lt;TODAY()),0,1))</f>
        <v/>
      </c>
      <c r="AD288">
        <f>IF(T_EMPLOYEES[[#This Row],[EMPLOYEE NUMBER]]="","",IF(AND(T_EMPLOYEES[[#This Row],[START DATE]]&gt;0,T_EMPLOYEES[[#This Row],[START DATE]]&lt;TODAY()+60),0,1))</f>
        <v/>
      </c>
      <c r="AE288">
        <f>IF(T_EMPLOYEES[[#This Row],[EMPLOYEE NUMBER]]="","",MATCH(T_EMPLOYEES[[#This Row],[GENDER]],L_GENDER,0))</f>
        <v/>
      </c>
      <c r="AF288">
        <f>IF(T_EMPLOYEES[[#This Row],[EMPLOYEE NUMBER]]="","",MATCH(T_EMPLOYEES[[#This Row],[HIRE SOURCE]],L_HIRESOURCE,0))</f>
        <v/>
      </c>
      <c r="AG288">
        <f>IF(T_EMPLOYEES[[#This Row],[EMPLOYEE NUMBER]]="","",MATCH(T_EMPLOYEES[[#This Row],[ETHNICITY]],L_ETHNICITY,0))</f>
        <v/>
      </c>
      <c r="AH288">
        <f>IF(T_EMPLOYEES[[#This Row],[EMPLOYEE NUMBER]]="","",MATCH(T_EMPLOYEES[[#This Row],[LOCATION]],L_LOCATION,0))</f>
        <v/>
      </c>
      <c r="AI288">
        <f>IF(T_EMPLOYEES[[#This Row],[EMPLOYEE NUMBER]]="","",MATCH(T_EMPLOYEES[[#This Row],[DEPARTMENT]],L_DEPARTMENT,0))</f>
        <v/>
      </c>
      <c r="AJ288">
        <f>IF(T_EMPLOYEES[[#This Row],[EMPLOYEE NUMBER]]="","",MATCH(T_EMPLOYEES[[#This Row],[JOB TYPE]],L_JOBTYPE,0))</f>
        <v/>
      </c>
      <c r="AK288">
        <f>IF(T_EMPLOYEES[[#This Row],[EMPLOYEE NUMBER]]="","",MATCH(T_EMPLOYEES[[#This Row],[JOB CATEGORY]],L_JOBCATEGORY,0))</f>
        <v/>
      </c>
      <c r="AL288">
        <f>IF(T_EMPLOYEES[[#This Row],[EMPLOYEE NUMBER]]="","",MATCH(T_EMPLOYEES[[#This Row],[JOB LEVEL]],L_JOBLEVEL,0))</f>
        <v/>
      </c>
      <c r="AM288">
        <f>IF(T_EMPLOYEES[[#This Row],[EMPLOYEE NUMBER]]="","",MATCH(T_EMPLOYEES[[#This Row],[JOB TITLE]],L_JOBTITLE,0))</f>
        <v/>
      </c>
      <c r="AN288">
        <f>IF(T_EMPLOYEES[[#This Row],[EMPLOYEE NUMBER]]="","",MATCH(T_EMPLOYEES[[#This Row],[MANAGER]],L_EMPLABELS,0))</f>
        <v/>
      </c>
      <c r="AO288">
        <f>IF(T_EMPLOYEES[[#This Row],[EMPLOYEE NUMBER]]="","",IF(T_EMPLOYEES[[#This Row],[ERROR]]="",0,1))</f>
        <v/>
      </c>
      <c r="AP28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89">
      <c r="A289" t="inlineStr">
        <is>
          <t>Mikku</t>
        </is>
      </c>
      <c r="B289" t="inlineStr">
        <is>
          <t xml:space="preserve"> Agarwal</t>
        </is>
      </c>
      <c r="C289" t="n">
        <v>1022219</v>
      </c>
      <c r="D289" t="inlineStr">
        <is>
          <t>Mikku.Agarwal@infinite.com</t>
        </is>
      </c>
      <c r="E289" s="26" t="n">
        <v>34672</v>
      </c>
      <c r="F289" s="26" t="n">
        <v>43633</v>
      </c>
      <c r="H289" t="inlineStr">
        <is>
          <t>Female</t>
        </is>
      </c>
      <c r="I289" t="inlineStr">
        <is>
          <t>Asian</t>
        </is>
      </c>
      <c r="J289" t="inlineStr">
        <is>
          <t>WEBSITE</t>
        </is>
      </c>
      <c r="K289" t="inlineStr">
        <is>
          <t>Bangalore</t>
        </is>
      </c>
      <c r="L289" s="27" t="inlineStr">
        <is>
          <t>Core</t>
        </is>
      </c>
      <c r="M289" t="inlineStr">
        <is>
          <t>Full-Time</t>
        </is>
      </c>
      <c r="N289" t="inlineStr">
        <is>
          <t>Senior Software Engineer</t>
        </is>
      </c>
      <c r="O289" t="inlineStr">
        <is>
          <t>E3</t>
        </is>
      </c>
      <c r="P289" t="inlineStr">
        <is>
          <t>Senior Software Engineer</t>
        </is>
      </c>
      <c r="Q289" t="inlineStr">
        <is>
          <t>Anil Kumar Khamari (1013201)</t>
        </is>
      </c>
      <c r="R289" t="n">
        <v>4</v>
      </c>
      <c r="S289" s="1" t="n">
        <v>250000</v>
      </c>
      <c r="T289" s="1">
        <f>ROUND(T_EMPLOYEES[[#This Row],[EMP_CTC1]]/12, 0)</f>
        <v/>
      </c>
      <c r="U289" s="1" t="n">
        <v>150000</v>
      </c>
      <c r="V289" s="1" t="inlineStr">
        <is>
          <t>NH</t>
        </is>
      </c>
      <c r="W289" s="1" t="inlineStr">
        <is>
          <t>NH</t>
        </is>
      </c>
      <c r="X28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89" t="n">
        <v>100000</v>
      </c>
      <c r="Z289" s="29">
        <f>(S289 - U289)/S289 * 100</f>
        <v/>
      </c>
      <c r="AA289">
        <f>IF(T_EMPLOYEES[[#This Row],[EMPLOYEE NUMBER]]="","",ROW(T_EMPLOYEES[[#This Row],[EMPLOYEE LABEL]])-ROW(T_EMPLOYEES[[#Headers],[EMPLOYEE LABEL]]))</f>
        <v/>
      </c>
      <c r="AB289">
        <f>IF(T_EMPLOYEES[[#This Row],[EMPLOYEE NUMBER]]="","",IF(COUNTIF(T_EMPLOYEES[EMPLOYEE NUMBER],T_EMPLOYEES[[#This Row],[EMPLOYEE NUMBER]])&gt;1,1,0))</f>
        <v/>
      </c>
      <c r="AC289">
        <f>IF(T_EMPLOYEES[[#This Row],[EMPLOYEE NUMBER]]="","",IF(AND(T_EMPLOYEES[[#This Row],[DATE OF BIRTH]]&gt;0,T_EMPLOYEES[[#This Row],[DATE OF BIRTH]]&lt;TODAY()),0,1))</f>
        <v/>
      </c>
      <c r="AD289">
        <f>IF(T_EMPLOYEES[[#This Row],[EMPLOYEE NUMBER]]="","",IF(AND(T_EMPLOYEES[[#This Row],[START DATE]]&gt;0,T_EMPLOYEES[[#This Row],[START DATE]]&lt;TODAY()+60),0,1))</f>
        <v/>
      </c>
      <c r="AE289">
        <f>IF(T_EMPLOYEES[[#This Row],[EMPLOYEE NUMBER]]="","",MATCH(T_EMPLOYEES[[#This Row],[GENDER]],L_GENDER,0))</f>
        <v/>
      </c>
      <c r="AF289">
        <f>IF(T_EMPLOYEES[[#This Row],[EMPLOYEE NUMBER]]="","",MATCH(T_EMPLOYEES[[#This Row],[HIRE SOURCE]],L_HIRESOURCE,0))</f>
        <v/>
      </c>
      <c r="AG289">
        <f>IF(T_EMPLOYEES[[#This Row],[EMPLOYEE NUMBER]]="","",MATCH(T_EMPLOYEES[[#This Row],[ETHNICITY]],L_ETHNICITY,0))</f>
        <v/>
      </c>
      <c r="AH289">
        <f>IF(T_EMPLOYEES[[#This Row],[EMPLOYEE NUMBER]]="","",MATCH(T_EMPLOYEES[[#This Row],[LOCATION]],L_LOCATION,0))</f>
        <v/>
      </c>
      <c r="AI289">
        <f>IF(T_EMPLOYEES[[#This Row],[EMPLOYEE NUMBER]]="","",MATCH(T_EMPLOYEES[[#This Row],[DEPARTMENT]],L_DEPARTMENT,0))</f>
        <v/>
      </c>
      <c r="AJ289">
        <f>IF(T_EMPLOYEES[[#This Row],[EMPLOYEE NUMBER]]="","",MATCH(T_EMPLOYEES[[#This Row],[JOB TYPE]],L_JOBTYPE,0))</f>
        <v/>
      </c>
      <c r="AK289">
        <f>IF(T_EMPLOYEES[[#This Row],[EMPLOYEE NUMBER]]="","",MATCH(T_EMPLOYEES[[#This Row],[JOB CATEGORY]],L_JOBCATEGORY,0))</f>
        <v/>
      </c>
      <c r="AL289">
        <f>IF(T_EMPLOYEES[[#This Row],[EMPLOYEE NUMBER]]="","",MATCH(T_EMPLOYEES[[#This Row],[JOB LEVEL]],L_JOBLEVEL,0))</f>
        <v/>
      </c>
      <c r="AM289">
        <f>IF(T_EMPLOYEES[[#This Row],[EMPLOYEE NUMBER]]="","",MATCH(T_EMPLOYEES[[#This Row],[JOB TITLE]],L_JOBTITLE,0))</f>
        <v/>
      </c>
      <c r="AN289">
        <f>IF(T_EMPLOYEES[[#This Row],[EMPLOYEE NUMBER]]="","",MATCH(T_EMPLOYEES[[#This Row],[MANAGER]],L_EMPLABELS,0))</f>
        <v/>
      </c>
      <c r="AO289">
        <f>IF(T_EMPLOYEES[[#This Row],[EMPLOYEE NUMBER]]="","",IF(T_EMPLOYEES[[#This Row],[ERROR]]="",0,1))</f>
        <v/>
      </c>
      <c r="AP28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0">
      <c r="A290" t="inlineStr">
        <is>
          <t>Subodh</t>
        </is>
      </c>
      <c r="B290" t="inlineStr">
        <is>
          <t>Sunil Raut</t>
        </is>
      </c>
      <c r="C290" t="n">
        <v>1031041</v>
      </c>
      <c r="D290" t="inlineStr">
        <is>
          <t>Subodh.Raut@infinite.com</t>
        </is>
      </c>
      <c r="E290" s="26" t="n">
        <v>34706</v>
      </c>
      <c r="F290" s="26" t="n">
        <v>44889</v>
      </c>
      <c r="H290" t="inlineStr">
        <is>
          <t>Male</t>
        </is>
      </c>
      <c r="I290" t="inlineStr">
        <is>
          <t>Asian</t>
        </is>
      </c>
      <c r="J290" t="inlineStr">
        <is>
          <t>WEBSITE</t>
        </is>
      </c>
      <c r="K290" t="inlineStr">
        <is>
          <t>Hyderabad</t>
        </is>
      </c>
      <c r="L290" s="27" t="inlineStr">
        <is>
          <t>Core</t>
        </is>
      </c>
      <c r="M290" t="inlineStr">
        <is>
          <t>Full-Time</t>
        </is>
      </c>
      <c r="N290" t="inlineStr">
        <is>
          <t>Associate Software Engineer</t>
        </is>
      </c>
      <c r="O290" t="inlineStr">
        <is>
          <t>E1</t>
        </is>
      </c>
      <c r="P290" t="inlineStr">
        <is>
          <t>Associate Software Engineer</t>
        </is>
      </c>
      <c r="Q290" t="inlineStr">
        <is>
          <t>Anil Kumar Khamari (1013201)</t>
        </is>
      </c>
      <c r="R290" s="27" t="n">
        <v>0</v>
      </c>
      <c r="S290" s="1" t="n">
        <v>250000</v>
      </c>
      <c r="T290" s="1">
        <f>ROUND(T_EMPLOYEES[[#This Row],[EMP_CTC1]]/12, 0)</f>
        <v/>
      </c>
      <c r="U290" s="1" t="n">
        <v>150000</v>
      </c>
      <c r="V290" s="1" t="inlineStr">
        <is>
          <t>NH</t>
        </is>
      </c>
      <c r="W290" s="1" t="inlineStr">
        <is>
          <t>NH</t>
        </is>
      </c>
      <c r="X29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0" t="n">
        <v>100000</v>
      </c>
      <c r="Z290" s="29">
        <f>(S290 - U290)/S290 * 100</f>
        <v/>
      </c>
      <c r="AA290">
        <f>IF(T_EMPLOYEES[[#This Row],[EMPLOYEE NUMBER]]="","",ROW(T_EMPLOYEES[[#This Row],[EMPLOYEE LABEL]])-ROW(T_EMPLOYEES[[#Headers],[EMPLOYEE LABEL]]))</f>
        <v/>
      </c>
      <c r="AB290">
        <f>IF(T_EMPLOYEES[[#This Row],[EMPLOYEE NUMBER]]="","",IF(COUNTIF(T_EMPLOYEES[EMPLOYEE NUMBER],T_EMPLOYEES[[#This Row],[EMPLOYEE NUMBER]])&gt;1,1,0))</f>
        <v/>
      </c>
      <c r="AC290">
        <f>IF(T_EMPLOYEES[[#This Row],[EMPLOYEE NUMBER]]="","",IF(AND(T_EMPLOYEES[[#This Row],[DATE OF BIRTH]]&gt;0,T_EMPLOYEES[[#This Row],[DATE OF BIRTH]]&lt;TODAY()),0,1))</f>
        <v/>
      </c>
      <c r="AD290">
        <f>IF(T_EMPLOYEES[[#This Row],[EMPLOYEE NUMBER]]="","",IF(AND(T_EMPLOYEES[[#This Row],[START DATE]]&gt;0,T_EMPLOYEES[[#This Row],[START DATE]]&lt;TODAY()+60),0,1))</f>
        <v/>
      </c>
      <c r="AE290">
        <f>IF(T_EMPLOYEES[[#This Row],[EMPLOYEE NUMBER]]="","",MATCH(T_EMPLOYEES[[#This Row],[GENDER]],L_GENDER,0))</f>
        <v/>
      </c>
      <c r="AF290">
        <f>IF(T_EMPLOYEES[[#This Row],[EMPLOYEE NUMBER]]="","",MATCH(T_EMPLOYEES[[#This Row],[HIRE SOURCE]],L_HIRESOURCE,0))</f>
        <v/>
      </c>
      <c r="AG290">
        <f>IF(T_EMPLOYEES[[#This Row],[EMPLOYEE NUMBER]]="","",MATCH(T_EMPLOYEES[[#This Row],[ETHNICITY]],L_ETHNICITY,0))</f>
        <v/>
      </c>
      <c r="AH290">
        <f>IF(T_EMPLOYEES[[#This Row],[EMPLOYEE NUMBER]]="","",MATCH(T_EMPLOYEES[[#This Row],[LOCATION]],L_LOCATION,0))</f>
        <v/>
      </c>
      <c r="AI290">
        <f>IF(T_EMPLOYEES[[#This Row],[EMPLOYEE NUMBER]]="","",MATCH(T_EMPLOYEES[[#This Row],[DEPARTMENT]],L_DEPARTMENT,0))</f>
        <v/>
      </c>
      <c r="AJ290">
        <f>IF(T_EMPLOYEES[[#This Row],[EMPLOYEE NUMBER]]="","",MATCH(T_EMPLOYEES[[#This Row],[JOB TYPE]],L_JOBTYPE,0))</f>
        <v/>
      </c>
      <c r="AK290">
        <f>IF(T_EMPLOYEES[[#This Row],[EMPLOYEE NUMBER]]="","",MATCH(T_EMPLOYEES[[#This Row],[JOB CATEGORY]],L_JOBCATEGORY,0))</f>
        <v/>
      </c>
      <c r="AL290">
        <f>IF(T_EMPLOYEES[[#This Row],[EMPLOYEE NUMBER]]="","",MATCH(T_EMPLOYEES[[#This Row],[JOB LEVEL]],L_JOBLEVEL,0))</f>
        <v/>
      </c>
      <c r="AM290">
        <f>IF(T_EMPLOYEES[[#This Row],[EMPLOYEE NUMBER]]="","",MATCH(T_EMPLOYEES[[#This Row],[JOB TITLE]],L_JOBTITLE,0))</f>
        <v/>
      </c>
      <c r="AN290">
        <f>IF(T_EMPLOYEES[[#This Row],[EMPLOYEE NUMBER]]="","",MATCH(T_EMPLOYEES[[#This Row],[MANAGER]],L_EMPLABELS,0))</f>
        <v/>
      </c>
      <c r="AO290">
        <f>IF(T_EMPLOYEES[[#This Row],[EMPLOYEE NUMBER]]="","",IF(T_EMPLOYEES[[#This Row],[ERROR]]="",0,1))</f>
        <v/>
      </c>
      <c r="AP29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1">
      <c r="A291" t="inlineStr">
        <is>
          <t>P</t>
        </is>
      </c>
      <c r="B291" t="inlineStr">
        <is>
          <t>Dharani Kumar</t>
        </is>
      </c>
      <c r="C291" t="n">
        <v>1031859</v>
      </c>
      <c r="D291" t="inlineStr">
        <is>
          <t>Dharani.Kumar@infinite.com</t>
        </is>
      </c>
      <c r="E291" s="26" t="n">
        <v>34717</v>
      </c>
      <c r="F291" s="26" t="n">
        <v>44914</v>
      </c>
      <c r="H291" t="inlineStr">
        <is>
          <t>Male</t>
        </is>
      </c>
      <c r="I291" t="inlineStr">
        <is>
          <t>Asian</t>
        </is>
      </c>
      <c r="J291" t="inlineStr">
        <is>
          <t>WEBSITE</t>
        </is>
      </c>
      <c r="K291" t="inlineStr">
        <is>
          <t>Bangalore</t>
        </is>
      </c>
      <c r="L291" s="27" t="inlineStr">
        <is>
          <t>IT</t>
        </is>
      </c>
      <c r="M291" t="inlineStr">
        <is>
          <t>Full-Time</t>
        </is>
      </c>
      <c r="N291" t="inlineStr">
        <is>
          <t>Software Engineer</t>
        </is>
      </c>
      <c r="O291" t="inlineStr">
        <is>
          <t>E2</t>
        </is>
      </c>
      <c r="P291" t="inlineStr">
        <is>
          <t>Software Engineer</t>
        </is>
      </c>
      <c r="Q291" t="inlineStr">
        <is>
          <t>Prabhakar Janardhanam (1031867)</t>
        </is>
      </c>
      <c r="R291" t="n">
        <v>4</v>
      </c>
      <c r="S291" s="1" t="n">
        <v>250000</v>
      </c>
      <c r="T291" s="1">
        <f>ROUND(T_EMPLOYEES[[#This Row],[EMP_CTC1]]/12, 0)</f>
        <v/>
      </c>
      <c r="U291" s="1" t="n">
        <v>150000</v>
      </c>
      <c r="V291" s="1" t="inlineStr">
        <is>
          <t>NH</t>
        </is>
      </c>
      <c r="W291" s="1" t="inlineStr">
        <is>
          <t>NH</t>
        </is>
      </c>
      <c r="X29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1" t="n">
        <v>100000</v>
      </c>
      <c r="Z291" s="29">
        <f>(S291 - U291)/S291 * 100</f>
        <v/>
      </c>
      <c r="AA291">
        <f>IF(T_EMPLOYEES[[#This Row],[EMPLOYEE NUMBER]]="","",ROW(T_EMPLOYEES[[#This Row],[EMPLOYEE LABEL]])-ROW(T_EMPLOYEES[[#Headers],[EMPLOYEE LABEL]]))</f>
        <v/>
      </c>
      <c r="AB291">
        <f>IF(T_EMPLOYEES[[#This Row],[EMPLOYEE NUMBER]]="","",IF(COUNTIF(T_EMPLOYEES[EMPLOYEE NUMBER],T_EMPLOYEES[[#This Row],[EMPLOYEE NUMBER]])&gt;1,1,0))</f>
        <v/>
      </c>
      <c r="AC291">
        <f>IF(T_EMPLOYEES[[#This Row],[EMPLOYEE NUMBER]]="","",IF(AND(T_EMPLOYEES[[#This Row],[DATE OF BIRTH]]&gt;0,T_EMPLOYEES[[#This Row],[DATE OF BIRTH]]&lt;TODAY()),0,1))</f>
        <v/>
      </c>
      <c r="AD291">
        <f>IF(T_EMPLOYEES[[#This Row],[EMPLOYEE NUMBER]]="","",IF(AND(T_EMPLOYEES[[#This Row],[START DATE]]&gt;0,T_EMPLOYEES[[#This Row],[START DATE]]&lt;TODAY()+60),0,1))</f>
        <v/>
      </c>
      <c r="AE291">
        <f>IF(T_EMPLOYEES[[#This Row],[EMPLOYEE NUMBER]]="","",MATCH(T_EMPLOYEES[[#This Row],[GENDER]],L_GENDER,0))</f>
        <v/>
      </c>
      <c r="AF291">
        <f>IF(T_EMPLOYEES[[#This Row],[EMPLOYEE NUMBER]]="","",MATCH(T_EMPLOYEES[[#This Row],[HIRE SOURCE]],L_HIRESOURCE,0))</f>
        <v/>
      </c>
      <c r="AG291">
        <f>IF(T_EMPLOYEES[[#This Row],[EMPLOYEE NUMBER]]="","",MATCH(T_EMPLOYEES[[#This Row],[ETHNICITY]],L_ETHNICITY,0))</f>
        <v/>
      </c>
      <c r="AH291">
        <f>IF(T_EMPLOYEES[[#This Row],[EMPLOYEE NUMBER]]="","",MATCH(T_EMPLOYEES[[#This Row],[LOCATION]],L_LOCATION,0))</f>
        <v/>
      </c>
      <c r="AI291">
        <f>IF(T_EMPLOYEES[[#This Row],[EMPLOYEE NUMBER]]="","",MATCH(T_EMPLOYEES[[#This Row],[DEPARTMENT]],L_DEPARTMENT,0))</f>
        <v/>
      </c>
      <c r="AJ291">
        <f>IF(T_EMPLOYEES[[#This Row],[EMPLOYEE NUMBER]]="","",MATCH(T_EMPLOYEES[[#This Row],[JOB TYPE]],L_JOBTYPE,0))</f>
        <v/>
      </c>
      <c r="AK291">
        <f>IF(T_EMPLOYEES[[#This Row],[EMPLOYEE NUMBER]]="","",MATCH(T_EMPLOYEES[[#This Row],[JOB CATEGORY]],L_JOBCATEGORY,0))</f>
        <v/>
      </c>
      <c r="AL291">
        <f>IF(T_EMPLOYEES[[#This Row],[EMPLOYEE NUMBER]]="","",MATCH(T_EMPLOYEES[[#This Row],[JOB LEVEL]],L_JOBLEVEL,0))</f>
        <v/>
      </c>
      <c r="AM291">
        <f>IF(T_EMPLOYEES[[#This Row],[EMPLOYEE NUMBER]]="","",MATCH(T_EMPLOYEES[[#This Row],[JOB TITLE]],L_JOBTITLE,0))</f>
        <v/>
      </c>
      <c r="AN291">
        <f>IF(T_EMPLOYEES[[#This Row],[EMPLOYEE NUMBER]]="","",MATCH(T_EMPLOYEES[[#This Row],[MANAGER]],L_EMPLABELS,0))</f>
        <v/>
      </c>
      <c r="AO291">
        <f>IF(T_EMPLOYEES[[#This Row],[EMPLOYEE NUMBER]]="","",IF(T_EMPLOYEES[[#This Row],[ERROR]]="",0,1))</f>
        <v/>
      </c>
      <c r="AP29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91" t="inlineStr">
        <is>
          <t>County billing</t>
        </is>
      </c>
    </row>
    <row r="292">
      <c r="A292" t="inlineStr">
        <is>
          <t>Rutuja</t>
        </is>
      </c>
      <c r="B292" t="inlineStr">
        <is>
          <t>Sanjay Harne</t>
        </is>
      </c>
      <c r="C292" t="n">
        <v>1028400</v>
      </c>
      <c r="D292" t="inlineStr">
        <is>
          <t>Rutuja.Harne@infinite.com</t>
        </is>
      </c>
      <c r="E292" s="26" t="n">
        <v>34722</v>
      </c>
      <c r="F292" s="26" t="n">
        <v>44613</v>
      </c>
      <c r="H292" t="inlineStr">
        <is>
          <t>Female</t>
        </is>
      </c>
      <c r="I292" t="inlineStr">
        <is>
          <t>Asian</t>
        </is>
      </c>
      <c r="J292" t="inlineStr">
        <is>
          <t>WEBSITE</t>
        </is>
      </c>
      <c r="K292" t="inlineStr">
        <is>
          <t>Bangalore</t>
        </is>
      </c>
      <c r="L292" s="27" t="inlineStr">
        <is>
          <t>IT</t>
        </is>
      </c>
      <c r="M292" t="inlineStr">
        <is>
          <t>Full-Time</t>
        </is>
      </c>
      <c r="N292" t="inlineStr">
        <is>
          <t>Software Engineer</t>
        </is>
      </c>
      <c r="O292" t="inlineStr">
        <is>
          <t>E2</t>
        </is>
      </c>
      <c r="P292" t="inlineStr">
        <is>
          <t>Software Engineer</t>
        </is>
      </c>
      <c r="Q292" t="inlineStr">
        <is>
          <t>Arnav  Chattopadhyay (1025126)</t>
        </is>
      </c>
      <c r="R292" s="27" t="n">
        <v>4</v>
      </c>
      <c r="S292" s="1" t="n">
        <v>250000</v>
      </c>
      <c r="T292" s="1">
        <f>ROUND(T_EMPLOYEES[[#This Row],[EMP_CTC1]]/12, 0)</f>
        <v/>
      </c>
      <c r="U292" s="1" t="n">
        <v>150000</v>
      </c>
      <c r="V292" s="1" t="inlineStr">
        <is>
          <t>NH</t>
        </is>
      </c>
      <c r="W292" s="1" t="inlineStr">
        <is>
          <t>NH</t>
        </is>
      </c>
      <c r="X29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2" t="n">
        <v>100000</v>
      </c>
      <c r="Z292" s="29">
        <f>(S292 - U292)/S292 * 100</f>
        <v/>
      </c>
      <c r="AA292">
        <f>IF(T_EMPLOYEES[[#This Row],[EMPLOYEE NUMBER]]="","",ROW(T_EMPLOYEES[[#This Row],[EMPLOYEE LABEL]])-ROW(T_EMPLOYEES[[#Headers],[EMPLOYEE LABEL]]))</f>
        <v/>
      </c>
      <c r="AB292">
        <f>IF(T_EMPLOYEES[[#This Row],[EMPLOYEE NUMBER]]="","",IF(COUNTIF(T_EMPLOYEES[EMPLOYEE NUMBER],T_EMPLOYEES[[#This Row],[EMPLOYEE NUMBER]])&gt;1,1,0))</f>
        <v/>
      </c>
      <c r="AC292">
        <f>IF(T_EMPLOYEES[[#This Row],[EMPLOYEE NUMBER]]="","",IF(AND(T_EMPLOYEES[[#This Row],[DATE OF BIRTH]]&gt;0,T_EMPLOYEES[[#This Row],[DATE OF BIRTH]]&lt;TODAY()),0,1))</f>
        <v/>
      </c>
      <c r="AD292">
        <f>IF(T_EMPLOYEES[[#This Row],[EMPLOYEE NUMBER]]="","",IF(AND(T_EMPLOYEES[[#This Row],[START DATE]]&gt;0,T_EMPLOYEES[[#This Row],[START DATE]]&lt;TODAY()+60),0,1))</f>
        <v/>
      </c>
      <c r="AE292">
        <f>IF(T_EMPLOYEES[[#This Row],[EMPLOYEE NUMBER]]="","",MATCH(T_EMPLOYEES[[#This Row],[GENDER]],L_GENDER,0))</f>
        <v/>
      </c>
      <c r="AF292">
        <f>IF(T_EMPLOYEES[[#This Row],[EMPLOYEE NUMBER]]="","",MATCH(T_EMPLOYEES[[#This Row],[HIRE SOURCE]],L_HIRESOURCE,0))</f>
        <v/>
      </c>
      <c r="AG292">
        <f>IF(T_EMPLOYEES[[#This Row],[EMPLOYEE NUMBER]]="","",MATCH(T_EMPLOYEES[[#This Row],[ETHNICITY]],L_ETHNICITY,0))</f>
        <v/>
      </c>
      <c r="AH292">
        <f>IF(T_EMPLOYEES[[#This Row],[EMPLOYEE NUMBER]]="","",MATCH(T_EMPLOYEES[[#This Row],[LOCATION]],L_LOCATION,0))</f>
        <v/>
      </c>
      <c r="AI292">
        <f>IF(T_EMPLOYEES[[#This Row],[EMPLOYEE NUMBER]]="","",MATCH(T_EMPLOYEES[[#This Row],[DEPARTMENT]],L_DEPARTMENT,0))</f>
        <v/>
      </c>
      <c r="AJ292">
        <f>IF(T_EMPLOYEES[[#This Row],[EMPLOYEE NUMBER]]="","",MATCH(T_EMPLOYEES[[#This Row],[JOB TYPE]],L_JOBTYPE,0))</f>
        <v/>
      </c>
      <c r="AK292">
        <f>IF(T_EMPLOYEES[[#This Row],[EMPLOYEE NUMBER]]="","",MATCH(T_EMPLOYEES[[#This Row],[JOB CATEGORY]],L_JOBCATEGORY,0))</f>
        <v/>
      </c>
      <c r="AL292">
        <f>IF(T_EMPLOYEES[[#This Row],[EMPLOYEE NUMBER]]="","",MATCH(T_EMPLOYEES[[#This Row],[JOB LEVEL]],L_JOBLEVEL,0))</f>
        <v/>
      </c>
      <c r="AM292">
        <f>IF(T_EMPLOYEES[[#This Row],[EMPLOYEE NUMBER]]="","",MATCH(T_EMPLOYEES[[#This Row],[JOB TITLE]],L_JOBTITLE,0))</f>
        <v/>
      </c>
      <c r="AN292">
        <f>IF(T_EMPLOYEES[[#This Row],[EMPLOYEE NUMBER]]="","",MATCH(T_EMPLOYEES[[#This Row],[MANAGER]],L_EMPLABELS,0))</f>
        <v/>
      </c>
      <c r="AO292">
        <f>IF(T_EMPLOYEES[[#This Row],[EMPLOYEE NUMBER]]="","",IF(T_EMPLOYEES[[#This Row],[ERROR]]="",0,1))</f>
        <v/>
      </c>
      <c r="AP29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92" t="inlineStr">
        <is>
          <t>Claims Payment</t>
        </is>
      </c>
    </row>
    <row r="293">
      <c r="A293" t="inlineStr">
        <is>
          <t>Nikhil</t>
        </is>
      </c>
      <c r="B293" t="inlineStr">
        <is>
          <t>Balaji Agwane</t>
        </is>
      </c>
      <c r="C293" t="n">
        <v>1031086</v>
      </c>
      <c r="D293" t="inlineStr">
        <is>
          <t>Nikhil.Agwane@infinite.com</t>
        </is>
      </c>
      <c r="E293" s="26" t="n">
        <v>34725</v>
      </c>
      <c r="F293" s="26" t="n">
        <v>44889</v>
      </c>
      <c r="H293" t="inlineStr">
        <is>
          <t>Male</t>
        </is>
      </c>
      <c r="I293" t="inlineStr">
        <is>
          <t>Asian</t>
        </is>
      </c>
      <c r="J293" t="inlineStr">
        <is>
          <t>WEBSITE</t>
        </is>
      </c>
      <c r="K293" t="inlineStr">
        <is>
          <t>Hyderabad</t>
        </is>
      </c>
      <c r="L293" s="27" t="inlineStr">
        <is>
          <t>Core</t>
        </is>
      </c>
      <c r="M293" t="inlineStr">
        <is>
          <t>Full-Time</t>
        </is>
      </c>
      <c r="N293" t="inlineStr">
        <is>
          <t>Associate Software Engineer</t>
        </is>
      </c>
      <c r="O293" t="inlineStr">
        <is>
          <t>E1</t>
        </is>
      </c>
      <c r="P293" t="inlineStr">
        <is>
          <t>Associate Software Engineer</t>
        </is>
      </c>
      <c r="Q293" t="inlineStr">
        <is>
          <t>Kishore Kumar N (1019765)</t>
        </is>
      </c>
      <c r="R293" t="n">
        <v>0</v>
      </c>
      <c r="S293" s="1" t="n">
        <v>250000</v>
      </c>
      <c r="T293" s="1">
        <f>ROUND(T_EMPLOYEES[[#This Row],[EMP_CTC1]]/12, 0)</f>
        <v/>
      </c>
      <c r="U293" s="1" t="n">
        <v>150000</v>
      </c>
      <c r="V293" s="1" t="inlineStr">
        <is>
          <t>NH</t>
        </is>
      </c>
      <c r="W293" s="1" t="inlineStr">
        <is>
          <t>NH</t>
        </is>
      </c>
      <c r="X29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3" t="n">
        <v>120000</v>
      </c>
      <c r="Z293" s="29">
        <f>(S293 - U293)/S293 * 100</f>
        <v/>
      </c>
      <c r="AA293">
        <f>IF(T_EMPLOYEES[[#This Row],[EMPLOYEE NUMBER]]="","",ROW(T_EMPLOYEES[[#This Row],[EMPLOYEE LABEL]])-ROW(T_EMPLOYEES[[#Headers],[EMPLOYEE LABEL]]))</f>
        <v/>
      </c>
      <c r="AB293">
        <f>IF(T_EMPLOYEES[[#This Row],[EMPLOYEE NUMBER]]="","",IF(COUNTIF(T_EMPLOYEES[EMPLOYEE NUMBER],T_EMPLOYEES[[#This Row],[EMPLOYEE NUMBER]])&gt;1,1,0))</f>
        <v/>
      </c>
      <c r="AC293">
        <f>IF(T_EMPLOYEES[[#This Row],[EMPLOYEE NUMBER]]="","",IF(AND(T_EMPLOYEES[[#This Row],[DATE OF BIRTH]]&gt;0,T_EMPLOYEES[[#This Row],[DATE OF BIRTH]]&lt;TODAY()),0,1))</f>
        <v/>
      </c>
      <c r="AD293">
        <f>IF(T_EMPLOYEES[[#This Row],[EMPLOYEE NUMBER]]="","",IF(AND(T_EMPLOYEES[[#This Row],[START DATE]]&gt;0,T_EMPLOYEES[[#This Row],[START DATE]]&lt;TODAY()+60),0,1))</f>
        <v/>
      </c>
      <c r="AE293">
        <f>IF(T_EMPLOYEES[[#This Row],[EMPLOYEE NUMBER]]="","",MATCH(T_EMPLOYEES[[#This Row],[GENDER]],L_GENDER,0))</f>
        <v/>
      </c>
      <c r="AF293">
        <f>IF(T_EMPLOYEES[[#This Row],[EMPLOYEE NUMBER]]="","",MATCH(T_EMPLOYEES[[#This Row],[HIRE SOURCE]],L_HIRESOURCE,0))</f>
        <v/>
      </c>
      <c r="AG293">
        <f>IF(T_EMPLOYEES[[#This Row],[EMPLOYEE NUMBER]]="","",MATCH(T_EMPLOYEES[[#This Row],[ETHNICITY]],L_ETHNICITY,0))</f>
        <v/>
      </c>
      <c r="AH293">
        <f>IF(T_EMPLOYEES[[#This Row],[EMPLOYEE NUMBER]]="","",MATCH(T_EMPLOYEES[[#This Row],[LOCATION]],L_LOCATION,0))</f>
        <v/>
      </c>
      <c r="AI293">
        <f>IF(T_EMPLOYEES[[#This Row],[EMPLOYEE NUMBER]]="","",MATCH(T_EMPLOYEES[[#This Row],[DEPARTMENT]],L_DEPARTMENT,0))</f>
        <v/>
      </c>
      <c r="AJ293">
        <f>IF(T_EMPLOYEES[[#This Row],[EMPLOYEE NUMBER]]="","",MATCH(T_EMPLOYEES[[#This Row],[JOB TYPE]],L_JOBTYPE,0))</f>
        <v/>
      </c>
      <c r="AK293">
        <f>IF(T_EMPLOYEES[[#This Row],[EMPLOYEE NUMBER]]="","",MATCH(T_EMPLOYEES[[#This Row],[JOB CATEGORY]],L_JOBCATEGORY,0))</f>
        <v/>
      </c>
      <c r="AL293">
        <f>IF(T_EMPLOYEES[[#This Row],[EMPLOYEE NUMBER]]="","",MATCH(T_EMPLOYEES[[#This Row],[JOB LEVEL]],L_JOBLEVEL,0))</f>
        <v/>
      </c>
      <c r="AM293">
        <f>IF(T_EMPLOYEES[[#This Row],[EMPLOYEE NUMBER]]="","",MATCH(T_EMPLOYEES[[#This Row],[JOB TITLE]],L_JOBTITLE,0))</f>
        <v/>
      </c>
      <c r="AN293">
        <f>IF(T_EMPLOYEES[[#This Row],[EMPLOYEE NUMBER]]="","",MATCH(T_EMPLOYEES[[#This Row],[MANAGER]],L_EMPLABELS,0))</f>
        <v/>
      </c>
      <c r="AO293">
        <f>IF(T_EMPLOYEES[[#This Row],[EMPLOYEE NUMBER]]="","",IF(T_EMPLOYEES[[#This Row],[ERROR]]="",0,1))</f>
        <v/>
      </c>
      <c r="AP29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4">
      <c r="A294" t="inlineStr">
        <is>
          <t>Sanjith</t>
        </is>
      </c>
      <c r="B294" t="inlineStr">
        <is>
          <t>Mohan</t>
        </is>
      </c>
      <c r="C294" t="n">
        <v>1026347</v>
      </c>
      <c r="D294" t="inlineStr">
        <is>
          <t>Sanjith.Mohan@infinite.com</t>
        </is>
      </c>
      <c r="E294" s="26" t="n">
        <v>34733</v>
      </c>
      <c r="F294" s="26" t="n">
        <v>44445</v>
      </c>
      <c r="H294" t="inlineStr">
        <is>
          <t>Male</t>
        </is>
      </c>
      <c r="I294" t="inlineStr">
        <is>
          <t>Asian</t>
        </is>
      </c>
      <c r="J294" t="inlineStr">
        <is>
          <t>WEBSITE</t>
        </is>
      </c>
      <c r="K294" t="inlineStr">
        <is>
          <t>Hyderabad</t>
        </is>
      </c>
      <c r="L294" s="27" t="inlineStr">
        <is>
          <t>IT</t>
        </is>
      </c>
      <c r="M294" t="inlineStr">
        <is>
          <t>Full-Time</t>
        </is>
      </c>
      <c r="N294" t="inlineStr">
        <is>
          <t>Support Engineer</t>
        </is>
      </c>
      <c r="O294" t="inlineStr">
        <is>
          <t>E2</t>
        </is>
      </c>
      <c r="P294" t="inlineStr">
        <is>
          <t>Support Engineer</t>
        </is>
      </c>
      <c r="Q294" t="inlineStr">
        <is>
          <t>Neha  Rajput (1020112)</t>
        </is>
      </c>
      <c r="R294" s="27" t="n">
        <v>4</v>
      </c>
      <c r="S294" s="1" t="n">
        <v>250000</v>
      </c>
      <c r="T294" s="1">
        <f>ROUND(T_EMPLOYEES[[#This Row],[EMP_CTC1]]/12, 0)</f>
        <v/>
      </c>
      <c r="U294" s="1" t="n">
        <v>150000</v>
      </c>
      <c r="V294" s="1" t="inlineStr">
        <is>
          <t>NH</t>
        </is>
      </c>
      <c r="W294" s="1" t="inlineStr">
        <is>
          <t>NH</t>
        </is>
      </c>
      <c r="X29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4" t="n">
        <v>120000</v>
      </c>
      <c r="Z294" s="29">
        <f>(S294 - U294)/S294 * 100</f>
        <v/>
      </c>
      <c r="AA294">
        <f>IF(T_EMPLOYEES[[#This Row],[EMPLOYEE NUMBER]]="","",ROW(T_EMPLOYEES[[#This Row],[EMPLOYEE LABEL]])-ROW(T_EMPLOYEES[[#Headers],[EMPLOYEE LABEL]]))</f>
        <v/>
      </c>
      <c r="AB294">
        <f>IF(T_EMPLOYEES[[#This Row],[EMPLOYEE NUMBER]]="","",IF(COUNTIF(T_EMPLOYEES[EMPLOYEE NUMBER],T_EMPLOYEES[[#This Row],[EMPLOYEE NUMBER]])&gt;1,1,0))</f>
        <v/>
      </c>
      <c r="AC294">
        <f>IF(T_EMPLOYEES[[#This Row],[EMPLOYEE NUMBER]]="","",IF(AND(T_EMPLOYEES[[#This Row],[DATE OF BIRTH]]&gt;0,T_EMPLOYEES[[#This Row],[DATE OF BIRTH]]&lt;TODAY()),0,1))</f>
        <v/>
      </c>
      <c r="AD294">
        <f>IF(T_EMPLOYEES[[#This Row],[EMPLOYEE NUMBER]]="","",IF(AND(T_EMPLOYEES[[#This Row],[START DATE]]&gt;0,T_EMPLOYEES[[#This Row],[START DATE]]&lt;TODAY()+60),0,1))</f>
        <v/>
      </c>
      <c r="AE294">
        <f>IF(T_EMPLOYEES[[#This Row],[EMPLOYEE NUMBER]]="","",MATCH(T_EMPLOYEES[[#This Row],[GENDER]],L_GENDER,0))</f>
        <v/>
      </c>
      <c r="AF294">
        <f>IF(T_EMPLOYEES[[#This Row],[EMPLOYEE NUMBER]]="","",MATCH(T_EMPLOYEES[[#This Row],[HIRE SOURCE]],L_HIRESOURCE,0))</f>
        <v/>
      </c>
      <c r="AG294">
        <f>IF(T_EMPLOYEES[[#This Row],[EMPLOYEE NUMBER]]="","",MATCH(T_EMPLOYEES[[#This Row],[ETHNICITY]],L_ETHNICITY,0))</f>
        <v/>
      </c>
      <c r="AH294">
        <f>IF(T_EMPLOYEES[[#This Row],[EMPLOYEE NUMBER]]="","",MATCH(T_EMPLOYEES[[#This Row],[LOCATION]],L_LOCATION,0))</f>
        <v/>
      </c>
      <c r="AI294">
        <f>IF(T_EMPLOYEES[[#This Row],[EMPLOYEE NUMBER]]="","",MATCH(T_EMPLOYEES[[#This Row],[DEPARTMENT]],L_DEPARTMENT,0))</f>
        <v/>
      </c>
      <c r="AJ294">
        <f>IF(T_EMPLOYEES[[#This Row],[EMPLOYEE NUMBER]]="","",MATCH(T_EMPLOYEES[[#This Row],[JOB TYPE]],L_JOBTYPE,0))</f>
        <v/>
      </c>
      <c r="AK294">
        <f>IF(T_EMPLOYEES[[#This Row],[EMPLOYEE NUMBER]]="","",MATCH(T_EMPLOYEES[[#This Row],[JOB CATEGORY]],L_JOBCATEGORY,0))</f>
        <v/>
      </c>
      <c r="AL294">
        <f>IF(T_EMPLOYEES[[#This Row],[EMPLOYEE NUMBER]]="","",MATCH(T_EMPLOYEES[[#This Row],[JOB LEVEL]],L_JOBLEVEL,0))</f>
        <v/>
      </c>
      <c r="AM294">
        <f>IF(T_EMPLOYEES[[#This Row],[EMPLOYEE NUMBER]]="","",MATCH(T_EMPLOYEES[[#This Row],[JOB TITLE]],L_JOBTITLE,0))</f>
        <v/>
      </c>
      <c r="AN294">
        <f>IF(T_EMPLOYEES[[#This Row],[EMPLOYEE NUMBER]]="","",MATCH(T_EMPLOYEES[[#This Row],[MANAGER]],L_EMPLABELS,0))</f>
        <v/>
      </c>
      <c r="AO294">
        <f>IF(T_EMPLOYEES[[#This Row],[EMPLOYEE NUMBER]]="","",IF(T_EMPLOYEES[[#This Row],[ERROR]]="",0,1))</f>
        <v/>
      </c>
      <c r="AP29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5">
      <c r="A295" t="inlineStr">
        <is>
          <t>YOGITA</t>
        </is>
      </c>
      <c r="B295" t="inlineStr">
        <is>
          <t>RAJENDRA BHOSALE</t>
        </is>
      </c>
      <c r="C295" t="n">
        <v>1031089</v>
      </c>
      <c r="D295" t="inlineStr">
        <is>
          <t>Yogita.Bhosale@infinite.com</t>
        </is>
      </c>
      <c r="E295" s="26" t="n">
        <v>34738</v>
      </c>
      <c r="F295" s="26" t="n">
        <v>44889</v>
      </c>
      <c r="H295" t="inlineStr">
        <is>
          <t>Female</t>
        </is>
      </c>
      <c r="I295" t="inlineStr">
        <is>
          <t>Asian</t>
        </is>
      </c>
      <c r="J295" t="inlineStr">
        <is>
          <t>WEBSITE</t>
        </is>
      </c>
      <c r="K295" t="inlineStr">
        <is>
          <t>Bangalore</t>
        </is>
      </c>
      <c r="L295" s="27" t="inlineStr">
        <is>
          <t>Core</t>
        </is>
      </c>
      <c r="M295" t="inlineStr">
        <is>
          <t>Full-Time</t>
        </is>
      </c>
      <c r="N295" t="inlineStr">
        <is>
          <t>Associate Software Engineer</t>
        </is>
      </c>
      <c r="O295" t="inlineStr">
        <is>
          <t>E1</t>
        </is>
      </c>
      <c r="P295" t="inlineStr">
        <is>
          <t>Associate Software Engineer</t>
        </is>
      </c>
      <c r="Q295" t="inlineStr">
        <is>
          <t>Kishore Kumar N (1019765)</t>
        </is>
      </c>
      <c r="R295" t="n">
        <v>0</v>
      </c>
      <c r="S295" s="1" t="n">
        <v>250000</v>
      </c>
      <c r="T295" s="1">
        <f>ROUND(T_EMPLOYEES[[#This Row],[EMP_CTC1]]/12, 0)</f>
        <v/>
      </c>
      <c r="U295" s="1" t="n">
        <v>150000</v>
      </c>
      <c r="V295" s="1" t="inlineStr">
        <is>
          <t>NH</t>
        </is>
      </c>
      <c r="W295" s="1" t="inlineStr">
        <is>
          <t>NH</t>
        </is>
      </c>
      <c r="X29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5" t="n">
        <v>120000</v>
      </c>
      <c r="Z295" s="29">
        <f>(S295 - U295)/S295 * 100</f>
        <v/>
      </c>
      <c r="AA295">
        <f>IF(T_EMPLOYEES[[#This Row],[EMPLOYEE NUMBER]]="","",ROW(T_EMPLOYEES[[#This Row],[EMPLOYEE LABEL]])-ROW(T_EMPLOYEES[[#Headers],[EMPLOYEE LABEL]]))</f>
        <v/>
      </c>
      <c r="AB295">
        <f>IF(T_EMPLOYEES[[#This Row],[EMPLOYEE NUMBER]]="","",IF(COUNTIF(T_EMPLOYEES[EMPLOYEE NUMBER],T_EMPLOYEES[[#This Row],[EMPLOYEE NUMBER]])&gt;1,1,0))</f>
        <v/>
      </c>
      <c r="AC295">
        <f>IF(T_EMPLOYEES[[#This Row],[EMPLOYEE NUMBER]]="","",IF(AND(T_EMPLOYEES[[#This Row],[DATE OF BIRTH]]&gt;0,T_EMPLOYEES[[#This Row],[DATE OF BIRTH]]&lt;TODAY()),0,1))</f>
        <v/>
      </c>
      <c r="AD295">
        <f>IF(T_EMPLOYEES[[#This Row],[EMPLOYEE NUMBER]]="","",IF(AND(T_EMPLOYEES[[#This Row],[START DATE]]&gt;0,T_EMPLOYEES[[#This Row],[START DATE]]&lt;TODAY()+60),0,1))</f>
        <v/>
      </c>
      <c r="AE295">
        <f>IF(T_EMPLOYEES[[#This Row],[EMPLOYEE NUMBER]]="","",MATCH(T_EMPLOYEES[[#This Row],[GENDER]],L_GENDER,0))</f>
        <v/>
      </c>
      <c r="AF295">
        <f>IF(T_EMPLOYEES[[#This Row],[EMPLOYEE NUMBER]]="","",MATCH(T_EMPLOYEES[[#This Row],[HIRE SOURCE]],L_HIRESOURCE,0))</f>
        <v/>
      </c>
      <c r="AG295">
        <f>IF(T_EMPLOYEES[[#This Row],[EMPLOYEE NUMBER]]="","",MATCH(T_EMPLOYEES[[#This Row],[ETHNICITY]],L_ETHNICITY,0))</f>
        <v/>
      </c>
      <c r="AH295">
        <f>IF(T_EMPLOYEES[[#This Row],[EMPLOYEE NUMBER]]="","",MATCH(T_EMPLOYEES[[#This Row],[LOCATION]],L_LOCATION,0))</f>
        <v/>
      </c>
      <c r="AI295">
        <f>IF(T_EMPLOYEES[[#This Row],[EMPLOYEE NUMBER]]="","",MATCH(T_EMPLOYEES[[#This Row],[DEPARTMENT]],L_DEPARTMENT,0))</f>
        <v/>
      </c>
      <c r="AJ295">
        <f>IF(T_EMPLOYEES[[#This Row],[EMPLOYEE NUMBER]]="","",MATCH(T_EMPLOYEES[[#This Row],[JOB TYPE]],L_JOBTYPE,0))</f>
        <v/>
      </c>
      <c r="AK295">
        <f>IF(T_EMPLOYEES[[#This Row],[EMPLOYEE NUMBER]]="","",MATCH(T_EMPLOYEES[[#This Row],[JOB CATEGORY]],L_JOBCATEGORY,0))</f>
        <v/>
      </c>
      <c r="AL295">
        <f>IF(T_EMPLOYEES[[#This Row],[EMPLOYEE NUMBER]]="","",MATCH(T_EMPLOYEES[[#This Row],[JOB LEVEL]],L_JOBLEVEL,0))</f>
        <v/>
      </c>
      <c r="AM295">
        <f>IF(T_EMPLOYEES[[#This Row],[EMPLOYEE NUMBER]]="","",MATCH(T_EMPLOYEES[[#This Row],[JOB TITLE]],L_JOBTITLE,0))</f>
        <v/>
      </c>
      <c r="AN295">
        <f>IF(T_EMPLOYEES[[#This Row],[EMPLOYEE NUMBER]]="","",MATCH(T_EMPLOYEES[[#This Row],[MANAGER]],L_EMPLABELS,0))</f>
        <v/>
      </c>
      <c r="AO295">
        <f>IF(T_EMPLOYEES[[#This Row],[EMPLOYEE NUMBER]]="","",IF(T_EMPLOYEES[[#This Row],[ERROR]]="",0,1))</f>
        <v/>
      </c>
      <c r="AP29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6">
      <c r="A296" t="inlineStr">
        <is>
          <t>Nitin</t>
        </is>
      </c>
      <c r="B296" t="inlineStr">
        <is>
          <t>Sumant Hubli</t>
        </is>
      </c>
      <c r="C296" t="n">
        <v>1033364</v>
      </c>
      <c r="D296" t="inlineStr">
        <is>
          <t>Nitin.Hubli@infinite.com</t>
        </is>
      </c>
      <c r="E296" s="26" t="n">
        <v>34744</v>
      </c>
      <c r="F296" s="26" t="n">
        <v>45161</v>
      </c>
      <c r="H296" t="inlineStr">
        <is>
          <t>Male</t>
        </is>
      </c>
      <c r="I296" t="inlineStr">
        <is>
          <t>Asian</t>
        </is>
      </c>
      <c r="J296" t="inlineStr">
        <is>
          <t>WEBSITE</t>
        </is>
      </c>
      <c r="K296" t="inlineStr">
        <is>
          <t>Hyderabad</t>
        </is>
      </c>
      <c r="L296" s="27" t="inlineStr">
        <is>
          <t>IT</t>
        </is>
      </c>
      <c r="M296" t="inlineStr">
        <is>
          <t>Full-Time</t>
        </is>
      </c>
      <c r="N296" t="inlineStr">
        <is>
          <t>Senior Software Engineer</t>
        </is>
      </c>
      <c r="O296" t="inlineStr">
        <is>
          <t>E3</t>
        </is>
      </c>
      <c r="P296" t="inlineStr">
        <is>
          <t>Senior Software Engineer</t>
        </is>
      </c>
      <c r="Q296" t="inlineStr">
        <is>
          <t>Korivolla Umamahesh (1032896)</t>
        </is>
      </c>
      <c r="R296" s="27" t="n">
        <v>4</v>
      </c>
      <c r="S296" s="1" t="n">
        <v>250000</v>
      </c>
      <c r="T296" s="1">
        <f>ROUND(T_EMPLOYEES[[#This Row],[EMP_CTC1]]/12, 0)</f>
        <v/>
      </c>
      <c r="U296" s="1" t="n">
        <v>150000</v>
      </c>
      <c r="V296" s="1" t="inlineStr">
        <is>
          <t>NH</t>
        </is>
      </c>
      <c r="W296" s="1" t="inlineStr">
        <is>
          <t>NH</t>
        </is>
      </c>
      <c r="X29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6" t="n">
        <v>120000</v>
      </c>
      <c r="Z296" s="29">
        <f>(S296 - U296)/S296 * 100</f>
        <v/>
      </c>
      <c r="AA296">
        <f>IF(T_EMPLOYEES[[#This Row],[EMPLOYEE NUMBER]]="","",ROW(T_EMPLOYEES[[#This Row],[EMPLOYEE LABEL]])-ROW(T_EMPLOYEES[[#Headers],[EMPLOYEE LABEL]]))</f>
        <v/>
      </c>
      <c r="AB296">
        <f>IF(T_EMPLOYEES[[#This Row],[EMPLOYEE NUMBER]]="","",IF(COUNTIF(T_EMPLOYEES[EMPLOYEE NUMBER],T_EMPLOYEES[[#This Row],[EMPLOYEE NUMBER]])&gt;1,1,0))</f>
        <v/>
      </c>
      <c r="AC296">
        <f>IF(T_EMPLOYEES[[#This Row],[EMPLOYEE NUMBER]]="","",IF(AND(T_EMPLOYEES[[#This Row],[DATE OF BIRTH]]&gt;0,T_EMPLOYEES[[#This Row],[DATE OF BIRTH]]&lt;TODAY()),0,1))</f>
        <v/>
      </c>
      <c r="AD296">
        <f>IF(T_EMPLOYEES[[#This Row],[EMPLOYEE NUMBER]]="","",IF(AND(T_EMPLOYEES[[#This Row],[START DATE]]&gt;0,T_EMPLOYEES[[#This Row],[START DATE]]&lt;TODAY()+60),0,1))</f>
        <v/>
      </c>
      <c r="AE296">
        <f>IF(T_EMPLOYEES[[#This Row],[EMPLOYEE NUMBER]]="","",MATCH(T_EMPLOYEES[[#This Row],[GENDER]],L_GENDER,0))</f>
        <v/>
      </c>
      <c r="AF296">
        <f>IF(T_EMPLOYEES[[#This Row],[EMPLOYEE NUMBER]]="","",MATCH(T_EMPLOYEES[[#This Row],[HIRE SOURCE]],L_HIRESOURCE,0))</f>
        <v/>
      </c>
      <c r="AG296">
        <f>IF(T_EMPLOYEES[[#This Row],[EMPLOYEE NUMBER]]="","",MATCH(T_EMPLOYEES[[#This Row],[ETHNICITY]],L_ETHNICITY,0))</f>
        <v/>
      </c>
      <c r="AH296">
        <f>IF(T_EMPLOYEES[[#This Row],[EMPLOYEE NUMBER]]="","",MATCH(T_EMPLOYEES[[#This Row],[LOCATION]],L_LOCATION,0))</f>
        <v/>
      </c>
      <c r="AI296">
        <f>IF(T_EMPLOYEES[[#This Row],[EMPLOYEE NUMBER]]="","",MATCH(T_EMPLOYEES[[#This Row],[DEPARTMENT]],L_DEPARTMENT,0))</f>
        <v/>
      </c>
      <c r="AJ296">
        <f>IF(T_EMPLOYEES[[#This Row],[EMPLOYEE NUMBER]]="","",MATCH(T_EMPLOYEES[[#This Row],[JOB TYPE]],L_JOBTYPE,0))</f>
        <v/>
      </c>
      <c r="AK296">
        <f>IF(T_EMPLOYEES[[#This Row],[EMPLOYEE NUMBER]]="","",MATCH(T_EMPLOYEES[[#This Row],[JOB CATEGORY]],L_JOBCATEGORY,0))</f>
        <v/>
      </c>
      <c r="AL296">
        <f>IF(T_EMPLOYEES[[#This Row],[EMPLOYEE NUMBER]]="","",MATCH(T_EMPLOYEES[[#This Row],[JOB LEVEL]],L_JOBLEVEL,0))</f>
        <v/>
      </c>
      <c r="AM296">
        <f>IF(T_EMPLOYEES[[#This Row],[EMPLOYEE NUMBER]]="","",MATCH(T_EMPLOYEES[[#This Row],[JOB TITLE]],L_JOBTITLE,0))</f>
        <v/>
      </c>
      <c r="AN296">
        <f>IF(T_EMPLOYEES[[#This Row],[EMPLOYEE NUMBER]]="","",MATCH(T_EMPLOYEES[[#This Row],[MANAGER]],L_EMPLABELS,0))</f>
        <v/>
      </c>
      <c r="AO296">
        <f>IF(T_EMPLOYEES[[#This Row],[EMPLOYEE NUMBER]]="","",IF(T_EMPLOYEES[[#This Row],[ERROR]]="",0,1))</f>
        <v/>
      </c>
      <c r="AP29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7">
      <c r="A297" t="inlineStr">
        <is>
          <t>Venkatesh</t>
        </is>
      </c>
      <c r="C297" t="n">
        <v>1032355</v>
      </c>
      <c r="D297" t="inlineStr">
        <is>
          <t>Venkatesh.Ramamoorthy@infinite.com</t>
        </is>
      </c>
      <c r="E297" s="26" t="n">
        <v>34783</v>
      </c>
      <c r="F297" s="26" t="n">
        <v>44993</v>
      </c>
      <c r="H297" t="inlineStr">
        <is>
          <t>Male</t>
        </is>
      </c>
      <c r="I297" t="inlineStr">
        <is>
          <t>Asian</t>
        </is>
      </c>
      <c r="J297" t="inlineStr">
        <is>
          <t>WEBSITE</t>
        </is>
      </c>
      <c r="K297" t="inlineStr">
        <is>
          <t>Bangalore</t>
        </is>
      </c>
      <c r="L297" s="27" t="inlineStr">
        <is>
          <t>IT</t>
        </is>
      </c>
      <c r="M297" t="inlineStr">
        <is>
          <t>Full-Time</t>
        </is>
      </c>
      <c r="N297" t="inlineStr">
        <is>
          <t>Senior Test Analyst</t>
        </is>
      </c>
      <c r="O297" t="inlineStr">
        <is>
          <t>E3</t>
        </is>
      </c>
      <c r="P297" t="inlineStr">
        <is>
          <t>Senior Test Analyst</t>
        </is>
      </c>
      <c r="Q297" t="inlineStr">
        <is>
          <t>Numan Sharieff (1031852)</t>
        </is>
      </c>
      <c r="R297" t="n">
        <v>4</v>
      </c>
      <c r="S297" s="1" t="n">
        <v>250000</v>
      </c>
      <c r="T297" s="1">
        <f>ROUND(T_EMPLOYEES[[#This Row],[EMP_CTC1]]/12, 0)</f>
        <v/>
      </c>
      <c r="U297" s="1" t="n">
        <v>150000</v>
      </c>
      <c r="V297" s="1" t="inlineStr">
        <is>
          <t>NH</t>
        </is>
      </c>
      <c r="W297" s="1" t="inlineStr">
        <is>
          <t>NH</t>
        </is>
      </c>
      <c r="X29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7" t="n">
        <v>120000</v>
      </c>
      <c r="Z297" s="29">
        <f>(S297 - U297)/S297 * 100</f>
        <v/>
      </c>
      <c r="AA297">
        <f>IF(T_EMPLOYEES[[#This Row],[EMPLOYEE NUMBER]]="","",ROW(T_EMPLOYEES[[#This Row],[EMPLOYEE LABEL]])-ROW(T_EMPLOYEES[[#Headers],[EMPLOYEE LABEL]]))</f>
        <v/>
      </c>
      <c r="AB297">
        <f>IF(T_EMPLOYEES[[#This Row],[EMPLOYEE NUMBER]]="","",IF(COUNTIF(T_EMPLOYEES[EMPLOYEE NUMBER],T_EMPLOYEES[[#This Row],[EMPLOYEE NUMBER]])&gt;1,1,0))</f>
        <v/>
      </c>
      <c r="AC297">
        <f>IF(T_EMPLOYEES[[#This Row],[EMPLOYEE NUMBER]]="","",IF(AND(T_EMPLOYEES[[#This Row],[DATE OF BIRTH]]&gt;0,T_EMPLOYEES[[#This Row],[DATE OF BIRTH]]&lt;TODAY()),0,1))</f>
        <v/>
      </c>
      <c r="AD297">
        <f>IF(T_EMPLOYEES[[#This Row],[EMPLOYEE NUMBER]]="","",IF(AND(T_EMPLOYEES[[#This Row],[START DATE]]&gt;0,T_EMPLOYEES[[#This Row],[START DATE]]&lt;TODAY()+60),0,1))</f>
        <v/>
      </c>
      <c r="AE297">
        <f>IF(T_EMPLOYEES[[#This Row],[EMPLOYEE NUMBER]]="","",MATCH(T_EMPLOYEES[[#This Row],[GENDER]],L_GENDER,0))</f>
        <v/>
      </c>
      <c r="AF297">
        <f>IF(T_EMPLOYEES[[#This Row],[EMPLOYEE NUMBER]]="","",MATCH(T_EMPLOYEES[[#This Row],[HIRE SOURCE]],L_HIRESOURCE,0))</f>
        <v/>
      </c>
      <c r="AG297">
        <f>IF(T_EMPLOYEES[[#This Row],[EMPLOYEE NUMBER]]="","",MATCH(T_EMPLOYEES[[#This Row],[ETHNICITY]],L_ETHNICITY,0))</f>
        <v/>
      </c>
      <c r="AH297">
        <f>IF(T_EMPLOYEES[[#This Row],[EMPLOYEE NUMBER]]="","",MATCH(T_EMPLOYEES[[#This Row],[LOCATION]],L_LOCATION,0))</f>
        <v/>
      </c>
      <c r="AI297">
        <f>IF(T_EMPLOYEES[[#This Row],[EMPLOYEE NUMBER]]="","",MATCH(T_EMPLOYEES[[#This Row],[DEPARTMENT]],L_DEPARTMENT,0))</f>
        <v/>
      </c>
      <c r="AJ297">
        <f>IF(T_EMPLOYEES[[#This Row],[EMPLOYEE NUMBER]]="","",MATCH(T_EMPLOYEES[[#This Row],[JOB TYPE]],L_JOBTYPE,0))</f>
        <v/>
      </c>
      <c r="AK297">
        <f>IF(T_EMPLOYEES[[#This Row],[EMPLOYEE NUMBER]]="","",MATCH(T_EMPLOYEES[[#This Row],[JOB CATEGORY]],L_JOBCATEGORY,0))</f>
        <v/>
      </c>
      <c r="AL297">
        <f>IF(T_EMPLOYEES[[#This Row],[EMPLOYEE NUMBER]]="","",MATCH(T_EMPLOYEES[[#This Row],[JOB LEVEL]],L_JOBLEVEL,0))</f>
        <v/>
      </c>
      <c r="AM297">
        <f>IF(T_EMPLOYEES[[#This Row],[EMPLOYEE NUMBER]]="","",MATCH(T_EMPLOYEES[[#This Row],[JOB TITLE]],L_JOBTITLE,0))</f>
        <v/>
      </c>
      <c r="AN297">
        <f>IF(T_EMPLOYEES[[#This Row],[EMPLOYEE NUMBER]]="","",MATCH(T_EMPLOYEES[[#This Row],[MANAGER]],L_EMPLABELS,0))</f>
        <v/>
      </c>
      <c r="AO297">
        <f>IF(T_EMPLOYEES[[#This Row],[EMPLOYEE NUMBER]]="","",IF(T_EMPLOYEES[[#This Row],[ERROR]]="",0,1))</f>
        <v/>
      </c>
      <c r="AP29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298">
      <c r="A298" t="inlineStr">
        <is>
          <t>Rangaraj</t>
        </is>
      </c>
      <c r="B298" t="inlineStr">
        <is>
          <t xml:space="preserve"> M</t>
        </is>
      </c>
      <c r="C298" t="n">
        <v>1020948</v>
      </c>
      <c r="D298" t="inlineStr">
        <is>
          <t>Rangaraj.Murugan@infinite.com</t>
        </is>
      </c>
      <c r="E298" s="26" t="n">
        <v>34790</v>
      </c>
      <c r="F298" s="26" t="n">
        <v>43347</v>
      </c>
      <c r="H298" t="inlineStr">
        <is>
          <t>Male</t>
        </is>
      </c>
      <c r="I298" t="inlineStr">
        <is>
          <t>Asian</t>
        </is>
      </c>
      <c r="J298" t="inlineStr">
        <is>
          <t>WEBSITE</t>
        </is>
      </c>
      <c r="K298" t="inlineStr">
        <is>
          <t>Bangalore</t>
        </is>
      </c>
      <c r="L298" s="27" t="inlineStr">
        <is>
          <t>Core</t>
        </is>
      </c>
      <c r="M298" t="inlineStr">
        <is>
          <t>Full-Time</t>
        </is>
      </c>
      <c r="N298" t="inlineStr">
        <is>
          <t>Senior Software Engineer</t>
        </is>
      </c>
      <c r="O298" t="inlineStr">
        <is>
          <t>E3</t>
        </is>
      </c>
      <c r="P298" t="inlineStr">
        <is>
          <t>Senior Software Engineer</t>
        </is>
      </c>
      <c r="Q298" t="inlineStr">
        <is>
          <t>Dipakbhai Motibhai Tandel (1027230)</t>
        </is>
      </c>
      <c r="R298" s="27" t="n">
        <v>4</v>
      </c>
      <c r="S298" s="1" t="n">
        <v>250000</v>
      </c>
      <c r="T298" s="1">
        <f>ROUND(T_EMPLOYEES[[#This Row],[EMP_CTC1]]/12, 0)</f>
        <v/>
      </c>
      <c r="U298" s="1" t="n">
        <v>150000</v>
      </c>
      <c r="V298" s="1" t="inlineStr">
        <is>
          <t>NH</t>
        </is>
      </c>
      <c r="W298" s="1" t="inlineStr">
        <is>
          <t>NH</t>
        </is>
      </c>
      <c r="X29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8" t="n">
        <v>120000</v>
      </c>
      <c r="Z298" s="29">
        <f>(S298 - U298)/S298 * 100</f>
        <v/>
      </c>
      <c r="AA298">
        <f>IF(T_EMPLOYEES[[#This Row],[EMPLOYEE NUMBER]]="","",ROW(T_EMPLOYEES[[#This Row],[EMPLOYEE LABEL]])-ROW(T_EMPLOYEES[[#Headers],[EMPLOYEE LABEL]]))</f>
        <v/>
      </c>
      <c r="AB298">
        <f>IF(T_EMPLOYEES[[#This Row],[EMPLOYEE NUMBER]]="","",IF(COUNTIF(T_EMPLOYEES[EMPLOYEE NUMBER],T_EMPLOYEES[[#This Row],[EMPLOYEE NUMBER]])&gt;1,1,0))</f>
        <v/>
      </c>
      <c r="AC298">
        <f>IF(T_EMPLOYEES[[#This Row],[EMPLOYEE NUMBER]]="","",IF(AND(T_EMPLOYEES[[#This Row],[DATE OF BIRTH]]&gt;0,T_EMPLOYEES[[#This Row],[DATE OF BIRTH]]&lt;TODAY()),0,1))</f>
        <v/>
      </c>
      <c r="AD298">
        <f>IF(T_EMPLOYEES[[#This Row],[EMPLOYEE NUMBER]]="","",IF(AND(T_EMPLOYEES[[#This Row],[START DATE]]&gt;0,T_EMPLOYEES[[#This Row],[START DATE]]&lt;TODAY()+60),0,1))</f>
        <v/>
      </c>
      <c r="AE298">
        <f>IF(T_EMPLOYEES[[#This Row],[EMPLOYEE NUMBER]]="","",MATCH(T_EMPLOYEES[[#This Row],[GENDER]],L_GENDER,0))</f>
        <v/>
      </c>
      <c r="AF298">
        <f>IF(T_EMPLOYEES[[#This Row],[EMPLOYEE NUMBER]]="","",MATCH(T_EMPLOYEES[[#This Row],[HIRE SOURCE]],L_HIRESOURCE,0))</f>
        <v/>
      </c>
      <c r="AG298">
        <f>IF(T_EMPLOYEES[[#This Row],[EMPLOYEE NUMBER]]="","",MATCH(T_EMPLOYEES[[#This Row],[ETHNICITY]],L_ETHNICITY,0))</f>
        <v/>
      </c>
      <c r="AH298">
        <f>IF(T_EMPLOYEES[[#This Row],[EMPLOYEE NUMBER]]="","",MATCH(T_EMPLOYEES[[#This Row],[LOCATION]],L_LOCATION,0))</f>
        <v/>
      </c>
      <c r="AI298">
        <f>IF(T_EMPLOYEES[[#This Row],[EMPLOYEE NUMBER]]="","",MATCH(T_EMPLOYEES[[#This Row],[DEPARTMENT]],L_DEPARTMENT,0))</f>
        <v/>
      </c>
      <c r="AJ298">
        <f>IF(T_EMPLOYEES[[#This Row],[EMPLOYEE NUMBER]]="","",MATCH(T_EMPLOYEES[[#This Row],[JOB TYPE]],L_JOBTYPE,0))</f>
        <v/>
      </c>
      <c r="AK298">
        <f>IF(T_EMPLOYEES[[#This Row],[EMPLOYEE NUMBER]]="","",MATCH(T_EMPLOYEES[[#This Row],[JOB CATEGORY]],L_JOBCATEGORY,0))</f>
        <v/>
      </c>
      <c r="AL298">
        <f>IF(T_EMPLOYEES[[#This Row],[EMPLOYEE NUMBER]]="","",MATCH(T_EMPLOYEES[[#This Row],[JOB LEVEL]],L_JOBLEVEL,0))</f>
        <v/>
      </c>
      <c r="AM298">
        <f>IF(T_EMPLOYEES[[#This Row],[EMPLOYEE NUMBER]]="","",MATCH(T_EMPLOYEES[[#This Row],[JOB TITLE]],L_JOBTITLE,0))</f>
        <v/>
      </c>
      <c r="AN298">
        <f>IF(T_EMPLOYEES[[#This Row],[EMPLOYEE NUMBER]]="","",MATCH(T_EMPLOYEES[[#This Row],[MANAGER]],L_EMPLABELS,0))</f>
        <v/>
      </c>
      <c r="AO298">
        <f>IF(T_EMPLOYEES[[#This Row],[EMPLOYEE NUMBER]]="","",IF(T_EMPLOYEES[[#This Row],[ERROR]]="",0,1))</f>
        <v/>
      </c>
      <c r="AP29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98" t="inlineStr">
        <is>
          <t>EDI</t>
        </is>
      </c>
    </row>
    <row r="299">
      <c r="A299" t="inlineStr">
        <is>
          <t>Gangeneni</t>
        </is>
      </c>
      <c r="B299" t="inlineStr">
        <is>
          <t>Venkatamanoj Kumar</t>
        </is>
      </c>
      <c r="C299" t="n">
        <v>1033640</v>
      </c>
      <c r="D299" t="inlineStr">
        <is>
          <t>Manojkumar.Gangeneni@infinite.com</t>
        </is>
      </c>
      <c r="E299" s="26" t="n">
        <v>34800</v>
      </c>
      <c r="F299" s="26" t="n">
        <v>45198</v>
      </c>
      <c r="H299" t="inlineStr">
        <is>
          <t>Male</t>
        </is>
      </c>
      <c r="I299" t="inlineStr">
        <is>
          <t>Asian</t>
        </is>
      </c>
      <c r="J299" t="inlineStr">
        <is>
          <t>WEBSITE</t>
        </is>
      </c>
      <c r="K299" t="inlineStr">
        <is>
          <t>Bangalore</t>
        </is>
      </c>
      <c r="L299" s="27" t="inlineStr">
        <is>
          <t>IT</t>
        </is>
      </c>
      <c r="M299" t="inlineStr">
        <is>
          <t>Full-Time</t>
        </is>
      </c>
      <c r="N299" t="inlineStr">
        <is>
          <t>Software Engineer</t>
        </is>
      </c>
      <c r="O299" t="inlineStr">
        <is>
          <t>E2</t>
        </is>
      </c>
      <c r="P299" t="inlineStr">
        <is>
          <t>Software Engineer</t>
        </is>
      </c>
      <c r="Q299" t="inlineStr">
        <is>
          <t>Niranjan Reddy G (1032824)</t>
        </is>
      </c>
      <c r="R299" t="n">
        <v>4</v>
      </c>
      <c r="S299" s="1" t="n">
        <v>250000</v>
      </c>
      <c r="T299" s="1">
        <f>ROUND(T_EMPLOYEES[[#This Row],[EMP_CTC1]]/12, 0)</f>
        <v/>
      </c>
      <c r="U299" s="1" t="n">
        <v>150000</v>
      </c>
      <c r="V299" s="1" t="inlineStr">
        <is>
          <t>NH</t>
        </is>
      </c>
      <c r="W299" s="1" t="inlineStr">
        <is>
          <t>NH</t>
        </is>
      </c>
      <c r="X29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299" t="n">
        <v>120000</v>
      </c>
      <c r="Z299" s="29">
        <f>(S299 - U299)/S299 * 100</f>
        <v/>
      </c>
      <c r="AA299">
        <f>IF(T_EMPLOYEES[[#This Row],[EMPLOYEE NUMBER]]="","",ROW(T_EMPLOYEES[[#This Row],[EMPLOYEE LABEL]])-ROW(T_EMPLOYEES[[#Headers],[EMPLOYEE LABEL]]))</f>
        <v/>
      </c>
      <c r="AB299">
        <f>IF(T_EMPLOYEES[[#This Row],[EMPLOYEE NUMBER]]="","",IF(COUNTIF(T_EMPLOYEES[EMPLOYEE NUMBER],T_EMPLOYEES[[#This Row],[EMPLOYEE NUMBER]])&gt;1,1,0))</f>
        <v/>
      </c>
      <c r="AC299">
        <f>IF(T_EMPLOYEES[[#This Row],[EMPLOYEE NUMBER]]="","",IF(AND(T_EMPLOYEES[[#This Row],[DATE OF BIRTH]]&gt;0,T_EMPLOYEES[[#This Row],[DATE OF BIRTH]]&lt;TODAY()),0,1))</f>
        <v/>
      </c>
      <c r="AD299">
        <f>IF(T_EMPLOYEES[[#This Row],[EMPLOYEE NUMBER]]="","",IF(AND(T_EMPLOYEES[[#This Row],[START DATE]]&gt;0,T_EMPLOYEES[[#This Row],[START DATE]]&lt;TODAY()+60),0,1))</f>
        <v/>
      </c>
      <c r="AE299">
        <f>IF(T_EMPLOYEES[[#This Row],[EMPLOYEE NUMBER]]="","",MATCH(T_EMPLOYEES[[#This Row],[GENDER]],L_GENDER,0))</f>
        <v/>
      </c>
      <c r="AF299">
        <f>IF(T_EMPLOYEES[[#This Row],[EMPLOYEE NUMBER]]="","",MATCH(T_EMPLOYEES[[#This Row],[HIRE SOURCE]],L_HIRESOURCE,0))</f>
        <v/>
      </c>
      <c r="AG299">
        <f>IF(T_EMPLOYEES[[#This Row],[EMPLOYEE NUMBER]]="","",MATCH(T_EMPLOYEES[[#This Row],[ETHNICITY]],L_ETHNICITY,0))</f>
        <v/>
      </c>
      <c r="AH299">
        <f>IF(T_EMPLOYEES[[#This Row],[EMPLOYEE NUMBER]]="","",MATCH(T_EMPLOYEES[[#This Row],[LOCATION]],L_LOCATION,0))</f>
        <v/>
      </c>
      <c r="AI299">
        <f>IF(T_EMPLOYEES[[#This Row],[EMPLOYEE NUMBER]]="","",MATCH(T_EMPLOYEES[[#This Row],[DEPARTMENT]],L_DEPARTMENT,0))</f>
        <v/>
      </c>
      <c r="AJ299">
        <f>IF(T_EMPLOYEES[[#This Row],[EMPLOYEE NUMBER]]="","",MATCH(T_EMPLOYEES[[#This Row],[JOB TYPE]],L_JOBTYPE,0))</f>
        <v/>
      </c>
      <c r="AK299">
        <f>IF(T_EMPLOYEES[[#This Row],[EMPLOYEE NUMBER]]="","",MATCH(T_EMPLOYEES[[#This Row],[JOB CATEGORY]],L_JOBCATEGORY,0))</f>
        <v/>
      </c>
      <c r="AL299">
        <f>IF(T_EMPLOYEES[[#This Row],[EMPLOYEE NUMBER]]="","",MATCH(T_EMPLOYEES[[#This Row],[JOB LEVEL]],L_JOBLEVEL,0))</f>
        <v/>
      </c>
      <c r="AM299">
        <f>IF(T_EMPLOYEES[[#This Row],[EMPLOYEE NUMBER]]="","",MATCH(T_EMPLOYEES[[#This Row],[JOB TITLE]],L_JOBTITLE,0))</f>
        <v/>
      </c>
      <c r="AN299">
        <f>IF(T_EMPLOYEES[[#This Row],[EMPLOYEE NUMBER]]="","",MATCH(T_EMPLOYEES[[#This Row],[MANAGER]],L_EMPLABELS,0))</f>
        <v/>
      </c>
      <c r="AO299">
        <f>IF(T_EMPLOYEES[[#This Row],[EMPLOYEE NUMBER]]="","",IF(T_EMPLOYEES[[#This Row],[ERROR]]="",0,1))</f>
        <v/>
      </c>
      <c r="AP29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299" t="inlineStr">
        <is>
          <t>AVRS</t>
        </is>
      </c>
    </row>
    <row r="300">
      <c r="A300" t="inlineStr">
        <is>
          <t>Kothakota</t>
        </is>
      </c>
      <c r="B300" t="inlineStr">
        <is>
          <t>Leelavathi</t>
        </is>
      </c>
      <c r="C300" t="n">
        <v>1032302</v>
      </c>
      <c r="D300" t="inlineStr">
        <is>
          <t>Leelavathi.Kothakota@infinite.com</t>
        </is>
      </c>
      <c r="E300" s="26" t="n">
        <v>34818</v>
      </c>
      <c r="F300" s="26" t="n">
        <v>44986</v>
      </c>
      <c r="H300" t="inlineStr">
        <is>
          <t>Female</t>
        </is>
      </c>
      <c r="I300" t="inlineStr">
        <is>
          <t>Asian</t>
        </is>
      </c>
      <c r="J300" t="inlineStr">
        <is>
          <t>WEBSITE</t>
        </is>
      </c>
      <c r="K300" t="inlineStr">
        <is>
          <t>Bangalore</t>
        </is>
      </c>
      <c r="L300" s="27" t="inlineStr">
        <is>
          <t>IT</t>
        </is>
      </c>
      <c r="M300" t="inlineStr">
        <is>
          <t>Full-Time</t>
        </is>
      </c>
      <c r="N300" t="inlineStr">
        <is>
          <t>Technical Lead</t>
        </is>
      </c>
      <c r="O300" t="inlineStr">
        <is>
          <t>E4</t>
        </is>
      </c>
      <c r="P300" t="inlineStr">
        <is>
          <t>Technical Lead</t>
        </is>
      </c>
      <c r="Q300" t="inlineStr">
        <is>
          <t>Prabhakar Janardhanam (1031867)</t>
        </is>
      </c>
      <c r="R300" s="27" t="n">
        <v>5</v>
      </c>
      <c r="S300" s="1" t="n">
        <v>250000</v>
      </c>
      <c r="T300" s="1">
        <f>ROUND(T_EMPLOYEES[[#This Row],[EMP_CTC1]]/12, 0)</f>
        <v/>
      </c>
      <c r="U300" s="1" t="n">
        <v>150000</v>
      </c>
      <c r="V300" s="1" t="inlineStr">
        <is>
          <t>NH</t>
        </is>
      </c>
      <c r="W300" s="1" t="inlineStr">
        <is>
          <t>NH</t>
        </is>
      </c>
      <c r="X30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0" t="n">
        <v>120000</v>
      </c>
      <c r="Z300" s="29">
        <f>(S300 - U300)/S300 * 100</f>
        <v/>
      </c>
      <c r="AA300">
        <f>IF(T_EMPLOYEES[[#This Row],[EMPLOYEE NUMBER]]="","",ROW(T_EMPLOYEES[[#This Row],[EMPLOYEE LABEL]])-ROW(T_EMPLOYEES[[#Headers],[EMPLOYEE LABEL]]))</f>
        <v/>
      </c>
      <c r="AB300">
        <f>IF(T_EMPLOYEES[[#This Row],[EMPLOYEE NUMBER]]="","",IF(COUNTIF(T_EMPLOYEES[EMPLOYEE NUMBER],T_EMPLOYEES[[#This Row],[EMPLOYEE NUMBER]])&gt;1,1,0))</f>
        <v/>
      </c>
      <c r="AC300">
        <f>IF(T_EMPLOYEES[[#This Row],[EMPLOYEE NUMBER]]="","",IF(AND(T_EMPLOYEES[[#This Row],[DATE OF BIRTH]]&gt;0,T_EMPLOYEES[[#This Row],[DATE OF BIRTH]]&lt;TODAY()),0,1))</f>
        <v/>
      </c>
      <c r="AD300">
        <f>IF(T_EMPLOYEES[[#This Row],[EMPLOYEE NUMBER]]="","",IF(AND(T_EMPLOYEES[[#This Row],[START DATE]]&gt;0,T_EMPLOYEES[[#This Row],[START DATE]]&lt;TODAY()+60),0,1))</f>
        <v/>
      </c>
      <c r="AE300">
        <f>IF(T_EMPLOYEES[[#This Row],[EMPLOYEE NUMBER]]="","",MATCH(T_EMPLOYEES[[#This Row],[GENDER]],L_GENDER,0))</f>
        <v/>
      </c>
      <c r="AF300">
        <f>IF(T_EMPLOYEES[[#This Row],[EMPLOYEE NUMBER]]="","",MATCH(T_EMPLOYEES[[#This Row],[HIRE SOURCE]],L_HIRESOURCE,0))</f>
        <v/>
      </c>
      <c r="AG300">
        <f>IF(T_EMPLOYEES[[#This Row],[EMPLOYEE NUMBER]]="","",MATCH(T_EMPLOYEES[[#This Row],[ETHNICITY]],L_ETHNICITY,0))</f>
        <v/>
      </c>
      <c r="AH300">
        <f>IF(T_EMPLOYEES[[#This Row],[EMPLOYEE NUMBER]]="","",MATCH(T_EMPLOYEES[[#This Row],[LOCATION]],L_LOCATION,0))</f>
        <v/>
      </c>
      <c r="AI300">
        <f>IF(T_EMPLOYEES[[#This Row],[EMPLOYEE NUMBER]]="","",MATCH(T_EMPLOYEES[[#This Row],[DEPARTMENT]],L_DEPARTMENT,0))</f>
        <v/>
      </c>
      <c r="AJ300">
        <f>IF(T_EMPLOYEES[[#This Row],[EMPLOYEE NUMBER]]="","",MATCH(T_EMPLOYEES[[#This Row],[JOB TYPE]],L_JOBTYPE,0))</f>
        <v/>
      </c>
      <c r="AK300">
        <f>IF(T_EMPLOYEES[[#This Row],[EMPLOYEE NUMBER]]="","",MATCH(T_EMPLOYEES[[#This Row],[JOB CATEGORY]],L_JOBCATEGORY,0))</f>
        <v/>
      </c>
      <c r="AL300">
        <f>IF(T_EMPLOYEES[[#This Row],[EMPLOYEE NUMBER]]="","",MATCH(T_EMPLOYEES[[#This Row],[JOB LEVEL]],L_JOBLEVEL,0))</f>
        <v/>
      </c>
      <c r="AM300">
        <f>IF(T_EMPLOYEES[[#This Row],[EMPLOYEE NUMBER]]="","",MATCH(T_EMPLOYEES[[#This Row],[JOB TITLE]],L_JOBTITLE,0))</f>
        <v/>
      </c>
      <c r="AN300">
        <f>IF(T_EMPLOYEES[[#This Row],[EMPLOYEE NUMBER]]="","",MATCH(T_EMPLOYEES[[#This Row],[MANAGER]],L_EMPLABELS,0))</f>
        <v/>
      </c>
      <c r="AO300">
        <f>IF(T_EMPLOYEES[[#This Row],[EMPLOYEE NUMBER]]="","",IF(T_EMPLOYEES[[#This Row],[ERROR]]="",0,1))</f>
        <v/>
      </c>
      <c r="AP30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1">
      <c r="A301" t="inlineStr">
        <is>
          <t>Rajesh</t>
        </is>
      </c>
      <c r="B301" t="inlineStr">
        <is>
          <t>Nayak</t>
        </is>
      </c>
      <c r="C301" t="n">
        <v>1033743</v>
      </c>
      <c r="D301" t="inlineStr">
        <is>
          <t>Rajesh.Nayak@infinite.com</t>
        </is>
      </c>
      <c r="E301" s="26" t="n">
        <v>34827</v>
      </c>
      <c r="F301" s="26" t="n">
        <v>45216</v>
      </c>
      <c r="H301" t="inlineStr">
        <is>
          <t>Male</t>
        </is>
      </c>
      <c r="I301" t="inlineStr">
        <is>
          <t>Asian</t>
        </is>
      </c>
      <c r="J301" t="inlineStr">
        <is>
          <t>WEBSITE</t>
        </is>
      </c>
      <c r="K301" t="inlineStr">
        <is>
          <t>Bangalore</t>
        </is>
      </c>
      <c r="L301" s="27" t="inlineStr">
        <is>
          <t>IT</t>
        </is>
      </c>
      <c r="M301" t="inlineStr">
        <is>
          <t>Full-Time</t>
        </is>
      </c>
      <c r="N301" t="inlineStr">
        <is>
          <t>Senior Software Engineer</t>
        </is>
      </c>
      <c r="O301" t="inlineStr">
        <is>
          <t>E3</t>
        </is>
      </c>
      <c r="P301" t="inlineStr">
        <is>
          <t>Senior Software Engineer</t>
        </is>
      </c>
      <c r="Q301" t="inlineStr">
        <is>
          <t>Nagarajan K (1019672)</t>
        </is>
      </c>
      <c r="R301" t="n">
        <v>4</v>
      </c>
      <c r="S301" s="1" t="n">
        <v>250000</v>
      </c>
      <c r="T301" s="1">
        <f>ROUND(T_EMPLOYEES[[#This Row],[EMP_CTC1]]/12, 0)</f>
        <v/>
      </c>
      <c r="U301" s="1" t="n">
        <v>150000</v>
      </c>
      <c r="V301" s="1" t="inlineStr">
        <is>
          <t>ND</t>
        </is>
      </c>
      <c r="W301" s="1" t="inlineStr">
        <is>
          <t>ND</t>
        </is>
      </c>
      <c r="X30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1" t="n">
        <v>120000</v>
      </c>
      <c r="Z301" s="29">
        <f>(S301 - U301)/S301 * 100</f>
        <v/>
      </c>
      <c r="AA301">
        <f>IF(T_EMPLOYEES[[#This Row],[EMPLOYEE NUMBER]]="","",ROW(T_EMPLOYEES[[#This Row],[EMPLOYEE LABEL]])-ROW(T_EMPLOYEES[[#Headers],[EMPLOYEE LABEL]]))</f>
        <v/>
      </c>
      <c r="AB301">
        <f>IF(T_EMPLOYEES[[#This Row],[EMPLOYEE NUMBER]]="","",IF(COUNTIF(T_EMPLOYEES[EMPLOYEE NUMBER],T_EMPLOYEES[[#This Row],[EMPLOYEE NUMBER]])&gt;1,1,0))</f>
        <v/>
      </c>
      <c r="AC301">
        <f>IF(T_EMPLOYEES[[#This Row],[EMPLOYEE NUMBER]]="","",IF(AND(T_EMPLOYEES[[#This Row],[DATE OF BIRTH]]&gt;0,T_EMPLOYEES[[#This Row],[DATE OF BIRTH]]&lt;TODAY()),0,1))</f>
        <v/>
      </c>
      <c r="AD301">
        <f>IF(T_EMPLOYEES[[#This Row],[EMPLOYEE NUMBER]]="","",IF(AND(T_EMPLOYEES[[#This Row],[START DATE]]&gt;0,T_EMPLOYEES[[#This Row],[START DATE]]&lt;TODAY()+60),0,1))</f>
        <v/>
      </c>
      <c r="AE301">
        <f>IF(T_EMPLOYEES[[#This Row],[EMPLOYEE NUMBER]]="","",MATCH(T_EMPLOYEES[[#This Row],[GENDER]],L_GENDER,0))</f>
        <v/>
      </c>
      <c r="AF301">
        <f>IF(T_EMPLOYEES[[#This Row],[EMPLOYEE NUMBER]]="","",MATCH(T_EMPLOYEES[[#This Row],[HIRE SOURCE]],L_HIRESOURCE,0))</f>
        <v/>
      </c>
      <c r="AG301">
        <f>IF(T_EMPLOYEES[[#This Row],[EMPLOYEE NUMBER]]="","",MATCH(T_EMPLOYEES[[#This Row],[ETHNICITY]],L_ETHNICITY,0))</f>
        <v/>
      </c>
      <c r="AH301">
        <f>IF(T_EMPLOYEES[[#This Row],[EMPLOYEE NUMBER]]="","",MATCH(T_EMPLOYEES[[#This Row],[LOCATION]],L_LOCATION,0))</f>
        <v/>
      </c>
      <c r="AI301">
        <f>IF(T_EMPLOYEES[[#This Row],[EMPLOYEE NUMBER]]="","",MATCH(T_EMPLOYEES[[#This Row],[DEPARTMENT]],L_DEPARTMENT,0))</f>
        <v/>
      </c>
      <c r="AJ301">
        <f>IF(T_EMPLOYEES[[#This Row],[EMPLOYEE NUMBER]]="","",MATCH(T_EMPLOYEES[[#This Row],[JOB TYPE]],L_JOBTYPE,0))</f>
        <v/>
      </c>
      <c r="AK301">
        <f>IF(T_EMPLOYEES[[#This Row],[EMPLOYEE NUMBER]]="","",MATCH(T_EMPLOYEES[[#This Row],[JOB CATEGORY]],L_JOBCATEGORY,0))</f>
        <v/>
      </c>
      <c r="AL301">
        <f>IF(T_EMPLOYEES[[#This Row],[EMPLOYEE NUMBER]]="","",MATCH(T_EMPLOYEES[[#This Row],[JOB LEVEL]],L_JOBLEVEL,0))</f>
        <v/>
      </c>
      <c r="AM301">
        <f>IF(T_EMPLOYEES[[#This Row],[EMPLOYEE NUMBER]]="","",MATCH(T_EMPLOYEES[[#This Row],[JOB TITLE]],L_JOBTITLE,0))</f>
        <v/>
      </c>
      <c r="AN301">
        <f>IF(T_EMPLOYEES[[#This Row],[EMPLOYEE NUMBER]]="","",MATCH(T_EMPLOYEES[[#This Row],[MANAGER]],L_EMPLABELS,0))</f>
        <v/>
      </c>
      <c r="AO301">
        <f>IF(T_EMPLOYEES[[#This Row],[EMPLOYEE NUMBER]]="","",IF(T_EMPLOYEES[[#This Row],[ERROR]]="",0,1))</f>
        <v/>
      </c>
      <c r="AP30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2">
      <c r="A302" t="inlineStr">
        <is>
          <t>Sanna</t>
        </is>
      </c>
      <c r="B302" t="inlineStr">
        <is>
          <t>Swetha</t>
        </is>
      </c>
      <c r="C302" t="n">
        <v>1020193</v>
      </c>
      <c r="D302" t="inlineStr">
        <is>
          <t>Swetha.Sanna@infinite.com</t>
        </is>
      </c>
      <c r="E302" s="26" t="n">
        <v>34848</v>
      </c>
      <c r="F302" s="26" t="n">
        <v>43131</v>
      </c>
      <c r="H302" t="inlineStr">
        <is>
          <t>Female</t>
        </is>
      </c>
      <c r="I302" t="inlineStr">
        <is>
          <t>Asian</t>
        </is>
      </c>
      <c r="J302" t="inlineStr">
        <is>
          <t>WEBSITE</t>
        </is>
      </c>
      <c r="K302" t="inlineStr">
        <is>
          <t>Bangalore</t>
        </is>
      </c>
      <c r="L302" s="27" t="inlineStr">
        <is>
          <t>IT</t>
        </is>
      </c>
      <c r="M302" t="inlineStr">
        <is>
          <t>Full-Time</t>
        </is>
      </c>
      <c r="N302" t="inlineStr">
        <is>
          <t>Senior Support Engineer</t>
        </is>
      </c>
      <c r="O302" t="inlineStr">
        <is>
          <t>E3</t>
        </is>
      </c>
      <c r="P302" t="inlineStr">
        <is>
          <t>Senior Support Engineer</t>
        </is>
      </c>
      <c r="Q302" t="inlineStr">
        <is>
          <t>Neha  Rajput (1020112)</t>
        </is>
      </c>
      <c r="R302" s="27" t="n">
        <v>4</v>
      </c>
      <c r="S302" s="1" t="n">
        <v>250000</v>
      </c>
      <c r="T302" s="1">
        <f>ROUND(T_EMPLOYEES[[#This Row],[EMP_CTC1]]/12, 0)</f>
        <v/>
      </c>
      <c r="U302" s="1" t="n">
        <v>150000</v>
      </c>
      <c r="V302" s="1" t="inlineStr">
        <is>
          <t>ND</t>
        </is>
      </c>
      <c r="W302" s="1" t="inlineStr">
        <is>
          <t>ND</t>
        </is>
      </c>
      <c r="X30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2" t="n">
        <v>120000</v>
      </c>
      <c r="Z302" s="29">
        <f>(S302 - U302)/S302 * 100</f>
        <v/>
      </c>
      <c r="AA302">
        <f>IF(T_EMPLOYEES[[#This Row],[EMPLOYEE NUMBER]]="","",ROW(T_EMPLOYEES[[#This Row],[EMPLOYEE LABEL]])-ROW(T_EMPLOYEES[[#Headers],[EMPLOYEE LABEL]]))</f>
        <v/>
      </c>
      <c r="AB302">
        <f>IF(T_EMPLOYEES[[#This Row],[EMPLOYEE NUMBER]]="","",IF(COUNTIF(T_EMPLOYEES[EMPLOYEE NUMBER],T_EMPLOYEES[[#This Row],[EMPLOYEE NUMBER]])&gt;1,1,0))</f>
        <v/>
      </c>
      <c r="AC302">
        <f>IF(T_EMPLOYEES[[#This Row],[EMPLOYEE NUMBER]]="","",IF(AND(T_EMPLOYEES[[#This Row],[DATE OF BIRTH]]&gt;0,T_EMPLOYEES[[#This Row],[DATE OF BIRTH]]&lt;TODAY()),0,1))</f>
        <v/>
      </c>
      <c r="AD302">
        <f>IF(T_EMPLOYEES[[#This Row],[EMPLOYEE NUMBER]]="","",IF(AND(T_EMPLOYEES[[#This Row],[START DATE]]&gt;0,T_EMPLOYEES[[#This Row],[START DATE]]&lt;TODAY()+60),0,1))</f>
        <v/>
      </c>
      <c r="AE302">
        <f>IF(T_EMPLOYEES[[#This Row],[EMPLOYEE NUMBER]]="","",MATCH(T_EMPLOYEES[[#This Row],[GENDER]],L_GENDER,0))</f>
        <v/>
      </c>
      <c r="AF302">
        <f>IF(T_EMPLOYEES[[#This Row],[EMPLOYEE NUMBER]]="","",MATCH(T_EMPLOYEES[[#This Row],[HIRE SOURCE]],L_HIRESOURCE,0))</f>
        <v/>
      </c>
      <c r="AG302">
        <f>IF(T_EMPLOYEES[[#This Row],[EMPLOYEE NUMBER]]="","",MATCH(T_EMPLOYEES[[#This Row],[ETHNICITY]],L_ETHNICITY,0))</f>
        <v/>
      </c>
      <c r="AH302">
        <f>IF(T_EMPLOYEES[[#This Row],[EMPLOYEE NUMBER]]="","",MATCH(T_EMPLOYEES[[#This Row],[LOCATION]],L_LOCATION,0))</f>
        <v/>
      </c>
      <c r="AI302">
        <f>IF(T_EMPLOYEES[[#This Row],[EMPLOYEE NUMBER]]="","",MATCH(T_EMPLOYEES[[#This Row],[DEPARTMENT]],L_DEPARTMENT,0))</f>
        <v/>
      </c>
      <c r="AJ302">
        <f>IF(T_EMPLOYEES[[#This Row],[EMPLOYEE NUMBER]]="","",MATCH(T_EMPLOYEES[[#This Row],[JOB TYPE]],L_JOBTYPE,0))</f>
        <v/>
      </c>
      <c r="AK302">
        <f>IF(T_EMPLOYEES[[#This Row],[EMPLOYEE NUMBER]]="","",MATCH(T_EMPLOYEES[[#This Row],[JOB CATEGORY]],L_JOBCATEGORY,0))</f>
        <v/>
      </c>
      <c r="AL302">
        <f>IF(T_EMPLOYEES[[#This Row],[EMPLOYEE NUMBER]]="","",MATCH(T_EMPLOYEES[[#This Row],[JOB LEVEL]],L_JOBLEVEL,0))</f>
        <v/>
      </c>
      <c r="AM302">
        <f>IF(T_EMPLOYEES[[#This Row],[EMPLOYEE NUMBER]]="","",MATCH(T_EMPLOYEES[[#This Row],[JOB TITLE]],L_JOBTITLE,0))</f>
        <v/>
      </c>
      <c r="AN302">
        <f>IF(T_EMPLOYEES[[#This Row],[EMPLOYEE NUMBER]]="","",MATCH(T_EMPLOYEES[[#This Row],[MANAGER]],L_EMPLABELS,0))</f>
        <v/>
      </c>
      <c r="AO302">
        <f>IF(T_EMPLOYEES[[#This Row],[EMPLOYEE NUMBER]]="","",IF(T_EMPLOYEES[[#This Row],[ERROR]]="",0,1))</f>
        <v/>
      </c>
      <c r="AP30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3">
      <c r="A303" t="inlineStr">
        <is>
          <t>Bhagyashree</t>
        </is>
      </c>
      <c r="B303" t="inlineStr">
        <is>
          <t>Pal</t>
        </is>
      </c>
      <c r="C303" t="n">
        <v>1028501</v>
      </c>
      <c r="D303" t="inlineStr">
        <is>
          <t>Bhagyashree.Pal@infinite.com</t>
        </is>
      </c>
      <c r="E303" s="26" t="n">
        <v>34849</v>
      </c>
      <c r="F303" s="26" t="n">
        <v>44624</v>
      </c>
      <c r="H303" t="inlineStr">
        <is>
          <t>Female</t>
        </is>
      </c>
      <c r="I303" t="inlineStr">
        <is>
          <t>Asian</t>
        </is>
      </c>
      <c r="J303" t="inlineStr">
        <is>
          <t>WEBSITE</t>
        </is>
      </c>
      <c r="K303" t="inlineStr">
        <is>
          <t>Chennai</t>
        </is>
      </c>
      <c r="L303" s="27" t="inlineStr">
        <is>
          <t>IT</t>
        </is>
      </c>
      <c r="M303" t="inlineStr">
        <is>
          <t>Full-Time</t>
        </is>
      </c>
      <c r="N303" t="inlineStr">
        <is>
          <t>Support Engineer</t>
        </is>
      </c>
      <c r="O303" t="inlineStr">
        <is>
          <t>E2</t>
        </is>
      </c>
      <c r="P303" t="inlineStr">
        <is>
          <t>Support Engineer</t>
        </is>
      </c>
      <c r="Q303" t="inlineStr">
        <is>
          <t>Neha  Rajput (1020112)</t>
        </is>
      </c>
      <c r="R303" t="n">
        <v>4</v>
      </c>
      <c r="S303" s="1" t="n">
        <v>250000</v>
      </c>
      <c r="T303" s="1">
        <f>ROUND(T_EMPLOYEES[[#This Row],[EMP_CTC1]]/12, 0)</f>
        <v/>
      </c>
      <c r="U303" s="1" t="n">
        <v>150000</v>
      </c>
      <c r="V303" s="1" t="inlineStr">
        <is>
          <t>ND</t>
        </is>
      </c>
      <c r="W303" s="1" t="inlineStr">
        <is>
          <t>ND</t>
        </is>
      </c>
      <c r="X30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3" t="n">
        <v>120000</v>
      </c>
      <c r="Z303" s="29">
        <f>(S303 - U303)/S303 * 100</f>
        <v/>
      </c>
      <c r="AA303">
        <f>IF(T_EMPLOYEES[[#This Row],[EMPLOYEE NUMBER]]="","",ROW(T_EMPLOYEES[[#This Row],[EMPLOYEE LABEL]])-ROW(T_EMPLOYEES[[#Headers],[EMPLOYEE LABEL]]))</f>
        <v/>
      </c>
      <c r="AB303">
        <f>IF(T_EMPLOYEES[[#This Row],[EMPLOYEE NUMBER]]="","",IF(COUNTIF(T_EMPLOYEES[EMPLOYEE NUMBER],T_EMPLOYEES[[#This Row],[EMPLOYEE NUMBER]])&gt;1,1,0))</f>
        <v/>
      </c>
      <c r="AC303">
        <f>IF(T_EMPLOYEES[[#This Row],[EMPLOYEE NUMBER]]="","",IF(AND(T_EMPLOYEES[[#This Row],[DATE OF BIRTH]]&gt;0,T_EMPLOYEES[[#This Row],[DATE OF BIRTH]]&lt;TODAY()),0,1))</f>
        <v/>
      </c>
      <c r="AD303">
        <f>IF(T_EMPLOYEES[[#This Row],[EMPLOYEE NUMBER]]="","",IF(AND(T_EMPLOYEES[[#This Row],[START DATE]]&gt;0,T_EMPLOYEES[[#This Row],[START DATE]]&lt;TODAY()+60),0,1))</f>
        <v/>
      </c>
      <c r="AE303">
        <f>IF(T_EMPLOYEES[[#This Row],[EMPLOYEE NUMBER]]="","",MATCH(T_EMPLOYEES[[#This Row],[GENDER]],L_GENDER,0))</f>
        <v/>
      </c>
      <c r="AF303">
        <f>IF(T_EMPLOYEES[[#This Row],[EMPLOYEE NUMBER]]="","",MATCH(T_EMPLOYEES[[#This Row],[HIRE SOURCE]],L_HIRESOURCE,0))</f>
        <v/>
      </c>
      <c r="AG303">
        <f>IF(T_EMPLOYEES[[#This Row],[EMPLOYEE NUMBER]]="","",MATCH(T_EMPLOYEES[[#This Row],[ETHNICITY]],L_ETHNICITY,0))</f>
        <v/>
      </c>
      <c r="AH303">
        <f>IF(T_EMPLOYEES[[#This Row],[EMPLOYEE NUMBER]]="","",MATCH(T_EMPLOYEES[[#This Row],[LOCATION]],L_LOCATION,0))</f>
        <v/>
      </c>
      <c r="AI303">
        <f>IF(T_EMPLOYEES[[#This Row],[EMPLOYEE NUMBER]]="","",MATCH(T_EMPLOYEES[[#This Row],[DEPARTMENT]],L_DEPARTMENT,0))</f>
        <v/>
      </c>
      <c r="AJ303">
        <f>IF(T_EMPLOYEES[[#This Row],[EMPLOYEE NUMBER]]="","",MATCH(T_EMPLOYEES[[#This Row],[JOB TYPE]],L_JOBTYPE,0))</f>
        <v/>
      </c>
      <c r="AK303">
        <f>IF(T_EMPLOYEES[[#This Row],[EMPLOYEE NUMBER]]="","",MATCH(T_EMPLOYEES[[#This Row],[JOB CATEGORY]],L_JOBCATEGORY,0))</f>
        <v/>
      </c>
      <c r="AL303">
        <f>IF(T_EMPLOYEES[[#This Row],[EMPLOYEE NUMBER]]="","",MATCH(T_EMPLOYEES[[#This Row],[JOB LEVEL]],L_JOBLEVEL,0))</f>
        <v/>
      </c>
      <c r="AM303">
        <f>IF(T_EMPLOYEES[[#This Row],[EMPLOYEE NUMBER]]="","",MATCH(T_EMPLOYEES[[#This Row],[JOB TITLE]],L_JOBTITLE,0))</f>
        <v/>
      </c>
      <c r="AN303">
        <f>IF(T_EMPLOYEES[[#This Row],[EMPLOYEE NUMBER]]="","",MATCH(T_EMPLOYEES[[#This Row],[MANAGER]],L_EMPLABELS,0))</f>
        <v/>
      </c>
      <c r="AO303">
        <f>IF(T_EMPLOYEES[[#This Row],[EMPLOYEE NUMBER]]="","",IF(T_EMPLOYEES[[#This Row],[ERROR]]="",0,1))</f>
        <v/>
      </c>
      <c r="AP30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4">
      <c r="A304" t="inlineStr">
        <is>
          <t>Yogesh</t>
        </is>
      </c>
      <c r="B304" t="inlineStr">
        <is>
          <t>Kailas Lagad</t>
        </is>
      </c>
      <c r="C304" t="n">
        <v>1031062</v>
      </c>
      <c r="D304" t="inlineStr">
        <is>
          <t>Yogesh.Lagad@infinite.com</t>
        </is>
      </c>
      <c r="E304" s="26" t="n">
        <v>34850</v>
      </c>
      <c r="F304" s="26" t="n">
        <v>44889</v>
      </c>
      <c r="H304" t="inlineStr">
        <is>
          <t>Male</t>
        </is>
      </c>
      <c r="I304" t="inlineStr">
        <is>
          <t>Asian</t>
        </is>
      </c>
      <c r="J304" t="inlineStr">
        <is>
          <t>WEBSITE</t>
        </is>
      </c>
      <c r="K304" t="inlineStr">
        <is>
          <t>Hyderabad</t>
        </is>
      </c>
      <c r="L304" s="27" t="inlineStr">
        <is>
          <t>Core</t>
        </is>
      </c>
      <c r="M304" t="inlineStr">
        <is>
          <t>Full-Time</t>
        </is>
      </c>
      <c r="N304" t="inlineStr">
        <is>
          <t>Associate Software Engineer</t>
        </is>
      </c>
      <c r="O304" t="inlineStr">
        <is>
          <t>E1</t>
        </is>
      </c>
      <c r="P304" t="inlineStr">
        <is>
          <t>Associate Software Engineer</t>
        </is>
      </c>
      <c r="Q304" t="inlineStr">
        <is>
          <t>Dipakbhai Motibhai Tandel (1027230)</t>
        </is>
      </c>
      <c r="R304" s="27" t="n">
        <v>0</v>
      </c>
      <c r="S304" s="1" t="n">
        <v>250000</v>
      </c>
      <c r="T304" s="1">
        <f>ROUND(T_EMPLOYEES[[#This Row],[EMP_CTC1]]/12, 0)</f>
        <v/>
      </c>
      <c r="U304" s="1" t="n">
        <v>150000</v>
      </c>
      <c r="V304" s="1" t="inlineStr">
        <is>
          <t>ND</t>
        </is>
      </c>
      <c r="W304" s="1" t="inlineStr">
        <is>
          <t>ND</t>
        </is>
      </c>
      <c r="X30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4" t="n">
        <v>120000</v>
      </c>
      <c r="Z304" s="29">
        <f>(S304 - U304)/S304 * 100</f>
        <v/>
      </c>
      <c r="AA304">
        <f>IF(T_EMPLOYEES[[#This Row],[EMPLOYEE NUMBER]]="","",ROW(T_EMPLOYEES[[#This Row],[EMPLOYEE LABEL]])-ROW(T_EMPLOYEES[[#Headers],[EMPLOYEE LABEL]]))</f>
        <v/>
      </c>
      <c r="AB304">
        <f>IF(T_EMPLOYEES[[#This Row],[EMPLOYEE NUMBER]]="","",IF(COUNTIF(T_EMPLOYEES[EMPLOYEE NUMBER],T_EMPLOYEES[[#This Row],[EMPLOYEE NUMBER]])&gt;1,1,0))</f>
        <v/>
      </c>
      <c r="AC304">
        <f>IF(T_EMPLOYEES[[#This Row],[EMPLOYEE NUMBER]]="","",IF(AND(T_EMPLOYEES[[#This Row],[DATE OF BIRTH]]&gt;0,T_EMPLOYEES[[#This Row],[DATE OF BIRTH]]&lt;TODAY()),0,1))</f>
        <v/>
      </c>
      <c r="AD304">
        <f>IF(T_EMPLOYEES[[#This Row],[EMPLOYEE NUMBER]]="","",IF(AND(T_EMPLOYEES[[#This Row],[START DATE]]&gt;0,T_EMPLOYEES[[#This Row],[START DATE]]&lt;TODAY()+60),0,1))</f>
        <v/>
      </c>
      <c r="AE304">
        <f>IF(T_EMPLOYEES[[#This Row],[EMPLOYEE NUMBER]]="","",MATCH(T_EMPLOYEES[[#This Row],[GENDER]],L_GENDER,0))</f>
        <v/>
      </c>
      <c r="AF304">
        <f>IF(T_EMPLOYEES[[#This Row],[EMPLOYEE NUMBER]]="","",MATCH(T_EMPLOYEES[[#This Row],[HIRE SOURCE]],L_HIRESOURCE,0))</f>
        <v/>
      </c>
      <c r="AG304">
        <f>IF(T_EMPLOYEES[[#This Row],[EMPLOYEE NUMBER]]="","",MATCH(T_EMPLOYEES[[#This Row],[ETHNICITY]],L_ETHNICITY,0))</f>
        <v/>
      </c>
      <c r="AH304">
        <f>IF(T_EMPLOYEES[[#This Row],[EMPLOYEE NUMBER]]="","",MATCH(T_EMPLOYEES[[#This Row],[LOCATION]],L_LOCATION,0))</f>
        <v/>
      </c>
      <c r="AI304">
        <f>IF(T_EMPLOYEES[[#This Row],[EMPLOYEE NUMBER]]="","",MATCH(T_EMPLOYEES[[#This Row],[DEPARTMENT]],L_DEPARTMENT,0))</f>
        <v/>
      </c>
      <c r="AJ304">
        <f>IF(T_EMPLOYEES[[#This Row],[EMPLOYEE NUMBER]]="","",MATCH(T_EMPLOYEES[[#This Row],[JOB TYPE]],L_JOBTYPE,0))</f>
        <v/>
      </c>
      <c r="AK304">
        <f>IF(T_EMPLOYEES[[#This Row],[EMPLOYEE NUMBER]]="","",MATCH(T_EMPLOYEES[[#This Row],[JOB CATEGORY]],L_JOBCATEGORY,0))</f>
        <v/>
      </c>
      <c r="AL304">
        <f>IF(T_EMPLOYEES[[#This Row],[EMPLOYEE NUMBER]]="","",MATCH(T_EMPLOYEES[[#This Row],[JOB LEVEL]],L_JOBLEVEL,0))</f>
        <v/>
      </c>
      <c r="AM304">
        <f>IF(T_EMPLOYEES[[#This Row],[EMPLOYEE NUMBER]]="","",MATCH(T_EMPLOYEES[[#This Row],[JOB TITLE]],L_JOBTITLE,0))</f>
        <v/>
      </c>
      <c r="AN304">
        <f>IF(T_EMPLOYEES[[#This Row],[EMPLOYEE NUMBER]]="","",MATCH(T_EMPLOYEES[[#This Row],[MANAGER]],L_EMPLABELS,0))</f>
        <v/>
      </c>
      <c r="AO304">
        <f>IF(T_EMPLOYEES[[#This Row],[EMPLOYEE NUMBER]]="","",IF(T_EMPLOYEES[[#This Row],[ERROR]]="",0,1))</f>
        <v/>
      </c>
      <c r="AP30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5">
      <c r="A305" t="inlineStr">
        <is>
          <t>Kadiyala</t>
        </is>
      </c>
      <c r="B305" t="inlineStr">
        <is>
          <t xml:space="preserve"> prasanthi</t>
        </is>
      </c>
      <c r="C305" t="n">
        <v>1028167</v>
      </c>
      <c r="D305" t="inlineStr">
        <is>
          <t>Kadiyala.Prasanthi@infinite.com</t>
        </is>
      </c>
      <c r="E305" s="26" t="n">
        <v>34860</v>
      </c>
      <c r="F305" s="26" t="n">
        <v>44588</v>
      </c>
      <c r="H305" t="inlineStr">
        <is>
          <t>Female</t>
        </is>
      </c>
      <c r="I305" t="inlineStr">
        <is>
          <t>Asian</t>
        </is>
      </c>
      <c r="J305" t="inlineStr">
        <is>
          <t>WEBSITE</t>
        </is>
      </c>
      <c r="K305" t="inlineStr">
        <is>
          <t>Bangalore</t>
        </is>
      </c>
      <c r="L305" s="27" t="inlineStr">
        <is>
          <t>IT</t>
        </is>
      </c>
      <c r="M305" t="inlineStr">
        <is>
          <t>Full-Time</t>
        </is>
      </c>
      <c r="N305" t="inlineStr">
        <is>
          <t>Senior Software Engineer</t>
        </is>
      </c>
      <c r="O305" t="inlineStr">
        <is>
          <t>E3</t>
        </is>
      </c>
      <c r="P305" t="inlineStr">
        <is>
          <t>Senior Software Engineer</t>
        </is>
      </c>
      <c r="Q305" t="inlineStr">
        <is>
          <t>D N Rajesh (1028375)</t>
        </is>
      </c>
      <c r="R305" t="n">
        <v>4</v>
      </c>
      <c r="S305" s="1" t="n">
        <v>250000</v>
      </c>
      <c r="T305" s="1">
        <f>ROUND(T_EMPLOYEES[[#This Row],[EMP_CTC1]]/12, 0)</f>
        <v/>
      </c>
      <c r="U305" s="1" t="n">
        <v>150000</v>
      </c>
      <c r="V305" s="1" t="inlineStr">
        <is>
          <t>ND</t>
        </is>
      </c>
      <c r="W305" s="1" t="inlineStr">
        <is>
          <t>ND</t>
        </is>
      </c>
      <c r="X30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5" t="n">
        <v>120000</v>
      </c>
      <c r="Z305" s="29">
        <f>(S305 - U305)/S305 * 100</f>
        <v/>
      </c>
      <c r="AA305">
        <f>IF(T_EMPLOYEES[[#This Row],[EMPLOYEE NUMBER]]="","",ROW(T_EMPLOYEES[[#This Row],[EMPLOYEE LABEL]])-ROW(T_EMPLOYEES[[#Headers],[EMPLOYEE LABEL]]))</f>
        <v/>
      </c>
      <c r="AB305">
        <f>IF(T_EMPLOYEES[[#This Row],[EMPLOYEE NUMBER]]="","",IF(COUNTIF(T_EMPLOYEES[EMPLOYEE NUMBER],T_EMPLOYEES[[#This Row],[EMPLOYEE NUMBER]])&gt;1,1,0))</f>
        <v/>
      </c>
      <c r="AC305">
        <f>IF(T_EMPLOYEES[[#This Row],[EMPLOYEE NUMBER]]="","",IF(AND(T_EMPLOYEES[[#This Row],[DATE OF BIRTH]]&gt;0,T_EMPLOYEES[[#This Row],[DATE OF BIRTH]]&lt;TODAY()),0,1))</f>
        <v/>
      </c>
      <c r="AD305">
        <f>IF(T_EMPLOYEES[[#This Row],[EMPLOYEE NUMBER]]="","",IF(AND(T_EMPLOYEES[[#This Row],[START DATE]]&gt;0,T_EMPLOYEES[[#This Row],[START DATE]]&lt;TODAY()+60),0,1))</f>
        <v/>
      </c>
      <c r="AE305">
        <f>IF(T_EMPLOYEES[[#This Row],[EMPLOYEE NUMBER]]="","",MATCH(T_EMPLOYEES[[#This Row],[GENDER]],L_GENDER,0))</f>
        <v/>
      </c>
      <c r="AF305">
        <f>IF(T_EMPLOYEES[[#This Row],[EMPLOYEE NUMBER]]="","",MATCH(T_EMPLOYEES[[#This Row],[HIRE SOURCE]],L_HIRESOURCE,0))</f>
        <v/>
      </c>
      <c r="AG305">
        <f>IF(T_EMPLOYEES[[#This Row],[EMPLOYEE NUMBER]]="","",MATCH(T_EMPLOYEES[[#This Row],[ETHNICITY]],L_ETHNICITY,0))</f>
        <v/>
      </c>
      <c r="AH305">
        <f>IF(T_EMPLOYEES[[#This Row],[EMPLOYEE NUMBER]]="","",MATCH(T_EMPLOYEES[[#This Row],[LOCATION]],L_LOCATION,0))</f>
        <v/>
      </c>
      <c r="AI305">
        <f>IF(T_EMPLOYEES[[#This Row],[EMPLOYEE NUMBER]]="","",MATCH(T_EMPLOYEES[[#This Row],[DEPARTMENT]],L_DEPARTMENT,0))</f>
        <v/>
      </c>
      <c r="AJ305">
        <f>IF(T_EMPLOYEES[[#This Row],[EMPLOYEE NUMBER]]="","",MATCH(T_EMPLOYEES[[#This Row],[JOB TYPE]],L_JOBTYPE,0))</f>
        <v/>
      </c>
      <c r="AK305">
        <f>IF(T_EMPLOYEES[[#This Row],[EMPLOYEE NUMBER]]="","",MATCH(T_EMPLOYEES[[#This Row],[JOB CATEGORY]],L_JOBCATEGORY,0))</f>
        <v/>
      </c>
      <c r="AL305">
        <f>IF(T_EMPLOYEES[[#This Row],[EMPLOYEE NUMBER]]="","",MATCH(T_EMPLOYEES[[#This Row],[JOB LEVEL]],L_JOBLEVEL,0))</f>
        <v/>
      </c>
      <c r="AM305">
        <f>IF(T_EMPLOYEES[[#This Row],[EMPLOYEE NUMBER]]="","",MATCH(T_EMPLOYEES[[#This Row],[JOB TITLE]],L_JOBTITLE,0))</f>
        <v/>
      </c>
      <c r="AN305">
        <f>IF(T_EMPLOYEES[[#This Row],[EMPLOYEE NUMBER]]="","",MATCH(T_EMPLOYEES[[#This Row],[MANAGER]],L_EMPLABELS,0))</f>
        <v/>
      </c>
      <c r="AO305">
        <f>IF(T_EMPLOYEES[[#This Row],[EMPLOYEE NUMBER]]="","",IF(T_EMPLOYEES[[#This Row],[ERROR]]="",0,1))</f>
        <v/>
      </c>
      <c r="AP30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6">
      <c r="A306" t="inlineStr">
        <is>
          <t>Anusha</t>
        </is>
      </c>
      <c r="B306" t="inlineStr">
        <is>
          <t>Naik</t>
        </is>
      </c>
      <c r="C306" t="n">
        <v>1033497</v>
      </c>
      <c r="D306" t="inlineStr">
        <is>
          <t>Anusha.Naik@infinite.com</t>
        </is>
      </c>
      <c r="E306" s="26" t="n">
        <v>34866</v>
      </c>
      <c r="F306" s="26" t="n">
        <v>45177</v>
      </c>
      <c r="H306" t="inlineStr">
        <is>
          <t>Female</t>
        </is>
      </c>
      <c r="I306" t="inlineStr">
        <is>
          <t>Asian</t>
        </is>
      </c>
      <c r="J306" t="inlineStr">
        <is>
          <t>WEBSITE</t>
        </is>
      </c>
      <c r="K306" t="inlineStr">
        <is>
          <t>Bangalore</t>
        </is>
      </c>
      <c r="L306" s="27" t="inlineStr">
        <is>
          <t>IT</t>
        </is>
      </c>
      <c r="M306" t="inlineStr">
        <is>
          <t>Full-Time</t>
        </is>
      </c>
      <c r="N306" t="inlineStr">
        <is>
          <t>Senior Software Engineer</t>
        </is>
      </c>
      <c r="O306" t="inlineStr">
        <is>
          <t>E3</t>
        </is>
      </c>
      <c r="P306" t="inlineStr">
        <is>
          <t>Senior Software Engineer</t>
        </is>
      </c>
      <c r="Q306" t="inlineStr">
        <is>
          <t>Korivolla Umamahesh (1032896)</t>
        </is>
      </c>
      <c r="R306" s="27" t="n">
        <v>4</v>
      </c>
      <c r="S306" s="1" t="n">
        <v>250000</v>
      </c>
      <c r="T306" s="1">
        <f>ROUND(T_EMPLOYEES[[#This Row],[EMP_CTC1]]/12, 0)</f>
        <v/>
      </c>
      <c r="U306" s="1" t="n">
        <v>150000</v>
      </c>
      <c r="V306" s="1" t="inlineStr">
        <is>
          <t>ND</t>
        </is>
      </c>
      <c r="W306" s="1" t="inlineStr">
        <is>
          <t>ND</t>
        </is>
      </c>
      <c r="X30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6" t="n">
        <v>120000</v>
      </c>
      <c r="Z306" s="29">
        <f>(S306 - U306)/S306 * 100</f>
        <v/>
      </c>
      <c r="AA306">
        <f>IF(T_EMPLOYEES[[#This Row],[EMPLOYEE NUMBER]]="","",ROW(T_EMPLOYEES[[#This Row],[EMPLOYEE LABEL]])-ROW(T_EMPLOYEES[[#Headers],[EMPLOYEE LABEL]]))</f>
        <v/>
      </c>
      <c r="AB306">
        <f>IF(T_EMPLOYEES[[#This Row],[EMPLOYEE NUMBER]]="","",IF(COUNTIF(T_EMPLOYEES[EMPLOYEE NUMBER],T_EMPLOYEES[[#This Row],[EMPLOYEE NUMBER]])&gt;1,1,0))</f>
        <v/>
      </c>
      <c r="AC306">
        <f>IF(T_EMPLOYEES[[#This Row],[EMPLOYEE NUMBER]]="","",IF(AND(T_EMPLOYEES[[#This Row],[DATE OF BIRTH]]&gt;0,T_EMPLOYEES[[#This Row],[DATE OF BIRTH]]&lt;TODAY()),0,1))</f>
        <v/>
      </c>
      <c r="AD306">
        <f>IF(T_EMPLOYEES[[#This Row],[EMPLOYEE NUMBER]]="","",IF(AND(T_EMPLOYEES[[#This Row],[START DATE]]&gt;0,T_EMPLOYEES[[#This Row],[START DATE]]&lt;TODAY()+60),0,1))</f>
        <v/>
      </c>
      <c r="AE306">
        <f>IF(T_EMPLOYEES[[#This Row],[EMPLOYEE NUMBER]]="","",MATCH(T_EMPLOYEES[[#This Row],[GENDER]],L_GENDER,0))</f>
        <v/>
      </c>
      <c r="AF306">
        <f>IF(T_EMPLOYEES[[#This Row],[EMPLOYEE NUMBER]]="","",MATCH(T_EMPLOYEES[[#This Row],[HIRE SOURCE]],L_HIRESOURCE,0))</f>
        <v/>
      </c>
      <c r="AG306">
        <f>IF(T_EMPLOYEES[[#This Row],[EMPLOYEE NUMBER]]="","",MATCH(T_EMPLOYEES[[#This Row],[ETHNICITY]],L_ETHNICITY,0))</f>
        <v/>
      </c>
      <c r="AH306">
        <f>IF(T_EMPLOYEES[[#This Row],[EMPLOYEE NUMBER]]="","",MATCH(T_EMPLOYEES[[#This Row],[LOCATION]],L_LOCATION,0))</f>
        <v/>
      </c>
      <c r="AI306">
        <f>IF(T_EMPLOYEES[[#This Row],[EMPLOYEE NUMBER]]="","",MATCH(T_EMPLOYEES[[#This Row],[DEPARTMENT]],L_DEPARTMENT,0))</f>
        <v/>
      </c>
      <c r="AJ306">
        <f>IF(T_EMPLOYEES[[#This Row],[EMPLOYEE NUMBER]]="","",MATCH(T_EMPLOYEES[[#This Row],[JOB TYPE]],L_JOBTYPE,0))</f>
        <v/>
      </c>
      <c r="AK306">
        <f>IF(T_EMPLOYEES[[#This Row],[EMPLOYEE NUMBER]]="","",MATCH(T_EMPLOYEES[[#This Row],[JOB CATEGORY]],L_JOBCATEGORY,0))</f>
        <v/>
      </c>
      <c r="AL306">
        <f>IF(T_EMPLOYEES[[#This Row],[EMPLOYEE NUMBER]]="","",MATCH(T_EMPLOYEES[[#This Row],[JOB LEVEL]],L_JOBLEVEL,0))</f>
        <v/>
      </c>
      <c r="AM306">
        <f>IF(T_EMPLOYEES[[#This Row],[EMPLOYEE NUMBER]]="","",MATCH(T_EMPLOYEES[[#This Row],[JOB TITLE]],L_JOBTITLE,0))</f>
        <v/>
      </c>
      <c r="AN306">
        <f>IF(T_EMPLOYEES[[#This Row],[EMPLOYEE NUMBER]]="","",MATCH(T_EMPLOYEES[[#This Row],[MANAGER]],L_EMPLABELS,0))</f>
        <v/>
      </c>
      <c r="AO306">
        <f>IF(T_EMPLOYEES[[#This Row],[EMPLOYEE NUMBER]]="","",IF(T_EMPLOYEES[[#This Row],[ERROR]]="",0,1))</f>
        <v/>
      </c>
      <c r="AP30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7">
      <c r="A307" t="inlineStr">
        <is>
          <t>Veera</t>
        </is>
      </c>
      <c r="B307" t="inlineStr">
        <is>
          <t>Hema Chekkera</t>
        </is>
      </c>
      <c r="C307" t="n">
        <v>1019823</v>
      </c>
      <c r="D307" t="inlineStr">
        <is>
          <t>Veera.Chekkera@infinite.com</t>
        </is>
      </c>
      <c r="E307" s="26" t="n">
        <v>34872</v>
      </c>
      <c r="F307" s="26" t="n">
        <v>42998</v>
      </c>
      <c r="H307" t="inlineStr">
        <is>
          <t>Female</t>
        </is>
      </c>
      <c r="I307" t="inlineStr">
        <is>
          <t>Asian</t>
        </is>
      </c>
      <c r="J307" t="inlineStr">
        <is>
          <t>WEBSITE</t>
        </is>
      </c>
      <c r="K307" t="inlineStr">
        <is>
          <t>Hyderabad</t>
        </is>
      </c>
      <c r="L307" s="27" t="inlineStr">
        <is>
          <t>Cognos</t>
        </is>
      </c>
      <c r="M307" t="inlineStr">
        <is>
          <t>Full-Time</t>
        </is>
      </c>
      <c r="N307" t="inlineStr">
        <is>
          <t>Senior Software Engineer</t>
        </is>
      </c>
      <c r="O307" t="inlineStr">
        <is>
          <t>E3</t>
        </is>
      </c>
      <c r="P307" t="inlineStr">
        <is>
          <t>Senior Software Engineer</t>
        </is>
      </c>
      <c r="Q307" t="inlineStr">
        <is>
          <t>Peernayakgari Irfan Basha (1017291)</t>
        </is>
      </c>
      <c r="R307" t="n">
        <v>4</v>
      </c>
      <c r="S307" s="1" t="n">
        <v>250000</v>
      </c>
      <c r="T307" s="1">
        <f>ROUND(T_EMPLOYEES[[#This Row],[EMP_CTC1]]/12, 0)</f>
        <v/>
      </c>
      <c r="U307" s="1" t="n">
        <v>150000</v>
      </c>
      <c r="V307" s="1" t="inlineStr">
        <is>
          <t>ND</t>
        </is>
      </c>
      <c r="W307" s="1" t="inlineStr">
        <is>
          <t>ND</t>
        </is>
      </c>
      <c r="X30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7" t="n">
        <v>120000</v>
      </c>
      <c r="Z307" s="29">
        <f>(S307 - U307)/S307 * 100</f>
        <v/>
      </c>
      <c r="AA307">
        <f>IF(T_EMPLOYEES[[#This Row],[EMPLOYEE NUMBER]]="","",ROW(T_EMPLOYEES[[#This Row],[EMPLOYEE LABEL]])-ROW(T_EMPLOYEES[[#Headers],[EMPLOYEE LABEL]]))</f>
        <v/>
      </c>
      <c r="AB307">
        <f>IF(T_EMPLOYEES[[#This Row],[EMPLOYEE NUMBER]]="","",IF(COUNTIF(T_EMPLOYEES[EMPLOYEE NUMBER],T_EMPLOYEES[[#This Row],[EMPLOYEE NUMBER]])&gt;1,1,0))</f>
        <v/>
      </c>
      <c r="AC307">
        <f>IF(T_EMPLOYEES[[#This Row],[EMPLOYEE NUMBER]]="","",IF(AND(T_EMPLOYEES[[#This Row],[DATE OF BIRTH]]&gt;0,T_EMPLOYEES[[#This Row],[DATE OF BIRTH]]&lt;TODAY()),0,1))</f>
        <v/>
      </c>
      <c r="AD307">
        <f>IF(T_EMPLOYEES[[#This Row],[EMPLOYEE NUMBER]]="","",IF(AND(T_EMPLOYEES[[#This Row],[START DATE]]&gt;0,T_EMPLOYEES[[#This Row],[START DATE]]&lt;TODAY()+60),0,1))</f>
        <v/>
      </c>
      <c r="AE307">
        <f>IF(T_EMPLOYEES[[#This Row],[EMPLOYEE NUMBER]]="","",MATCH(T_EMPLOYEES[[#This Row],[GENDER]],L_GENDER,0))</f>
        <v/>
      </c>
      <c r="AF307">
        <f>IF(T_EMPLOYEES[[#This Row],[EMPLOYEE NUMBER]]="","",MATCH(T_EMPLOYEES[[#This Row],[HIRE SOURCE]],L_HIRESOURCE,0))</f>
        <v/>
      </c>
      <c r="AG307">
        <f>IF(T_EMPLOYEES[[#This Row],[EMPLOYEE NUMBER]]="","",MATCH(T_EMPLOYEES[[#This Row],[ETHNICITY]],L_ETHNICITY,0))</f>
        <v/>
      </c>
      <c r="AH307">
        <f>IF(T_EMPLOYEES[[#This Row],[EMPLOYEE NUMBER]]="","",MATCH(T_EMPLOYEES[[#This Row],[LOCATION]],L_LOCATION,0))</f>
        <v/>
      </c>
      <c r="AI307">
        <f>IF(T_EMPLOYEES[[#This Row],[EMPLOYEE NUMBER]]="","",MATCH(T_EMPLOYEES[[#This Row],[DEPARTMENT]],L_DEPARTMENT,0))</f>
        <v/>
      </c>
      <c r="AJ307">
        <f>IF(T_EMPLOYEES[[#This Row],[EMPLOYEE NUMBER]]="","",MATCH(T_EMPLOYEES[[#This Row],[JOB TYPE]],L_JOBTYPE,0))</f>
        <v/>
      </c>
      <c r="AK307">
        <f>IF(T_EMPLOYEES[[#This Row],[EMPLOYEE NUMBER]]="","",MATCH(T_EMPLOYEES[[#This Row],[JOB CATEGORY]],L_JOBCATEGORY,0))</f>
        <v/>
      </c>
      <c r="AL307">
        <f>IF(T_EMPLOYEES[[#This Row],[EMPLOYEE NUMBER]]="","",MATCH(T_EMPLOYEES[[#This Row],[JOB LEVEL]],L_JOBLEVEL,0))</f>
        <v/>
      </c>
      <c r="AM307">
        <f>IF(T_EMPLOYEES[[#This Row],[EMPLOYEE NUMBER]]="","",MATCH(T_EMPLOYEES[[#This Row],[JOB TITLE]],L_JOBTITLE,0))</f>
        <v/>
      </c>
      <c r="AN307">
        <f>IF(T_EMPLOYEES[[#This Row],[EMPLOYEE NUMBER]]="","",MATCH(T_EMPLOYEES[[#This Row],[MANAGER]],L_EMPLABELS,0))</f>
        <v/>
      </c>
      <c r="AO307">
        <f>IF(T_EMPLOYEES[[#This Row],[EMPLOYEE NUMBER]]="","",IF(T_EMPLOYEES[[#This Row],[ERROR]]="",0,1))</f>
        <v/>
      </c>
      <c r="AP30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8">
      <c r="A308" t="inlineStr">
        <is>
          <t>Aditya</t>
        </is>
      </c>
      <c r="B308" t="inlineStr">
        <is>
          <t>Pachori</t>
        </is>
      </c>
      <c r="C308" t="n">
        <v>1031049</v>
      </c>
      <c r="D308" t="inlineStr">
        <is>
          <t>Aditya.Pachori@infinite.com</t>
        </is>
      </c>
      <c r="E308" s="26" t="n">
        <v>34873</v>
      </c>
      <c r="F308" s="26" t="n">
        <v>44889</v>
      </c>
      <c r="H308" t="inlineStr">
        <is>
          <t>Male</t>
        </is>
      </c>
      <c r="I308" t="inlineStr">
        <is>
          <t>Asian</t>
        </is>
      </c>
      <c r="J308" t="inlineStr">
        <is>
          <t>WEBSITE</t>
        </is>
      </c>
      <c r="K308" t="inlineStr">
        <is>
          <t>Bangalore</t>
        </is>
      </c>
      <c r="L308" s="27" t="inlineStr">
        <is>
          <t>Core</t>
        </is>
      </c>
      <c r="M308" t="inlineStr">
        <is>
          <t>Full-Time</t>
        </is>
      </c>
      <c r="N308" t="inlineStr">
        <is>
          <t>Associate Software Engineer</t>
        </is>
      </c>
      <c r="O308" t="inlineStr">
        <is>
          <t>E1</t>
        </is>
      </c>
      <c r="P308" t="inlineStr">
        <is>
          <t>Associate Software Engineer</t>
        </is>
      </c>
      <c r="Q308" t="inlineStr">
        <is>
          <t>Anil Kumar Khamari (1013201)</t>
        </is>
      </c>
      <c r="R308" s="27" t="n">
        <v>0</v>
      </c>
      <c r="S308" s="1" t="n">
        <v>250000</v>
      </c>
      <c r="T308" s="1">
        <f>ROUND(T_EMPLOYEES[[#This Row],[EMP_CTC1]]/12, 0)</f>
        <v/>
      </c>
      <c r="U308" s="1" t="n">
        <v>150000</v>
      </c>
      <c r="V308" s="1" t="inlineStr">
        <is>
          <t>ND</t>
        </is>
      </c>
      <c r="W308" s="1" t="inlineStr">
        <is>
          <t>ND</t>
        </is>
      </c>
      <c r="X30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8" t="n">
        <v>120000</v>
      </c>
      <c r="Z308" s="29">
        <f>(S308 - U308)/S308 * 100</f>
        <v/>
      </c>
      <c r="AA308">
        <f>IF(T_EMPLOYEES[[#This Row],[EMPLOYEE NUMBER]]="","",ROW(T_EMPLOYEES[[#This Row],[EMPLOYEE LABEL]])-ROW(T_EMPLOYEES[[#Headers],[EMPLOYEE LABEL]]))</f>
        <v/>
      </c>
      <c r="AB308">
        <f>IF(T_EMPLOYEES[[#This Row],[EMPLOYEE NUMBER]]="","",IF(COUNTIF(T_EMPLOYEES[EMPLOYEE NUMBER],T_EMPLOYEES[[#This Row],[EMPLOYEE NUMBER]])&gt;1,1,0))</f>
        <v/>
      </c>
      <c r="AC308">
        <f>IF(T_EMPLOYEES[[#This Row],[EMPLOYEE NUMBER]]="","",IF(AND(T_EMPLOYEES[[#This Row],[DATE OF BIRTH]]&gt;0,T_EMPLOYEES[[#This Row],[DATE OF BIRTH]]&lt;TODAY()),0,1))</f>
        <v/>
      </c>
      <c r="AD308">
        <f>IF(T_EMPLOYEES[[#This Row],[EMPLOYEE NUMBER]]="","",IF(AND(T_EMPLOYEES[[#This Row],[START DATE]]&gt;0,T_EMPLOYEES[[#This Row],[START DATE]]&lt;TODAY()+60),0,1))</f>
        <v/>
      </c>
      <c r="AE308">
        <f>IF(T_EMPLOYEES[[#This Row],[EMPLOYEE NUMBER]]="","",MATCH(T_EMPLOYEES[[#This Row],[GENDER]],L_GENDER,0))</f>
        <v/>
      </c>
      <c r="AF308">
        <f>IF(T_EMPLOYEES[[#This Row],[EMPLOYEE NUMBER]]="","",MATCH(T_EMPLOYEES[[#This Row],[HIRE SOURCE]],L_HIRESOURCE,0))</f>
        <v/>
      </c>
      <c r="AG308">
        <f>IF(T_EMPLOYEES[[#This Row],[EMPLOYEE NUMBER]]="","",MATCH(T_EMPLOYEES[[#This Row],[ETHNICITY]],L_ETHNICITY,0))</f>
        <v/>
      </c>
      <c r="AH308">
        <f>IF(T_EMPLOYEES[[#This Row],[EMPLOYEE NUMBER]]="","",MATCH(T_EMPLOYEES[[#This Row],[LOCATION]],L_LOCATION,0))</f>
        <v/>
      </c>
      <c r="AI308">
        <f>IF(T_EMPLOYEES[[#This Row],[EMPLOYEE NUMBER]]="","",MATCH(T_EMPLOYEES[[#This Row],[DEPARTMENT]],L_DEPARTMENT,0))</f>
        <v/>
      </c>
      <c r="AJ308">
        <f>IF(T_EMPLOYEES[[#This Row],[EMPLOYEE NUMBER]]="","",MATCH(T_EMPLOYEES[[#This Row],[JOB TYPE]],L_JOBTYPE,0))</f>
        <v/>
      </c>
      <c r="AK308">
        <f>IF(T_EMPLOYEES[[#This Row],[EMPLOYEE NUMBER]]="","",MATCH(T_EMPLOYEES[[#This Row],[JOB CATEGORY]],L_JOBCATEGORY,0))</f>
        <v/>
      </c>
      <c r="AL308">
        <f>IF(T_EMPLOYEES[[#This Row],[EMPLOYEE NUMBER]]="","",MATCH(T_EMPLOYEES[[#This Row],[JOB LEVEL]],L_JOBLEVEL,0))</f>
        <v/>
      </c>
      <c r="AM308">
        <f>IF(T_EMPLOYEES[[#This Row],[EMPLOYEE NUMBER]]="","",MATCH(T_EMPLOYEES[[#This Row],[JOB TITLE]],L_JOBTITLE,0))</f>
        <v/>
      </c>
      <c r="AN308">
        <f>IF(T_EMPLOYEES[[#This Row],[EMPLOYEE NUMBER]]="","",MATCH(T_EMPLOYEES[[#This Row],[MANAGER]],L_EMPLABELS,0))</f>
        <v/>
      </c>
      <c r="AO308">
        <f>IF(T_EMPLOYEES[[#This Row],[EMPLOYEE NUMBER]]="","",IF(T_EMPLOYEES[[#This Row],[ERROR]]="",0,1))</f>
        <v/>
      </c>
      <c r="AP30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09">
      <c r="A309" t="inlineStr">
        <is>
          <t>Cijo</t>
        </is>
      </c>
      <c r="B309" t="inlineStr">
        <is>
          <t>M</t>
        </is>
      </c>
      <c r="C309" t="n">
        <v>1028754</v>
      </c>
      <c r="D309" t="inlineStr">
        <is>
          <t>Cijo.Mohan@infinite.com</t>
        </is>
      </c>
      <c r="E309" s="26" t="n">
        <v>34889</v>
      </c>
      <c r="F309" s="26" t="n">
        <v>44655</v>
      </c>
      <c r="H309" t="inlineStr">
        <is>
          <t>Male</t>
        </is>
      </c>
      <c r="I309" t="inlineStr">
        <is>
          <t>Asian</t>
        </is>
      </c>
      <c r="J309" t="inlineStr">
        <is>
          <t>WEBSITE</t>
        </is>
      </c>
      <c r="K309" t="inlineStr">
        <is>
          <t>Bangalore</t>
        </is>
      </c>
      <c r="L309" s="27" t="inlineStr">
        <is>
          <t>IT</t>
        </is>
      </c>
      <c r="M309" t="inlineStr">
        <is>
          <t>Full-Time</t>
        </is>
      </c>
      <c r="N309" t="inlineStr">
        <is>
          <t>Associate Support Engineer</t>
        </is>
      </c>
      <c r="O309" t="inlineStr">
        <is>
          <t>E1</t>
        </is>
      </c>
      <c r="P309" t="inlineStr">
        <is>
          <t>Associate Support Engineer</t>
        </is>
      </c>
      <c r="Q309" t="inlineStr">
        <is>
          <t>Neha  Rajput (1020112)</t>
        </is>
      </c>
      <c r="R309" t="n">
        <v>0</v>
      </c>
      <c r="S309" s="1" t="n">
        <v>250000</v>
      </c>
      <c r="T309" s="1">
        <f>ROUND(T_EMPLOYEES[[#This Row],[EMP_CTC1]]/12, 0)</f>
        <v/>
      </c>
      <c r="U309" s="1" t="n">
        <v>150000</v>
      </c>
      <c r="V309" s="1" t="inlineStr">
        <is>
          <t>ND</t>
        </is>
      </c>
      <c r="W309" s="1" t="inlineStr">
        <is>
          <t>ND</t>
        </is>
      </c>
      <c r="X30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09" t="n">
        <v>120000</v>
      </c>
      <c r="Z309" s="29">
        <f>(S309 - U309)/S309 * 100</f>
        <v/>
      </c>
      <c r="AA309">
        <f>IF(T_EMPLOYEES[[#This Row],[EMPLOYEE NUMBER]]="","",ROW(T_EMPLOYEES[[#This Row],[EMPLOYEE LABEL]])-ROW(T_EMPLOYEES[[#Headers],[EMPLOYEE LABEL]]))</f>
        <v/>
      </c>
      <c r="AB309">
        <f>IF(T_EMPLOYEES[[#This Row],[EMPLOYEE NUMBER]]="","",IF(COUNTIF(T_EMPLOYEES[EMPLOYEE NUMBER],T_EMPLOYEES[[#This Row],[EMPLOYEE NUMBER]])&gt;1,1,0))</f>
        <v/>
      </c>
      <c r="AC309">
        <f>IF(T_EMPLOYEES[[#This Row],[EMPLOYEE NUMBER]]="","",IF(AND(T_EMPLOYEES[[#This Row],[DATE OF BIRTH]]&gt;0,T_EMPLOYEES[[#This Row],[DATE OF BIRTH]]&lt;TODAY()),0,1))</f>
        <v/>
      </c>
      <c r="AD309">
        <f>IF(T_EMPLOYEES[[#This Row],[EMPLOYEE NUMBER]]="","",IF(AND(T_EMPLOYEES[[#This Row],[START DATE]]&gt;0,T_EMPLOYEES[[#This Row],[START DATE]]&lt;TODAY()+60),0,1))</f>
        <v/>
      </c>
      <c r="AE309">
        <f>IF(T_EMPLOYEES[[#This Row],[EMPLOYEE NUMBER]]="","",MATCH(T_EMPLOYEES[[#This Row],[GENDER]],L_GENDER,0))</f>
        <v/>
      </c>
      <c r="AF309">
        <f>IF(T_EMPLOYEES[[#This Row],[EMPLOYEE NUMBER]]="","",MATCH(T_EMPLOYEES[[#This Row],[HIRE SOURCE]],L_HIRESOURCE,0))</f>
        <v/>
      </c>
      <c r="AG309">
        <f>IF(T_EMPLOYEES[[#This Row],[EMPLOYEE NUMBER]]="","",MATCH(T_EMPLOYEES[[#This Row],[ETHNICITY]],L_ETHNICITY,0))</f>
        <v/>
      </c>
      <c r="AH309">
        <f>IF(T_EMPLOYEES[[#This Row],[EMPLOYEE NUMBER]]="","",MATCH(T_EMPLOYEES[[#This Row],[LOCATION]],L_LOCATION,0))</f>
        <v/>
      </c>
      <c r="AI309">
        <f>IF(T_EMPLOYEES[[#This Row],[EMPLOYEE NUMBER]]="","",MATCH(T_EMPLOYEES[[#This Row],[DEPARTMENT]],L_DEPARTMENT,0))</f>
        <v/>
      </c>
      <c r="AJ309">
        <f>IF(T_EMPLOYEES[[#This Row],[EMPLOYEE NUMBER]]="","",MATCH(T_EMPLOYEES[[#This Row],[JOB TYPE]],L_JOBTYPE,0))</f>
        <v/>
      </c>
      <c r="AK309">
        <f>IF(T_EMPLOYEES[[#This Row],[EMPLOYEE NUMBER]]="","",MATCH(T_EMPLOYEES[[#This Row],[JOB CATEGORY]],L_JOBCATEGORY,0))</f>
        <v/>
      </c>
      <c r="AL309">
        <f>IF(T_EMPLOYEES[[#This Row],[EMPLOYEE NUMBER]]="","",MATCH(T_EMPLOYEES[[#This Row],[JOB LEVEL]],L_JOBLEVEL,0))</f>
        <v/>
      </c>
      <c r="AM309">
        <f>IF(T_EMPLOYEES[[#This Row],[EMPLOYEE NUMBER]]="","",MATCH(T_EMPLOYEES[[#This Row],[JOB TITLE]],L_JOBTITLE,0))</f>
        <v/>
      </c>
      <c r="AN309">
        <f>IF(T_EMPLOYEES[[#This Row],[EMPLOYEE NUMBER]]="","",MATCH(T_EMPLOYEES[[#This Row],[MANAGER]],L_EMPLABELS,0))</f>
        <v/>
      </c>
      <c r="AO309">
        <f>IF(T_EMPLOYEES[[#This Row],[EMPLOYEE NUMBER]]="","",IF(T_EMPLOYEES[[#This Row],[ERROR]]="",0,1))</f>
        <v/>
      </c>
      <c r="AP30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0">
      <c r="A310" t="inlineStr">
        <is>
          <t>Asha</t>
        </is>
      </c>
      <c r="B310" t="inlineStr">
        <is>
          <t xml:space="preserve"> Nadendla</t>
        </is>
      </c>
      <c r="C310" t="n">
        <v>1024656</v>
      </c>
      <c r="D310" t="inlineStr">
        <is>
          <t>Asha.Nadendla@infinite.com</t>
        </is>
      </c>
      <c r="E310" s="26" t="n">
        <v>34890</v>
      </c>
      <c r="F310" s="26" t="n">
        <v>44252</v>
      </c>
      <c r="H310" t="inlineStr">
        <is>
          <t>Female</t>
        </is>
      </c>
      <c r="I310" t="inlineStr">
        <is>
          <t>Asian</t>
        </is>
      </c>
      <c r="J310" t="inlineStr">
        <is>
          <t>WEBSITE</t>
        </is>
      </c>
      <c r="K310" t="inlineStr">
        <is>
          <t>Bangalore</t>
        </is>
      </c>
      <c r="L310" s="27" t="inlineStr">
        <is>
          <t>IT</t>
        </is>
      </c>
      <c r="M310" t="inlineStr">
        <is>
          <t>Full-Time</t>
        </is>
      </c>
      <c r="N310" t="inlineStr">
        <is>
          <t>Senior Software Engineer</t>
        </is>
      </c>
      <c r="O310" t="inlineStr">
        <is>
          <t>E3</t>
        </is>
      </c>
      <c r="P310" t="inlineStr">
        <is>
          <t>Senior Software Engineer</t>
        </is>
      </c>
      <c r="Q310" t="inlineStr">
        <is>
          <t>Siddharth Kumar (1027551)</t>
        </is>
      </c>
      <c r="R310" s="27" t="n">
        <v>4</v>
      </c>
      <c r="S310" s="1" t="n">
        <v>250000</v>
      </c>
      <c r="T310" s="1">
        <f>ROUND(T_EMPLOYEES[[#This Row],[EMP_CTC1]]/12, 0)</f>
        <v/>
      </c>
      <c r="U310" s="1" t="n">
        <v>150000</v>
      </c>
      <c r="V310" s="1" t="inlineStr">
        <is>
          <t>ND</t>
        </is>
      </c>
      <c r="W310" s="1" t="inlineStr">
        <is>
          <t>ND</t>
        </is>
      </c>
      <c r="X31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0" t="n">
        <v>120000</v>
      </c>
      <c r="Z310" s="29">
        <f>(S310 - U310)/S310 * 100</f>
        <v/>
      </c>
      <c r="AA310">
        <f>IF(T_EMPLOYEES[[#This Row],[EMPLOYEE NUMBER]]="","",ROW(T_EMPLOYEES[[#This Row],[EMPLOYEE LABEL]])-ROW(T_EMPLOYEES[[#Headers],[EMPLOYEE LABEL]]))</f>
        <v/>
      </c>
      <c r="AB310">
        <f>IF(T_EMPLOYEES[[#This Row],[EMPLOYEE NUMBER]]="","",IF(COUNTIF(T_EMPLOYEES[EMPLOYEE NUMBER],T_EMPLOYEES[[#This Row],[EMPLOYEE NUMBER]])&gt;1,1,0))</f>
        <v/>
      </c>
      <c r="AC310">
        <f>IF(T_EMPLOYEES[[#This Row],[EMPLOYEE NUMBER]]="","",IF(AND(T_EMPLOYEES[[#This Row],[DATE OF BIRTH]]&gt;0,T_EMPLOYEES[[#This Row],[DATE OF BIRTH]]&lt;TODAY()),0,1))</f>
        <v/>
      </c>
      <c r="AD310">
        <f>IF(T_EMPLOYEES[[#This Row],[EMPLOYEE NUMBER]]="","",IF(AND(T_EMPLOYEES[[#This Row],[START DATE]]&gt;0,T_EMPLOYEES[[#This Row],[START DATE]]&lt;TODAY()+60),0,1))</f>
        <v/>
      </c>
      <c r="AE310">
        <f>IF(T_EMPLOYEES[[#This Row],[EMPLOYEE NUMBER]]="","",MATCH(T_EMPLOYEES[[#This Row],[GENDER]],L_GENDER,0))</f>
        <v/>
      </c>
      <c r="AF310">
        <f>IF(T_EMPLOYEES[[#This Row],[EMPLOYEE NUMBER]]="","",MATCH(T_EMPLOYEES[[#This Row],[HIRE SOURCE]],L_HIRESOURCE,0))</f>
        <v/>
      </c>
      <c r="AG310">
        <f>IF(T_EMPLOYEES[[#This Row],[EMPLOYEE NUMBER]]="","",MATCH(T_EMPLOYEES[[#This Row],[ETHNICITY]],L_ETHNICITY,0))</f>
        <v/>
      </c>
      <c r="AH310">
        <f>IF(T_EMPLOYEES[[#This Row],[EMPLOYEE NUMBER]]="","",MATCH(T_EMPLOYEES[[#This Row],[LOCATION]],L_LOCATION,0))</f>
        <v/>
      </c>
      <c r="AI310">
        <f>IF(T_EMPLOYEES[[#This Row],[EMPLOYEE NUMBER]]="","",MATCH(T_EMPLOYEES[[#This Row],[DEPARTMENT]],L_DEPARTMENT,0))</f>
        <v/>
      </c>
      <c r="AJ310">
        <f>IF(T_EMPLOYEES[[#This Row],[EMPLOYEE NUMBER]]="","",MATCH(T_EMPLOYEES[[#This Row],[JOB TYPE]],L_JOBTYPE,0))</f>
        <v/>
      </c>
      <c r="AK310">
        <f>IF(T_EMPLOYEES[[#This Row],[EMPLOYEE NUMBER]]="","",MATCH(T_EMPLOYEES[[#This Row],[JOB CATEGORY]],L_JOBCATEGORY,0))</f>
        <v/>
      </c>
      <c r="AL310">
        <f>IF(T_EMPLOYEES[[#This Row],[EMPLOYEE NUMBER]]="","",MATCH(T_EMPLOYEES[[#This Row],[JOB LEVEL]],L_JOBLEVEL,0))</f>
        <v/>
      </c>
      <c r="AM310">
        <f>IF(T_EMPLOYEES[[#This Row],[EMPLOYEE NUMBER]]="","",MATCH(T_EMPLOYEES[[#This Row],[JOB TITLE]],L_JOBTITLE,0))</f>
        <v/>
      </c>
      <c r="AN310">
        <f>IF(T_EMPLOYEES[[#This Row],[EMPLOYEE NUMBER]]="","",MATCH(T_EMPLOYEES[[#This Row],[MANAGER]],L_EMPLABELS,0))</f>
        <v/>
      </c>
      <c r="AO310">
        <f>IF(T_EMPLOYEES[[#This Row],[EMPLOYEE NUMBER]]="","",IF(T_EMPLOYEES[[#This Row],[ERROR]]="",0,1))</f>
        <v/>
      </c>
      <c r="AP31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10" t="inlineStr">
        <is>
          <t>Provider</t>
        </is>
      </c>
    </row>
    <row r="311">
      <c r="A311" t="inlineStr">
        <is>
          <t>Priya</t>
        </is>
      </c>
      <c r="B311" t="inlineStr">
        <is>
          <t>B U</t>
        </is>
      </c>
      <c r="C311" t="n">
        <v>1031875</v>
      </c>
      <c r="D311" t="inlineStr">
        <is>
          <t>Priya.Bu@infinite.com</t>
        </is>
      </c>
      <c r="E311" s="26" t="n">
        <v>34901</v>
      </c>
      <c r="F311" s="26" t="n">
        <v>44914</v>
      </c>
      <c r="H311" t="inlineStr">
        <is>
          <t>Female</t>
        </is>
      </c>
      <c r="I311" t="inlineStr">
        <is>
          <t>Asian</t>
        </is>
      </c>
      <c r="J311" t="inlineStr">
        <is>
          <t>WEBSITE</t>
        </is>
      </c>
      <c r="K311" t="inlineStr">
        <is>
          <t>Hyderabad</t>
        </is>
      </c>
      <c r="L311" s="27" t="inlineStr">
        <is>
          <t>IT</t>
        </is>
      </c>
      <c r="M311" t="inlineStr">
        <is>
          <t>Full-Time</t>
        </is>
      </c>
      <c r="N311" t="inlineStr">
        <is>
          <t>Senior Software Test Engineer</t>
        </is>
      </c>
      <c r="O311" t="inlineStr">
        <is>
          <t>E3</t>
        </is>
      </c>
      <c r="P311" t="inlineStr">
        <is>
          <t>Senior Software Test Engineer</t>
        </is>
      </c>
      <c r="Q311" t="inlineStr">
        <is>
          <t>Prabhakar Janardhanam (1031867)</t>
        </is>
      </c>
      <c r="R311" t="n">
        <v>4</v>
      </c>
      <c r="S311" s="1" t="n">
        <v>250000</v>
      </c>
      <c r="T311" s="1">
        <f>ROUND(T_EMPLOYEES[[#This Row],[EMP_CTC1]]/12, 0)</f>
        <v/>
      </c>
      <c r="U311" s="1" t="n">
        <v>150000</v>
      </c>
      <c r="V311" s="1" t="inlineStr">
        <is>
          <t>ND</t>
        </is>
      </c>
      <c r="W311" s="1" t="inlineStr">
        <is>
          <t>ND</t>
        </is>
      </c>
      <c r="X31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1" t="n">
        <v>120000</v>
      </c>
      <c r="Z311" s="29">
        <f>(S311 - U311)/S311 * 100</f>
        <v/>
      </c>
      <c r="AA311">
        <f>IF(T_EMPLOYEES[[#This Row],[EMPLOYEE NUMBER]]="","",ROW(T_EMPLOYEES[[#This Row],[EMPLOYEE LABEL]])-ROW(T_EMPLOYEES[[#Headers],[EMPLOYEE LABEL]]))</f>
        <v/>
      </c>
      <c r="AB311">
        <f>IF(T_EMPLOYEES[[#This Row],[EMPLOYEE NUMBER]]="","",IF(COUNTIF(T_EMPLOYEES[EMPLOYEE NUMBER],T_EMPLOYEES[[#This Row],[EMPLOYEE NUMBER]])&gt;1,1,0))</f>
        <v/>
      </c>
      <c r="AC311">
        <f>IF(T_EMPLOYEES[[#This Row],[EMPLOYEE NUMBER]]="","",IF(AND(T_EMPLOYEES[[#This Row],[DATE OF BIRTH]]&gt;0,T_EMPLOYEES[[#This Row],[DATE OF BIRTH]]&lt;TODAY()),0,1))</f>
        <v/>
      </c>
      <c r="AD311">
        <f>IF(T_EMPLOYEES[[#This Row],[EMPLOYEE NUMBER]]="","",IF(AND(T_EMPLOYEES[[#This Row],[START DATE]]&gt;0,T_EMPLOYEES[[#This Row],[START DATE]]&lt;TODAY()+60),0,1))</f>
        <v/>
      </c>
      <c r="AE311">
        <f>IF(T_EMPLOYEES[[#This Row],[EMPLOYEE NUMBER]]="","",MATCH(T_EMPLOYEES[[#This Row],[GENDER]],L_GENDER,0))</f>
        <v/>
      </c>
      <c r="AF311">
        <f>IF(T_EMPLOYEES[[#This Row],[EMPLOYEE NUMBER]]="","",MATCH(T_EMPLOYEES[[#This Row],[HIRE SOURCE]],L_HIRESOURCE,0))</f>
        <v/>
      </c>
      <c r="AG311">
        <f>IF(T_EMPLOYEES[[#This Row],[EMPLOYEE NUMBER]]="","",MATCH(T_EMPLOYEES[[#This Row],[ETHNICITY]],L_ETHNICITY,0))</f>
        <v/>
      </c>
      <c r="AH311">
        <f>IF(T_EMPLOYEES[[#This Row],[EMPLOYEE NUMBER]]="","",MATCH(T_EMPLOYEES[[#This Row],[LOCATION]],L_LOCATION,0))</f>
        <v/>
      </c>
      <c r="AI311">
        <f>IF(T_EMPLOYEES[[#This Row],[EMPLOYEE NUMBER]]="","",MATCH(T_EMPLOYEES[[#This Row],[DEPARTMENT]],L_DEPARTMENT,0))</f>
        <v/>
      </c>
      <c r="AJ311">
        <f>IF(T_EMPLOYEES[[#This Row],[EMPLOYEE NUMBER]]="","",MATCH(T_EMPLOYEES[[#This Row],[JOB TYPE]],L_JOBTYPE,0))</f>
        <v/>
      </c>
      <c r="AK311">
        <f>IF(T_EMPLOYEES[[#This Row],[EMPLOYEE NUMBER]]="","",MATCH(T_EMPLOYEES[[#This Row],[JOB CATEGORY]],L_JOBCATEGORY,0))</f>
        <v/>
      </c>
      <c r="AL311">
        <f>IF(T_EMPLOYEES[[#This Row],[EMPLOYEE NUMBER]]="","",MATCH(T_EMPLOYEES[[#This Row],[JOB LEVEL]],L_JOBLEVEL,0))</f>
        <v/>
      </c>
      <c r="AM311">
        <f>IF(T_EMPLOYEES[[#This Row],[EMPLOYEE NUMBER]]="","",MATCH(T_EMPLOYEES[[#This Row],[JOB TITLE]],L_JOBTITLE,0))</f>
        <v/>
      </c>
      <c r="AN311">
        <f>IF(T_EMPLOYEES[[#This Row],[EMPLOYEE NUMBER]]="","",MATCH(T_EMPLOYEES[[#This Row],[MANAGER]],L_EMPLABELS,0))</f>
        <v/>
      </c>
      <c r="AO311">
        <f>IF(T_EMPLOYEES[[#This Row],[EMPLOYEE NUMBER]]="","",IF(T_EMPLOYEES[[#This Row],[ERROR]]="",0,1))</f>
        <v/>
      </c>
      <c r="AP31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2">
      <c r="A312" t="inlineStr">
        <is>
          <t>Chetan</t>
        </is>
      </c>
      <c r="B312" t="inlineStr">
        <is>
          <t>Dattatray Chavan</t>
        </is>
      </c>
      <c r="C312" t="n">
        <v>1031088</v>
      </c>
      <c r="D312" t="inlineStr">
        <is>
          <t>Chetan.Chavan@infinite.com</t>
        </is>
      </c>
      <c r="E312" s="26" t="n">
        <v>34903</v>
      </c>
      <c r="F312" s="26" t="n">
        <v>44889</v>
      </c>
      <c r="H312" t="inlineStr">
        <is>
          <t>Male</t>
        </is>
      </c>
      <c r="I312" t="inlineStr">
        <is>
          <t>Asian</t>
        </is>
      </c>
      <c r="J312" t="inlineStr">
        <is>
          <t>WEBSITE</t>
        </is>
      </c>
      <c r="K312" t="inlineStr">
        <is>
          <t>Hyderabad</t>
        </is>
      </c>
      <c r="L312" s="27" t="inlineStr">
        <is>
          <t>Core</t>
        </is>
      </c>
      <c r="M312" t="inlineStr">
        <is>
          <t>Full-Time</t>
        </is>
      </c>
      <c r="N312" t="inlineStr">
        <is>
          <t>Associate Software Engineer</t>
        </is>
      </c>
      <c r="O312" t="inlineStr">
        <is>
          <t>E1</t>
        </is>
      </c>
      <c r="P312" t="inlineStr">
        <is>
          <t>Associate Software Engineer</t>
        </is>
      </c>
      <c r="Q312" t="inlineStr">
        <is>
          <t>Anil Kumar Khamari (1013201)</t>
        </is>
      </c>
      <c r="R312" s="27" t="n">
        <v>0</v>
      </c>
      <c r="S312" s="1" t="n">
        <v>250000</v>
      </c>
      <c r="T312" s="1">
        <f>ROUND(T_EMPLOYEES[[#This Row],[EMP_CTC1]]/12, 0)</f>
        <v/>
      </c>
      <c r="U312" s="1" t="n">
        <v>150000</v>
      </c>
      <c r="V312" s="1" t="inlineStr">
        <is>
          <t>ND</t>
        </is>
      </c>
      <c r="W312" s="1" t="inlineStr">
        <is>
          <t>ND</t>
        </is>
      </c>
      <c r="X31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2" t="n">
        <v>120000</v>
      </c>
      <c r="Z312" s="29">
        <f>(S312 - U312)/S312 * 100</f>
        <v/>
      </c>
      <c r="AA312">
        <f>IF(T_EMPLOYEES[[#This Row],[EMPLOYEE NUMBER]]="","",ROW(T_EMPLOYEES[[#This Row],[EMPLOYEE LABEL]])-ROW(T_EMPLOYEES[[#Headers],[EMPLOYEE LABEL]]))</f>
        <v/>
      </c>
      <c r="AB312">
        <f>IF(T_EMPLOYEES[[#This Row],[EMPLOYEE NUMBER]]="","",IF(COUNTIF(T_EMPLOYEES[EMPLOYEE NUMBER],T_EMPLOYEES[[#This Row],[EMPLOYEE NUMBER]])&gt;1,1,0))</f>
        <v/>
      </c>
      <c r="AC312">
        <f>IF(T_EMPLOYEES[[#This Row],[EMPLOYEE NUMBER]]="","",IF(AND(T_EMPLOYEES[[#This Row],[DATE OF BIRTH]]&gt;0,T_EMPLOYEES[[#This Row],[DATE OF BIRTH]]&lt;TODAY()),0,1))</f>
        <v/>
      </c>
      <c r="AD312">
        <f>IF(T_EMPLOYEES[[#This Row],[EMPLOYEE NUMBER]]="","",IF(AND(T_EMPLOYEES[[#This Row],[START DATE]]&gt;0,T_EMPLOYEES[[#This Row],[START DATE]]&lt;TODAY()+60),0,1))</f>
        <v/>
      </c>
      <c r="AE312">
        <f>IF(T_EMPLOYEES[[#This Row],[EMPLOYEE NUMBER]]="","",MATCH(T_EMPLOYEES[[#This Row],[GENDER]],L_GENDER,0))</f>
        <v/>
      </c>
      <c r="AF312">
        <f>IF(T_EMPLOYEES[[#This Row],[EMPLOYEE NUMBER]]="","",MATCH(T_EMPLOYEES[[#This Row],[HIRE SOURCE]],L_HIRESOURCE,0))</f>
        <v/>
      </c>
      <c r="AG312">
        <f>IF(T_EMPLOYEES[[#This Row],[EMPLOYEE NUMBER]]="","",MATCH(T_EMPLOYEES[[#This Row],[ETHNICITY]],L_ETHNICITY,0))</f>
        <v/>
      </c>
      <c r="AH312">
        <f>IF(T_EMPLOYEES[[#This Row],[EMPLOYEE NUMBER]]="","",MATCH(T_EMPLOYEES[[#This Row],[LOCATION]],L_LOCATION,0))</f>
        <v/>
      </c>
      <c r="AI312">
        <f>IF(T_EMPLOYEES[[#This Row],[EMPLOYEE NUMBER]]="","",MATCH(T_EMPLOYEES[[#This Row],[DEPARTMENT]],L_DEPARTMENT,0))</f>
        <v/>
      </c>
      <c r="AJ312">
        <f>IF(T_EMPLOYEES[[#This Row],[EMPLOYEE NUMBER]]="","",MATCH(T_EMPLOYEES[[#This Row],[JOB TYPE]],L_JOBTYPE,0))</f>
        <v/>
      </c>
      <c r="AK312">
        <f>IF(T_EMPLOYEES[[#This Row],[EMPLOYEE NUMBER]]="","",MATCH(T_EMPLOYEES[[#This Row],[JOB CATEGORY]],L_JOBCATEGORY,0))</f>
        <v/>
      </c>
      <c r="AL312">
        <f>IF(T_EMPLOYEES[[#This Row],[EMPLOYEE NUMBER]]="","",MATCH(T_EMPLOYEES[[#This Row],[JOB LEVEL]],L_JOBLEVEL,0))</f>
        <v/>
      </c>
      <c r="AM312">
        <f>IF(T_EMPLOYEES[[#This Row],[EMPLOYEE NUMBER]]="","",MATCH(T_EMPLOYEES[[#This Row],[JOB TITLE]],L_JOBTITLE,0))</f>
        <v/>
      </c>
      <c r="AN312">
        <f>IF(T_EMPLOYEES[[#This Row],[EMPLOYEE NUMBER]]="","",MATCH(T_EMPLOYEES[[#This Row],[MANAGER]],L_EMPLABELS,0))</f>
        <v/>
      </c>
      <c r="AO312">
        <f>IF(T_EMPLOYEES[[#This Row],[EMPLOYEE NUMBER]]="","",IF(T_EMPLOYEES[[#This Row],[ERROR]]="",0,1))</f>
        <v/>
      </c>
      <c r="AP31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12" t="inlineStr">
        <is>
          <t>Member</t>
        </is>
      </c>
    </row>
    <row r="313">
      <c r="A313" t="inlineStr">
        <is>
          <t>Seerla</t>
        </is>
      </c>
      <c r="B313" t="inlineStr">
        <is>
          <t>Pujitha</t>
        </is>
      </c>
      <c r="C313" t="n">
        <v>1030797</v>
      </c>
      <c r="D313" t="inlineStr">
        <is>
          <t>Pujitha.Seerla@infinite.com</t>
        </is>
      </c>
      <c r="E313" s="26" t="n">
        <v>34913</v>
      </c>
      <c r="F313" s="26" t="n">
        <v>44865</v>
      </c>
      <c r="H313" t="inlineStr">
        <is>
          <t>Female</t>
        </is>
      </c>
      <c r="I313" t="inlineStr">
        <is>
          <t>Asian</t>
        </is>
      </c>
      <c r="J313" t="inlineStr">
        <is>
          <t>WEBSITE</t>
        </is>
      </c>
      <c r="K313" t="inlineStr">
        <is>
          <t>Hyderabad</t>
        </is>
      </c>
      <c r="L313" s="27" t="inlineStr">
        <is>
          <t>IT</t>
        </is>
      </c>
      <c r="M313" t="inlineStr">
        <is>
          <t>Full-Time</t>
        </is>
      </c>
      <c r="N313" t="inlineStr">
        <is>
          <t>Senior Software Test Engineer</t>
        </is>
      </c>
      <c r="O313" t="inlineStr">
        <is>
          <t>E3</t>
        </is>
      </c>
      <c r="P313" t="inlineStr">
        <is>
          <t>Senior Software Test Engineer</t>
        </is>
      </c>
      <c r="Q313" t="inlineStr">
        <is>
          <t>Santhosh B K (1025129)</t>
        </is>
      </c>
      <c r="R313" t="n">
        <v>4</v>
      </c>
      <c r="S313" s="1" t="n">
        <v>250000</v>
      </c>
      <c r="T313" s="1">
        <f>ROUND(T_EMPLOYEES[[#This Row],[EMP_CTC1]]/12, 0)</f>
        <v/>
      </c>
      <c r="U313" s="1" t="n">
        <v>150000</v>
      </c>
      <c r="V313" s="1" t="inlineStr">
        <is>
          <t>ND</t>
        </is>
      </c>
      <c r="W313" s="1" t="inlineStr">
        <is>
          <t>ND</t>
        </is>
      </c>
      <c r="X31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3" t="n">
        <v>120000</v>
      </c>
      <c r="Z313" s="29">
        <f>(S313 - U313)/S313 * 100</f>
        <v/>
      </c>
      <c r="AA313">
        <f>IF(T_EMPLOYEES[[#This Row],[EMPLOYEE NUMBER]]="","",ROW(T_EMPLOYEES[[#This Row],[EMPLOYEE LABEL]])-ROW(T_EMPLOYEES[[#Headers],[EMPLOYEE LABEL]]))</f>
        <v/>
      </c>
      <c r="AB313">
        <f>IF(T_EMPLOYEES[[#This Row],[EMPLOYEE NUMBER]]="","",IF(COUNTIF(T_EMPLOYEES[EMPLOYEE NUMBER],T_EMPLOYEES[[#This Row],[EMPLOYEE NUMBER]])&gt;1,1,0))</f>
        <v/>
      </c>
      <c r="AC313">
        <f>IF(T_EMPLOYEES[[#This Row],[EMPLOYEE NUMBER]]="","",IF(AND(T_EMPLOYEES[[#This Row],[DATE OF BIRTH]]&gt;0,T_EMPLOYEES[[#This Row],[DATE OF BIRTH]]&lt;TODAY()),0,1))</f>
        <v/>
      </c>
      <c r="AD313">
        <f>IF(T_EMPLOYEES[[#This Row],[EMPLOYEE NUMBER]]="","",IF(AND(T_EMPLOYEES[[#This Row],[START DATE]]&gt;0,T_EMPLOYEES[[#This Row],[START DATE]]&lt;TODAY()+60),0,1))</f>
        <v/>
      </c>
      <c r="AE313">
        <f>IF(T_EMPLOYEES[[#This Row],[EMPLOYEE NUMBER]]="","",MATCH(T_EMPLOYEES[[#This Row],[GENDER]],L_GENDER,0))</f>
        <v/>
      </c>
      <c r="AF313">
        <f>IF(T_EMPLOYEES[[#This Row],[EMPLOYEE NUMBER]]="","",MATCH(T_EMPLOYEES[[#This Row],[HIRE SOURCE]],L_HIRESOURCE,0))</f>
        <v/>
      </c>
      <c r="AG313">
        <f>IF(T_EMPLOYEES[[#This Row],[EMPLOYEE NUMBER]]="","",MATCH(T_EMPLOYEES[[#This Row],[ETHNICITY]],L_ETHNICITY,0))</f>
        <v/>
      </c>
      <c r="AH313">
        <f>IF(T_EMPLOYEES[[#This Row],[EMPLOYEE NUMBER]]="","",MATCH(T_EMPLOYEES[[#This Row],[LOCATION]],L_LOCATION,0))</f>
        <v/>
      </c>
      <c r="AI313">
        <f>IF(T_EMPLOYEES[[#This Row],[EMPLOYEE NUMBER]]="","",MATCH(T_EMPLOYEES[[#This Row],[DEPARTMENT]],L_DEPARTMENT,0))</f>
        <v/>
      </c>
      <c r="AJ313">
        <f>IF(T_EMPLOYEES[[#This Row],[EMPLOYEE NUMBER]]="","",MATCH(T_EMPLOYEES[[#This Row],[JOB TYPE]],L_JOBTYPE,0))</f>
        <v/>
      </c>
      <c r="AK313">
        <f>IF(T_EMPLOYEES[[#This Row],[EMPLOYEE NUMBER]]="","",MATCH(T_EMPLOYEES[[#This Row],[JOB CATEGORY]],L_JOBCATEGORY,0))</f>
        <v/>
      </c>
      <c r="AL313">
        <f>IF(T_EMPLOYEES[[#This Row],[EMPLOYEE NUMBER]]="","",MATCH(T_EMPLOYEES[[#This Row],[JOB LEVEL]],L_JOBLEVEL,0))</f>
        <v/>
      </c>
      <c r="AM313">
        <f>IF(T_EMPLOYEES[[#This Row],[EMPLOYEE NUMBER]]="","",MATCH(T_EMPLOYEES[[#This Row],[JOB TITLE]],L_JOBTITLE,0))</f>
        <v/>
      </c>
      <c r="AN313">
        <f>IF(T_EMPLOYEES[[#This Row],[EMPLOYEE NUMBER]]="","",MATCH(T_EMPLOYEES[[#This Row],[MANAGER]],L_EMPLABELS,0))</f>
        <v/>
      </c>
      <c r="AO313">
        <f>IF(T_EMPLOYEES[[#This Row],[EMPLOYEE NUMBER]]="","",IF(T_EMPLOYEES[[#This Row],[ERROR]]="",0,1))</f>
        <v/>
      </c>
      <c r="AP31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4">
      <c r="A314" t="inlineStr">
        <is>
          <t>Kuntapalli</t>
        </is>
      </c>
      <c r="B314" t="inlineStr">
        <is>
          <t xml:space="preserve"> Kavitha</t>
        </is>
      </c>
      <c r="C314" t="n">
        <v>1025477</v>
      </c>
      <c r="D314" t="inlineStr">
        <is>
          <t>Kuntapalli.Kavitha@infinite.com</t>
        </is>
      </c>
      <c r="E314" s="26" t="n">
        <v>34933</v>
      </c>
      <c r="F314" s="26" t="n">
        <v>44356</v>
      </c>
      <c r="H314" t="inlineStr">
        <is>
          <t>Female</t>
        </is>
      </c>
      <c r="I314" t="inlineStr">
        <is>
          <t>Asian</t>
        </is>
      </c>
      <c r="J314" t="inlineStr">
        <is>
          <t>WEBSITE</t>
        </is>
      </c>
      <c r="K314" t="inlineStr">
        <is>
          <t>Bangalore</t>
        </is>
      </c>
      <c r="L314" s="27" t="inlineStr">
        <is>
          <t>IT</t>
        </is>
      </c>
      <c r="M314" t="inlineStr">
        <is>
          <t>Full-Time</t>
        </is>
      </c>
      <c r="N314" t="inlineStr">
        <is>
          <t>Senior Software Test Engineer</t>
        </is>
      </c>
      <c r="O314" t="inlineStr">
        <is>
          <t>E3</t>
        </is>
      </c>
      <c r="P314" t="inlineStr">
        <is>
          <t>Senior Software Test Engineer</t>
        </is>
      </c>
      <c r="Q314" t="inlineStr">
        <is>
          <t>Someshwara Prabhu Nanje Gowda (1021418)</t>
        </is>
      </c>
      <c r="R314" s="27" t="n">
        <v>4</v>
      </c>
      <c r="S314" s="1" t="n">
        <v>250000</v>
      </c>
      <c r="T314" s="1">
        <f>ROUND(T_EMPLOYEES[[#This Row],[EMP_CTC1]]/12, 0)</f>
        <v/>
      </c>
      <c r="U314" s="1" t="n">
        <v>150000</v>
      </c>
      <c r="V314" s="1" t="inlineStr">
        <is>
          <t>ND</t>
        </is>
      </c>
      <c r="W314" s="1" t="inlineStr">
        <is>
          <t>ND</t>
        </is>
      </c>
      <c r="X31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4" t="n">
        <v>120000</v>
      </c>
      <c r="Z314" s="29">
        <f>(S314 - U314)/S314 * 100</f>
        <v/>
      </c>
      <c r="AA314">
        <f>IF(T_EMPLOYEES[[#This Row],[EMPLOYEE NUMBER]]="","",ROW(T_EMPLOYEES[[#This Row],[EMPLOYEE LABEL]])-ROW(T_EMPLOYEES[[#Headers],[EMPLOYEE LABEL]]))</f>
        <v/>
      </c>
      <c r="AB314">
        <f>IF(T_EMPLOYEES[[#This Row],[EMPLOYEE NUMBER]]="","",IF(COUNTIF(T_EMPLOYEES[EMPLOYEE NUMBER],T_EMPLOYEES[[#This Row],[EMPLOYEE NUMBER]])&gt;1,1,0))</f>
        <v/>
      </c>
      <c r="AC314">
        <f>IF(T_EMPLOYEES[[#This Row],[EMPLOYEE NUMBER]]="","",IF(AND(T_EMPLOYEES[[#This Row],[DATE OF BIRTH]]&gt;0,T_EMPLOYEES[[#This Row],[DATE OF BIRTH]]&lt;TODAY()),0,1))</f>
        <v/>
      </c>
      <c r="AD314">
        <f>IF(T_EMPLOYEES[[#This Row],[EMPLOYEE NUMBER]]="","",IF(AND(T_EMPLOYEES[[#This Row],[START DATE]]&gt;0,T_EMPLOYEES[[#This Row],[START DATE]]&lt;TODAY()+60),0,1))</f>
        <v/>
      </c>
      <c r="AE314">
        <f>IF(T_EMPLOYEES[[#This Row],[EMPLOYEE NUMBER]]="","",MATCH(T_EMPLOYEES[[#This Row],[GENDER]],L_GENDER,0))</f>
        <v/>
      </c>
      <c r="AF314">
        <f>IF(T_EMPLOYEES[[#This Row],[EMPLOYEE NUMBER]]="","",MATCH(T_EMPLOYEES[[#This Row],[HIRE SOURCE]],L_HIRESOURCE,0))</f>
        <v/>
      </c>
      <c r="AG314">
        <f>IF(T_EMPLOYEES[[#This Row],[EMPLOYEE NUMBER]]="","",MATCH(T_EMPLOYEES[[#This Row],[ETHNICITY]],L_ETHNICITY,0))</f>
        <v/>
      </c>
      <c r="AH314">
        <f>IF(T_EMPLOYEES[[#This Row],[EMPLOYEE NUMBER]]="","",MATCH(T_EMPLOYEES[[#This Row],[LOCATION]],L_LOCATION,0))</f>
        <v/>
      </c>
      <c r="AI314">
        <f>IF(T_EMPLOYEES[[#This Row],[EMPLOYEE NUMBER]]="","",MATCH(T_EMPLOYEES[[#This Row],[DEPARTMENT]],L_DEPARTMENT,0))</f>
        <v/>
      </c>
      <c r="AJ314">
        <f>IF(T_EMPLOYEES[[#This Row],[EMPLOYEE NUMBER]]="","",MATCH(T_EMPLOYEES[[#This Row],[JOB TYPE]],L_JOBTYPE,0))</f>
        <v/>
      </c>
      <c r="AK314">
        <f>IF(T_EMPLOYEES[[#This Row],[EMPLOYEE NUMBER]]="","",MATCH(T_EMPLOYEES[[#This Row],[JOB CATEGORY]],L_JOBCATEGORY,0))</f>
        <v/>
      </c>
      <c r="AL314">
        <f>IF(T_EMPLOYEES[[#This Row],[EMPLOYEE NUMBER]]="","",MATCH(T_EMPLOYEES[[#This Row],[JOB LEVEL]],L_JOBLEVEL,0))</f>
        <v/>
      </c>
      <c r="AM314">
        <f>IF(T_EMPLOYEES[[#This Row],[EMPLOYEE NUMBER]]="","",MATCH(T_EMPLOYEES[[#This Row],[JOB TITLE]],L_JOBTITLE,0))</f>
        <v/>
      </c>
      <c r="AN314">
        <f>IF(T_EMPLOYEES[[#This Row],[EMPLOYEE NUMBER]]="","",MATCH(T_EMPLOYEES[[#This Row],[MANAGER]],L_EMPLABELS,0))</f>
        <v/>
      </c>
      <c r="AO314">
        <f>IF(T_EMPLOYEES[[#This Row],[EMPLOYEE NUMBER]]="","",IF(T_EMPLOYEES[[#This Row],[ERROR]]="",0,1))</f>
        <v/>
      </c>
      <c r="AP31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5">
      <c r="A315" t="inlineStr">
        <is>
          <t>Kunduru</t>
        </is>
      </c>
      <c r="B315" t="inlineStr">
        <is>
          <t>Rajanikanth Reddy</t>
        </is>
      </c>
      <c r="C315" t="n">
        <v>1026468</v>
      </c>
      <c r="D315" t="inlineStr">
        <is>
          <t>Rajanikanth.Reddy@infinite.com</t>
        </is>
      </c>
      <c r="E315" s="26" t="n">
        <v>34942</v>
      </c>
      <c r="F315" s="26" t="n">
        <v>44456</v>
      </c>
      <c r="H315" t="inlineStr">
        <is>
          <t>Male</t>
        </is>
      </c>
      <c r="I315" t="inlineStr">
        <is>
          <t>Asian</t>
        </is>
      </c>
      <c r="J315" t="inlineStr">
        <is>
          <t>WEBSITE</t>
        </is>
      </c>
      <c r="K315" t="inlineStr">
        <is>
          <t>Bangalore</t>
        </is>
      </c>
      <c r="L315" s="27" t="inlineStr">
        <is>
          <t>IT</t>
        </is>
      </c>
      <c r="M315" t="inlineStr">
        <is>
          <t>Full-Time</t>
        </is>
      </c>
      <c r="N315" t="inlineStr">
        <is>
          <t>Senior Software Test Engineer</t>
        </is>
      </c>
      <c r="O315" t="inlineStr">
        <is>
          <t>E3</t>
        </is>
      </c>
      <c r="P315" t="inlineStr">
        <is>
          <t>Senior Software Test Engineer</t>
        </is>
      </c>
      <c r="Q315" t="inlineStr">
        <is>
          <t>Someshwara Prabhu Nanje Gowda (1021418)</t>
        </is>
      </c>
      <c r="R315" t="n">
        <v>4</v>
      </c>
      <c r="S315" s="1" t="n">
        <v>250000</v>
      </c>
      <c r="T315" s="1">
        <f>ROUND(T_EMPLOYEES[[#This Row],[EMP_CTC1]]/12, 0)</f>
        <v/>
      </c>
      <c r="U315" s="1" t="n">
        <v>150000</v>
      </c>
      <c r="V315" s="1" t="inlineStr">
        <is>
          <t>ND</t>
        </is>
      </c>
      <c r="W315" s="1" t="inlineStr">
        <is>
          <t>ND</t>
        </is>
      </c>
      <c r="X31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5" t="n">
        <v>120000</v>
      </c>
      <c r="Z315" s="29">
        <f>(S315 - U315)/S315 * 100</f>
        <v/>
      </c>
      <c r="AA315">
        <f>IF(T_EMPLOYEES[[#This Row],[EMPLOYEE NUMBER]]="","",ROW(T_EMPLOYEES[[#This Row],[EMPLOYEE LABEL]])-ROW(T_EMPLOYEES[[#Headers],[EMPLOYEE LABEL]]))</f>
        <v/>
      </c>
      <c r="AB315">
        <f>IF(T_EMPLOYEES[[#This Row],[EMPLOYEE NUMBER]]="","",IF(COUNTIF(T_EMPLOYEES[EMPLOYEE NUMBER],T_EMPLOYEES[[#This Row],[EMPLOYEE NUMBER]])&gt;1,1,0))</f>
        <v/>
      </c>
      <c r="AC315">
        <f>IF(T_EMPLOYEES[[#This Row],[EMPLOYEE NUMBER]]="","",IF(AND(T_EMPLOYEES[[#This Row],[DATE OF BIRTH]]&gt;0,T_EMPLOYEES[[#This Row],[DATE OF BIRTH]]&lt;TODAY()),0,1))</f>
        <v/>
      </c>
      <c r="AD315">
        <f>IF(T_EMPLOYEES[[#This Row],[EMPLOYEE NUMBER]]="","",IF(AND(T_EMPLOYEES[[#This Row],[START DATE]]&gt;0,T_EMPLOYEES[[#This Row],[START DATE]]&lt;TODAY()+60),0,1))</f>
        <v/>
      </c>
      <c r="AE315">
        <f>IF(T_EMPLOYEES[[#This Row],[EMPLOYEE NUMBER]]="","",MATCH(T_EMPLOYEES[[#This Row],[GENDER]],L_GENDER,0))</f>
        <v/>
      </c>
      <c r="AF315">
        <f>IF(T_EMPLOYEES[[#This Row],[EMPLOYEE NUMBER]]="","",MATCH(T_EMPLOYEES[[#This Row],[HIRE SOURCE]],L_HIRESOURCE,0))</f>
        <v/>
      </c>
      <c r="AG315">
        <f>IF(T_EMPLOYEES[[#This Row],[EMPLOYEE NUMBER]]="","",MATCH(T_EMPLOYEES[[#This Row],[ETHNICITY]],L_ETHNICITY,0))</f>
        <v/>
      </c>
      <c r="AH315">
        <f>IF(T_EMPLOYEES[[#This Row],[EMPLOYEE NUMBER]]="","",MATCH(T_EMPLOYEES[[#This Row],[LOCATION]],L_LOCATION,0))</f>
        <v/>
      </c>
      <c r="AI315">
        <f>IF(T_EMPLOYEES[[#This Row],[EMPLOYEE NUMBER]]="","",MATCH(T_EMPLOYEES[[#This Row],[DEPARTMENT]],L_DEPARTMENT,0))</f>
        <v/>
      </c>
      <c r="AJ315">
        <f>IF(T_EMPLOYEES[[#This Row],[EMPLOYEE NUMBER]]="","",MATCH(T_EMPLOYEES[[#This Row],[JOB TYPE]],L_JOBTYPE,0))</f>
        <v/>
      </c>
      <c r="AK315">
        <f>IF(T_EMPLOYEES[[#This Row],[EMPLOYEE NUMBER]]="","",MATCH(T_EMPLOYEES[[#This Row],[JOB CATEGORY]],L_JOBCATEGORY,0))</f>
        <v/>
      </c>
      <c r="AL315">
        <f>IF(T_EMPLOYEES[[#This Row],[EMPLOYEE NUMBER]]="","",MATCH(T_EMPLOYEES[[#This Row],[JOB LEVEL]],L_JOBLEVEL,0))</f>
        <v/>
      </c>
      <c r="AM315">
        <f>IF(T_EMPLOYEES[[#This Row],[EMPLOYEE NUMBER]]="","",MATCH(T_EMPLOYEES[[#This Row],[JOB TITLE]],L_JOBTITLE,0))</f>
        <v/>
      </c>
      <c r="AN315">
        <f>IF(T_EMPLOYEES[[#This Row],[EMPLOYEE NUMBER]]="","",MATCH(T_EMPLOYEES[[#This Row],[MANAGER]],L_EMPLABELS,0))</f>
        <v/>
      </c>
      <c r="AO315">
        <f>IF(T_EMPLOYEES[[#This Row],[EMPLOYEE NUMBER]]="","",IF(T_EMPLOYEES[[#This Row],[ERROR]]="",0,1))</f>
        <v/>
      </c>
      <c r="AP31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6">
      <c r="A316" t="inlineStr">
        <is>
          <t>Priyanka</t>
        </is>
      </c>
      <c r="B316" t="inlineStr">
        <is>
          <t>Bajj</t>
        </is>
      </c>
      <c r="C316" t="n">
        <v>1025771</v>
      </c>
      <c r="D316" t="inlineStr">
        <is>
          <t>Priyanka.Bajj@infinite.com</t>
        </is>
      </c>
      <c r="E316" s="26" t="n">
        <v>34946</v>
      </c>
      <c r="F316" s="26" t="n">
        <v>44389</v>
      </c>
      <c r="H316" t="inlineStr">
        <is>
          <t>Female</t>
        </is>
      </c>
      <c r="I316" t="inlineStr">
        <is>
          <t>Asian</t>
        </is>
      </c>
      <c r="J316" t="inlineStr">
        <is>
          <t>WEBSITE</t>
        </is>
      </c>
      <c r="K316" t="inlineStr">
        <is>
          <t>Bangalore</t>
        </is>
      </c>
      <c r="L316" s="27" t="inlineStr">
        <is>
          <t>IT</t>
        </is>
      </c>
      <c r="M316" t="inlineStr">
        <is>
          <t>Full-Time</t>
        </is>
      </c>
      <c r="N316" t="inlineStr">
        <is>
          <t>Senior Software Engineer</t>
        </is>
      </c>
      <c r="O316" t="inlineStr">
        <is>
          <t>E3</t>
        </is>
      </c>
      <c r="P316" t="inlineStr">
        <is>
          <t>Senior Software Engineer</t>
        </is>
      </c>
      <c r="Q316" t="inlineStr">
        <is>
          <t>Siddharth Kumar (1027551)</t>
        </is>
      </c>
      <c r="R316" s="27" t="n">
        <v>4</v>
      </c>
      <c r="S316" s="1" t="n">
        <v>250000</v>
      </c>
      <c r="T316" s="1">
        <f>ROUND(T_EMPLOYEES[[#This Row],[EMP_CTC1]]/12, 0)</f>
        <v/>
      </c>
      <c r="U316" s="1" t="n">
        <v>150000</v>
      </c>
      <c r="V316" s="1" t="inlineStr">
        <is>
          <t>ND</t>
        </is>
      </c>
      <c r="W316" s="1" t="inlineStr">
        <is>
          <t>ND</t>
        </is>
      </c>
      <c r="X31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6" t="n">
        <v>120000</v>
      </c>
      <c r="Z316" s="29">
        <f>(S316 - U316)/S316 * 100</f>
        <v/>
      </c>
      <c r="AA316">
        <f>IF(T_EMPLOYEES[[#This Row],[EMPLOYEE NUMBER]]="","",ROW(T_EMPLOYEES[[#This Row],[EMPLOYEE LABEL]])-ROW(T_EMPLOYEES[[#Headers],[EMPLOYEE LABEL]]))</f>
        <v/>
      </c>
      <c r="AB316">
        <f>IF(T_EMPLOYEES[[#This Row],[EMPLOYEE NUMBER]]="","",IF(COUNTIF(T_EMPLOYEES[EMPLOYEE NUMBER],T_EMPLOYEES[[#This Row],[EMPLOYEE NUMBER]])&gt;1,1,0))</f>
        <v/>
      </c>
      <c r="AC316">
        <f>IF(T_EMPLOYEES[[#This Row],[EMPLOYEE NUMBER]]="","",IF(AND(T_EMPLOYEES[[#This Row],[DATE OF BIRTH]]&gt;0,T_EMPLOYEES[[#This Row],[DATE OF BIRTH]]&lt;TODAY()),0,1))</f>
        <v/>
      </c>
      <c r="AD316">
        <f>IF(T_EMPLOYEES[[#This Row],[EMPLOYEE NUMBER]]="","",IF(AND(T_EMPLOYEES[[#This Row],[START DATE]]&gt;0,T_EMPLOYEES[[#This Row],[START DATE]]&lt;TODAY()+60),0,1))</f>
        <v/>
      </c>
      <c r="AE316">
        <f>IF(T_EMPLOYEES[[#This Row],[EMPLOYEE NUMBER]]="","",MATCH(T_EMPLOYEES[[#This Row],[GENDER]],L_GENDER,0))</f>
        <v/>
      </c>
      <c r="AF316">
        <f>IF(T_EMPLOYEES[[#This Row],[EMPLOYEE NUMBER]]="","",MATCH(T_EMPLOYEES[[#This Row],[HIRE SOURCE]],L_HIRESOURCE,0))</f>
        <v/>
      </c>
      <c r="AG316">
        <f>IF(T_EMPLOYEES[[#This Row],[EMPLOYEE NUMBER]]="","",MATCH(T_EMPLOYEES[[#This Row],[ETHNICITY]],L_ETHNICITY,0))</f>
        <v/>
      </c>
      <c r="AH316">
        <f>IF(T_EMPLOYEES[[#This Row],[EMPLOYEE NUMBER]]="","",MATCH(T_EMPLOYEES[[#This Row],[LOCATION]],L_LOCATION,0))</f>
        <v/>
      </c>
      <c r="AI316">
        <f>IF(T_EMPLOYEES[[#This Row],[EMPLOYEE NUMBER]]="","",MATCH(T_EMPLOYEES[[#This Row],[DEPARTMENT]],L_DEPARTMENT,0))</f>
        <v/>
      </c>
      <c r="AJ316">
        <f>IF(T_EMPLOYEES[[#This Row],[EMPLOYEE NUMBER]]="","",MATCH(T_EMPLOYEES[[#This Row],[JOB TYPE]],L_JOBTYPE,0))</f>
        <v/>
      </c>
      <c r="AK316">
        <f>IF(T_EMPLOYEES[[#This Row],[EMPLOYEE NUMBER]]="","",MATCH(T_EMPLOYEES[[#This Row],[JOB CATEGORY]],L_JOBCATEGORY,0))</f>
        <v/>
      </c>
      <c r="AL316">
        <f>IF(T_EMPLOYEES[[#This Row],[EMPLOYEE NUMBER]]="","",MATCH(T_EMPLOYEES[[#This Row],[JOB LEVEL]],L_JOBLEVEL,0))</f>
        <v/>
      </c>
      <c r="AM316">
        <f>IF(T_EMPLOYEES[[#This Row],[EMPLOYEE NUMBER]]="","",MATCH(T_EMPLOYEES[[#This Row],[JOB TITLE]],L_JOBTITLE,0))</f>
        <v/>
      </c>
      <c r="AN316">
        <f>IF(T_EMPLOYEES[[#This Row],[EMPLOYEE NUMBER]]="","",MATCH(T_EMPLOYEES[[#This Row],[MANAGER]],L_EMPLABELS,0))</f>
        <v/>
      </c>
      <c r="AO316">
        <f>IF(T_EMPLOYEES[[#This Row],[EMPLOYEE NUMBER]]="","",IF(T_EMPLOYEES[[#This Row],[ERROR]]="",0,1))</f>
        <v/>
      </c>
      <c r="AP31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7">
      <c r="A317" t="inlineStr">
        <is>
          <t>Madhusmita</t>
        </is>
      </c>
      <c r="B317" t="inlineStr">
        <is>
          <t>Das</t>
        </is>
      </c>
      <c r="C317" t="n">
        <v>1028452</v>
      </c>
      <c r="D317" t="inlineStr">
        <is>
          <t>Madhusmita.Das@infinite.com</t>
        </is>
      </c>
      <c r="E317" s="26" t="n">
        <v>34964</v>
      </c>
      <c r="F317" s="26" t="n">
        <v>44620</v>
      </c>
      <c r="H317" t="inlineStr">
        <is>
          <t>Female</t>
        </is>
      </c>
      <c r="I317" t="inlineStr">
        <is>
          <t>Asian</t>
        </is>
      </c>
      <c r="J317" t="inlineStr">
        <is>
          <t>WEBSITE</t>
        </is>
      </c>
      <c r="K317" t="inlineStr">
        <is>
          <t>Bangalore</t>
        </is>
      </c>
      <c r="L317" s="27" t="inlineStr">
        <is>
          <t>Core</t>
        </is>
      </c>
      <c r="M317" t="inlineStr">
        <is>
          <t>Full-Time</t>
        </is>
      </c>
      <c r="N317" t="inlineStr">
        <is>
          <t>Senior Software Engineer</t>
        </is>
      </c>
      <c r="O317" t="inlineStr">
        <is>
          <t>E3</t>
        </is>
      </c>
      <c r="P317" t="inlineStr">
        <is>
          <t>Senior Software Engineer</t>
        </is>
      </c>
      <c r="Q317" t="inlineStr">
        <is>
          <t>Kishore Kumar N (1019765)</t>
        </is>
      </c>
      <c r="R317" t="n">
        <v>4</v>
      </c>
      <c r="S317" s="1" t="n">
        <v>250000</v>
      </c>
      <c r="T317" s="1">
        <f>ROUND(T_EMPLOYEES[[#This Row],[EMP_CTC1]]/12, 0)</f>
        <v/>
      </c>
      <c r="U317" s="1" t="n">
        <v>150000</v>
      </c>
      <c r="V317" s="1" t="inlineStr">
        <is>
          <t>ND</t>
        </is>
      </c>
      <c r="W317" s="1" t="inlineStr">
        <is>
          <t>ND</t>
        </is>
      </c>
      <c r="X31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7" t="n">
        <v>120000</v>
      </c>
      <c r="Z317" s="29">
        <f>(S317 - U317)/S317 * 100</f>
        <v/>
      </c>
      <c r="AA317">
        <f>IF(T_EMPLOYEES[[#This Row],[EMPLOYEE NUMBER]]="","",ROW(T_EMPLOYEES[[#This Row],[EMPLOYEE LABEL]])-ROW(T_EMPLOYEES[[#Headers],[EMPLOYEE LABEL]]))</f>
        <v/>
      </c>
      <c r="AB317">
        <f>IF(T_EMPLOYEES[[#This Row],[EMPLOYEE NUMBER]]="","",IF(COUNTIF(T_EMPLOYEES[EMPLOYEE NUMBER],T_EMPLOYEES[[#This Row],[EMPLOYEE NUMBER]])&gt;1,1,0))</f>
        <v/>
      </c>
      <c r="AC317">
        <f>IF(T_EMPLOYEES[[#This Row],[EMPLOYEE NUMBER]]="","",IF(AND(T_EMPLOYEES[[#This Row],[DATE OF BIRTH]]&gt;0,T_EMPLOYEES[[#This Row],[DATE OF BIRTH]]&lt;TODAY()),0,1))</f>
        <v/>
      </c>
      <c r="AD317">
        <f>IF(T_EMPLOYEES[[#This Row],[EMPLOYEE NUMBER]]="","",IF(AND(T_EMPLOYEES[[#This Row],[START DATE]]&gt;0,T_EMPLOYEES[[#This Row],[START DATE]]&lt;TODAY()+60),0,1))</f>
        <v/>
      </c>
      <c r="AE317">
        <f>IF(T_EMPLOYEES[[#This Row],[EMPLOYEE NUMBER]]="","",MATCH(T_EMPLOYEES[[#This Row],[GENDER]],L_GENDER,0))</f>
        <v/>
      </c>
      <c r="AF317">
        <f>IF(T_EMPLOYEES[[#This Row],[EMPLOYEE NUMBER]]="","",MATCH(T_EMPLOYEES[[#This Row],[HIRE SOURCE]],L_HIRESOURCE,0))</f>
        <v/>
      </c>
      <c r="AG317">
        <f>IF(T_EMPLOYEES[[#This Row],[EMPLOYEE NUMBER]]="","",MATCH(T_EMPLOYEES[[#This Row],[ETHNICITY]],L_ETHNICITY,0))</f>
        <v/>
      </c>
      <c r="AH317">
        <f>IF(T_EMPLOYEES[[#This Row],[EMPLOYEE NUMBER]]="","",MATCH(T_EMPLOYEES[[#This Row],[LOCATION]],L_LOCATION,0))</f>
        <v/>
      </c>
      <c r="AI317">
        <f>IF(T_EMPLOYEES[[#This Row],[EMPLOYEE NUMBER]]="","",MATCH(T_EMPLOYEES[[#This Row],[DEPARTMENT]],L_DEPARTMENT,0))</f>
        <v/>
      </c>
      <c r="AJ317">
        <f>IF(T_EMPLOYEES[[#This Row],[EMPLOYEE NUMBER]]="","",MATCH(T_EMPLOYEES[[#This Row],[JOB TYPE]],L_JOBTYPE,0))</f>
        <v/>
      </c>
      <c r="AK317">
        <f>IF(T_EMPLOYEES[[#This Row],[EMPLOYEE NUMBER]]="","",MATCH(T_EMPLOYEES[[#This Row],[JOB CATEGORY]],L_JOBCATEGORY,0))</f>
        <v/>
      </c>
      <c r="AL317">
        <f>IF(T_EMPLOYEES[[#This Row],[EMPLOYEE NUMBER]]="","",MATCH(T_EMPLOYEES[[#This Row],[JOB LEVEL]],L_JOBLEVEL,0))</f>
        <v/>
      </c>
      <c r="AM317">
        <f>IF(T_EMPLOYEES[[#This Row],[EMPLOYEE NUMBER]]="","",MATCH(T_EMPLOYEES[[#This Row],[JOB TITLE]],L_JOBTITLE,0))</f>
        <v/>
      </c>
      <c r="AN317">
        <f>IF(T_EMPLOYEES[[#This Row],[EMPLOYEE NUMBER]]="","",MATCH(T_EMPLOYEES[[#This Row],[MANAGER]],L_EMPLABELS,0))</f>
        <v/>
      </c>
      <c r="AO317">
        <f>IF(T_EMPLOYEES[[#This Row],[EMPLOYEE NUMBER]]="","",IF(T_EMPLOYEES[[#This Row],[ERROR]]="",0,1))</f>
        <v/>
      </c>
      <c r="AP31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8">
      <c r="A318" t="inlineStr">
        <is>
          <t>Arab</t>
        </is>
      </c>
      <c r="B318" t="inlineStr">
        <is>
          <t>Mohammed Iftekhar</t>
        </is>
      </c>
      <c r="C318" t="n">
        <v>1029029</v>
      </c>
      <c r="D318" t="inlineStr">
        <is>
          <t>Iftekhar.Arab@infinite.com</t>
        </is>
      </c>
      <c r="E318" s="26" t="n">
        <v>34986</v>
      </c>
      <c r="F318" s="26" t="n">
        <v>44692</v>
      </c>
      <c r="H318" t="inlineStr">
        <is>
          <t>Male</t>
        </is>
      </c>
      <c r="I318" t="inlineStr">
        <is>
          <t>Asian</t>
        </is>
      </c>
      <c r="J318" t="inlineStr">
        <is>
          <t>WEBSITE</t>
        </is>
      </c>
      <c r="K318" t="inlineStr">
        <is>
          <t>Bangalore</t>
        </is>
      </c>
      <c r="L318" s="27" t="inlineStr">
        <is>
          <t>IT</t>
        </is>
      </c>
      <c r="M318" t="inlineStr">
        <is>
          <t>Full-Time</t>
        </is>
      </c>
      <c r="N318" t="inlineStr">
        <is>
          <t>Associate Support Engineer</t>
        </is>
      </c>
      <c r="O318" t="inlineStr">
        <is>
          <t>E1</t>
        </is>
      </c>
      <c r="P318" t="inlineStr">
        <is>
          <t>Associate Support Engineer</t>
        </is>
      </c>
      <c r="Q318" t="inlineStr">
        <is>
          <t>Santosh Kumar B (1033071)</t>
        </is>
      </c>
      <c r="R318" s="27" t="n">
        <v>0</v>
      </c>
      <c r="S318" s="1" t="n">
        <v>250000</v>
      </c>
      <c r="T318" s="1">
        <f>ROUND(T_EMPLOYEES[[#This Row],[EMP_CTC1]]/12, 0)</f>
        <v/>
      </c>
      <c r="U318" s="1" t="n">
        <v>150000</v>
      </c>
      <c r="V318" s="1" t="inlineStr">
        <is>
          <t>ND</t>
        </is>
      </c>
      <c r="W318" s="1" t="inlineStr">
        <is>
          <t>ND</t>
        </is>
      </c>
      <c r="X31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8" t="n">
        <v>120000</v>
      </c>
      <c r="Z318" s="29">
        <f>(S318 - U318)/S318 * 100</f>
        <v/>
      </c>
      <c r="AA318">
        <f>IF(T_EMPLOYEES[[#This Row],[EMPLOYEE NUMBER]]="","",ROW(T_EMPLOYEES[[#This Row],[EMPLOYEE LABEL]])-ROW(T_EMPLOYEES[[#Headers],[EMPLOYEE LABEL]]))</f>
        <v/>
      </c>
      <c r="AB318">
        <f>IF(T_EMPLOYEES[[#This Row],[EMPLOYEE NUMBER]]="","",IF(COUNTIF(T_EMPLOYEES[EMPLOYEE NUMBER],T_EMPLOYEES[[#This Row],[EMPLOYEE NUMBER]])&gt;1,1,0))</f>
        <v/>
      </c>
      <c r="AC318">
        <f>IF(T_EMPLOYEES[[#This Row],[EMPLOYEE NUMBER]]="","",IF(AND(T_EMPLOYEES[[#This Row],[DATE OF BIRTH]]&gt;0,T_EMPLOYEES[[#This Row],[DATE OF BIRTH]]&lt;TODAY()),0,1))</f>
        <v/>
      </c>
      <c r="AD318">
        <f>IF(T_EMPLOYEES[[#This Row],[EMPLOYEE NUMBER]]="","",IF(AND(T_EMPLOYEES[[#This Row],[START DATE]]&gt;0,T_EMPLOYEES[[#This Row],[START DATE]]&lt;TODAY()+60),0,1))</f>
        <v/>
      </c>
      <c r="AE318">
        <f>IF(T_EMPLOYEES[[#This Row],[EMPLOYEE NUMBER]]="","",MATCH(T_EMPLOYEES[[#This Row],[GENDER]],L_GENDER,0))</f>
        <v/>
      </c>
      <c r="AF318">
        <f>IF(T_EMPLOYEES[[#This Row],[EMPLOYEE NUMBER]]="","",MATCH(T_EMPLOYEES[[#This Row],[HIRE SOURCE]],L_HIRESOURCE,0))</f>
        <v/>
      </c>
      <c r="AG318">
        <f>IF(T_EMPLOYEES[[#This Row],[EMPLOYEE NUMBER]]="","",MATCH(T_EMPLOYEES[[#This Row],[ETHNICITY]],L_ETHNICITY,0))</f>
        <v/>
      </c>
      <c r="AH318">
        <f>IF(T_EMPLOYEES[[#This Row],[EMPLOYEE NUMBER]]="","",MATCH(T_EMPLOYEES[[#This Row],[LOCATION]],L_LOCATION,0))</f>
        <v/>
      </c>
      <c r="AI318">
        <f>IF(T_EMPLOYEES[[#This Row],[EMPLOYEE NUMBER]]="","",MATCH(T_EMPLOYEES[[#This Row],[DEPARTMENT]],L_DEPARTMENT,0))</f>
        <v/>
      </c>
      <c r="AJ318">
        <f>IF(T_EMPLOYEES[[#This Row],[EMPLOYEE NUMBER]]="","",MATCH(T_EMPLOYEES[[#This Row],[JOB TYPE]],L_JOBTYPE,0))</f>
        <v/>
      </c>
      <c r="AK318">
        <f>IF(T_EMPLOYEES[[#This Row],[EMPLOYEE NUMBER]]="","",MATCH(T_EMPLOYEES[[#This Row],[JOB CATEGORY]],L_JOBCATEGORY,0))</f>
        <v/>
      </c>
      <c r="AL318">
        <f>IF(T_EMPLOYEES[[#This Row],[EMPLOYEE NUMBER]]="","",MATCH(T_EMPLOYEES[[#This Row],[JOB LEVEL]],L_JOBLEVEL,0))</f>
        <v/>
      </c>
      <c r="AM318">
        <f>IF(T_EMPLOYEES[[#This Row],[EMPLOYEE NUMBER]]="","",MATCH(T_EMPLOYEES[[#This Row],[JOB TITLE]],L_JOBTITLE,0))</f>
        <v/>
      </c>
      <c r="AN318">
        <f>IF(T_EMPLOYEES[[#This Row],[EMPLOYEE NUMBER]]="","",MATCH(T_EMPLOYEES[[#This Row],[MANAGER]],L_EMPLABELS,0))</f>
        <v/>
      </c>
      <c r="AO318">
        <f>IF(T_EMPLOYEES[[#This Row],[EMPLOYEE NUMBER]]="","",IF(T_EMPLOYEES[[#This Row],[ERROR]]="",0,1))</f>
        <v/>
      </c>
      <c r="AP31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19">
      <c r="A319" t="inlineStr">
        <is>
          <t>Shaik</t>
        </is>
      </c>
      <c r="B319" t="inlineStr">
        <is>
          <t>Khadheer Basha</t>
        </is>
      </c>
      <c r="C319" t="n">
        <v>1028386</v>
      </c>
      <c r="D319" t="inlineStr">
        <is>
          <t>Khadheer.Basha@infinite.com</t>
        </is>
      </c>
      <c r="E319" s="26" t="n">
        <v>35022</v>
      </c>
      <c r="F319" s="26" t="n">
        <v>44613</v>
      </c>
      <c r="H319" t="inlineStr">
        <is>
          <t>Male</t>
        </is>
      </c>
      <c r="I319" t="inlineStr">
        <is>
          <t>Asian</t>
        </is>
      </c>
      <c r="J319" t="inlineStr">
        <is>
          <t>WEBSITE</t>
        </is>
      </c>
      <c r="K319" t="inlineStr">
        <is>
          <t>Bangalore</t>
        </is>
      </c>
      <c r="L319" s="27" t="inlineStr">
        <is>
          <t>IT</t>
        </is>
      </c>
      <c r="M319" t="inlineStr">
        <is>
          <t>Full-Time</t>
        </is>
      </c>
      <c r="N319" t="inlineStr">
        <is>
          <t>Test Lead</t>
        </is>
      </c>
      <c r="O319" t="inlineStr">
        <is>
          <t>E4</t>
        </is>
      </c>
      <c r="P319" t="inlineStr">
        <is>
          <t>Test Lead</t>
        </is>
      </c>
      <c r="Q319" t="inlineStr">
        <is>
          <t>Maddipati Mohan Chowdary (1025070)</t>
        </is>
      </c>
      <c r="R319" t="n">
        <v>5</v>
      </c>
      <c r="S319" s="1" t="n">
        <v>250000</v>
      </c>
      <c r="T319" s="1">
        <f>ROUND(T_EMPLOYEES[[#This Row],[EMP_CTC1]]/12, 0)</f>
        <v/>
      </c>
      <c r="U319" s="1" t="n">
        <v>150000</v>
      </c>
      <c r="V319" s="1" t="inlineStr">
        <is>
          <t>ND</t>
        </is>
      </c>
      <c r="W319" s="1" t="inlineStr">
        <is>
          <t>ND</t>
        </is>
      </c>
      <c r="X31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19" t="n">
        <v>120000</v>
      </c>
      <c r="Z319" s="29">
        <f>(S319 - U319)/S319 * 100</f>
        <v/>
      </c>
      <c r="AA319">
        <f>IF(T_EMPLOYEES[[#This Row],[EMPLOYEE NUMBER]]="","",ROW(T_EMPLOYEES[[#This Row],[EMPLOYEE LABEL]])-ROW(T_EMPLOYEES[[#Headers],[EMPLOYEE LABEL]]))</f>
        <v/>
      </c>
      <c r="AB319">
        <f>IF(T_EMPLOYEES[[#This Row],[EMPLOYEE NUMBER]]="","",IF(COUNTIF(T_EMPLOYEES[EMPLOYEE NUMBER],T_EMPLOYEES[[#This Row],[EMPLOYEE NUMBER]])&gt;1,1,0))</f>
        <v/>
      </c>
      <c r="AC319">
        <f>IF(T_EMPLOYEES[[#This Row],[EMPLOYEE NUMBER]]="","",IF(AND(T_EMPLOYEES[[#This Row],[DATE OF BIRTH]]&gt;0,T_EMPLOYEES[[#This Row],[DATE OF BIRTH]]&lt;TODAY()),0,1))</f>
        <v/>
      </c>
      <c r="AD319">
        <f>IF(T_EMPLOYEES[[#This Row],[EMPLOYEE NUMBER]]="","",IF(AND(T_EMPLOYEES[[#This Row],[START DATE]]&gt;0,T_EMPLOYEES[[#This Row],[START DATE]]&lt;TODAY()+60),0,1))</f>
        <v/>
      </c>
      <c r="AE319">
        <f>IF(T_EMPLOYEES[[#This Row],[EMPLOYEE NUMBER]]="","",MATCH(T_EMPLOYEES[[#This Row],[GENDER]],L_GENDER,0))</f>
        <v/>
      </c>
      <c r="AF319">
        <f>IF(T_EMPLOYEES[[#This Row],[EMPLOYEE NUMBER]]="","",MATCH(T_EMPLOYEES[[#This Row],[HIRE SOURCE]],L_HIRESOURCE,0))</f>
        <v/>
      </c>
      <c r="AG319">
        <f>IF(T_EMPLOYEES[[#This Row],[EMPLOYEE NUMBER]]="","",MATCH(T_EMPLOYEES[[#This Row],[ETHNICITY]],L_ETHNICITY,0))</f>
        <v/>
      </c>
      <c r="AH319">
        <f>IF(T_EMPLOYEES[[#This Row],[EMPLOYEE NUMBER]]="","",MATCH(T_EMPLOYEES[[#This Row],[LOCATION]],L_LOCATION,0))</f>
        <v/>
      </c>
      <c r="AI319">
        <f>IF(T_EMPLOYEES[[#This Row],[EMPLOYEE NUMBER]]="","",MATCH(T_EMPLOYEES[[#This Row],[DEPARTMENT]],L_DEPARTMENT,0))</f>
        <v/>
      </c>
      <c r="AJ319">
        <f>IF(T_EMPLOYEES[[#This Row],[EMPLOYEE NUMBER]]="","",MATCH(T_EMPLOYEES[[#This Row],[JOB TYPE]],L_JOBTYPE,0))</f>
        <v/>
      </c>
      <c r="AK319">
        <f>IF(T_EMPLOYEES[[#This Row],[EMPLOYEE NUMBER]]="","",MATCH(T_EMPLOYEES[[#This Row],[JOB CATEGORY]],L_JOBCATEGORY,0))</f>
        <v/>
      </c>
      <c r="AL319">
        <f>IF(T_EMPLOYEES[[#This Row],[EMPLOYEE NUMBER]]="","",MATCH(T_EMPLOYEES[[#This Row],[JOB LEVEL]],L_JOBLEVEL,0))</f>
        <v/>
      </c>
      <c r="AM319">
        <f>IF(T_EMPLOYEES[[#This Row],[EMPLOYEE NUMBER]]="","",MATCH(T_EMPLOYEES[[#This Row],[JOB TITLE]],L_JOBTITLE,0))</f>
        <v/>
      </c>
      <c r="AN319">
        <f>IF(T_EMPLOYEES[[#This Row],[EMPLOYEE NUMBER]]="","",MATCH(T_EMPLOYEES[[#This Row],[MANAGER]],L_EMPLABELS,0))</f>
        <v/>
      </c>
      <c r="AO319">
        <f>IF(T_EMPLOYEES[[#This Row],[EMPLOYEE NUMBER]]="","",IF(T_EMPLOYEES[[#This Row],[ERROR]]="",0,1))</f>
        <v/>
      </c>
      <c r="AP31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0">
      <c r="A320" t="inlineStr">
        <is>
          <t>Chandan</t>
        </is>
      </c>
      <c r="B320" t="inlineStr">
        <is>
          <t xml:space="preserve"> Kumar</t>
        </is>
      </c>
      <c r="C320" t="n">
        <v>1028498</v>
      </c>
      <c r="D320" t="inlineStr">
        <is>
          <t>Chandan.Kumar@infinite.com</t>
        </is>
      </c>
      <c r="E320" s="26" t="n">
        <v>35079</v>
      </c>
      <c r="F320" s="26" t="n">
        <v>44624</v>
      </c>
      <c r="H320" t="inlineStr">
        <is>
          <t>Male</t>
        </is>
      </c>
      <c r="I320" t="inlineStr">
        <is>
          <t>Asian</t>
        </is>
      </c>
      <c r="J320" t="inlineStr">
        <is>
          <t>WEBSITE</t>
        </is>
      </c>
      <c r="K320" t="inlineStr">
        <is>
          <t>Pune</t>
        </is>
      </c>
      <c r="L320" s="27" t="inlineStr">
        <is>
          <t>IT</t>
        </is>
      </c>
      <c r="M320" t="inlineStr">
        <is>
          <t>Full-Time</t>
        </is>
      </c>
      <c r="N320" t="inlineStr">
        <is>
          <t>Software Engineer</t>
        </is>
      </c>
      <c r="O320" t="inlineStr">
        <is>
          <t>E2</t>
        </is>
      </c>
      <c r="P320" t="inlineStr">
        <is>
          <t>Software Engineer</t>
        </is>
      </c>
      <c r="Q320" t="inlineStr">
        <is>
          <t>D N Rajesh (1028375)</t>
        </is>
      </c>
      <c r="R320" s="27" t="n">
        <v>4</v>
      </c>
      <c r="S320" s="1" t="n">
        <v>250000</v>
      </c>
      <c r="T320" s="1">
        <f>ROUND(T_EMPLOYEES[[#This Row],[EMP_CTC1]]/12, 0)</f>
        <v/>
      </c>
      <c r="U320" s="1" t="n">
        <v>150000</v>
      </c>
      <c r="V320" s="1" t="inlineStr">
        <is>
          <t>ND</t>
        </is>
      </c>
      <c r="W320" s="1" t="inlineStr">
        <is>
          <t>ND</t>
        </is>
      </c>
      <c r="X32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0" t="n">
        <v>120000</v>
      </c>
      <c r="Z320" s="29">
        <f>(S320 - U320)/S320 * 100</f>
        <v/>
      </c>
      <c r="AA320">
        <f>IF(T_EMPLOYEES[[#This Row],[EMPLOYEE NUMBER]]="","",ROW(T_EMPLOYEES[[#This Row],[EMPLOYEE LABEL]])-ROW(T_EMPLOYEES[[#Headers],[EMPLOYEE LABEL]]))</f>
        <v/>
      </c>
      <c r="AB320">
        <f>IF(T_EMPLOYEES[[#This Row],[EMPLOYEE NUMBER]]="","",IF(COUNTIF(T_EMPLOYEES[EMPLOYEE NUMBER],T_EMPLOYEES[[#This Row],[EMPLOYEE NUMBER]])&gt;1,1,0))</f>
        <v/>
      </c>
      <c r="AC320">
        <f>IF(T_EMPLOYEES[[#This Row],[EMPLOYEE NUMBER]]="","",IF(AND(T_EMPLOYEES[[#This Row],[DATE OF BIRTH]]&gt;0,T_EMPLOYEES[[#This Row],[DATE OF BIRTH]]&lt;TODAY()),0,1))</f>
        <v/>
      </c>
      <c r="AD320">
        <f>IF(T_EMPLOYEES[[#This Row],[EMPLOYEE NUMBER]]="","",IF(AND(T_EMPLOYEES[[#This Row],[START DATE]]&gt;0,T_EMPLOYEES[[#This Row],[START DATE]]&lt;TODAY()+60),0,1))</f>
        <v/>
      </c>
      <c r="AE320">
        <f>IF(T_EMPLOYEES[[#This Row],[EMPLOYEE NUMBER]]="","",MATCH(T_EMPLOYEES[[#This Row],[GENDER]],L_GENDER,0))</f>
        <v/>
      </c>
      <c r="AF320">
        <f>IF(T_EMPLOYEES[[#This Row],[EMPLOYEE NUMBER]]="","",MATCH(T_EMPLOYEES[[#This Row],[HIRE SOURCE]],L_HIRESOURCE,0))</f>
        <v/>
      </c>
      <c r="AG320">
        <f>IF(T_EMPLOYEES[[#This Row],[EMPLOYEE NUMBER]]="","",MATCH(T_EMPLOYEES[[#This Row],[ETHNICITY]],L_ETHNICITY,0))</f>
        <v/>
      </c>
      <c r="AH320">
        <f>IF(T_EMPLOYEES[[#This Row],[EMPLOYEE NUMBER]]="","",MATCH(T_EMPLOYEES[[#This Row],[LOCATION]],L_LOCATION,0))</f>
        <v/>
      </c>
      <c r="AI320">
        <f>IF(T_EMPLOYEES[[#This Row],[EMPLOYEE NUMBER]]="","",MATCH(T_EMPLOYEES[[#This Row],[DEPARTMENT]],L_DEPARTMENT,0))</f>
        <v/>
      </c>
      <c r="AJ320">
        <f>IF(T_EMPLOYEES[[#This Row],[EMPLOYEE NUMBER]]="","",MATCH(T_EMPLOYEES[[#This Row],[JOB TYPE]],L_JOBTYPE,0))</f>
        <v/>
      </c>
      <c r="AK320">
        <f>IF(T_EMPLOYEES[[#This Row],[EMPLOYEE NUMBER]]="","",MATCH(T_EMPLOYEES[[#This Row],[JOB CATEGORY]],L_JOBCATEGORY,0))</f>
        <v/>
      </c>
      <c r="AL320">
        <f>IF(T_EMPLOYEES[[#This Row],[EMPLOYEE NUMBER]]="","",MATCH(T_EMPLOYEES[[#This Row],[JOB LEVEL]],L_JOBLEVEL,0))</f>
        <v/>
      </c>
      <c r="AM320">
        <f>IF(T_EMPLOYEES[[#This Row],[EMPLOYEE NUMBER]]="","",MATCH(T_EMPLOYEES[[#This Row],[JOB TITLE]],L_JOBTITLE,0))</f>
        <v/>
      </c>
      <c r="AN320">
        <f>IF(T_EMPLOYEES[[#This Row],[EMPLOYEE NUMBER]]="","",MATCH(T_EMPLOYEES[[#This Row],[MANAGER]],L_EMPLABELS,0))</f>
        <v/>
      </c>
      <c r="AO320">
        <f>IF(T_EMPLOYEES[[#This Row],[EMPLOYEE NUMBER]]="","",IF(T_EMPLOYEES[[#This Row],[ERROR]]="",0,1))</f>
        <v/>
      </c>
      <c r="AP32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1">
      <c r="A321" t="inlineStr">
        <is>
          <t>Divya</t>
        </is>
      </c>
      <c r="B321" t="inlineStr">
        <is>
          <t xml:space="preserve"> Shalini</t>
        </is>
      </c>
      <c r="C321" t="n">
        <v>1030012</v>
      </c>
      <c r="D321" t="inlineStr">
        <is>
          <t>Divya.Shalini@infinite.com</t>
        </is>
      </c>
      <c r="E321" s="26" t="n">
        <v>35079</v>
      </c>
      <c r="F321" s="26" t="n">
        <v>44799</v>
      </c>
      <c r="H321" t="inlineStr">
        <is>
          <t>Female</t>
        </is>
      </c>
      <c r="I321" t="inlineStr">
        <is>
          <t>Asian</t>
        </is>
      </c>
      <c r="J321" t="inlineStr">
        <is>
          <t>WEBSITE</t>
        </is>
      </c>
      <c r="K321" t="inlineStr">
        <is>
          <t>Chennai</t>
        </is>
      </c>
      <c r="L321" s="27" t="inlineStr">
        <is>
          <t>IT</t>
        </is>
      </c>
      <c r="M321" t="inlineStr">
        <is>
          <t>Full-Time</t>
        </is>
      </c>
      <c r="N321" t="inlineStr">
        <is>
          <t>Senior Software Engineer</t>
        </is>
      </c>
      <c r="O321" t="inlineStr">
        <is>
          <t>E3</t>
        </is>
      </c>
      <c r="P321" t="inlineStr">
        <is>
          <t>Senior Software Engineer</t>
        </is>
      </c>
      <c r="Q321" t="inlineStr">
        <is>
          <t>Sunduru Arun  Jayant (1031825)</t>
        </is>
      </c>
      <c r="R321" t="n">
        <v>4</v>
      </c>
      <c r="S321" s="1" t="n">
        <v>250000</v>
      </c>
      <c r="T321" s="1">
        <f>ROUND(T_EMPLOYEES[[#This Row],[EMP_CTC1]]/12, 0)</f>
        <v/>
      </c>
      <c r="U321" s="1" t="n">
        <v>150000</v>
      </c>
      <c r="V321" s="1" t="inlineStr">
        <is>
          <t>ND</t>
        </is>
      </c>
      <c r="W321" s="1" t="inlineStr">
        <is>
          <t>ND</t>
        </is>
      </c>
      <c r="X32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1" t="n">
        <v>120000</v>
      </c>
      <c r="Z321" s="29">
        <f>(S321 - U321)/S321 * 100</f>
        <v/>
      </c>
      <c r="AA321">
        <f>IF(T_EMPLOYEES[[#This Row],[EMPLOYEE NUMBER]]="","",ROW(T_EMPLOYEES[[#This Row],[EMPLOYEE LABEL]])-ROW(T_EMPLOYEES[[#Headers],[EMPLOYEE LABEL]]))</f>
        <v/>
      </c>
      <c r="AB321">
        <f>IF(T_EMPLOYEES[[#This Row],[EMPLOYEE NUMBER]]="","",IF(COUNTIF(T_EMPLOYEES[EMPLOYEE NUMBER],T_EMPLOYEES[[#This Row],[EMPLOYEE NUMBER]])&gt;1,1,0))</f>
        <v/>
      </c>
      <c r="AC321">
        <f>IF(T_EMPLOYEES[[#This Row],[EMPLOYEE NUMBER]]="","",IF(AND(T_EMPLOYEES[[#This Row],[DATE OF BIRTH]]&gt;0,T_EMPLOYEES[[#This Row],[DATE OF BIRTH]]&lt;TODAY()),0,1))</f>
        <v/>
      </c>
      <c r="AD321">
        <f>IF(T_EMPLOYEES[[#This Row],[EMPLOYEE NUMBER]]="","",IF(AND(T_EMPLOYEES[[#This Row],[START DATE]]&gt;0,T_EMPLOYEES[[#This Row],[START DATE]]&lt;TODAY()+60),0,1))</f>
        <v/>
      </c>
      <c r="AE321">
        <f>IF(T_EMPLOYEES[[#This Row],[EMPLOYEE NUMBER]]="","",MATCH(T_EMPLOYEES[[#This Row],[GENDER]],L_GENDER,0))</f>
        <v/>
      </c>
      <c r="AF321">
        <f>IF(T_EMPLOYEES[[#This Row],[EMPLOYEE NUMBER]]="","",MATCH(T_EMPLOYEES[[#This Row],[HIRE SOURCE]],L_HIRESOURCE,0))</f>
        <v/>
      </c>
      <c r="AG321">
        <f>IF(T_EMPLOYEES[[#This Row],[EMPLOYEE NUMBER]]="","",MATCH(T_EMPLOYEES[[#This Row],[ETHNICITY]],L_ETHNICITY,0))</f>
        <v/>
      </c>
      <c r="AH321">
        <f>IF(T_EMPLOYEES[[#This Row],[EMPLOYEE NUMBER]]="","",MATCH(T_EMPLOYEES[[#This Row],[LOCATION]],L_LOCATION,0))</f>
        <v/>
      </c>
      <c r="AI321">
        <f>IF(T_EMPLOYEES[[#This Row],[EMPLOYEE NUMBER]]="","",MATCH(T_EMPLOYEES[[#This Row],[DEPARTMENT]],L_DEPARTMENT,0))</f>
        <v/>
      </c>
      <c r="AJ321">
        <f>IF(T_EMPLOYEES[[#This Row],[EMPLOYEE NUMBER]]="","",MATCH(T_EMPLOYEES[[#This Row],[JOB TYPE]],L_JOBTYPE,0))</f>
        <v/>
      </c>
      <c r="AK321">
        <f>IF(T_EMPLOYEES[[#This Row],[EMPLOYEE NUMBER]]="","",MATCH(T_EMPLOYEES[[#This Row],[JOB CATEGORY]],L_JOBCATEGORY,0))</f>
        <v/>
      </c>
      <c r="AL321">
        <f>IF(T_EMPLOYEES[[#This Row],[EMPLOYEE NUMBER]]="","",MATCH(T_EMPLOYEES[[#This Row],[JOB LEVEL]],L_JOBLEVEL,0))</f>
        <v/>
      </c>
      <c r="AM321">
        <f>IF(T_EMPLOYEES[[#This Row],[EMPLOYEE NUMBER]]="","",MATCH(T_EMPLOYEES[[#This Row],[JOB TITLE]],L_JOBTITLE,0))</f>
        <v/>
      </c>
      <c r="AN321">
        <f>IF(T_EMPLOYEES[[#This Row],[EMPLOYEE NUMBER]]="","",MATCH(T_EMPLOYEES[[#This Row],[MANAGER]],L_EMPLABELS,0))</f>
        <v/>
      </c>
      <c r="AO321">
        <f>IF(T_EMPLOYEES[[#This Row],[EMPLOYEE NUMBER]]="","",IF(T_EMPLOYEES[[#This Row],[ERROR]]="",0,1))</f>
        <v/>
      </c>
      <c r="AP32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2">
      <c r="A322" t="inlineStr">
        <is>
          <t>M</t>
        </is>
      </c>
      <c r="B322" t="inlineStr">
        <is>
          <t>Dhinesh Kumar</t>
        </is>
      </c>
      <c r="C322" t="n">
        <v>1031887</v>
      </c>
      <c r="D322" t="inlineStr">
        <is>
          <t>Dhinesh.Kumar@infinite.com</t>
        </is>
      </c>
      <c r="E322" s="26" t="n">
        <v>35089</v>
      </c>
      <c r="F322" s="26" t="n">
        <v>44914</v>
      </c>
      <c r="H322" t="inlineStr">
        <is>
          <t>Male</t>
        </is>
      </c>
      <c r="I322" t="inlineStr">
        <is>
          <t>Asian</t>
        </is>
      </c>
      <c r="J322" t="inlineStr">
        <is>
          <t>WEBSITE</t>
        </is>
      </c>
      <c r="K322" t="inlineStr">
        <is>
          <t>Bangalore</t>
        </is>
      </c>
      <c r="L322" t="inlineStr">
        <is>
          <t>Infra</t>
        </is>
      </c>
      <c r="M322" t="inlineStr">
        <is>
          <t>Full-Time</t>
        </is>
      </c>
      <c r="N322" t="inlineStr">
        <is>
          <t>Senior Software Engineer</t>
        </is>
      </c>
      <c r="O322" t="inlineStr">
        <is>
          <t>E3</t>
        </is>
      </c>
      <c r="P322" t="inlineStr">
        <is>
          <t>Senior Software Engineer</t>
        </is>
      </c>
      <c r="Q322" t="inlineStr">
        <is>
          <t>K  Saikumar (1026864)</t>
        </is>
      </c>
      <c r="R322" s="27" t="n">
        <v>4</v>
      </c>
      <c r="S322" s="1" t="n">
        <v>250000</v>
      </c>
      <c r="T322" s="1">
        <f>ROUND(T_EMPLOYEES[[#This Row],[EMP_CTC1]]/12, 0)</f>
        <v/>
      </c>
      <c r="U322" s="1" t="n">
        <v>150000</v>
      </c>
      <c r="V322" s="1" t="inlineStr">
        <is>
          <t>ND</t>
        </is>
      </c>
      <c r="W322" s="1" t="inlineStr">
        <is>
          <t>ND</t>
        </is>
      </c>
      <c r="X32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2" t="n">
        <v>120000</v>
      </c>
      <c r="Z322" s="29">
        <f>(S322 - U322)/S322 * 100</f>
        <v/>
      </c>
      <c r="AA322">
        <f>IF(T_EMPLOYEES[[#This Row],[EMPLOYEE NUMBER]]="","",ROW(T_EMPLOYEES[[#This Row],[EMPLOYEE LABEL]])-ROW(T_EMPLOYEES[[#Headers],[EMPLOYEE LABEL]]))</f>
        <v/>
      </c>
      <c r="AB322">
        <f>IF(T_EMPLOYEES[[#This Row],[EMPLOYEE NUMBER]]="","",IF(COUNTIF(T_EMPLOYEES[EMPLOYEE NUMBER],T_EMPLOYEES[[#This Row],[EMPLOYEE NUMBER]])&gt;1,1,0))</f>
        <v/>
      </c>
      <c r="AC322">
        <f>IF(T_EMPLOYEES[[#This Row],[EMPLOYEE NUMBER]]="","",IF(AND(T_EMPLOYEES[[#This Row],[DATE OF BIRTH]]&gt;0,T_EMPLOYEES[[#This Row],[DATE OF BIRTH]]&lt;TODAY()),0,1))</f>
        <v/>
      </c>
      <c r="AD322">
        <f>IF(T_EMPLOYEES[[#This Row],[EMPLOYEE NUMBER]]="","",IF(AND(T_EMPLOYEES[[#This Row],[START DATE]]&gt;0,T_EMPLOYEES[[#This Row],[START DATE]]&lt;TODAY()+60),0,1))</f>
        <v/>
      </c>
      <c r="AE322">
        <f>IF(T_EMPLOYEES[[#This Row],[EMPLOYEE NUMBER]]="","",MATCH(T_EMPLOYEES[[#This Row],[GENDER]],L_GENDER,0))</f>
        <v/>
      </c>
      <c r="AF322">
        <f>IF(T_EMPLOYEES[[#This Row],[EMPLOYEE NUMBER]]="","",MATCH(T_EMPLOYEES[[#This Row],[HIRE SOURCE]],L_HIRESOURCE,0))</f>
        <v/>
      </c>
      <c r="AG322">
        <f>IF(T_EMPLOYEES[[#This Row],[EMPLOYEE NUMBER]]="","",MATCH(T_EMPLOYEES[[#This Row],[ETHNICITY]],L_ETHNICITY,0))</f>
        <v/>
      </c>
      <c r="AH322">
        <f>IF(T_EMPLOYEES[[#This Row],[EMPLOYEE NUMBER]]="","",MATCH(T_EMPLOYEES[[#This Row],[LOCATION]],L_LOCATION,0))</f>
        <v/>
      </c>
      <c r="AI322">
        <f>IF(T_EMPLOYEES[[#This Row],[EMPLOYEE NUMBER]]="","",MATCH(T_EMPLOYEES[[#This Row],[DEPARTMENT]],L_DEPARTMENT,0))</f>
        <v/>
      </c>
      <c r="AJ322">
        <f>IF(T_EMPLOYEES[[#This Row],[EMPLOYEE NUMBER]]="","",MATCH(T_EMPLOYEES[[#This Row],[JOB TYPE]],L_JOBTYPE,0))</f>
        <v/>
      </c>
      <c r="AK322">
        <f>IF(T_EMPLOYEES[[#This Row],[EMPLOYEE NUMBER]]="","",MATCH(T_EMPLOYEES[[#This Row],[JOB CATEGORY]],L_JOBCATEGORY,0))</f>
        <v/>
      </c>
      <c r="AL322">
        <f>IF(T_EMPLOYEES[[#This Row],[EMPLOYEE NUMBER]]="","",MATCH(T_EMPLOYEES[[#This Row],[JOB LEVEL]],L_JOBLEVEL,0))</f>
        <v/>
      </c>
      <c r="AM322">
        <f>IF(T_EMPLOYEES[[#This Row],[EMPLOYEE NUMBER]]="","",MATCH(T_EMPLOYEES[[#This Row],[JOB TITLE]],L_JOBTITLE,0))</f>
        <v/>
      </c>
      <c r="AN322">
        <f>IF(T_EMPLOYEES[[#This Row],[EMPLOYEE NUMBER]]="","",MATCH(T_EMPLOYEES[[#This Row],[MANAGER]],L_EMPLABELS,0))</f>
        <v/>
      </c>
      <c r="AO322">
        <f>IF(T_EMPLOYEES[[#This Row],[EMPLOYEE NUMBER]]="","",IF(T_EMPLOYEES[[#This Row],[ERROR]]="",0,1))</f>
        <v/>
      </c>
      <c r="AP32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3">
      <c r="A323" t="inlineStr">
        <is>
          <t>G</t>
        </is>
      </c>
      <c r="B323" t="inlineStr">
        <is>
          <t xml:space="preserve">Clement   </t>
        </is>
      </c>
      <c r="C323" t="n">
        <v>1033626</v>
      </c>
      <c r="D323" t="inlineStr">
        <is>
          <t>Clement.Govindaraj@infinite.com</t>
        </is>
      </c>
      <c r="E323" s="26" t="n">
        <v>35099</v>
      </c>
      <c r="F323" s="26" t="n">
        <v>45198</v>
      </c>
      <c r="H323" t="inlineStr">
        <is>
          <t>Male</t>
        </is>
      </c>
      <c r="I323" t="inlineStr">
        <is>
          <t>Asian</t>
        </is>
      </c>
      <c r="J323" t="inlineStr">
        <is>
          <t>WEBSITE</t>
        </is>
      </c>
      <c r="K323" t="inlineStr">
        <is>
          <t>Bangalore</t>
        </is>
      </c>
      <c r="L323" s="27" t="inlineStr">
        <is>
          <t>Cognos</t>
        </is>
      </c>
      <c r="M323" t="inlineStr">
        <is>
          <t>Full-Time</t>
        </is>
      </c>
      <c r="N323" t="inlineStr">
        <is>
          <t>Senior Software Engineer</t>
        </is>
      </c>
      <c r="O323" t="inlineStr">
        <is>
          <t>E3</t>
        </is>
      </c>
      <c r="P323" t="inlineStr">
        <is>
          <t>Senior Software Engineer</t>
        </is>
      </c>
      <c r="Q323" t="inlineStr">
        <is>
          <t>Peernayakgari Irfan Basha (1017291)</t>
        </is>
      </c>
      <c r="R323" t="n">
        <v>4</v>
      </c>
      <c r="S323" s="1" t="n">
        <v>250000</v>
      </c>
      <c r="T323" s="1">
        <f>ROUND(T_EMPLOYEES[[#This Row],[EMP_CTC1]]/12, 0)</f>
        <v/>
      </c>
      <c r="U323" s="1" t="n">
        <v>150000</v>
      </c>
      <c r="V323" s="1" t="inlineStr">
        <is>
          <t>ND</t>
        </is>
      </c>
      <c r="W323" s="1" t="inlineStr">
        <is>
          <t>ND</t>
        </is>
      </c>
      <c r="X32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3" t="n">
        <v>120000</v>
      </c>
      <c r="Z323" s="29">
        <f>(S323 - U323)/S323 * 100</f>
        <v/>
      </c>
      <c r="AA323">
        <f>IF(T_EMPLOYEES[[#This Row],[EMPLOYEE NUMBER]]="","",ROW(T_EMPLOYEES[[#This Row],[EMPLOYEE LABEL]])-ROW(T_EMPLOYEES[[#Headers],[EMPLOYEE LABEL]]))</f>
        <v/>
      </c>
      <c r="AB323">
        <f>IF(T_EMPLOYEES[[#This Row],[EMPLOYEE NUMBER]]="","",IF(COUNTIF(T_EMPLOYEES[EMPLOYEE NUMBER],T_EMPLOYEES[[#This Row],[EMPLOYEE NUMBER]])&gt;1,1,0))</f>
        <v/>
      </c>
      <c r="AC323">
        <f>IF(T_EMPLOYEES[[#This Row],[EMPLOYEE NUMBER]]="","",IF(AND(T_EMPLOYEES[[#This Row],[DATE OF BIRTH]]&gt;0,T_EMPLOYEES[[#This Row],[DATE OF BIRTH]]&lt;TODAY()),0,1))</f>
        <v/>
      </c>
      <c r="AD323">
        <f>IF(T_EMPLOYEES[[#This Row],[EMPLOYEE NUMBER]]="","",IF(AND(T_EMPLOYEES[[#This Row],[START DATE]]&gt;0,T_EMPLOYEES[[#This Row],[START DATE]]&lt;TODAY()+60),0,1))</f>
        <v/>
      </c>
      <c r="AE323">
        <f>IF(T_EMPLOYEES[[#This Row],[EMPLOYEE NUMBER]]="","",MATCH(T_EMPLOYEES[[#This Row],[GENDER]],L_GENDER,0))</f>
        <v/>
      </c>
      <c r="AF323">
        <f>IF(T_EMPLOYEES[[#This Row],[EMPLOYEE NUMBER]]="","",MATCH(T_EMPLOYEES[[#This Row],[HIRE SOURCE]],L_HIRESOURCE,0))</f>
        <v/>
      </c>
      <c r="AG323">
        <f>IF(T_EMPLOYEES[[#This Row],[EMPLOYEE NUMBER]]="","",MATCH(T_EMPLOYEES[[#This Row],[ETHNICITY]],L_ETHNICITY,0))</f>
        <v/>
      </c>
      <c r="AH323">
        <f>IF(T_EMPLOYEES[[#This Row],[EMPLOYEE NUMBER]]="","",MATCH(T_EMPLOYEES[[#This Row],[LOCATION]],L_LOCATION,0))</f>
        <v/>
      </c>
      <c r="AI323">
        <f>IF(T_EMPLOYEES[[#This Row],[EMPLOYEE NUMBER]]="","",MATCH(T_EMPLOYEES[[#This Row],[DEPARTMENT]],L_DEPARTMENT,0))</f>
        <v/>
      </c>
      <c r="AJ323">
        <f>IF(T_EMPLOYEES[[#This Row],[EMPLOYEE NUMBER]]="","",MATCH(T_EMPLOYEES[[#This Row],[JOB TYPE]],L_JOBTYPE,0))</f>
        <v/>
      </c>
      <c r="AK323">
        <f>IF(T_EMPLOYEES[[#This Row],[EMPLOYEE NUMBER]]="","",MATCH(T_EMPLOYEES[[#This Row],[JOB CATEGORY]],L_JOBCATEGORY,0))</f>
        <v/>
      </c>
      <c r="AL323">
        <f>IF(T_EMPLOYEES[[#This Row],[EMPLOYEE NUMBER]]="","",MATCH(T_EMPLOYEES[[#This Row],[JOB LEVEL]],L_JOBLEVEL,0))</f>
        <v/>
      </c>
      <c r="AM323">
        <f>IF(T_EMPLOYEES[[#This Row],[EMPLOYEE NUMBER]]="","",MATCH(T_EMPLOYEES[[#This Row],[JOB TITLE]],L_JOBTITLE,0))</f>
        <v/>
      </c>
      <c r="AN323">
        <f>IF(T_EMPLOYEES[[#This Row],[EMPLOYEE NUMBER]]="","",MATCH(T_EMPLOYEES[[#This Row],[MANAGER]],L_EMPLABELS,0))</f>
        <v/>
      </c>
      <c r="AO323">
        <f>IF(T_EMPLOYEES[[#This Row],[EMPLOYEE NUMBER]]="","",IF(T_EMPLOYEES[[#This Row],[ERROR]]="",0,1))</f>
        <v/>
      </c>
      <c r="AP32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4">
      <c r="A324" t="inlineStr">
        <is>
          <t>Gundapaneni</t>
        </is>
      </c>
      <c r="B324" t="inlineStr">
        <is>
          <t>Madhu Kiran</t>
        </is>
      </c>
      <c r="C324" t="n">
        <v>1027315</v>
      </c>
      <c r="D324" t="inlineStr">
        <is>
          <t>Madhukiran.Gundapaneni@infinite.com</t>
        </is>
      </c>
      <c r="E324" s="26" t="n">
        <v>35101</v>
      </c>
      <c r="F324" s="26" t="n">
        <v>44524</v>
      </c>
      <c r="H324" t="inlineStr">
        <is>
          <t>Male</t>
        </is>
      </c>
      <c r="I324" t="inlineStr">
        <is>
          <t>Asian</t>
        </is>
      </c>
      <c r="J324" t="inlineStr">
        <is>
          <t>WEBSITE</t>
        </is>
      </c>
      <c r="K324" t="inlineStr">
        <is>
          <t>Hyderabad</t>
        </is>
      </c>
      <c r="L324" s="27" t="inlineStr">
        <is>
          <t>IT</t>
        </is>
      </c>
      <c r="M324" t="inlineStr">
        <is>
          <t>Full-Time</t>
        </is>
      </c>
      <c r="N324" t="inlineStr">
        <is>
          <t>Senior Software Engineer</t>
        </is>
      </c>
      <c r="O324" t="inlineStr">
        <is>
          <t>E3</t>
        </is>
      </c>
      <c r="P324" t="inlineStr">
        <is>
          <t>Senior Software Engineer</t>
        </is>
      </c>
      <c r="Q324" t="inlineStr">
        <is>
          <t>Siddharth Kumar (1027551)</t>
        </is>
      </c>
      <c r="R324" s="27" t="n">
        <v>4</v>
      </c>
      <c r="S324" s="1" t="n">
        <v>250000</v>
      </c>
      <c r="T324" s="1">
        <f>ROUND(T_EMPLOYEES[[#This Row],[EMP_CTC1]]/12, 0)</f>
        <v/>
      </c>
      <c r="U324" s="1" t="n">
        <v>150000</v>
      </c>
      <c r="V324" s="1" t="inlineStr">
        <is>
          <t>ND</t>
        </is>
      </c>
      <c r="W324" s="1" t="inlineStr">
        <is>
          <t>ND</t>
        </is>
      </c>
      <c r="X32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4" t="n">
        <v>120000</v>
      </c>
      <c r="Z324" s="29">
        <f>(S324 - U324)/S324 * 100</f>
        <v/>
      </c>
      <c r="AA324">
        <f>IF(T_EMPLOYEES[[#This Row],[EMPLOYEE NUMBER]]="","",ROW(T_EMPLOYEES[[#This Row],[EMPLOYEE LABEL]])-ROW(T_EMPLOYEES[[#Headers],[EMPLOYEE LABEL]]))</f>
        <v/>
      </c>
      <c r="AB324">
        <f>IF(T_EMPLOYEES[[#This Row],[EMPLOYEE NUMBER]]="","",IF(COUNTIF(T_EMPLOYEES[EMPLOYEE NUMBER],T_EMPLOYEES[[#This Row],[EMPLOYEE NUMBER]])&gt;1,1,0))</f>
        <v/>
      </c>
      <c r="AC324">
        <f>IF(T_EMPLOYEES[[#This Row],[EMPLOYEE NUMBER]]="","",IF(AND(T_EMPLOYEES[[#This Row],[DATE OF BIRTH]]&gt;0,T_EMPLOYEES[[#This Row],[DATE OF BIRTH]]&lt;TODAY()),0,1))</f>
        <v/>
      </c>
      <c r="AD324">
        <f>IF(T_EMPLOYEES[[#This Row],[EMPLOYEE NUMBER]]="","",IF(AND(T_EMPLOYEES[[#This Row],[START DATE]]&gt;0,T_EMPLOYEES[[#This Row],[START DATE]]&lt;TODAY()+60),0,1))</f>
        <v/>
      </c>
      <c r="AE324">
        <f>IF(T_EMPLOYEES[[#This Row],[EMPLOYEE NUMBER]]="","",MATCH(T_EMPLOYEES[[#This Row],[GENDER]],L_GENDER,0))</f>
        <v/>
      </c>
      <c r="AF324">
        <f>IF(T_EMPLOYEES[[#This Row],[EMPLOYEE NUMBER]]="","",MATCH(T_EMPLOYEES[[#This Row],[HIRE SOURCE]],L_HIRESOURCE,0))</f>
        <v/>
      </c>
      <c r="AG324">
        <f>IF(T_EMPLOYEES[[#This Row],[EMPLOYEE NUMBER]]="","",MATCH(T_EMPLOYEES[[#This Row],[ETHNICITY]],L_ETHNICITY,0))</f>
        <v/>
      </c>
      <c r="AH324">
        <f>IF(T_EMPLOYEES[[#This Row],[EMPLOYEE NUMBER]]="","",MATCH(T_EMPLOYEES[[#This Row],[LOCATION]],L_LOCATION,0))</f>
        <v/>
      </c>
      <c r="AI324">
        <f>IF(T_EMPLOYEES[[#This Row],[EMPLOYEE NUMBER]]="","",MATCH(T_EMPLOYEES[[#This Row],[DEPARTMENT]],L_DEPARTMENT,0))</f>
        <v/>
      </c>
      <c r="AJ324">
        <f>IF(T_EMPLOYEES[[#This Row],[EMPLOYEE NUMBER]]="","",MATCH(T_EMPLOYEES[[#This Row],[JOB TYPE]],L_JOBTYPE,0))</f>
        <v/>
      </c>
      <c r="AK324">
        <f>IF(T_EMPLOYEES[[#This Row],[EMPLOYEE NUMBER]]="","",MATCH(T_EMPLOYEES[[#This Row],[JOB CATEGORY]],L_JOBCATEGORY,0))</f>
        <v/>
      </c>
      <c r="AL324">
        <f>IF(T_EMPLOYEES[[#This Row],[EMPLOYEE NUMBER]]="","",MATCH(T_EMPLOYEES[[#This Row],[JOB LEVEL]],L_JOBLEVEL,0))</f>
        <v/>
      </c>
      <c r="AM324">
        <f>IF(T_EMPLOYEES[[#This Row],[EMPLOYEE NUMBER]]="","",MATCH(T_EMPLOYEES[[#This Row],[JOB TITLE]],L_JOBTITLE,0))</f>
        <v/>
      </c>
      <c r="AN324">
        <f>IF(T_EMPLOYEES[[#This Row],[EMPLOYEE NUMBER]]="","",MATCH(T_EMPLOYEES[[#This Row],[MANAGER]],L_EMPLABELS,0))</f>
        <v/>
      </c>
      <c r="AO324">
        <f>IF(T_EMPLOYEES[[#This Row],[EMPLOYEE NUMBER]]="","",IF(T_EMPLOYEES[[#This Row],[ERROR]]="",0,1))</f>
        <v/>
      </c>
      <c r="AP32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5">
      <c r="A325" t="inlineStr">
        <is>
          <t>Afzal</t>
        </is>
      </c>
      <c r="B325" t="inlineStr">
        <is>
          <t>Khan</t>
        </is>
      </c>
      <c r="C325" t="n">
        <v>1031042</v>
      </c>
      <c r="D325" t="inlineStr">
        <is>
          <t>Afzal.Khan2@infinite.com</t>
        </is>
      </c>
      <c r="E325" s="26" t="n">
        <v>35113</v>
      </c>
      <c r="F325" s="26" t="n">
        <v>44889</v>
      </c>
      <c r="H325" t="inlineStr">
        <is>
          <t>Male</t>
        </is>
      </c>
      <c r="I325" t="inlineStr">
        <is>
          <t>Asian</t>
        </is>
      </c>
      <c r="J325" t="inlineStr">
        <is>
          <t>WEBSITE</t>
        </is>
      </c>
      <c r="K325" t="inlineStr">
        <is>
          <t>Bangalore</t>
        </is>
      </c>
      <c r="L325" s="27" t="inlineStr">
        <is>
          <t>Core</t>
        </is>
      </c>
      <c r="M325" t="inlineStr">
        <is>
          <t>Full-Time</t>
        </is>
      </c>
      <c r="N325" t="inlineStr">
        <is>
          <t>Associate Software Engineer</t>
        </is>
      </c>
      <c r="O325" t="inlineStr">
        <is>
          <t>E1</t>
        </is>
      </c>
      <c r="P325" t="inlineStr">
        <is>
          <t>Associate Software Engineer</t>
        </is>
      </c>
      <c r="Q325" t="inlineStr">
        <is>
          <t>Dipakbhai Motibhai Tandel (1027230)</t>
        </is>
      </c>
      <c r="R325" t="n">
        <v>0</v>
      </c>
      <c r="S325" s="1" t="n">
        <v>250000</v>
      </c>
      <c r="T325" s="1">
        <f>ROUND(T_EMPLOYEES[[#This Row],[EMP_CTC1]]/12, 0)</f>
        <v/>
      </c>
      <c r="U325" s="1" t="n">
        <v>150000</v>
      </c>
      <c r="V325" s="1" t="inlineStr">
        <is>
          <t>ND</t>
        </is>
      </c>
      <c r="W325" s="1" t="inlineStr">
        <is>
          <t>ND</t>
        </is>
      </c>
      <c r="X32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5" t="n">
        <v>120000</v>
      </c>
      <c r="Z325" s="29">
        <f>(S325 - U325)/S325 * 100</f>
        <v/>
      </c>
      <c r="AA325">
        <f>IF(T_EMPLOYEES[[#This Row],[EMPLOYEE NUMBER]]="","",ROW(T_EMPLOYEES[[#This Row],[EMPLOYEE LABEL]])-ROW(T_EMPLOYEES[[#Headers],[EMPLOYEE LABEL]]))</f>
        <v/>
      </c>
      <c r="AB325">
        <f>IF(T_EMPLOYEES[[#This Row],[EMPLOYEE NUMBER]]="","",IF(COUNTIF(T_EMPLOYEES[EMPLOYEE NUMBER],T_EMPLOYEES[[#This Row],[EMPLOYEE NUMBER]])&gt;1,1,0))</f>
        <v/>
      </c>
      <c r="AC325">
        <f>IF(T_EMPLOYEES[[#This Row],[EMPLOYEE NUMBER]]="","",IF(AND(T_EMPLOYEES[[#This Row],[DATE OF BIRTH]]&gt;0,T_EMPLOYEES[[#This Row],[DATE OF BIRTH]]&lt;TODAY()),0,1))</f>
        <v/>
      </c>
      <c r="AD325">
        <f>IF(T_EMPLOYEES[[#This Row],[EMPLOYEE NUMBER]]="","",IF(AND(T_EMPLOYEES[[#This Row],[START DATE]]&gt;0,T_EMPLOYEES[[#This Row],[START DATE]]&lt;TODAY()+60),0,1))</f>
        <v/>
      </c>
      <c r="AE325">
        <f>IF(T_EMPLOYEES[[#This Row],[EMPLOYEE NUMBER]]="","",MATCH(T_EMPLOYEES[[#This Row],[GENDER]],L_GENDER,0))</f>
        <v/>
      </c>
      <c r="AF325">
        <f>IF(T_EMPLOYEES[[#This Row],[EMPLOYEE NUMBER]]="","",MATCH(T_EMPLOYEES[[#This Row],[HIRE SOURCE]],L_HIRESOURCE,0))</f>
        <v/>
      </c>
      <c r="AG325">
        <f>IF(T_EMPLOYEES[[#This Row],[EMPLOYEE NUMBER]]="","",MATCH(T_EMPLOYEES[[#This Row],[ETHNICITY]],L_ETHNICITY,0))</f>
        <v/>
      </c>
      <c r="AH325">
        <f>IF(T_EMPLOYEES[[#This Row],[EMPLOYEE NUMBER]]="","",MATCH(T_EMPLOYEES[[#This Row],[LOCATION]],L_LOCATION,0))</f>
        <v/>
      </c>
      <c r="AI325">
        <f>IF(T_EMPLOYEES[[#This Row],[EMPLOYEE NUMBER]]="","",MATCH(T_EMPLOYEES[[#This Row],[DEPARTMENT]],L_DEPARTMENT,0))</f>
        <v/>
      </c>
      <c r="AJ325">
        <f>IF(T_EMPLOYEES[[#This Row],[EMPLOYEE NUMBER]]="","",MATCH(T_EMPLOYEES[[#This Row],[JOB TYPE]],L_JOBTYPE,0))</f>
        <v/>
      </c>
      <c r="AK325">
        <f>IF(T_EMPLOYEES[[#This Row],[EMPLOYEE NUMBER]]="","",MATCH(T_EMPLOYEES[[#This Row],[JOB CATEGORY]],L_JOBCATEGORY,0))</f>
        <v/>
      </c>
      <c r="AL325">
        <f>IF(T_EMPLOYEES[[#This Row],[EMPLOYEE NUMBER]]="","",MATCH(T_EMPLOYEES[[#This Row],[JOB LEVEL]],L_JOBLEVEL,0))</f>
        <v/>
      </c>
      <c r="AM325">
        <f>IF(T_EMPLOYEES[[#This Row],[EMPLOYEE NUMBER]]="","",MATCH(T_EMPLOYEES[[#This Row],[JOB TITLE]],L_JOBTITLE,0))</f>
        <v/>
      </c>
      <c r="AN325">
        <f>IF(T_EMPLOYEES[[#This Row],[EMPLOYEE NUMBER]]="","",MATCH(T_EMPLOYEES[[#This Row],[MANAGER]],L_EMPLABELS,0))</f>
        <v/>
      </c>
      <c r="AO325">
        <f>IF(T_EMPLOYEES[[#This Row],[EMPLOYEE NUMBER]]="","",IF(T_EMPLOYEES[[#This Row],[ERROR]]="",0,1))</f>
        <v/>
      </c>
      <c r="AP32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6">
      <c r="A326" t="inlineStr">
        <is>
          <t>Supreetha</t>
        </is>
      </c>
      <c r="C326" t="n">
        <v>1026264</v>
      </c>
      <c r="D326" t="inlineStr">
        <is>
          <t>Supreetha.Shivanna@infinite.com</t>
        </is>
      </c>
      <c r="E326" s="26" t="n">
        <v>35133</v>
      </c>
      <c r="F326" s="26" t="n">
        <v>44435</v>
      </c>
      <c r="H326" t="inlineStr">
        <is>
          <t>Female</t>
        </is>
      </c>
      <c r="I326" t="inlineStr">
        <is>
          <t>Asian</t>
        </is>
      </c>
      <c r="J326" t="inlineStr">
        <is>
          <t>WEBSITE</t>
        </is>
      </c>
      <c r="K326" t="inlineStr">
        <is>
          <t>Bangalore</t>
        </is>
      </c>
      <c r="L326" s="27" t="inlineStr">
        <is>
          <t>QA</t>
        </is>
      </c>
      <c r="M326" t="inlineStr">
        <is>
          <t>Full-Time</t>
        </is>
      </c>
      <c r="N326" t="inlineStr">
        <is>
          <t>Software Test Engineer</t>
        </is>
      </c>
      <c r="O326" t="inlineStr">
        <is>
          <t>E2</t>
        </is>
      </c>
      <c r="P326" t="inlineStr">
        <is>
          <t>Software Test Engineer</t>
        </is>
      </c>
      <c r="Q326" t="inlineStr">
        <is>
          <t>Vinayak  Tatuskar (1023387)</t>
        </is>
      </c>
      <c r="R326" s="27" t="n">
        <v>4</v>
      </c>
      <c r="S326" s="1" t="n">
        <v>250000</v>
      </c>
      <c r="T326" s="1">
        <f>ROUND(T_EMPLOYEES[[#This Row],[EMP_CTC1]]/12, 0)</f>
        <v/>
      </c>
      <c r="U326" s="1" t="n">
        <v>150000</v>
      </c>
      <c r="V326" s="1" t="inlineStr">
        <is>
          <t>ND</t>
        </is>
      </c>
      <c r="W326" s="1" t="inlineStr">
        <is>
          <t>ND</t>
        </is>
      </c>
      <c r="X32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6" t="n">
        <v>120000</v>
      </c>
      <c r="Z326" s="29">
        <f>(S326 - U326)/S326 * 100</f>
        <v/>
      </c>
      <c r="AA326">
        <f>IF(T_EMPLOYEES[[#This Row],[EMPLOYEE NUMBER]]="","",ROW(T_EMPLOYEES[[#This Row],[EMPLOYEE LABEL]])-ROW(T_EMPLOYEES[[#Headers],[EMPLOYEE LABEL]]))</f>
        <v/>
      </c>
      <c r="AB326">
        <f>IF(T_EMPLOYEES[[#This Row],[EMPLOYEE NUMBER]]="","",IF(COUNTIF(T_EMPLOYEES[EMPLOYEE NUMBER],T_EMPLOYEES[[#This Row],[EMPLOYEE NUMBER]])&gt;1,1,0))</f>
        <v/>
      </c>
      <c r="AC326">
        <f>IF(T_EMPLOYEES[[#This Row],[EMPLOYEE NUMBER]]="","",IF(AND(T_EMPLOYEES[[#This Row],[DATE OF BIRTH]]&gt;0,T_EMPLOYEES[[#This Row],[DATE OF BIRTH]]&lt;TODAY()),0,1))</f>
        <v/>
      </c>
      <c r="AD326">
        <f>IF(T_EMPLOYEES[[#This Row],[EMPLOYEE NUMBER]]="","",IF(AND(T_EMPLOYEES[[#This Row],[START DATE]]&gt;0,T_EMPLOYEES[[#This Row],[START DATE]]&lt;TODAY()+60),0,1))</f>
        <v/>
      </c>
      <c r="AE326">
        <f>IF(T_EMPLOYEES[[#This Row],[EMPLOYEE NUMBER]]="","",MATCH(T_EMPLOYEES[[#This Row],[GENDER]],L_GENDER,0))</f>
        <v/>
      </c>
      <c r="AF326">
        <f>IF(T_EMPLOYEES[[#This Row],[EMPLOYEE NUMBER]]="","",MATCH(T_EMPLOYEES[[#This Row],[HIRE SOURCE]],L_HIRESOURCE,0))</f>
        <v/>
      </c>
      <c r="AG326">
        <f>IF(T_EMPLOYEES[[#This Row],[EMPLOYEE NUMBER]]="","",MATCH(T_EMPLOYEES[[#This Row],[ETHNICITY]],L_ETHNICITY,0))</f>
        <v/>
      </c>
      <c r="AH326">
        <f>IF(T_EMPLOYEES[[#This Row],[EMPLOYEE NUMBER]]="","",MATCH(T_EMPLOYEES[[#This Row],[LOCATION]],L_LOCATION,0))</f>
        <v/>
      </c>
      <c r="AI326">
        <f>IF(T_EMPLOYEES[[#This Row],[EMPLOYEE NUMBER]]="","",MATCH(T_EMPLOYEES[[#This Row],[DEPARTMENT]],L_DEPARTMENT,0))</f>
        <v/>
      </c>
      <c r="AJ326">
        <f>IF(T_EMPLOYEES[[#This Row],[EMPLOYEE NUMBER]]="","",MATCH(T_EMPLOYEES[[#This Row],[JOB TYPE]],L_JOBTYPE,0))</f>
        <v/>
      </c>
      <c r="AK326">
        <f>IF(T_EMPLOYEES[[#This Row],[EMPLOYEE NUMBER]]="","",MATCH(T_EMPLOYEES[[#This Row],[JOB CATEGORY]],L_JOBCATEGORY,0))</f>
        <v/>
      </c>
      <c r="AL326">
        <f>IF(T_EMPLOYEES[[#This Row],[EMPLOYEE NUMBER]]="","",MATCH(T_EMPLOYEES[[#This Row],[JOB LEVEL]],L_JOBLEVEL,0))</f>
        <v/>
      </c>
      <c r="AM326">
        <f>IF(T_EMPLOYEES[[#This Row],[EMPLOYEE NUMBER]]="","",MATCH(T_EMPLOYEES[[#This Row],[JOB TITLE]],L_JOBTITLE,0))</f>
        <v/>
      </c>
      <c r="AN326">
        <f>IF(T_EMPLOYEES[[#This Row],[EMPLOYEE NUMBER]]="","",MATCH(T_EMPLOYEES[[#This Row],[MANAGER]],L_EMPLABELS,0))</f>
        <v/>
      </c>
      <c r="AO326">
        <f>IF(T_EMPLOYEES[[#This Row],[EMPLOYEE NUMBER]]="","",IF(T_EMPLOYEES[[#This Row],[ERROR]]="",0,1))</f>
        <v/>
      </c>
      <c r="AP32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7">
      <c r="A327" t="inlineStr">
        <is>
          <t>Ganesha</t>
        </is>
      </c>
      <c r="B327" t="inlineStr">
        <is>
          <t>M D</t>
        </is>
      </c>
      <c r="C327" t="n">
        <v>1033500</v>
      </c>
      <c r="D327" t="inlineStr">
        <is>
          <t>Ganesha.Dharmegowda@infinite.com</t>
        </is>
      </c>
      <c r="E327" s="26" t="n">
        <v>35200</v>
      </c>
      <c r="F327" s="26" t="n">
        <v>45177</v>
      </c>
      <c r="H327" t="inlineStr">
        <is>
          <t>Male</t>
        </is>
      </c>
      <c r="I327" t="inlineStr">
        <is>
          <t>Asian</t>
        </is>
      </c>
      <c r="J327" t="inlineStr">
        <is>
          <t>WEBSITE</t>
        </is>
      </c>
      <c r="K327" t="inlineStr">
        <is>
          <t>Bangalore</t>
        </is>
      </c>
      <c r="L327" s="27" t="inlineStr">
        <is>
          <t>IT</t>
        </is>
      </c>
      <c r="M327" t="inlineStr">
        <is>
          <t>Full-Time</t>
        </is>
      </c>
      <c r="N327" t="inlineStr">
        <is>
          <t>Support Engineer</t>
        </is>
      </c>
      <c r="O327" t="inlineStr">
        <is>
          <t>E2</t>
        </is>
      </c>
      <c r="P327" t="inlineStr">
        <is>
          <t>Support Engineer</t>
        </is>
      </c>
      <c r="Q327" t="inlineStr">
        <is>
          <t>Ashish Sandu (1033922)</t>
        </is>
      </c>
      <c r="R327" t="n">
        <v>4</v>
      </c>
      <c r="S327" s="1" t="n">
        <v>250000</v>
      </c>
      <c r="T327" s="1">
        <f>ROUND(T_EMPLOYEES[[#This Row],[EMP_CTC1]]/12, 0)</f>
        <v/>
      </c>
      <c r="U327" s="1" t="n">
        <v>150000</v>
      </c>
      <c r="V327" s="1" t="inlineStr">
        <is>
          <t>ND</t>
        </is>
      </c>
      <c r="W327" s="1" t="inlineStr">
        <is>
          <t>ND</t>
        </is>
      </c>
      <c r="X32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7" t="n">
        <v>120000</v>
      </c>
      <c r="Z327" s="29">
        <f>(S327 - U327)/S327 * 100</f>
        <v/>
      </c>
      <c r="AA327">
        <f>IF(T_EMPLOYEES[[#This Row],[EMPLOYEE NUMBER]]="","",ROW(T_EMPLOYEES[[#This Row],[EMPLOYEE LABEL]])-ROW(T_EMPLOYEES[[#Headers],[EMPLOYEE LABEL]]))</f>
        <v/>
      </c>
      <c r="AB327">
        <f>IF(T_EMPLOYEES[[#This Row],[EMPLOYEE NUMBER]]="","",IF(COUNTIF(T_EMPLOYEES[EMPLOYEE NUMBER],T_EMPLOYEES[[#This Row],[EMPLOYEE NUMBER]])&gt;1,1,0))</f>
        <v/>
      </c>
      <c r="AC327">
        <f>IF(T_EMPLOYEES[[#This Row],[EMPLOYEE NUMBER]]="","",IF(AND(T_EMPLOYEES[[#This Row],[DATE OF BIRTH]]&gt;0,T_EMPLOYEES[[#This Row],[DATE OF BIRTH]]&lt;TODAY()),0,1))</f>
        <v/>
      </c>
      <c r="AD327">
        <f>IF(T_EMPLOYEES[[#This Row],[EMPLOYEE NUMBER]]="","",IF(AND(T_EMPLOYEES[[#This Row],[START DATE]]&gt;0,T_EMPLOYEES[[#This Row],[START DATE]]&lt;TODAY()+60),0,1))</f>
        <v/>
      </c>
      <c r="AE327">
        <f>IF(T_EMPLOYEES[[#This Row],[EMPLOYEE NUMBER]]="","",MATCH(T_EMPLOYEES[[#This Row],[GENDER]],L_GENDER,0))</f>
        <v/>
      </c>
      <c r="AF327">
        <f>IF(T_EMPLOYEES[[#This Row],[EMPLOYEE NUMBER]]="","",MATCH(T_EMPLOYEES[[#This Row],[HIRE SOURCE]],L_HIRESOURCE,0))</f>
        <v/>
      </c>
      <c r="AG327">
        <f>IF(T_EMPLOYEES[[#This Row],[EMPLOYEE NUMBER]]="","",MATCH(T_EMPLOYEES[[#This Row],[ETHNICITY]],L_ETHNICITY,0))</f>
        <v/>
      </c>
      <c r="AH327">
        <f>IF(T_EMPLOYEES[[#This Row],[EMPLOYEE NUMBER]]="","",MATCH(T_EMPLOYEES[[#This Row],[LOCATION]],L_LOCATION,0))</f>
        <v/>
      </c>
      <c r="AI327">
        <f>IF(T_EMPLOYEES[[#This Row],[EMPLOYEE NUMBER]]="","",MATCH(T_EMPLOYEES[[#This Row],[DEPARTMENT]],L_DEPARTMENT,0))</f>
        <v/>
      </c>
      <c r="AJ327">
        <f>IF(T_EMPLOYEES[[#This Row],[EMPLOYEE NUMBER]]="","",MATCH(T_EMPLOYEES[[#This Row],[JOB TYPE]],L_JOBTYPE,0))</f>
        <v/>
      </c>
      <c r="AK327">
        <f>IF(T_EMPLOYEES[[#This Row],[EMPLOYEE NUMBER]]="","",MATCH(T_EMPLOYEES[[#This Row],[JOB CATEGORY]],L_JOBCATEGORY,0))</f>
        <v/>
      </c>
      <c r="AL327">
        <f>IF(T_EMPLOYEES[[#This Row],[EMPLOYEE NUMBER]]="","",MATCH(T_EMPLOYEES[[#This Row],[JOB LEVEL]],L_JOBLEVEL,0))</f>
        <v/>
      </c>
      <c r="AM327">
        <f>IF(T_EMPLOYEES[[#This Row],[EMPLOYEE NUMBER]]="","",MATCH(T_EMPLOYEES[[#This Row],[JOB TITLE]],L_JOBTITLE,0))</f>
        <v/>
      </c>
      <c r="AN327">
        <f>IF(T_EMPLOYEES[[#This Row],[EMPLOYEE NUMBER]]="","",MATCH(T_EMPLOYEES[[#This Row],[MANAGER]],L_EMPLABELS,0))</f>
        <v/>
      </c>
      <c r="AO327">
        <f>IF(T_EMPLOYEES[[#This Row],[EMPLOYEE NUMBER]]="","",IF(T_EMPLOYEES[[#This Row],[ERROR]]="",0,1))</f>
        <v/>
      </c>
      <c r="AP32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8">
      <c r="A328" t="inlineStr">
        <is>
          <t>Thulluri</t>
        </is>
      </c>
      <c r="B328" t="inlineStr">
        <is>
          <t>Sai Kumar  Thulluri</t>
        </is>
      </c>
      <c r="C328" t="n">
        <v>1030629</v>
      </c>
      <c r="D328" t="inlineStr">
        <is>
          <t>Saikumar.Thulluri@infinite.com</t>
        </is>
      </c>
      <c r="E328" s="26" t="n">
        <v>35206</v>
      </c>
      <c r="F328" s="26" t="n">
        <v>44848</v>
      </c>
      <c r="H328" t="inlineStr">
        <is>
          <t>Male</t>
        </is>
      </c>
      <c r="I328" t="inlineStr">
        <is>
          <t>Asian</t>
        </is>
      </c>
      <c r="J328" t="inlineStr">
        <is>
          <t>WEBSITE</t>
        </is>
      </c>
      <c r="K328" t="inlineStr">
        <is>
          <t>Bangalore</t>
        </is>
      </c>
      <c r="L328" s="27" t="inlineStr">
        <is>
          <t>IT</t>
        </is>
      </c>
      <c r="M328" t="inlineStr">
        <is>
          <t>Full-Time</t>
        </is>
      </c>
      <c r="N328" t="inlineStr">
        <is>
          <t>Senior Software Engineer</t>
        </is>
      </c>
      <c r="O328" t="inlineStr">
        <is>
          <t>E3</t>
        </is>
      </c>
      <c r="P328" t="inlineStr">
        <is>
          <t>Senior Software Engineer</t>
        </is>
      </c>
      <c r="Q328" t="inlineStr">
        <is>
          <t>Siddharth Kumar (1027551)</t>
        </is>
      </c>
      <c r="R328" s="27" t="n">
        <v>4</v>
      </c>
      <c r="S328" s="1" t="n">
        <v>250000</v>
      </c>
      <c r="T328" s="1">
        <f>ROUND(T_EMPLOYEES[[#This Row],[EMP_CTC1]]/12, 0)</f>
        <v/>
      </c>
      <c r="U328" s="1" t="n">
        <v>150000</v>
      </c>
      <c r="V328" s="1" t="inlineStr">
        <is>
          <t>ND</t>
        </is>
      </c>
      <c r="W328" s="1" t="inlineStr">
        <is>
          <t>ND</t>
        </is>
      </c>
      <c r="X32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8" t="n">
        <v>120000</v>
      </c>
      <c r="Z328" s="29">
        <f>(S328 - U328)/S328 * 100</f>
        <v/>
      </c>
      <c r="AA328">
        <f>IF(T_EMPLOYEES[[#This Row],[EMPLOYEE NUMBER]]="","",ROW(T_EMPLOYEES[[#This Row],[EMPLOYEE LABEL]])-ROW(T_EMPLOYEES[[#Headers],[EMPLOYEE LABEL]]))</f>
        <v/>
      </c>
      <c r="AB328">
        <f>IF(T_EMPLOYEES[[#This Row],[EMPLOYEE NUMBER]]="","",IF(COUNTIF(T_EMPLOYEES[EMPLOYEE NUMBER],T_EMPLOYEES[[#This Row],[EMPLOYEE NUMBER]])&gt;1,1,0))</f>
        <v/>
      </c>
      <c r="AC328">
        <f>IF(T_EMPLOYEES[[#This Row],[EMPLOYEE NUMBER]]="","",IF(AND(T_EMPLOYEES[[#This Row],[DATE OF BIRTH]]&gt;0,T_EMPLOYEES[[#This Row],[DATE OF BIRTH]]&lt;TODAY()),0,1))</f>
        <v/>
      </c>
      <c r="AD328">
        <f>IF(T_EMPLOYEES[[#This Row],[EMPLOYEE NUMBER]]="","",IF(AND(T_EMPLOYEES[[#This Row],[START DATE]]&gt;0,T_EMPLOYEES[[#This Row],[START DATE]]&lt;TODAY()+60),0,1))</f>
        <v/>
      </c>
      <c r="AE328">
        <f>IF(T_EMPLOYEES[[#This Row],[EMPLOYEE NUMBER]]="","",MATCH(T_EMPLOYEES[[#This Row],[GENDER]],L_GENDER,0))</f>
        <v/>
      </c>
      <c r="AF328">
        <f>IF(T_EMPLOYEES[[#This Row],[EMPLOYEE NUMBER]]="","",MATCH(T_EMPLOYEES[[#This Row],[HIRE SOURCE]],L_HIRESOURCE,0))</f>
        <v/>
      </c>
      <c r="AG328">
        <f>IF(T_EMPLOYEES[[#This Row],[EMPLOYEE NUMBER]]="","",MATCH(T_EMPLOYEES[[#This Row],[ETHNICITY]],L_ETHNICITY,0))</f>
        <v/>
      </c>
      <c r="AH328">
        <f>IF(T_EMPLOYEES[[#This Row],[EMPLOYEE NUMBER]]="","",MATCH(T_EMPLOYEES[[#This Row],[LOCATION]],L_LOCATION,0))</f>
        <v/>
      </c>
      <c r="AI328">
        <f>IF(T_EMPLOYEES[[#This Row],[EMPLOYEE NUMBER]]="","",MATCH(T_EMPLOYEES[[#This Row],[DEPARTMENT]],L_DEPARTMENT,0))</f>
        <v/>
      </c>
      <c r="AJ328">
        <f>IF(T_EMPLOYEES[[#This Row],[EMPLOYEE NUMBER]]="","",MATCH(T_EMPLOYEES[[#This Row],[JOB TYPE]],L_JOBTYPE,0))</f>
        <v/>
      </c>
      <c r="AK328">
        <f>IF(T_EMPLOYEES[[#This Row],[EMPLOYEE NUMBER]]="","",MATCH(T_EMPLOYEES[[#This Row],[JOB CATEGORY]],L_JOBCATEGORY,0))</f>
        <v/>
      </c>
      <c r="AL328">
        <f>IF(T_EMPLOYEES[[#This Row],[EMPLOYEE NUMBER]]="","",MATCH(T_EMPLOYEES[[#This Row],[JOB LEVEL]],L_JOBLEVEL,0))</f>
        <v/>
      </c>
      <c r="AM328">
        <f>IF(T_EMPLOYEES[[#This Row],[EMPLOYEE NUMBER]]="","",MATCH(T_EMPLOYEES[[#This Row],[JOB TITLE]],L_JOBTITLE,0))</f>
        <v/>
      </c>
      <c r="AN328">
        <f>IF(T_EMPLOYEES[[#This Row],[EMPLOYEE NUMBER]]="","",MATCH(T_EMPLOYEES[[#This Row],[MANAGER]],L_EMPLABELS,0))</f>
        <v/>
      </c>
      <c r="AO328">
        <f>IF(T_EMPLOYEES[[#This Row],[EMPLOYEE NUMBER]]="","",IF(T_EMPLOYEES[[#This Row],[ERROR]]="",0,1))</f>
        <v/>
      </c>
      <c r="AP32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29">
      <c r="A329" t="inlineStr">
        <is>
          <t>Akash</t>
        </is>
      </c>
      <c r="B329" t="inlineStr">
        <is>
          <t>Vasant Kadam</t>
        </is>
      </c>
      <c r="C329" t="n">
        <v>1031064</v>
      </c>
      <c r="D329" t="inlineStr">
        <is>
          <t>Akash.Vasant@infinite.com</t>
        </is>
      </c>
      <c r="E329" s="26" t="n">
        <v>35212</v>
      </c>
      <c r="F329" s="26" t="n">
        <v>44889</v>
      </c>
      <c r="H329" t="inlineStr">
        <is>
          <t>Male</t>
        </is>
      </c>
      <c r="I329" t="inlineStr">
        <is>
          <t>Asian</t>
        </is>
      </c>
      <c r="J329" t="inlineStr">
        <is>
          <t>WEBSITE</t>
        </is>
      </c>
      <c r="K329" t="inlineStr">
        <is>
          <t>Bangalore</t>
        </is>
      </c>
      <c r="L329" s="27" t="inlineStr">
        <is>
          <t>Core</t>
        </is>
      </c>
      <c r="M329" t="inlineStr">
        <is>
          <t>Full-Time</t>
        </is>
      </c>
      <c r="N329" t="inlineStr">
        <is>
          <t>Associate Software Engineer</t>
        </is>
      </c>
      <c r="O329" t="inlineStr">
        <is>
          <t>E1</t>
        </is>
      </c>
      <c r="P329" t="inlineStr">
        <is>
          <t>Associate Software Engineer</t>
        </is>
      </c>
      <c r="Q329" t="inlineStr">
        <is>
          <t>Kishore Kumar N (1019765)</t>
        </is>
      </c>
      <c r="R329" t="n">
        <v>0</v>
      </c>
      <c r="S329" s="1" t="n">
        <v>250000</v>
      </c>
      <c r="T329" s="1">
        <f>ROUND(T_EMPLOYEES[[#This Row],[EMP_CTC1]]/12, 0)</f>
        <v/>
      </c>
      <c r="U329" s="1" t="n">
        <v>150000</v>
      </c>
      <c r="V329" s="1" t="inlineStr">
        <is>
          <t>ND</t>
        </is>
      </c>
      <c r="W329" s="1" t="inlineStr">
        <is>
          <t>ND</t>
        </is>
      </c>
      <c r="X32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29" t="n">
        <v>120000</v>
      </c>
      <c r="Z329" s="29">
        <f>(S329 - U329)/S329 * 100</f>
        <v/>
      </c>
      <c r="AA329">
        <f>IF(T_EMPLOYEES[[#This Row],[EMPLOYEE NUMBER]]="","",ROW(T_EMPLOYEES[[#This Row],[EMPLOYEE LABEL]])-ROW(T_EMPLOYEES[[#Headers],[EMPLOYEE LABEL]]))</f>
        <v/>
      </c>
      <c r="AB329">
        <f>IF(T_EMPLOYEES[[#This Row],[EMPLOYEE NUMBER]]="","",IF(COUNTIF(T_EMPLOYEES[EMPLOYEE NUMBER],T_EMPLOYEES[[#This Row],[EMPLOYEE NUMBER]])&gt;1,1,0))</f>
        <v/>
      </c>
      <c r="AC329">
        <f>IF(T_EMPLOYEES[[#This Row],[EMPLOYEE NUMBER]]="","",IF(AND(T_EMPLOYEES[[#This Row],[DATE OF BIRTH]]&gt;0,T_EMPLOYEES[[#This Row],[DATE OF BIRTH]]&lt;TODAY()),0,1))</f>
        <v/>
      </c>
      <c r="AD329">
        <f>IF(T_EMPLOYEES[[#This Row],[EMPLOYEE NUMBER]]="","",IF(AND(T_EMPLOYEES[[#This Row],[START DATE]]&gt;0,T_EMPLOYEES[[#This Row],[START DATE]]&lt;TODAY()+60),0,1))</f>
        <v/>
      </c>
      <c r="AE329">
        <f>IF(T_EMPLOYEES[[#This Row],[EMPLOYEE NUMBER]]="","",MATCH(T_EMPLOYEES[[#This Row],[GENDER]],L_GENDER,0))</f>
        <v/>
      </c>
      <c r="AF329">
        <f>IF(T_EMPLOYEES[[#This Row],[EMPLOYEE NUMBER]]="","",MATCH(T_EMPLOYEES[[#This Row],[HIRE SOURCE]],L_HIRESOURCE,0))</f>
        <v/>
      </c>
      <c r="AG329">
        <f>IF(T_EMPLOYEES[[#This Row],[EMPLOYEE NUMBER]]="","",MATCH(T_EMPLOYEES[[#This Row],[ETHNICITY]],L_ETHNICITY,0))</f>
        <v/>
      </c>
      <c r="AH329">
        <f>IF(T_EMPLOYEES[[#This Row],[EMPLOYEE NUMBER]]="","",MATCH(T_EMPLOYEES[[#This Row],[LOCATION]],L_LOCATION,0))</f>
        <v/>
      </c>
      <c r="AI329">
        <f>IF(T_EMPLOYEES[[#This Row],[EMPLOYEE NUMBER]]="","",MATCH(T_EMPLOYEES[[#This Row],[DEPARTMENT]],L_DEPARTMENT,0))</f>
        <v/>
      </c>
      <c r="AJ329">
        <f>IF(T_EMPLOYEES[[#This Row],[EMPLOYEE NUMBER]]="","",MATCH(T_EMPLOYEES[[#This Row],[JOB TYPE]],L_JOBTYPE,0))</f>
        <v/>
      </c>
      <c r="AK329">
        <f>IF(T_EMPLOYEES[[#This Row],[EMPLOYEE NUMBER]]="","",MATCH(T_EMPLOYEES[[#This Row],[JOB CATEGORY]],L_JOBCATEGORY,0))</f>
        <v/>
      </c>
      <c r="AL329">
        <f>IF(T_EMPLOYEES[[#This Row],[EMPLOYEE NUMBER]]="","",MATCH(T_EMPLOYEES[[#This Row],[JOB LEVEL]],L_JOBLEVEL,0))</f>
        <v/>
      </c>
      <c r="AM329">
        <f>IF(T_EMPLOYEES[[#This Row],[EMPLOYEE NUMBER]]="","",MATCH(T_EMPLOYEES[[#This Row],[JOB TITLE]],L_JOBTITLE,0))</f>
        <v/>
      </c>
      <c r="AN329">
        <f>IF(T_EMPLOYEES[[#This Row],[EMPLOYEE NUMBER]]="","",MATCH(T_EMPLOYEES[[#This Row],[MANAGER]],L_EMPLABELS,0))</f>
        <v/>
      </c>
      <c r="AO329">
        <f>IF(T_EMPLOYEES[[#This Row],[EMPLOYEE NUMBER]]="","",IF(T_EMPLOYEES[[#This Row],[ERROR]]="",0,1))</f>
        <v/>
      </c>
      <c r="AP32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29" t="inlineStr">
        <is>
          <t>Provider</t>
        </is>
      </c>
    </row>
    <row r="330">
      <c r="A330" t="inlineStr">
        <is>
          <t>Androthu</t>
        </is>
      </c>
      <c r="B330" t="inlineStr">
        <is>
          <t xml:space="preserve"> Saibabu</t>
        </is>
      </c>
      <c r="C330" t="n">
        <v>1033621</v>
      </c>
      <c r="D330" t="inlineStr">
        <is>
          <t>Saibabu.Androthu@infinite.com</t>
        </is>
      </c>
      <c r="E330" s="26" t="n">
        <v>35227</v>
      </c>
      <c r="F330" s="26" t="n">
        <v>45198</v>
      </c>
      <c r="H330" t="inlineStr">
        <is>
          <t>Male</t>
        </is>
      </c>
      <c r="I330" t="inlineStr">
        <is>
          <t>Asian</t>
        </is>
      </c>
      <c r="J330" t="inlineStr">
        <is>
          <t>WEBSITE</t>
        </is>
      </c>
      <c r="K330" t="inlineStr">
        <is>
          <t>Bangalore</t>
        </is>
      </c>
      <c r="L330" s="27" t="inlineStr">
        <is>
          <t>IT</t>
        </is>
      </c>
      <c r="M330" t="inlineStr">
        <is>
          <t>Full-Time</t>
        </is>
      </c>
      <c r="N330" t="inlineStr">
        <is>
          <t>Senior Software Engineer</t>
        </is>
      </c>
      <c r="O330" t="inlineStr">
        <is>
          <t>E3</t>
        </is>
      </c>
      <c r="P330" t="inlineStr">
        <is>
          <t>Senior Software Engineer</t>
        </is>
      </c>
      <c r="Q330" t="inlineStr">
        <is>
          <t>Niranjan Reddy G (1032824)</t>
        </is>
      </c>
      <c r="R330" s="27" t="n">
        <v>4</v>
      </c>
      <c r="S330" s="1" t="n">
        <v>250000</v>
      </c>
      <c r="T330" s="1">
        <f>ROUND(T_EMPLOYEES[[#This Row],[EMP_CTC1]]/12, 0)</f>
        <v/>
      </c>
      <c r="U330" s="1" t="n">
        <v>150000</v>
      </c>
      <c r="V330" s="1" t="inlineStr">
        <is>
          <t>ND</t>
        </is>
      </c>
      <c r="W330" s="1" t="inlineStr">
        <is>
          <t>ND</t>
        </is>
      </c>
      <c r="X33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0" t="n">
        <v>120000</v>
      </c>
      <c r="Z330" s="29">
        <f>(S330 - U330)/S330 * 100</f>
        <v/>
      </c>
      <c r="AA330">
        <f>IF(T_EMPLOYEES[[#This Row],[EMPLOYEE NUMBER]]="","",ROW(T_EMPLOYEES[[#This Row],[EMPLOYEE LABEL]])-ROW(T_EMPLOYEES[[#Headers],[EMPLOYEE LABEL]]))</f>
        <v/>
      </c>
      <c r="AB330">
        <f>IF(T_EMPLOYEES[[#This Row],[EMPLOYEE NUMBER]]="","",IF(COUNTIF(T_EMPLOYEES[EMPLOYEE NUMBER],T_EMPLOYEES[[#This Row],[EMPLOYEE NUMBER]])&gt;1,1,0))</f>
        <v/>
      </c>
      <c r="AC330">
        <f>IF(T_EMPLOYEES[[#This Row],[EMPLOYEE NUMBER]]="","",IF(AND(T_EMPLOYEES[[#This Row],[DATE OF BIRTH]]&gt;0,T_EMPLOYEES[[#This Row],[DATE OF BIRTH]]&lt;TODAY()),0,1))</f>
        <v/>
      </c>
      <c r="AD330">
        <f>IF(T_EMPLOYEES[[#This Row],[EMPLOYEE NUMBER]]="","",IF(AND(T_EMPLOYEES[[#This Row],[START DATE]]&gt;0,T_EMPLOYEES[[#This Row],[START DATE]]&lt;TODAY()+60),0,1))</f>
        <v/>
      </c>
      <c r="AE330">
        <f>IF(T_EMPLOYEES[[#This Row],[EMPLOYEE NUMBER]]="","",MATCH(T_EMPLOYEES[[#This Row],[GENDER]],L_GENDER,0))</f>
        <v/>
      </c>
      <c r="AF330">
        <f>IF(T_EMPLOYEES[[#This Row],[EMPLOYEE NUMBER]]="","",MATCH(T_EMPLOYEES[[#This Row],[HIRE SOURCE]],L_HIRESOURCE,0))</f>
        <v/>
      </c>
      <c r="AG330">
        <f>IF(T_EMPLOYEES[[#This Row],[EMPLOYEE NUMBER]]="","",MATCH(T_EMPLOYEES[[#This Row],[ETHNICITY]],L_ETHNICITY,0))</f>
        <v/>
      </c>
      <c r="AH330">
        <f>IF(T_EMPLOYEES[[#This Row],[EMPLOYEE NUMBER]]="","",MATCH(T_EMPLOYEES[[#This Row],[LOCATION]],L_LOCATION,0))</f>
        <v/>
      </c>
      <c r="AI330">
        <f>IF(T_EMPLOYEES[[#This Row],[EMPLOYEE NUMBER]]="","",MATCH(T_EMPLOYEES[[#This Row],[DEPARTMENT]],L_DEPARTMENT,0))</f>
        <v/>
      </c>
      <c r="AJ330">
        <f>IF(T_EMPLOYEES[[#This Row],[EMPLOYEE NUMBER]]="","",MATCH(T_EMPLOYEES[[#This Row],[JOB TYPE]],L_JOBTYPE,0))</f>
        <v/>
      </c>
      <c r="AK330">
        <f>IF(T_EMPLOYEES[[#This Row],[EMPLOYEE NUMBER]]="","",MATCH(T_EMPLOYEES[[#This Row],[JOB CATEGORY]],L_JOBCATEGORY,0))</f>
        <v/>
      </c>
      <c r="AL330">
        <f>IF(T_EMPLOYEES[[#This Row],[EMPLOYEE NUMBER]]="","",MATCH(T_EMPLOYEES[[#This Row],[JOB LEVEL]],L_JOBLEVEL,0))</f>
        <v/>
      </c>
      <c r="AM330">
        <f>IF(T_EMPLOYEES[[#This Row],[EMPLOYEE NUMBER]]="","",MATCH(T_EMPLOYEES[[#This Row],[JOB TITLE]],L_JOBTITLE,0))</f>
        <v/>
      </c>
      <c r="AN330">
        <f>IF(T_EMPLOYEES[[#This Row],[EMPLOYEE NUMBER]]="","",MATCH(T_EMPLOYEES[[#This Row],[MANAGER]],L_EMPLABELS,0))</f>
        <v/>
      </c>
      <c r="AO330">
        <f>IF(T_EMPLOYEES[[#This Row],[EMPLOYEE NUMBER]]="","",IF(T_EMPLOYEES[[#This Row],[ERROR]]="",0,1))</f>
        <v/>
      </c>
      <c r="AP33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1">
      <c r="A331" t="inlineStr">
        <is>
          <t>Bodapati</t>
        </is>
      </c>
      <c r="B331" t="inlineStr">
        <is>
          <t xml:space="preserve"> Maruthi</t>
        </is>
      </c>
      <c r="C331" t="n">
        <v>1028110</v>
      </c>
      <c r="D331" t="inlineStr">
        <is>
          <t>Bodapati.Maruthi@infinite.com</t>
        </is>
      </c>
      <c r="E331" s="26" t="n">
        <v>35228</v>
      </c>
      <c r="F331" s="26" t="n">
        <v>44582</v>
      </c>
      <c r="H331" t="inlineStr">
        <is>
          <t>Male</t>
        </is>
      </c>
      <c r="I331" t="inlineStr">
        <is>
          <t>Asian</t>
        </is>
      </c>
      <c r="J331" t="inlineStr">
        <is>
          <t>WEBSITE</t>
        </is>
      </c>
      <c r="K331" t="inlineStr">
        <is>
          <t>Bangalore</t>
        </is>
      </c>
      <c r="L331" s="27" t="inlineStr">
        <is>
          <t>Core</t>
        </is>
      </c>
      <c r="M331" t="inlineStr">
        <is>
          <t>Full-Time</t>
        </is>
      </c>
      <c r="N331" t="inlineStr">
        <is>
          <t>Software Engineer</t>
        </is>
      </c>
      <c r="O331" t="inlineStr">
        <is>
          <t>E2</t>
        </is>
      </c>
      <c r="P331" t="inlineStr">
        <is>
          <t>Software Engineer</t>
        </is>
      </c>
      <c r="Q331" t="inlineStr">
        <is>
          <t>Anil Kumar Khamari (1013201)</t>
        </is>
      </c>
      <c r="R331" t="n">
        <v>4</v>
      </c>
      <c r="S331" s="1" t="n">
        <v>250000</v>
      </c>
      <c r="T331" s="1">
        <f>ROUND(T_EMPLOYEES[[#This Row],[EMP_CTC1]]/12, 0)</f>
        <v/>
      </c>
      <c r="U331" s="1" t="n">
        <v>150000</v>
      </c>
      <c r="V331" s="1" t="inlineStr">
        <is>
          <t>ND</t>
        </is>
      </c>
      <c r="W331" s="1" t="inlineStr">
        <is>
          <t>ND</t>
        </is>
      </c>
      <c r="X33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1" t="n">
        <v>120000</v>
      </c>
      <c r="Z331" s="29">
        <f>(S331 - U331)/S331 * 100</f>
        <v/>
      </c>
      <c r="AA331">
        <f>IF(T_EMPLOYEES[[#This Row],[EMPLOYEE NUMBER]]="","",ROW(T_EMPLOYEES[[#This Row],[EMPLOYEE LABEL]])-ROW(T_EMPLOYEES[[#Headers],[EMPLOYEE LABEL]]))</f>
        <v/>
      </c>
      <c r="AB331">
        <f>IF(T_EMPLOYEES[[#This Row],[EMPLOYEE NUMBER]]="","",IF(COUNTIF(T_EMPLOYEES[EMPLOYEE NUMBER],T_EMPLOYEES[[#This Row],[EMPLOYEE NUMBER]])&gt;1,1,0))</f>
        <v/>
      </c>
      <c r="AC331">
        <f>IF(T_EMPLOYEES[[#This Row],[EMPLOYEE NUMBER]]="","",IF(AND(T_EMPLOYEES[[#This Row],[DATE OF BIRTH]]&gt;0,T_EMPLOYEES[[#This Row],[DATE OF BIRTH]]&lt;TODAY()),0,1))</f>
        <v/>
      </c>
      <c r="AD331">
        <f>IF(T_EMPLOYEES[[#This Row],[EMPLOYEE NUMBER]]="","",IF(AND(T_EMPLOYEES[[#This Row],[START DATE]]&gt;0,T_EMPLOYEES[[#This Row],[START DATE]]&lt;TODAY()+60),0,1))</f>
        <v/>
      </c>
      <c r="AE331">
        <f>IF(T_EMPLOYEES[[#This Row],[EMPLOYEE NUMBER]]="","",MATCH(T_EMPLOYEES[[#This Row],[GENDER]],L_GENDER,0))</f>
        <v/>
      </c>
      <c r="AF331">
        <f>IF(T_EMPLOYEES[[#This Row],[EMPLOYEE NUMBER]]="","",MATCH(T_EMPLOYEES[[#This Row],[HIRE SOURCE]],L_HIRESOURCE,0))</f>
        <v/>
      </c>
      <c r="AG331">
        <f>IF(T_EMPLOYEES[[#This Row],[EMPLOYEE NUMBER]]="","",MATCH(T_EMPLOYEES[[#This Row],[ETHNICITY]],L_ETHNICITY,0))</f>
        <v/>
      </c>
      <c r="AH331">
        <f>IF(T_EMPLOYEES[[#This Row],[EMPLOYEE NUMBER]]="","",MATCH(T_EMPLOYEES[[#This Row],[LOCATION]],L_LOCATION,0))</f>
        <v/>
      </c>
      <c r="AI331">
        <f>IF(T_EMPLOYEES[[#This Row],[EMPLOYEE NUMBER]]="","",MATCH(T_EMPLOYEES[[#This Row],[DEPARTMENT]],L_DEPARTMENT,0))</f>
        <v/>
      </c>
      <c r="AJ331">
        <f>IF(T_EMPLOYEES[[#This Row],[EMPLOYEE NUMBER]]="","",MATCH(T_EMPLOYEES[[#This Row],[JOB TYPE]],L_JOBTYPE,0))</f>
        <v/>
      </c>
      <c r="AK331">
        <f>IF(T_EMPLOYEES[[#This Row],[EMPLOYEE NUMBER]]="","",MATCH(T_EMPLOYEES[[#This Row],[JOB CATEGORY]],L_JOBCATEGORY,0))</f>
        <v/>
      </c>
      <c r="AL331">
        <f>IF(T_EMPLOYEES[[#This Row],[EMPLOYEE NUMBER]]="","",MATCH(T_EMPLOYEES[[#This Row],[JOB LEVEL]],L_JOBLEVEL,0))</f>
        <v/>
      </c>
      <c r="AM331">
        <f>IF(T_EMPLOYEES[[#This Row],[EMPLOYEE NUMBER]]="","",MATCH(T_EMPLOYEES[[#This Row],[JOB TITLE]],L_JOBTITLE,0))</f>
        <v/>
      </c>
      <c r="AN331">
        <f>IF(T_EMPLOYEES[[#This Row],[EMPLOYEE NUMBER]]="","",MATCH(T_EMPLOYEES[[#This Row],[MANAGER]],L_EMPLABELS,0))</f>
        <v/>
      </c>
      <c r="AO331">
        <f>IF(T_EMPLOYEES[[#This Row],[EMPLOYEE NUMBER]]="","",IF(T_EMPLOYEES[[#This Row],[ERROR]]="",0,1))</f>
        <v/>
      </c>
      <c r="AP33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2">
      <c r="A332" t="inlineStr">
        <is>
          <t>Amol</t>
        </is>
      </c>
      <c r="B332" t="inlineStr">
        <is>
          <t>Ramesh Devkate</t>
        </is>
      </c>
      <c r="C332" t="n">
        <v>1031048</v>
      </c>
      <c r="D332" t="inlineStr">
        <is>
          <t>Amol.Devkate@infinite.com</t>
        </is>
      </c>
      <c r="E332" s="26" t="n">
        <v>35232</v>
      </c>
      <c r="F332" s="26" t="n">
        <v>44889</v>
      </c>
      <c r="H332" t="inlineStr">
        <is>
          <t>Male</t>
        </is>
      </c>
      <c r="I332" t="inlineStr">
        <is>
          <t>Asian</t>
        </is>
      </c>
      <c r="J332" t="inlineStr">
        <is>
          <t>WEBSITE</t>
        </is>
      </c>
      <c r="K332" t="inlineStr">
        <is>
          <t>Bangalore</t>
        </is>
      </c>
      <c r="L332" s="27" t="inlineStr">
        <is>
          <t>Cognos</t>
        </is>
      </c>
      <c r="M332" t="inlineStr">
        <is>
          <t>Full-Time</t>
        </is>
      </c>
      <c r="N332" t="inlineStr">
        <is>
          <t>Senior Software Engineer</t>
        </is>
      </c>
      <c r="O332" t="inlineStr">
        <is>
          <t>E3</t>
        </is>
      </c>
      <c r="P332" t="inlineStr">
        <is>
          <t>Senior Software Engineer</t>
        </is>
      </c>
      <c r="Q332" t="inlineStr">
        <is>
          <t>Peernayakgari Irfan Basha (1017291)</t>
        </is>
      </c>
      <c r="R332" t="n">
        <v>0</v>
      </c>
      <c r="S332" s="1" t="n">
        <v>250000</v>
      </c>
      <c r="T332" s="1">
        <f>ROUND(T_EMPLOYEES[[#This Row],[EMP_CTC1]]/12, 0)</f>
        <v/>
      </c>
      <c r="U332" s="1" t="n">
        <v>150000</v>
      </c>
      <c r="V332" s="1" t="inlineStr">
        <is>
          <t>NH</t>
        </is>
      </c>
      <c r="W332" s="1" t="inlineStr">
        <is>
          <t>NH Projects</t>
        </is>
      </c>
      <c r="X33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2" t="n">
        <v>120000</v>
      </c>
      <c r="Z332" s="29">
        <f>(S332 - U332)/S332 * 100</f>
        <v/>
      </c>
      <c r="AA332">
        <f>IF(T_EMPLOYEES[[#This Row],[EMPLOYEE NUMBER]]="","",ROW(T_EMPLOYEES[[#This Row],[EMPLOYEE LABEL]])-ROW(T_EMPLOYEES[[#Headers],[EMPLOYEE LABEL]]))</f>
        <v/>
      </c>
      <c r="AB332">
        <f>IF(T_EMPLOYEES[[#This Row],[EMPLOYEE NUMBER]]="","",IF(COUNTIF(T_EMPLOYEES[EMPLOYEE NUMBER],T_EMPLOYEES[[#This Row],[EMPLOYEE NUMBER]])&gt;1,1,0))</f>
        <v/>
      </c>
      <c r="AC332">
        <f>IF(T_EMPLOYEES[[#This Row],[EMPLOYEE NUMBER]]="","",IF(AND(T_EMPLOYEES[[#This Row],[DATE OF BIRTH]]&gt;0,T_EMPLOYEES[[#This Row],[DATE OF BIRTH]]&lt;TODAY()),0,1))</f>
        <v/>
      </c>
      <c r="AD332">
        <f>IF(T_EMPLOYEES[[#This Row],[EMPLOYEE NUMBER]]="","",IF(AND(T_EMPLOYEES[[#This Row],[START DATE]]&gt;0,T_EMPLOYEES[[#This Row],[START DATE]]&lt;TODAY()+60),0,1))</f>
        <v/>
      </c>
      <c r="AE332">
        <f>IF(T_EMPLOYEES[[#This Row],[EMPLOYEE NUMBER]]="","",MATCH(T_EMPLOYEES[[#This Row],[GENDER]],L_GENDER,0))</f>
        <v/>
      </c>
      <c r="AF332">
        <f>IF(T_EMPLOYEES[[#This Row],[EMPLOYEE NUMBER]]="","",MATCH(T_EMPLOYEES[[#This Row],[HIRE SOURCE]],L_HIRESOURCE,0))</f>
        <v/>
      </c>
      <c r="AG332">
        <f>IF(T_EMPLOYEES[[#This Row],[EMPLOYEE NUMBER]]="","",MATCH(T_EMPLOYEES[[#This Row],[ETHNICITY]],L_ETHNICITY,0))</f>
        <v/>
      </c>
      <c r="AH332">
        <f>IF(T_EMPLOYEES[[#This Row],[EMPLOYEE NUMBER]]="","",MATCH(T_EMPLOYEES[[#This Row],[LOCATION]],L_LOCATION,0))</f>
        <v/>
      </c>
      <c r="AI332">
        <f>IF(T_EMPLOYEES[[#This Row],[EMPLOYEE NUMBER]]="","",MATCH(T_EMPLOYEES[[#This Row],[DEPARTMENT]],L_DEPARTMENT,0))</f>
        <v/>
      </c>
      <c r="AJ332">
        <f>IF(T_EMPLOYEES[[#This Row],[EMPLOYEE NUMBER]]="","",MATCH(T_EMPLOYEES[[#This Row],[JOB TYPE]],L_JOBTYPE,0))</f>
        <v/>
      </c>
      <c r="AK332">
        <f>IF(T_EMPLOYEES[[#This Row],[EMPLOYEE NUMBER]]="","",MATCH(T_EMPLOYEES[[#This Row],[JOB CATEGORY]],L_JOBCATEGORY,0))</f>
        <v/>
      </c>
      <c r="AL332">
        <f>IF(T_EMPLOYEES[[#This Row],[EMPLOYEE NUMBER]]="","",MATCH(T_EMPLOYEES[[#This Row],[JOB LEVEL]],L_JOBLEVEL,0))</f>
        <v/>
      </c>
      <c r="AM332">
        <f>IF(T_EMPLOYEES[[#This Row],[EMPLOYEE NUMBER]]="","",MATCH(T_EMPLOYEES[[#This Row],[JOB TITLE]],L_JOBTITLE,0))</f>
        <v/>
      </c>
      <c r="AN332">
        <f>IF(T_EMPLOYEES[[#This Row],[EMPLOYEE NUMBER]]="","",MATCH(T_EMPLOYEES[[#This Row],[MANAGER]],L_EMPLABELS,0))</f>
        <v/>
      </c>
      <c r="AO332">
        <f>IF(T_EMPLOYEES[[#This Row],[EMPLOYEE NUMBER]]="","",IF(T_EMPLOYEES[[#This Row],[ERROR]]="",0,1))</f>
        <v/>
      </c>
      <c r="AP33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3">
      <c r="A333" t="inlineStr">
        <is>
          <t>Balam</t>
        </is>
      </c>
      <c r="B333" t="inlineStr">
        <is>
          <t>Jyothi</t>
        </is>
      </c>
      <c r="C333" t="n">
        <v>1022134</v>
      </c>
      <c r="D333" t="inlineStr">
        <is>
          <t>Balam.Jyothi@infinite.com</t>
        </is>
      </c>
      <c r="E333" s="26" t="n">
        <v>35240</v>
      </c>
      <c r="F333" s="26" t="n">
        <v>43614</v>
      </c>
      <c r="H333" t="inlineStr">
        <is>
          <t>Female</t>
        </is>
      </c>
      <c r="I333" t="inlineStr">
        <is>
          <t>Asian</t>
        </is>
      </c>
      <c r="J333" t="inlineStr">
        <is>
          <t>WEBSITE</t>
        </is>
      </c>
      <c r="K333" t="inlineStr">
        <is>
          <t>Bangalore</t>
        </is>
      </c>
      <c r="L333" s="27" t="inlineStr">
        <is>
          <t>QA</t>
        </is>
      </c>
      <c r="M333" t="inlineStr">
        <is>
          <t>Full-Time</t>
        </is>
      </c>
      <c r="N333" t="inlineStr">
        <is>
          <t>Senior Software Test Engineer</t>
        </is>
      </c>
      <c r="O333" t="inlineStr">
        <is>
          <t>E3</t>
        </is>
      </c>
      <c r="P333" t="inlineStr">
        <is>
          <t>Senior Software Test Engineer</t>
        </is>
      </c>
      <c r="Q333" t="inlineStr">
        <is>
          <t>Siva Kumar  Shada (1000177)</t>
        </is>
      </c>
      <c r="R333" t="n">
        <v>4</v>
      </c>
      <c r="S333" s="1" t="n">
        <v>250000</v>
      </c>
      <c r="T333" s="1">
        <f>ROUND(T_EMPLOYEES[[#This Row],[EMP_CTC1]]/12, 0)</f>
        <v/>
      </c>
      <c r="U333" s="1" t="n">
        <v>150000</v>
      </c>
      <c r="V333" s="1" t="inlineStr">
        <is>
          <t>ND</t>
        </is>
      </c>
      <c r="W333" s="1" t="inlineStr">
        <is>
          <t>ND</t>
        </is>
      </c>
      <c r="X33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3" t="n">
        <v>120000</v>
      </c>
      <c r="Z333" s="29">
        <f>(S333 - U333)/S333 * 100</f>
        <v/>
      </c>
      <c r="AA333">
        <f>IF(T_EMPLOYEES[[#This Row],[EMPLOYEE NUMBER]]="","",ROW(T_EMPLOYEES[[#This Row],[EMPLOYEE LABEL]])-ROW(T_EMPLOYEES[[#Headers],[EMPLOYEE LABEL]]))</f>
        <v/>
      </c>
      <c r="AB333">
        <f>IF(T_EMPLOYEES[[#This Row],[EMPLOYEE NUMBER]]="","",IF(COUNTIF(T_EMPLOYEES[EMPLOYEE NUMBER],T_EMPLOYEES[[#This Row],[EMPLOYEE NUMBER]])&gt;1,1,0))</f>
        <v/>
      </c>
      <c r="AC333">
        <f>IF(T_EMPLOYEES[[#This Row],[EMPLOYEE NUMBER]]="","",IF(AND(T_EMPLOYEES[[#This Row],[DATE OF BIRTH]]&gt;0,T_EMPLOYEES[[#This Row],[DATE OF BIRTH]]&lt;TODAY()),0,1))</f>
        <v/>
      </c>
      <c r="AD333">
        <f>IF(T_EMPLOYEES[[#This Row],[EMPLOYEE NUMBER]]="","",IF(AND(T_EMPLOYEES[[#This Row],[START DATE]]&gt;0,T_EMPLOYEES[[#This Row],[START DATE]]&lt;TODAY()+60),0,1))</f>
        <v/>
      </c>
      <c r="AE333">
        <f>IF(T_EMPLOYEES[[#This Row],[EMPLOYEE NUMBER]]="","",MATCH(T_EMPLOYEES[[#This Row],[GENDER]],L_GENDER,0))</f>
        <v/>
      </c>
      <c r="AF333">
        <f>IF(T_EMPLOYEES[[#This Row],[EMPLOYEE NUMBER]]="","",MATCH(T_EMPLOYEES[[#This Row],[HIRE SOURCE]],L_HIRESOURCE,0))</f>
        <v/>
      </c>
      <c r="AG333">
        <f>IF(T_EMPLOYEES[[#This Row],[EMPLOYEE NUMBER]]="","",MATCH(T_EMPLOYEES[[#This Row],[ETHNICITY]],L_ETHNICITY,0))</f>
        <v/>
      </c>
      <c r="AH333">
        <f>IF(T_EMPLOYEES[[#This Row],[EMPLOYEE NUMBER]]="","",MATCH(T_EMPLOYEES[[#This Row],[LOCATION]],L_LOCATION,0))</f>
        <v/>
      </c>
      <c r="AI333">
        <f>IF(T_EMPLOYEES[[#This Row],[EMPLOYEE NUMBER]]="","",MATCH(T_EMPLOYEES[[#This Row],[DEPARTMENT]],L_DEPARTMENT,0))</f>
        <v/>
      </c>
      <c r="AJ333">
        <f>IF(T_EMPLOYEES[[#This Row],[EMPLOYEE NUMBER]]="","",MATCH(T_EMPLOYEES[[#This Row],[JOB TYPE]],L_JOBTYPE,0))</f>
        <v/>
      </c>
      <c r="AK333">
        <f>IF(T_EMPLOYEES[[#This Row],[EMPLOYEE NUMBER]]="","",MATCH(T_EMPLOYEES[[#This Row],[JOB CATEGORY]],L_JOBCATEGORY,0))</f>
        <v/>
      </c>
      <c r="AL333">
        <f>IF(T_EMPLOYEES[[#This Row],[EMPLOYEE NUMBER]]="","",MATCH(T_EMPLOYEES[[#This Row],[JOB LEVEL]],L_JOBLEVEL,0))</f>
        <v/>
      </c>
      <c r="AM333">
        <f>IF(T_EMPLOYEES[[#This Row],[EMPLOYEE NUMBER]]="","",MATCH(T_EMPLOYEES[[#This Row],[JOB TITLE]],L_JOBTITLE,0))</f>
        <v/>
      </c>
      <c r="AN333">
        <f>IF(T_EMPLOYEES[[#This Row],[EMPLOYEE NUMBER]]="","",MATCH(T_EMPLOYEES[[#This Row],[MANAGER]],L_EMPLABELS,0))</f>
        <v/>
      </c>
      <c r="AO333">
        <f>IF(T_EMPLOYEES[[#This Row],[EMPLOYEE NUMBER]]="","",IF(T_EMPLOYEES[[#This Row],[ERROR]]="",0,1))</f>
        <v/>
      </c>
      <c r="AP33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4">
      <c r="A334" t="inlineStr">
        <is>
          <t>Peddiboyina</t>
        </is>
      </c>
      <c r="B334" t="inlineStr">
        <is>
          <t xml:space="preserve"> Naga Lakshmi</t>
        </is>
      </c>
      <c r="C334" t="n">
        <v>1033506</v>
      </c>
      <c r="D334" t="inlineStr">
        <is>
          <t>Nagalakshmi.Peddiboyina@infinite.com</t>
        </is>
      </c>
      <c r="E334" s="26" t="n">
        <v>35250</v>
      </c>
      <c r="F334" s="26" t="n">
        <v>45180</v>
      </c>
      <c r="H334" t="inlineStr">
        <is>
          <t>Female</t>
        </is>
      </c>
      <c r="I334" t="inlineStr">
        <is>
          <t>Asian</t>
        </is>
      </c>
      <c r="J334" t="inlineStr">
        <is>
          <t>WEBSITE</t>
        </is>
      </c>
      <c r="K334" t="inlineStr">
        <is>
          <t>Bangalore</t>
        </is>
      </c>
      <c r="L334" s="27" t="inlineStr">
        <is>
          <t>IT</t>
        </is>
      </c>
      <c r="M334" t="inlineStr">
        <is>
          <t>Full-Time</t>
        </is>
      </c>
      <c r="N334" t="inlineStr">
        <is>
          <t>Associate Software Engineer</t>
        </is>
      </c>
      <c r="O334" t="inlineStr">
        <is>
          <t>E1</t>
        </is>
      </c>
      <c r="P334" t="inlineStr">
        <is>
          <t>Associate Software Engineer</t>
        </is>
      </c>
      <c r="Q334" t="inlineStr">
        <is>
          <t>D N Rajesh (1028375)</t>
        </is>
      </c>
      <c r="R334" s="27" t="n">
        <v>0</v>
      </c>
      <c r="S334" s="1" t="n">
        <v>250000</v>
      </c>
      <c r="T334" s="1">
        <f>ROUND(T_EMPLOYEES[[#This Row],[EMP_CTC1]]/12, 0)</f>
        <v/>
      </c>
      <c r="U334" s="1" t="n">
        <v>150000</v>
      </c>
      <c r="V334" s="1" t="inlineStr">
        <is>
          <t>ND</t>
        </is>
      </c>
      <c r="W334" s="1" t="inlineStr">
        <is>
          <t>ND</t>
        </is>
      </c>
      <c r="X33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4" t="n">
        <v>120000</v>
      </c>
      <c r="Z334" s="29">
        <f>(S334 - U334)/S334 * 100</f>
        <v/>
      </c>
      <c r="AA334">
        <f>IF(T_EMPLOYEES[[#This Row],[EMPLOYEE NUMBER]]="","",ROW(T_EMPLOYEES[[#This Row],[EMPLOYEE LABEL]])-ROW(T_EMPLOYEES[[#Headers],[EMPLOYEE LABEL]]))</f>
        <v/>
      </c>
      <c r="AB334">
        <f>IF(T_EMPLOYEES[[#This Row],[EMPLOYEE NUMBER]]="","",IF(COUNTIF(T_EMPLOYEES[EMPLOYEE NUMBER],T_EMPLOYEES[[#This Row],[EMPLOYEE NUMBER]])&gt;1,1,0))</f>
        <v/>
      </c>
      <c r="AC334">
        <f>IF(T_EMPLOYEES[[#This Row],[EMPLOYEE NUMBER]]="","",IF(AND(T_EMPLOYEES[[#This Row],[DATE OF BIRTH]]&gt;0,T_EMPLOYEES[[#This Row],[DATE OF BIRTH]]&lt;TODAY()),0,1))</f>
        <v/>
      </c>
      <c r="AD334">
        <f>IF(T_EMPLOYEES[[#This Row],[EMPLOYEE NUMBER]]="","",IF(AND(T_EMPLOYEES[[#This Row],[START DATE]]&gt;0,T_EMPLOYEES[[#This Row],[START DATE]]&lt;TODAY()+60),0,1))</f>
        <v/>
      </c>
      <c r="AE334">
        <f>IF(T_EMPLOYEES[[#This Row],[EMPLOYEE NUMBER]]="","",MATCH(T_EMPLOYEES[[#This Row],[GENDER]],L_GENDER,0))</f>
        <v/>
      </c>
      <c r="AF334">
        <f>IF(T_EMPLOYEES[[#This Row],[EMPLOYEE NUMBER]]="","",MATCH(T_EMPLOYEES[[#This Row],[HIRE SOURCE]],L_HIRESOURCE,0))</f>
        <v/>
      </c>
      <c r="AG334">
        <f>IF(T_EMPLOYEES[[#This Row],[EMPLOYEE NUMBER]]="","",MATCH(T_EMPLOYEES[[#This Row],[ETHNICITY]],L_ETHNICITY,0))</f>
        <v/>
      </c>
      <c r="AH334">
        <f>IF(T_EMPLOYEES[[#This Row],[EMPLOYEE NUMBER]]="","",MATCH(T_EMPLOYEES[[#This Row],[LOCATION]],L_LOCATION,0))</f>
        <v/>
      </c>
      <c r="AI334">
        <f>IF(T_EMPLOYEES[[#This Row],[EMPLOYEE NUMBER]]="","",MATCH(T_EMPLOYEES[[#This Row],[DEPARTMENT]],L_DEPARTMENT,0))</f>
        <v/>
      </c>
      <c r="AJ334">
        <f>IF(T_EMPLOYEES[[#This Row],[EMPLOYEE NUMBER]]="","",MATCH(T_EMPLOYEES[[#This Row],[JOB TYPE]],L_JOBTYPE,0))</f>
        <v/>
      </c>
      <c r="AK334">
        <f>IF(T_EMPLOYEES[[#This Row],[EMPLOYEE NUMBER]]="","",MATCH(T_EMPLOYEES[[#This Row],[JOB CATEGORY]],L_JOBCATEGORY,0))</f>
        <v/>
      </c>
      <c r="AL334">
        <f>IF(T_EMPLOYEES[[#This Row],[EMPLOYEE NUMBER]]="","",MATCH(T_EMPLOYEES[[#This Row],[JOB LEVEL]],L_JOBLEVEL,0))</f>
        <v/>
      </c>
      <c r="AM334">
        <f>IF(T_EMPLOYEES[[#This Row],[EMPLOYEE NUMBER]]="","",MATCH(T_EMPLOYEES[[#This Row],[JOB TITLE]],L_JOBTITLE,0))</f>
        <v/>
      </c>
      <c r="AN334">
        <f>IF(T_EMPLOYEES[[#This Row],[EMPLOYEE NUMBER]]="","",MATCH(T_EMPLOYEES[[#This Row],[MANAGER]],L_EMPLABELS,0))</f>
        <v/>
      </c>
      <c r="AO334">
        <f>IF(T_EMPLOYEES[[#This Row],[EMPLOYEE NUMBER]]="","",IF(T_EMPLOYEES[[#This Row],[ERROR]]="",0,1))</f>
        <v/>
      </c>
      <c r="AP33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34" t="inlineStr">
        <is>
          <t>Member</t>
        </is>
      </c>
    </row>
    <row r="335">
      <c r="A335" t="inlineStr">
        <is>
          <t>Kumar</t>
        </is>
      </c>
      <c r="B335" t="inlineStr">
        <is>
          <t>Anil Sawant</t>
        </is>
      </c>
      <c r="C335" t="n">
        <v>1031093</v>
      </c>
      <c r="D335" t="inlineStr">
        <is>
          <t>Kumar.Sawant@infinite.com</t>
        </is>
      </c>
      <c r="E335" s="26" t="n">
        <v>35278</v>
      </c>
      <c r="F335" s="26" t="n">
        <v>44889</v>
      </c>
      <c r="H335" t="inlineStr">
        <is>
          <t>Male</t>
        </is>
      </c>
      <c r="I335" t="inlineStr">
        <is>
          <t>Asian</t>
        </is>
      </c>
      <c r="J335" t="inlineStr">
        <is>
          <t>WEBSITE</t>
        </is>
      </c>
      <c r="K335" t="inlineStr">
        <is>
          <t>Bangalore</t>
        </is>
      </c>
      <c r="L335" s="27" t="inlineStr">
        <is>
          <t>Core</t>
        </is>
      </c>
      <c r="M335" t="inlineStr">
        <is>
          <t>Full-Time</t>
        </is>
      </c>
      <c r="N335" t="inlineStr">
        <is>
          <t>Associate Software Engineer</t>
        </is>
      </c>
      <c r="O335" t="inlineStr">
        <is>
          <t>E1</t>
        </is>
      </c>
      <c r="P335" t="inlineStr">
        <is>
          <t>Associate Software Engineer</t>
        </is>
      </c>
      <c r="Q335" t="inlineStr">
        <is>
          <t>Anil Kumar Khamari (1013201)</t>
        </is>
      </c>
      <c r="R335" t="n">
        <v>0</v>
      </c>
      <c r="S335" s="1" t="n">
        <v>250000</v>
      </c>
      <c r="T335" s="1">
        <f>ROUND(T_EMPLOYEES[[#This Row],[EMP_CTC1]]/12, 0)</f>
        <v/>
      </c>
      <c r="U335" s="1" t="n">
        <v>150000</v>
      </c>
      <c r="V335" s="1" t="inlineStr">
        <is>
          <t>ND</t>
        </is>
      </c>
      <c r="W335" s="1" t="inlineStr">
        <is>
          <t>ND</t>
        </is>
      </c>
      <c r="X33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5" t="n">
        <v>120000</v>
      </c>
      <c r="Z335" s="29">
        <f>(S335 - U335)/S335 * 100</f>
        <v/>
      </c>
      <c r="AA335">
        <f>IF(T_EMPLOYEES[[#This Row],[EMPLOYEE NUMBER]]="","",ROW(T_EMPLOYEES[[#This Row],[EMPLOYEE LABEL]])-ROW(T_EMPLOYEES[[#Headers],[EMPLOYEE LABEL]]))</f>
        <v/>
      </c>
      <c r="AB335">
        <f>IF(T_EMPLOYEES[[#This Row],[EMPLOYEE NUMBER]]="","",IF(COUNTIF(T_EMPLOYEES[EMPLOYEE NUMBER],T_EMPLOYEES[[#This Row],[EMPLOYEE NUMBER]])&gt;1,1,0))</f>
        <v/>
      </c>
      <c r="AC335">
        <f>IF(T_EMPLOYEES[[#This Row],[EMPLOYEE NUMBER]]="","",IF(AND(T_EMPLOYEES[[#This Row],[DATE OF BIRTH]]&gt;0,T_EMPLOYEES[[#This Row],[DATE OF BIRTH]]&lt;TODAY()),0,1))</f>
        <v/>
      </c>
      <c r="AD335">
        <f>IF(T_EMPLOYEES[[#This Row],[EMPLOYEE NUMBER]]="","",IF(AND(T_EMPLOYEES[[#This Row],[START DATE]]&gt;0,T_EMPLOYEES[[#This Row],[START DATE]]&lt;TODAY()+60),0,1))</f>
        <v/>
      </c>
      <c r="AE335">
        <f>IF(T_EMPLOYEES[[#This Row],[EMPLOYEE NUMBER]]="","",MATCH(T_EMPLOYEES[[#This Row],[GENDER]],L_GENDER,0))</f>
        <v/>
      </c>
      <c r="AF335">
        <f>IF(T_EMPLOYEES[[#This Row],[EMPLOYEE NUMBER]]="","",MATCH(T_EMPLOYEES[[#This Row],[HIRE SOURCE]],L_HIRESOURCE,0))</f>
        <v/>
      </c>
      <c r="AG335">
        <f>IF(T_EMPLOYEES[[#This Row],[EMPLOYEE NUMBER]]="","",MATCH(T_EMPLOYEES[[#This Row],[ETHNICITY]],L_ETHNICITY,0))</f>
        <v/>
      </c>
      <c r="AH335">
        <f>IF(T_EMPLOYEES[[#This Row],[EMPLOYEE NUMBER]]="","",MATCH(T_EMPLOYEES[[#This Row],[LOCATION]],L_LOCATION,0))</f>
        <v/>
      </c>
      <c r="AI335">
        <f>IF(T_EMPLOYEES[[#This Row],[EMPLOYEE NUMBER]]="","",MATCH(T_EMPLOYEES[[#This Row],[DEPARTMENT]],L_DEPARTMENT,0))</f>
        <v/>
      </c>
      <c r="AJ335">
        <f>IF(T_EMPLOYEES[[#This Row],[EMPLOYEE NUMBER]]="","",MATCH(T_EMPLOYEES[[#This Row],[JOB TYPE]],L_JOBTYPE,0))</f>
        <v/>
      </c>
      <c r="AK335">
        <f>IF(T_EMPLOYEES[[#This Row],[EMPLOYEE NUMBER]]="","",MATCH(T_EMPLOYEES[[#This Row],[JOB CATEGORY]],L_JOBCATEGORY,0))</f>
        <v/>
      </c>
      <c r="AL335">
        <f>IF(T_EMPLOYEES[[#This Row],[EMPLOYEE NUMBER]]="","",MATCH(T_EMPLOYEES[[#This Row],[JOB LEVEL]],L_JOBLEVEL,0))</f>
        <v/>
      </c>
      <c r="AM335">
        <f>IF(T_EMPLOYEES[[#This Row],[EMPLOYEE NUMBER]]="","",MATCH(T_EMPLOYEES[[#This Row],[JOB TITLE]],L_JOBTITLE,0))</f>
        <v/>
      </c>
      <c r="AN335">
        <f>IF(T_EMPLOYEES[[#This Row],[EMPLOYEE NUMBER]]="","",MATCH(T_EMPLOYEES[[#This Row],[MANAGER]],L_EMPLABELS,0))</f>
        <v/>
      </c>
      <c r="AO335">
        <f>IF(T_EMPLOYEES[[#This Row],[EMPLOYEE NUMBER]]="","",IF(T_EMPLOYEES[[#This Row],[ERROR]]="",0,1))</f>
        <v/>
      </c>
      <c r="AP33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6">
      <c r="A336" t="inlineStr">
        <is>
          <t>Pasam</t>
        </is>
      </c>
      <c r="B336" t="inlineStr">
        <is>
          <t>Pradeep</t>
        </is>
      </c>
      <c r="C336" t="n">
        <v>1032201</v>
      </c>
      <c r="D336" t="inlineStr">
        <is>
          <t>Pradeep.Pasam@infinite.com</t>
        </is>
      </c>
      <c r="E336" s="26" t="n">
        <v>35282</v>
      </c>
      <c r="F336" s="26" t="n">
        <v>44967</v>
      </c>
      <c r="H336" t="inlineStr">
        <is>
          <t>Male</t>
        </is>
      </c>
      <c r="I336" t="inlineStr">
        <is>
          <t>Asian</t>
        </is>
      </c>
      <c r="J336" t="inlineStr">
        <is>
          <t>WEBSITE</t>
        </is>
      </c>
      <c r="K336" t="inlineStr">
        <is>
          <t>Bangalore</t>
        </is>
      </c>
      <c r="L336" s="27" t="inlineStr">
        <is>
          <t>IT</t>
        </is>
      </c>
      <c r="M336" t="inlineStr">
        <is>
          <t>Full-Time</t>
        </is>
      </c>
      <c r="N336" t="inlineStr">
        <is>
          <t>Senior Software Engineer</t>
        </is>
      </c>
      <c r="O336" t="inlineStr">
        <is>
          <t>E3</t>
        </is>
      </c>
      <c r="P336" t="inlineStr">
        <is>
          <t>Senior Software Engineer</t>
        </is>
      </c>
      <c r="Q336" t="inlineStr">
        <is>
          <t>Siddharth Kumar (1027551)</t>
        </is>
      </c>
      <c r="R336" s="27" t="n">
        <v>4</v>
      </c>
      <c r="S336" s="1" t="n">
        <v>250000</v>
      </c>
      <c r="T336" s="1">
        <f>ROUND(T_EMPLOYEES[[#This Row],[EMP_CTC1]]/12, 0)</f>
        <v/>
      </c>
      <c r="U336" s="1" t="n">
        <v>150000</v>
      </c>
      <c r="V336" s="1" t="inlineStr">
        <is>
          <t>ND</t>
        </is>
      </c>
      <c r="W336" s="1" t="inlineStr">
        <is>
          <t>ND</t>
        </is>
      </c>
      <c r="X33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6" t="n">
        <v>120000</v>
      </c>
      <c r="Z336" s="29">
        <f>(S336 - U336)/S336 * 100</f>
        <v/>
      </c>
      <c r="AA336">
        <f>IF(T_EMPLOYEES[[#This Row],[EMPLOYEE NUMBER]]="","",ROW(T_EMPLOYEES[[#This Row],[EMPLOYEE LABEL]])-ROW(T_EMPLOYEES[[#Headers],[EMPLOYEE LABEL]]))</f>
        <v/>
      </c>
      <c r="AB336">
        <f>IF(T_EMPLOYEES[[#This Row],[EMPLOYEE NUMBER]]="","",IF(COUNTIF(T_EMPLOYEES[EMPLOYEE NUMBER],T_EMPLOYEES[[#This Row],[EMPLOYEE NUMBER]])&gt;1,1,0))</f>
        <v/>
      </c>
      <c r="AC336">
        <f>IF(T_EMPLOYEES[[#This Row],[EMPLOYEE NUMBER]]="","",IF(AND(T_EMPLOYEES[[#This Row],[DATE OF BIRTH]]&gt;0,T_EMPLOYEES[[#This Row],[DATE OF BIRTH]]&lt;TODAY()),0,1))</f>
        <v/>
      </c>
      <c r="AD336">
        <f>IF(T_EMPLOYEES[[#This Row],[EMPLOYEE NUMBER]]="","",IF(AND(T_EMPLOYEES[[#This Row],[START DATE]]&gt;0,T_EMPLOYEES[[#This Row],[START DATE]]&lt;TODAY()+60),0,1))</f>
        <v/>
      </c>
      <c r="AE336">
        <f>IF(T_EMPLOYEES[[#This Row],[EMPLOYEE NUMBER]]="","",MATCH(T_EMPLOYEES[[#This Row],[GENDER]],L_GENDER,0))</f>
        <v/>
      </c>
      <c r="AF336">
        <f>IF(T_EMPLOYEES[[#This Row],[EMPLOYEE NUMBER]]="","",MATCH(T_EMPLOYEES[[#This Row],[HIRE SOURCE]],L_HIRESOURCE,0))</f>
        <v/>
      </c>
      <c r="AG336">
        <f>IF(T_EMPLOYEES[[#This Row],[EMPLOYEE NUMBER]]="","",MATCH(T_EMPLOYEES[[#This Row],[ETHNICITY]],L_ETHNICITY,0))</f>
        <v/>
      </c>
      <c r="AH336">
        <f>IF(T_EMPLOYEES[[#This Row],[EMPLOYEE NUMBER]]="","",MATCH(T_EMPLOYEES[[#This Row],[LOCATION]],L_LOCATION,0))</f>
        <v/>
      </c>
      <c r="AI336">
        <f>IF(T_EMPLOYEES[[#This Row],[EMPLOYEE NUMBER]]="","",MATCH(T_EMPLOYEES[[#This Row],[DEPARTMENT]],L_DEPARTMENT,0))</f>
        <v/>
      </c>
      <c r="AJ336">
        <f>IF(T_EMPLOYEES[[#This Row],[EMPLOYEE NUMBER]]="","",MATCH(T_EMPLOYEES[[#This Row],[JOB TYPE]],L_JOBTYPE,0))</f>
        <v/>
      </c>
      <c r="AK336">
        <f>IF(T_EMPLOYEES[[#This Row],[EMPLOYEE NUMBER]]="","",MATCH(T_EMPLOYEES[[#This Row],[JOB CATEGORY]],L_JOBCATEGORY,0))</f>
        <v/>
      </c>
      <c r="AL336">
        <f>IF(T_EMPLOYEES[[#This Row],[EMPLOYEE NUMBER]]="","",MATCH(T_EMPLOYEES[[#This Row],[JOB LEVEL]],L_JOBLEVEL,0))</f>
        <v/>
      </c>
      <c r="AM336">
        <f>IF(T_EMPLOYEES[[#This Row],[EMPLOYEE NUMBER]]="","",MATCH(T_EMPLOYEES[[#This Row],[JOB TITLE]],L_JOBTITLE,0))</f>
        <v/>
      </c>
      <c r="AN336">
        <f>IF(T_EMPLOYEES[[#This Row],[EMPLOYEE NUMBER]]="","",MATCH(T_EMPLOYEES[[#This Row],[MANAGER]],L_EMPLABELS,0))</f>
        <v/>
      </c>
      <c r="AO336">
        <f>IF(T_EMPLOYEES[[#This Row],[EMPLOYEE NUMBER]]="","",IF(T_EMPLOYEES[[#This Row],[ERROR]]="",0,1))</f>
        <v/>
      </c>
      <c r="AP33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7">
      <c r="A337" t="inlineStr">
        <is>
          <t>Preeti</t>
        </is>
      </c>
      <c r="B337" t="inlineStr">
        <is>
          <t>Basappa Hugar</t>
        </is>
      </c>
      <c r="C337" t="n">
        <v>1022124</v>
      </c>
      <c r="D337" t="inlineStr">
        <is>
          <t>Preeti.Hugar@infinite.com</t>
        </is>
      </c>
      <c r="E337" s="26" t="n">
        <v>35285</v>
      </c>
      <c r="F337" s="26" t="n">
        <v>43614</v>
      </c>
      <c r="H337" t="inlineStr">
        <is>
          <t>Female</t>
        </is>
      </c>
      <c r="I337" t="inlineStr">
        <is>
          <t>Asian</t>
        </is>
      </c>
      <c r="J337" t="inlineStr">
        <is>
          <t>WEBSITE</t>
        </is>
      </c>
      <c r="K337" t="inlineStr">
        <is>
          <t>Bangalore</t>
        </is>
      </c>
      <c r="L337" s="27" t="inlineStr">
        <is>
          <t>IT</t>
        </is>
      </c>
      <c r="M337" t="inlineStr">
        <is>
          <t>Full-Time</t>
        </is>
      </c>
      <c r="N337" t="inlineStr">
        <is>
          <t>Senior Software Engineer</t>
        </is>
      </c>
      <c r="O337" t="inlineStr">
        <is>
          <t>E3</t>
        </is>
      </c>
      <c r="P337" t="inlineStr">
        <is>
          <t>Senior Software Engineer</t>
        </is>
      </c>
      <c r="Q337" t="inlineStr">
        <is>
          <t>Joel Clifton Dsouza (1012233)</t>
        </is>
      </c>
      <c r="R337" t="n">
        <v>4</v>
      </c>
      <c r="S337" s="1" t="n">
        <v>250000</v>
      </c>
      <c r="T337" s="1">
        <f>ROUND(T_EMPLOYEES[[#This Row],[EMP_CTC1]]/12, 0)</f>
        <v/>
      </c>
      <c r="U337" s="1" t="n">
        <v>150000</v>
      </c>
      <c r="V337" s="1" t="inlineStr">
        <is>
          <t>ND</t>
        </is>
      </c>
      <c r="W337" s="1" t="inlineStr">
        <is>
          <t>ND</t>
        </is>
      </c>
      <c r="X33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7" t="n">
        <v>120000</v>
      </c>
      <c r="Z337" s="29">
        <f>(S337 - U337)/S337 * 100</f>
        <v/>
      </c>
      <c r="AA337">
        <f>IF(T_EMPLOYEES[[#This Row],[EMPLOYEE NUMBER]]="","",ROW(T_EMPLOYEES[[#This Row],[EMPLOYEE LABEL]])-ROW(T_EMPLOYEES[[#Headers],[EMPLOYEE LABEL]]))</f>
        <v/>
      </c>
      <c r="AB337">
        <f>IF(T_EMPLOYEES[[#This Row],[EMPLOYEE NUMBER]]="","",IF(COUNTIF(T_EMPLOYEES[EMPLOYEE NUMBER],T_EMPLOYEES[[#This Row],[EMPLOYEE NUMBER]])&gt;1,1,0))</f>
        <v/>
      </c>
      <c r="AC337">
        <f>IF(T_EMPLOYEES[[#This Row],[EMPLOYEE NUMBER]]="","",IF(AND(T_EMPLOYEES[[#This Row],[DATE OF BIRTH]]&gt;0,T_EMPLOYEES[[#This Row],[DATE OF BIRTH]]&lt;TODAY()),0,1))</f>
        <v/>
      </c>
      <c r="AD337">
        <f>IF(T_EMPLOYEES[[#This Row],[EMPLOYEE NUMBER]]="","",IF(AND(T_EMPLOYEES[[#This Row],[START DATE]]&gt;0,T_EMPLOYEES[[#This Row],[START DATE]]&lt;TODAY()+60),0,1))</f>
        <v/>
      </c>
      <c r="AE337">
        <f>IF(T_EMPLOYEES[[#This Row],[EMPLOYEE NUMBER]]="","",MATCH(T_EMPLOYEES[[#This Row],[GENDER]],L_GENDER,0))</f>
        <v/>
      </c>
      <c r="AF337">
        <f>IF(T_EMPLOYEES[[#This Row],[EMPLOYEE NUMBER]]="","",MATCH(T_EMPLOYEES[[#This Row],[HIRE SOURCE]],L_HIRESOURCE,0))</f>
        <v/>
      </c>
      <c r="AG337">
        <f>IF(T_EMPLOYEES[[#This Row],[EMPLOYEE NUMBER]]="","",MATCH(T_EMPLOYEES[[#This Row],[ETHNICITY]],L_ETHNICITY,0))</f>
        <v/>
      </c>
      <c r="AH337">
        <f>IF(T_EMPLOYEES[[#This Row],[EMPLOYEE NUMBER]]="","",MATCH(T_EMPLOYEES[[#This Row],[LOCATION]],L_LOCATION,0))</f>
        <v/>
      </c>
      <c r="AI337">
        <f>IF(T_EMPLOYEES[[#This Row],[EMPLOYEE NUMBER]]="","",MATCH(T_EMPLOYEES[[#This Row],[DEPARTMENT]],L_DEPARTMENT,0))</f>
        <v/>
      </c>
      <c r="AJ337">
        <f>IF(T_EMPLOYEES[[#This Row],[EMPLOYEE NUMBER]]="","",MATCH(T_EMPLOYEES[[#This Row],[JOB TYPE]],L_JOBTYPE,0))</f>
        <v/>
      </c>
      <c r="AK337">
        <f>IF(T_EMPLOYEES[[#This Row],[EMPLOYEE NUMBER]]="","",MATCH(T_EMPLOYEES[[#This Row],[JOB CATEGORY]],L_JOBCATEGORY,0))</f>
        <v/>
      </c>
      <c r="AL337">
        <f>IF(T_EMPLOYEES[[#This Row],[EMPLOYEE NUMBER]]="","",MATCH(T_EMPLOYEES[[#This Row],[JOB LEVEL]],L_JOBLEVEL,0))</f>
        <v/>
      </c>
      <c r="AM337">
        <f>IF(T_EMPLOYEES[[#This Row],[EMPLOYEE NUMBER]]="","",MATCH(T_EMPLOYEES[[#This Row],[JOB TITLE]],L_JOBTITLE,0))</f>
        <v/>
      </c>
      <c r="AN337">
        <f>IF(T_EMPLOYEES[[#This Row],[EMPLOYEE NUMBER]]="","",MATCH(T_EMPLOYEES[[#This Row],[MANAGER]],L_EMPLABELS,0))</f>
        <v/>
      </c>
      <c r="AO337">
        <f>IF(T_EMPLOYEES[[#This Row],[EMPLOYEE NUMBER]]="","",IF(T_EMPLOYEES[[#This Row],[ERROR]]="",0,1))</f>
        <v/>
      </c>
      <c r="AP33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37" t="inlineStr">
        <is>
          <t>Member</t>
        </is>
      </c>
    </row>
    <row r="338">
      <c r="A338" t="inlineStr">
        <is>
          <t>Sushmitha</t>
        </is>
      </c>
      <c r="B338" t="inlineStr">
        <is>
          <t xml:space="preserve"> M</t>
        </is>
      </c>
      <c r="C338" t="n">
        <v>1027703</v>
      </c>
      <c r="D338" t="inlineStr">
        <is>
          <t>Sushmitha.Marathi@infinite.com</t>
        </is>
      </c>
      <c r="E338" s="26" t="n">
        <v>35294</v>
      </c>
      <c r="F338" s="26" t="n">
        <v>44550</v>
      </c>
      <c r="H338" t="inlineStr">
        <is>
          <t>Female</t>
        </is>
      </c>
      <c r="I338" t="inlineStr">
        <is>
          <t>Asian</t>
        </is>
      </c>
      <c r="J338" t="inlineStr">
        <is>
          <t>WEBSITE</t>
        </is>
      </c>
      <c r="K338" t="inlineStr">
        <is>
          <t>Bangalore</t>
        </is>
      </c>
      <c r="L338" s="27" t="inlineStr">
        <is>
          <t>QA</t>
        </is>
      </c>
      <c r="M338" t="inlineStr">
        <is>
          <t>Full-Time</t>
        </is>
      </c>
      <c r="N338" t="inlineStr">
        <is>
          <t>Software Test Engineer</t>
        </is>
      </c>
      <c r="O338" t="inlineStr">
        <is>
          <t>E2</t>
        </is>
      </c>
      <c r="P338" t="inlineStr">
        <is>
          <t>Software Test Engineer</t>
        </is>
      </c>
      <c r="Q338" t="inlineStr">
        <is>
          <t>Siva Kumar  Shada (1000177)</t>
        </is>
      </c>
      <c r="R338" s="27" t="n">
        <v>4</v>
      </c>
      <c r="S338" s="1" t="n">
        <v>250000</v>
      </c>
      <c r="T338" s="1">
        <f>ROUND(T_EMPLOYEES[[#This Row],[EMP_CTC1]]/12, 0)</f>
        <v/>
      </c>
      <c r="U338" s="1" t="n">
        <v>150000</v>
      </c>
      <c r="V338" s="1" t="inlineStr">
        <is>
          <t>ND</t>
        </is>
      </c>
      <c r="W338" s="1" t="inlineStr">
        <is>
          <t>ND</t>
        </is>
      </c>
      <c r="X33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8" t="n">
        <v>120000</v>
      </c>
      <c r="Z338" s="29">
        <f>(S338 - U338)/S338 * 100</f>
        <v/>
      </c>
      <c r="AA338">
        <f>IF(T_EMPLOYEES[[#This Row],[EMPLOYEE NUMBER]]="","",ROW(T_EMPLOYEES[[#This Row],[EMPLOYEE LABEL]])-ROW(T_EMPLOYEES[[#Headers],[EMPLOYEE LABEL]]))</f>
        <v/>
      </c>
      <c r="AB338">
        <f>IF(T_EMPLOYEES[[#This Row],[EMPLOYEE NUMBER]]="","",IF(COUNTIF(T_EMPLOYEES[EMPLOYEE NUMBER],T_EMPLOYEES[[#This Row],[EMPLOYEE NUMBER]])&gt;1,1,0))</f>
        <v/>
      </c>
      <c r="AC338">
        <f>IF(T_EMPLOYEES[[#This Row],[EMPLOYEE NUMBER]]="","",IF(AND(T_EMPLOYEES[[#This Row],[DATE OF BIRTH]]&gt;0,T_EMPLOYEES[[#This Row],[DATE OF BIRTH]]&lt;TODAY()),0,1))</f>
        <v/>
      </c>
      <c r="AD338">
        <f>IF(T_EMPLOYEES[[#This Row],[EMPLOYEE NUMBER]]="","",IF(AND(T_EMPLOYEES[[#This Row],[START DATE]]&gt;0,T_EMPLOYEES[[#This Row],[START DATE]]&lt;TODAY()+60),0,1))</f>
        <v/>
      </c>
      <c r="AE338">
        <f>IF(T_EMPLOYEES[[#This Row],[EMPLOYEE NUMBER]]="","",MATCH(T_EMPLOYEES[[#This Row],[GENDER]],L_GENDER,0))</f>
        <v/>
      </c>
      <c r="AF338">
        <f>IF(T_EMPLOYEES[[#This Row],[EMPLOYEE NUMBER]]="","",MATCH(T_EMPLOYEES[[#This Row],[HIRE SOURCE]],L_HIRESOURCE,0))</f>
        <v/>
      </c>
      <c r="AG338">
        <f>IF(T_EMPLOYEES[[#This Row],[EMPLOYEE NUMBER]]="","",MATCH(T_EMPLOYEES[[#This Row],[ETHNICITY]],L_ETHNICITY,0))</f>
        <v/>
      </c>
      <c r="AH338">
        <f>IF(T_EMPLOYEES[[#This Row],[EMPLOYEE NUMBER]]="","",MATCH(T_EMPLOYEES[[#This Row],[LOCATION]],L_LOCATION,0))</f>
        <v/>
      </c>
      <c r="AI338">
        <f>IF(T_EMPLOYEES[[#This Row],[EMPLOYEE NUMBER]]="","",MATCH(T_EMPLOYEES[[#This Row],[DEPARTMENT]],L_DEPARTMENT,0))</f>
        <v/>
      </c>
      <c r="AJ338">
        <f>IF(T_EMPLOYEES[[#This Row],[EMPLOYEE NUMBER]]="","",MATCH(T_EMPLOYEES[[#This Row],[JOB TYPE]],L_JOBTYPE,0))</f>
        <v/>
      </c>
      <c r="AK338">
        <f>IF(T_EMPLOYEES[[#This Row],[EMPLOYEE NUMBER]]="","",MATCH(T_EMPLOYEES[[#This Row],[JOB CATEGORY]],L_JOBCATEGORY,0))</f>
        <v/>
      </c>
      <c r="AL338">
        <f>IF(T_EMPLOYEES[[#This Row],[EMPLOYEE NUMBER]]="","",MATCH(T_EMPLOYEES[[#This Row],[JOB LEVEL]],L_JOBLEVEL,0))</f>
        <v/>
      </c>
      <c r="AM338">
        <f>IF(T_EMPLOYEES[[#This Row],[EMPLOYEE NUMBER]]="","",MATCH(T_EMPLOYEES[[#This Row],[JOB TITLE]],L_JOBTITLE,0))</f>
        <v/>
      </c>
      <c r="AN338">
        <f>IF(T_EMPLOYEES[[#This Row],[EMPLOYEE NUMBER]]="","",MATCH(T_EMPLOYEES[[#This Row],[MANAGER]],L_EMPLABELS,0))</f>
        <v/>
      </c>
      <c r="AO338">
        <f>IF(T_EMPLOYEES[[#This Row],[EMPLOYEE NUMBER]]="","",IF(T_EMPLOYEES[[#This Row],[ERROR]]="",0,1))</f>
        <v/>
      </c>
      <c r="AP33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39">
      <c r="A339" t="inlineStr">
        <is>
          <t>Anant</t>
        </is>
      </c>
      <c r="B339" t="inlineStr">
        <is>
          <t>Shrikrushna Badhe</t>
        </is>
      </c>
      <c r="C339" t="n">
        <v>1031051</v>
      </c>
      <c r="D339" t="inlineStr">
        <is>
          <t>Anant.Badhe@infinite.com</t>
        </is>
      </c>
      <c r="E339" s="26" t="n">
        <v>35390</v>
      </c>
      <c r="F339" s="26" t="n">
        <v>44889</v>
      </c>
      <c r="H339" t="inlineStr">
        <is>
          <t>Male</t>
        </is>
      </c>
      <c r="I339" t="inlineStr">
        <is>
          <t>Asian</t>
        </is>
      </c>
      <c r="J339" t="inlineStr">
        <is>
          <t>WEBSITE</t>
        </is>
      </c>
      <c r="K339" t="inlineStr">
        <is>
          <t>Hyderabad</t>
        </is>
      </c>
      <c r="L339" s="27" t="inlineStr">
        <is>
          <t>Core</t>
        </is>
      </c>
      <c r="M339" t="inlineStr">
        <is>
          <t>Full-Time</t>
        </is>
      </c>
      <c r="N339" t="inlineStr">
        <is>
          <t>Associate Software Engineer</t>
        </is>
      </c>
      <c r="O339" t="inlineStr">
        <is>
          <t>E1</t>
        </is>
      </c>
      <c r="P339" t="inlineStr">
        <is>
          <t>Associate Software Engineer</t>
        </is>
      </c>
      <c r="Q339" t="inlineStr">
        <is>
          <t>Anil Kumar Khamari (1013201)</t>
        </is>
      </c>
      <c r="R339" t="n">
        <v>0</v>
      </c>
      <c r="S339" s="1" t="n">
        <v>250000</v>
      </c>
      <c r="T339" s="1">
        <f>ROUND(T_EMPLOYEES[[#This Row],[EMP_CTC1]]/12, 0)</f>
        <v/>
      </c>
      <c r="U339" s="1" t="n">
        <v>150000</v>
      </c>
      <c r="V339" s="1" t="inlineStr">
        <is>
          <t>ND</t>
        </is>
      </c>
      <c r="W339" s="1" t="inlineStr">
        <is>
          <t>ND</t>
        </is>
      </c>
      <c r="X33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39" t="n">
        <v>120000</v>
      </c>
      <c r="Z339" s="29">
        <f>(S339 - U339)/S339 * 100</f>
        <v/>
      </c>
      <c r="AA339">
        <f>IF(T_EMPLOYEES[[#This Row],[EMPLOYEE NUMBER]]="","",ROW(T_EMPLOYEES[[#This Row],[EMPLOYEE LABEL]])-ROW(T_EMPLOYEES[[#Headers],[EMPLOYEE LABEL]]))</f>
        <v/>
      </c>
      <c r="AB339">
        <f>IF(T_EMPLOYEES[[#This Row],[EMPLOYEE NUMBER]]="","",IF(COUNTIF(T_EMPLOYEES[EMPLOYEE NUMBER],T_EMPLOYEES[[#This Row],[EMPLOYEE NUMBER]])&gt;1,1,0))</f>
        <v/>
      </c>
      <c r="AC339">
        <f>IF(T_EMPLOYEES[[#This Row],[EMPLOYEE NUMBER]]="","",IF(AND(T_EMPLOYEES[[#This Row],[DATE OF BIRTH]]&gt;0,T_EMPLOYEES[[#This Row],[DATE OF BIRTH]]&lt;TODAY()),0,1))</f>
        <v/>
      </c>
      <c r="AD339">
        <f>IF(T_EMPLOYEES[[#This Row],[EMPLOYEE NUMBER]]="","",IF(AND(T_EMPLOYEES[[#This Row],[START DATE]]&gt;0,T_EMPLOYEES[[#This Row],[START DATE]]&lt;TODAY()+60),0,1))</f>
        <v/>
      </c>
      <c r="AE339">
        <f>IF(T_EMPLOYEES[[#This Row],[EMPLOYEE NUMBER]]="","",MATCH(T_EMPLOYEES[[#This Row],[GENDER]],L_GENDER,0))</f>
        <v/>
      </c>
      <c r="AF339">
        <f>IF(T_EMPLOYEES[[#This Row],[EMPLOYEE NUMBER]]="","",MATCH(T_EMPLOYEES[[#This Row],[HIRE SOURCE]],L_HIRESOURCE,0))</f>
        <v/>
      </c>
      <c r="AG339">
        <f>IF(T_EMPLOYEES[[#This Row],[EMPLOYEE NUMBER]]="","",MATCH(T_EMPLOYEES[[#This Row],[ETHNICITY]],L_ETHNICITY,0))</f>
        <v/>
      </c>
      <c r="AH339">
        <f>IF(T_EMPLOYEES[[#This Row],[EMPLOYEE NUMBER]]="","",MATCH(T_EMPLOYEES[[#This Row],[LOCATION]],L_LOCATION,0))</f>
        <v/>
      </c>
      <c r="AI339">
        <f>IF(T_EMPLOYEES[[#This Row],[EMPLOYEE NUMBER]]="","",MATCH(T_EMPLOYEES[[#This Row],[DEPARTMENT]],L_DEPARTMENT,0))</f>
        <v/>
      </c>
      <c r="AJ339">
        <f>IF(T_EMPLOYEES[[#This Row],[EMPLOYEE NUMBER]]="","",MATCH(T_EMPLOYEES[[#This Row],[JOB TYPE]],L_JOBTYPE,0))</f>
        <v/>
      </c>
      <c r="AK339">
        <f>IF(T_EMPLOYEES[[#This Row],[EMPLOYEE NUMBER]]="","",MATCH(T_EMPLOYEES[[#This Row],[JOB CATEGORY]],L_JOBCATEGORY,0))</f>
        <v/>
      </c>
      <c r="AL339">
        <f>IF(T_EMPLOYEES[[#This Row],[EMPLOYEE NUMBER]]="","",MATCH(T_EMPLOYEES[[#This Row],[JOB LEVEL]],L_JOBLEVEL,0))</f>
        <v/>
      </c>
      <c r="AM339">
        <f>IF(T_EMPLOYEES[[#This Row],[EMPLOYEE NUMBER]]="","",MATCH(T_EMPLOYEES[[#This Row],[JOB TITLE]],L_JOBTITLE,0))</f>
        <v/>
      </c>
      <c r="AN339">
        <f>IF(T_EMPLOYEES[[#This Row],[EMPLOYEE NUMBER]]="","",MATCH(T_EMPLOYEES[[#This Row],[MANAGER]],L_EMPLABELS,0))</f>
        <v/>
      </c>
      <c r="AO339">
        <f>IF(T_EMPLOYEES[[#This Row],[EMPLOYEE NUMBER]]="","",IF(T_EMPLOYEES[[#This Row],[ERROR]]="",0,1))</f>
        <v/>
      </c>
      <c r="AP33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0">
      <c r="A340" t="inlineStr">
        <is>
          <t>Karthik</t>
        </is>
      </c>
      <c r="B340" t="inlineStr">
        <is>
          <t>Kumar  R</t>
        </is>
      </c>
      <c r="C340" t="n">
        <v>1027797</v>
      </c>
      <c r="D340" t="inlineStr">
        <is>
          <t>Karthik.Kumar@infinite.com</t>
        </is>
      </c>
      <c r="E340" s="26" t="n">
        <v>35401</v>
      </c>
      <c r="F340" s="26" t="n">
        <v>44557</v>
      </c>
      <c r="H340" t="inlineStr">
        <is>
          <t>Male</t>
        </is>
      </c>
      <c r="I340" t="inlineStr">
        <is>
          <t>Asian</t>
        </is>
      </c>
      <c r="J340" t="inlineStr">
        <is>
          <t>WEBSITE</t>
        </is>
      </c>
      <c r="K340" t="inlineStr">
        <is>
          <t>Bangalore</t>
        </is>
      </c>
      <c r="L340" s="27" t="inlineStr">
        <is>
          <t>IT</t>
        </is>
      </c>
      <c r="M340" t="inlineStr">
        <is>
          <t>Full-Time</t>
        </is>
      </c>
      <c r="N340" t="inlineStr">
        <is>
          <t>Senior Support Engineer</t>
        </is>
      </c>
      <c r="O340" t="inlineStr">
        <is>
          <t>E3</t>
        </is>
      </c>
      <c r="P340" t="inlineStr">
        <is>
          <t>Senior Support Engineer</t>
        </is>
      </c>
      <c r="Q340" t="inlineStr">
        <is>
          <t>Neha  Rajput (1020112)</t>
        </is>
      </c>
      <c r="R340" s="27" t="n">
        <v>4</v>
      </c>
      <c r="S340" s="1" t="n">
        <v>250000</v>
      </c>
      <c r="T340" s="1">
        <f>ROUND(T_EMPLOYEES[[#This Row],[EMP_CTC1]]/12, 0)</f>
        <v/>
      </c>
      <c r="U340" s="1" t="n">
        <v>150000</v>
      </c>
      <c r="V340" s="1" t="inlineStr">
        <is>
          <t>ND</t>
        </is>
      </c>
      <c r="W340" s="1" t="inlineStr">
        <is>
          <t>ND</t>
        </is>
      </c>
      <c r="X34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0" t="n">
        <v>120000</v>
      </c>
      <c r="Z340" s="29">
        <f>(S340 - U340)/S340 * 100</f>
        <v/>
      </c>
      <c r="AA340">
        <f>IF(T_EMPLOYEES[[#This Row],[EMPLOYEE NUMBER]]="","",ROW(T_EMPLOYEES[[#This Row],[EMPLOYEE LABEL]])-ROW(T_EMPLOYEES[[#Headers],[EMPLOYEE LABEL]]))</f>
        <v/>
      </c>
      <c r="AB340">
        <f>IF(T_EMPLOYEES[[#This Row],[EMPLOYEE NUMBER]]="","",IF(COUNTIF(T_EMPLOYEES[EMPLOYEE NUMBER],T_EMPLOYEES[[#This Row],[EMPLOYEE NUMBER]])&gt;1,1,0))</f>
        <v/>
      </c>
      <c r="AC340">
        <f>IF(T_EMPLOYEES[[#This Row],[EMPLOYEE NUMBER]]="","",IF(AND(T_EMPLOYEES[[#This Row],[DATE OF BIRTH]]&gt;0,T_EMPLOYEES[[#This Row],[DATE OF BIRTH]]&lt;TODAY()),0,1))</f>
        <v/>
      </c>
      <c r="AD340">
        <f>IF(T_EMPLOYEES[[#This Row],[EMPLOYEE NUMBER]]="","",IF(AND(T_EMPLOYEES[[#This Row],[START DATE]]&gt;0,T_EMPLOYEES[[#This Row],[START DATE]]&lt;TODAY()+60),0,1))</f>
        <v/>
      </c>
      <c r="AE340">
        <f>IF(T_EMPLOYEES[[#This Row],[EMPLOYEE NUMBER]]="","",MATCH(T_EMPLOYEES[[#This Row],[GENDER]],L_GENDER,0))</f>
        <v/>
      </c>
      <c r="AF340">
        <f>IF(T_EMPLOYEES[[#This Row],[EMPLOYEE NUMBER]]="","",MATCH(T_EMPLOYEES[[#This Row],[HIRE SOURCE]],L_HIRESOURCE,0))</f>
        <v/>
      </c>
      <c r="AG340">
        <f>IF(T_EMPLOYEES[[#This Row],[EMPLOYEE NUMBER]]="","",MATCH(T_EMPLOYEES[[#This Row],[ETHNICITY]],L_ETHNICITY,0))</f>
        <v/>
      </c>
      <c r="AH340">
        <f>IF(T_EMPLOYEES[[#This Row],[EMPLOYEE NUMBER]]="","",MATCH(T_EMPLOYEES[[#This Row],[LOCATION]],L_LOCATION,0))</f>
        <v/>
      </c>
      <c r="AI340">
        <f>IF(T_EMPLOYEES[[#This Row],[EMPLOYEE NUMBER]]="","",MATCH(T_EMPLOYEES[[#This Row],[DEPARTMENT]],L_DEPARTMENT,0))</f>
        <v/>
      </c>
      <c r="AJ340">
        <f>IF(T_EMPLOYEES[[#This Row],[EMPLOYEE NUMBER]]="","",MATCH(T_EMPLOYEES[[#This Row],[JOB TYPE]],L_JOBTYPE,0))</f>
        <v/>
      </c>
      <c r="AK340">
        <f>IF(T_EMPLOYEES[[#This Row],[EMPLOYEE NUMBER]]="","",MATCH(T_EMPLOYEES[[#This Row],[JOB CATEGORY]],L_JOBCATEGORY,0))</f>
        <v/>
      </c>
      <c r="AL340">
        <f>IF(T_EMPLOYEES[[#This Row],[EMPLOYEE NUMBER]]="","",MATCH(T_EMPLOYEES[[#This Row],[JOB LEVEL]],L_JOBLEVEL,0))</f>
        <v/>
      </c>
      <c r="AM340">
        <f>IF(T_EMPLOYEES[[#This Row],[EMPLOYEE NUMBER]]="","",MATCH(T_EMPLOYEES[[#This Row],[JOB TITLE]],L_JOBTITLE,0))</f>
        <v/>
      </c>
      <c r="AN340">
        <f>IF(T_EMPLOYEES[[#This Row],[EMPLOYEE NUMBER]]="","",MATCH(T_EMPLOYEES[[#This Row],[MANAGER]],L_EMPLABELS,0))</f>
        <v/>
      </c>
      <c r="AO340">
        <f>IF(T_EMPLOYEES[[#This Row],[EMPLOYEE NUMBER]]="","",IF(T_EMPLOYEES[[#This Row],[ERROR]]="",0,1))</f>
        <v/>
      </c>
      <c r="AP34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1">
      <c r="A341" t="inlineStr">
        <is>
          <t>Katam</t>
        </is>
      </c>
      <c r="B341" t="inlineStr">
        <is>
          <t xml:space="preserve"> Nagaraju</t>
        </is>
      </c>
      <c r="C341" t="n">
        <v>1028066</v>
      </c>
      <c r="D341" t="inlineStr">
        <is>
          <t>Nagaraju.Katam@infinite.com</t>
        </is>
      </c>
      <c r="E341" s="26" t="n">
        <v>35402</v>
      </c>
      <c r="F341" s="26" t="n">
        <v>44579</v>
      </c>
      <c r="H341" t="inlineStr">
        <is>
          <t>Male</t>
        </is>
      </c>
      <c r="I341" t="inlineStr">
        <is>
          <t>Asian</t>
        </is>
      </c>
      <c r="J341" t="inlineStr">
        <is>
          <t>WEBSITE</t>
        </is>
      </c>
      <c r="K341" t="inlineStr">
        <is>
          <t>Hyderabad</t>
        </is>
      </c>
      <c r="L341" s="27" t="inlineStr">
        <is>
          <t>Core</t>
        </is>
      </c>
      <c r="M341" t="inlineStr">
        <is>
          <t>Full-Time</t>
        </is>
      </c>
      <c r="N341" t="inlineStr">
        <is>
          <t>Software Engineer</t>
        </is>
      </c>
      <c r="O341" t="inlineStr">
        <is>
          <t>E2</t>
        </is>
      </c>
      <c r="P341" t="inlineStr">
        <is>
          <t>Software Engineer</t>
        </is>
      </c>
      <c r="Q341" t="inlineStr">
        <is>
          <t>Kishore Kumar N (1019765)</t>
        </is>
      </c>
      <c r="R341" t="n">
        <v>4</v>
      </c>
      <c r="S341" s="1" t="n">
        <v>250000</v>
      </c>
      <c r="T341" s="1">
        <f>ROUND(T_EMPLOYEES[[#This Row],[EMP_CTC1]]/12, 0)</f>
        <v/>
      </c>
      <c r="U341" s="1" t="n">
        <v>150000</v>
      </c>
      <c r="V341" s="1" t="inlineStr">
        <is>
          <t>ND</t>
        </is>
      </c>
      <c r="W341" s="1" t="inlineStr">
        <is>
          <t>ND</t>
        </is>
      </c>
      <c r="X34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1" t="n">
        <v>120000</v>
      </c>
      <c r="Z341" s="29">
        <f>(S341 - U341)/S341 * 100</f>
        <v/>
      </c>
      <c r="AA341">
        <f>IF(T_EMPLOYEES[[#This Row],[EMPLOYEE NUMBER]]="","",ROW(T_EMPLOYEES[[#This Row],[EMPLOYEE LABEL]])-ROW(T_EMPLOYEES[[#Headers],[EMPLOYEE LABEL]]))</f>
        <v/>
      </c>
      <c r="AB341">
        <f>IF(T_EMPLOYEES[[#This Row],[EMPLOYEE NUMBER]]="","",IF(COUNTIF(T_EMPLOYEES[EMPLOYEE NUMBER],T_EMPLOYEES[[#This Row],[EMPLOYEE NUMBER]])&gt;1,1,0))</f>
        <v/>
      </c>
      <c r="AC341">
        <f>IF(T_EMPLOYEES[[#This Row],[EMPLOYEE NUMBER]]="","",IF(AND(T_EMPLOYEES[[#This Row],[DATE OF BIRTH]]&gt;0,T_EMPLOYEES[[#This Row],[DATE OF BIRTH]]&lt;TODAY()),0,1))</f>
        <v/>
      </c>
      <c r="AD341">
        <f>IF(T_EMPLOYEES[[#This Row],[EMPLOYEE NUMBER]]="","",IF(AND(T_EMPLOYEES[[#This Row],[START DATE]]&gt;0,T_EMPLOYEES[[#This Row],[START DATE]]&lt;TODAY()+60),0,1))</f>
        <v/>
      </c>
      <c r="AE341">
        <f>IF(T_EMPLOYEES[[#This Row],[EMPLOYEE NUMBER]]="","",MATCH(T_EMPLOYEES[[#This Row],[GENDER]],L_GENDER,0))</f>
        <v/>
      </c>
      <c r="AF341">
        <f>IF(T_EMPLOYEES[[#This Row],[EMPLOYEE NUMBER]]="","",MATCH(T_EMPLOYEES[[#This Row],[HIRE SOURCE]],L_HIRESOURCE,0))</f>
        <v/>
      </c>
      <c r="AG341">
        <f>IF(T_EMPLOYEES[[#This Row],[EMPLOYEE NUMBER]]="","",MATCH(T_EMPLOYEES[[#This Row],[ETHNICITY]],L_ETHNICITY,0))</f>
        <v/>
      </c>
      <c r="AH341">
        <f>IF(T_EMPLOYEES[[#This Row],[EMPLOYEE NUMBER]]="","",MATCH(T_EMPLOYEES[[#This Row],[LOCATION]],L_LOCATION,0))</f>
        <v/>
      </c>
      <c r="AI341">
        <f>IF(T_EMPLOYEES[[#This Row],[EMPLOYEE NUMBER]]="","",MATCH(T_EMPLOYEES[[#This Row],[DEPARTMENT]],L_DEPARTMENT,0))</f>
        <v/>
      </c>
      <c r="AJ341">
        <f>IF(T_EMPLOYEES[[#This Row],[EMPLOYEE NUMBER]]="","",MATCH(T_EMPLOYEES[[#This Row],[JOB TYPE]],L_JOBTYPE,0))</f>
        <v/>
      </c>
      <c r="AK341">
        <f>IF(T_EMPLOYEES[[#This Row],[EMPLOYEE NUMBER]]="","",MATCH(T_EMPLOYEES[[#This Row],[JOB CATEGORY]],L_JOBCATEGORY,0))</f>
        <v/>
      </c>
      <c r="AL341">
        <f>IF(T_EMPLOYEES[[#This Row],[EMPLOYEE NUMBER]]="","",MATCH(T_EMPLOYEES[[#This Row],[JOB LEVEL]],L_JOBLEVEL,0))</f>
        <v/>
      </c>
      <c r="AM341">
        <f>IF(T_EMPLOYEES[[#This Row],[EMPLOYEE NUMBER]]="","",MATCH(T_EMPLOYEES[[#This Row],[JOB TITLE]],L_JOBTITLE,0))</f>
        <v/>
      </c>
      <c r="AN341">
        <f>IF(T_EMPLOYEES[[#This Row],[EMPLOYEE NUMBER]]="","",MATCH(T_EMPLOYEES[[#This Row],[MANAGER]],L_EMPLABELS,0))</f>
        <v/>
      </c>
      <c r="AO341">
        <f>IF(T_EMPLOYEES[[#This Row],[EMPLOYEE NUMBER]]="","",IF(T_EMPLOYEES[[#This Row],[ERROR]]="",0,1))</f>
        <v/>
      </c>
      <c r="AP34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2">
      <c r="A342" t="inlineStr">
        <is>
          <t>Aavesh</t>
        </is>
      </c>
      <c r="B342" t="inlineStr">
        <is>
          <t>Rauf Attar</t>
        </is>
      </c>
      <c r="C342" t="n">
        <v>1031029</v>
      </c>
      <c r="D342" t="inlineStr">
        <is>
          <t>Aavesh.Attar@infinite.com</t>
        </is>
      </c>
      <c r="E342" s="26" t="n">
        <v>35431</v>
      </c>
      <c r="F342" s="26" t="n">
        <v>44889</v>
      </c>
      <c r="H342" t="inlineStr">
        <is>
          <t>Male</t>
        </is>
      </c>
      <c r="I342" t="inlineStr">
        <is>
          <t>Asian</t>
        </is>
      </c>
      <c r="J342" t="inlineStr">
        <is>
          <t>WEBSITE</t>
        </is>
      </c>
      <c r="K342" t="inlineStr">
        <is>
          <t>Hyderabad</t>
        </is>
      </c>
      <c r="L342" s="27" t="inlineStr">
        <is>
          <t>Core</t>
        </is>
      </c>
      <c r="M342" t="inlineStr">
        <is>
          <t>Full-Time</t>
        </is>
      </c>
      <c r="N342" t="inlineStr">
        <is>
          <t>Associate Software Engineer</t>
        </is>
      </c>
      <c r="O342" t="inlineStr">
        <is>
          <t>E1</t>
        </is>
      </c>
      <c r="P342" t="inlineStr">
        <is>
          <t>Associate Software Engineer</t>
        </is>
      </c>
      <c r="Q342" t="inlineStr">
        <is>
          <t>Dipakbhai Motibhai Tandel (1027230)</t>
        </is>
      </c>
      <c r="R342" s="27" t="n">
        <v>0</v>
      </c>
      <c r="S342" s="1" t="n">
        <v>250000</v>
      </c>
      <c r="T342" s="1">
        <f>ROUND(T_EMPLOYEES[[#This Row],[EMP_CTC1]]/12, 0)</f>
        <v/>
      </c>
      <c r="U342" s="1" t="n">
        <v>150000</v>
      </c>
      <c r="V342" s="1" t="inlineStr">
        <is>
          <t>ND</t>
        </is>
      </c>
      <c r="W342" s="1" t="inlineStr">
        <is>
          <t>ND</t>
        </is>
      </c>
      <c r="X34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2" t="n">
        <v>120000</v>
      </c>
      <c r="Z342" s="29">
        <f>(S342 - U342)/S342 * 100</f>
        <v/>
      </c>
      <c r="AA342">
        <f>IF(T_EMPLOYEES[[#This Row],[EMPLOYEE NUMBER]]="","",ROW(T_EMPLOYEES[[#This Row],[EMPLOYEE LABEL]])-ROW(T_EMPLOYEES[[#Headers],[EMPLOYEE LABEL]]))</f>
        <v/>
      </c>
      <c r="AB342">
        <f>IF(T_EMPLOYEES[[#This Row],[EMPLOYEE NUMBER]]="","",IF(COUNTIF(T_EMPLOYEES[EMPLOYEE NUMBER],T_EMPLOYEES[[#This Row],[EMPLOYEE NUMBER]])&gt;1,1,0))</f>
        <v/>
      </c>
      <c r="AC342">
        <f>IF(T_EMPLOYEES[[#This Row],[EMPLOYEE NUMBER]]="","",IF(AND(T_EMPLOYEES[[#This Row],[DATE OF BIRTH]]&gt;0,T_EMPLOYEES[[#This Row],[DATE OF BIRTH]]&lt;TODAY()),0,1))</f>
        <v/>
      </c>
      <c r="AD342">
        <f>IF(T_EMPLOYEES[[#This Row],[EMPLOYEE NUMBER]]="","",IF(AND(T_EMPLOYEES[[#This Row],[START DATE]]&gt;0,T_EMPLOYEES[[#This Row],[START DATE]]&lt;TODAY()+60),0,1))</f>
        <v/>
      </c>
      <c r="AE342">
        <f>IF(T_EMPLOYEES[[#This Row],[EMPLOYEE NUMBER]]="","",MATCH(T_EMPLOYEES[[#This Row],[GENDER]],L_GENDER,0))</f>
        <v/>
      </c>
      <c r="AF342">
        <f>IF(T_EMPLOYEES[[#This Row],[EMPLOYEE NUMBER]]="","",MATCH(T_EMPLOYEES[[#This Row],[HIRE SOURCE]],L_HIRESOURCE,0))</f>
        <v/>
      </c>
      <c r="AG342">
        <f>IF(T_EMPLOYEES[[#This Row],[EMPLOYEE NUMBER]]="","",MATCH(T_EMPLOYEES[[#This Row],[ETHNICITY]],L_ETHNICITY,0))</f>
        <v/>
      </c>
      <c r="AH342">
        <f>IF(T_EMPLOYEES[[#This Row],[EMPLOYEE NUMBER]]="","",MATCH(T_EMPLOYEES[[#This Row],[LOCATION]],L_LOCATION,0))</f>
        <v/>
      </c>
      <c r="AI342">
        <f>IF(T_EMPLOYEES[[#This Row],[EMPLOYEE NUMBER]]="","",MATCH(T_EMPLOYEES[[#This Row],[DEPARTMENT]],L_DEPARTMENT,0))</f>
        <v/>
      </c>
      <c r="AJ342">
        <f>IF(T_EMPLOYEES[[#This Row],[EMPLOYEE NUMBER]]="","",MATCH(T_EMPLOYEES[[#This Row],[JOB TYPE]],L_JOBTYPE,0))</f>
        <v/>
      </c>
      <c r="AK342">
        <f>IF(T_EMPLOYEES[[#This Row],[EMPLOYEE NUMBER]]="","",MATCH(T_EMPLOYEES[[#This Row],[JOB CATEGORY]],L_JOBCATEGORY,0))</f>
        <v/>
      </c>
      <c r="AL342">
        <f>IF(T_EMPLOYEES[[#This Row],[EMPLOYEE NUMBER]]="","",MATCH(T_EMPLOYEES[[#This Row],[JOB LEVEL]],L_JOBLEVEL,0))</f>
        <v/>
      </c>
      <c r="AM342">
        <f>IF(T_EMPLOYEES[[#This Row],[EMPLOYEE NUMBER]]="","",MATCH(T_EMPLOYEES[[#This Row],[JOB TITLE]],L_JOBTITLE,0))</f>
        <v/>
      </c>
      <c r="AN342">
        <f>IF(T_EMPLOYEES[[#This Row],[EMPLOYEE NUMBER]]="","",MATCH(T_EMPLOYEES[[#This Row],[MANAGER]],L_EMPLABELS,0))</f>
        <v/>
      </c>
      <c r="AO342">
        <f>IF(T_EMPLOYEES[[#This Row],[EMPLOYEE NUMBER]]="","",IF(T_EMPLOYEES[[#This Row],[ERROR]]="",0,1))</f>
        <v/>
      </c>
      <c r="AP34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3">
      <c r="A343" t="inlineStr">
        <is>
          <t>Sharath</t>
        </is>
      </c>
      <c r="B343" t="inlineStr">
        <is>
          <t>U</t>
        </is>
      </c>
      <c r="C343" t="n">
        <v>1031880</v>
      </c>
      <c r="D343" t="inlineStr">
        <is>
          <t>Sharath.U@infinite.com</t>
        </is>
      </c>
      <c r="E343" s="26" t="n">
        <v>35434</v>
      </c>
      <c r="F343" s="26" t="n">
        <v>44914</v>
      </c>
      <c r="H343" t="inlineStr">
        <is>
          <t>Male</t>
        </is>
      </c>
      <c r="I343" t="inlineStr">
        <is>
          <t>Asian</t>
        </is>
      </c>
      <c r="J343" t="inlineStr">
        <is>
          <t>WEBSITE</t>
        </is>
      </c>
      <c r="K343" t="inlineStr">
        <is>
          <t>Hyderabad</t>
        </is>
      </c>
      <c r="L343" s="27" t="inlineStr">
        <is>
          <t>IT</t>
        </is>
      </c>
      <c r="M343" t="inlineStr">
        <is>
          <t>Full-Time</t>
        </is>
      </c>
      <c r="N343" t="inlineStr">
        <is>
          <t>Technical Lead</t>
        </is>
      </c>
      <c r="O343" t="inlineStr">
        <is>
          <t>E4</t>
        </is>
      </c>
      <c r="P343" t="inlineStr">
        <is>
          <t>Technical Lead</t>
        </is>
      </c>
      <c r="Q343" t="inlineStr">
        <is>
          <t>Srisha N (1031856)</t>
        </is>
      </c>
      <c r="R343" t="n">
        <v>5</v>
      </c>
      <c r="S343" s="1" t="n">
        <v>250000</v>
      </c>
      <c r="T343" s="1">
        <f>ROUND(T_EMPLOYEES[[#This Row],[EMP_CTC1]]/12, 0)</f>
        <v/>
      </c>
      <c r="U343" s="1" t="n">
        <v>150000</v>
      </c>
      <c r="V343" s="1" t="inlineStr">
        <is>
          <t>ND</t>
        </is>
      </c>
      <c r="W343" s="1" t="inlineStr">
        <is>
          <t>ND</t>
        </is>
      </c>
      <c r="X34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3" t="n">
        <v>120000</v>
      </c>
      <c r="Z343" s="29">
        <f>(S343 - U343)/S343 * 100</f>
        <v/>
      </c>
      <c r="AA343">
        <f>IF(T_EMPLOYEES[[#This Row],[EMPLOYEE NUMBER]]="","",ROW(T_EMPLOYEES[[#This Row],[EMPLOYEE LABEL]])-ROW(T_EMPLOYEES[[#Headers],[EMPLOYEE LABEL]]))</f>
        <v/>
      </c>
      <c r="AB343">
        <f>IF(T_EMPLOYEES[[#This Row],[EMPLOYEE NUMBER]]="","",IF(COUNTIF(T_EMPLOYEES[EMPLOYEE NUMBER],T_EMPLOYEES[[#This Row],[EMPLOYEE NUMBER]])&gt;1,1,0))</f>
        <v/>
      </c>
      <c r="AC343">
        <f>IF(T_EMPLOYEES[[#This Row],[EMPLOYEE NUMBER]]="","",IF(AND(T_EMPLOYEES[[#This Row],[DATE OF BIRTH]]&gt;0,T_EMPLOYEES[[#This Row],[DATE OF BIRTH]]&lt;TODAY()),0,1))</f>
        <v/>
      </c>
      <c r="AD343">
        <f>IF(T_EMPLOYEES[[#This Row],[EMPLOYEE NUMBER]]="","",IF(AND(T_EMPLOYEES[[#This Row],[START DATE]]&gt;0,T_EMPLOYEES[[#This Row],[START DATE]]&lt;TODAY()+60),0,1))</f>
        <v/>
      </c>
      <c r="AE343">
        <f>IF(T_EMPLOYEES[[#This Row],[EMPLOYEE NUMBER]]="","",MATCH(T_EMPLOYEES[[#This Row],[GENDER]],L_GENDER,0))</f>
        <v/>
      </c>
      <c r="AF343">
        <f>IF(T_EMPLOYEES[[#This Row],[EMPLOYEE NUMBER]]="","",MATCH(T_EMPLOYEES[[#This Row],[HIRE SOURCE]],L_HIRESOURCE,0))</f>
        <v/>
      </c>
      <c r="AG343">
        <f>IF(T_EMPLOYEES[[#This Row],[EMPLOYEE NUMBER]]="","",MATCH(T_EMPLOYEES[[#This Row],[ETHNICITY]],L_ETHNICITY,0))</f>
        <v/>
      </c>
      <c r="AH343">
        <f>IF(T_EMPLOYEES[[#This Row],[EMPLOYEE NUMBER]]="","",MATCH(T_EMPLOYEES[[#This Row],[LOCATION]],L_LOCATION,0))</f>
        <v/>
      </c>
      <c r="AI343">
        <f>IF(T_EMPLOYEES[[#This Row],[EMPLOYEE NUMBER]]="","",MATCH(T_EMPLOYEES[[#This Row],[DEPARTMENT]],L_DEPARTMENT,0))</f>
        <v/>
      </c>
      <c r="AJ343">
        <f>IF(T_EMPLOYEES[[#This Row],[EMPLOYEE NUMBER]]="","",MATCH(T_EMPLOYEES[[#This Row],[JOB TYPE]],L_JOBTYPE,0))</f>
        <v/>
      </c>
      <c r="AK343">
        <f>IF(T_EMPLOYEES[[#This Row],[EMPLOYEE NUMBER]]="","",MATCH(T_EMPLOYEES[[#This Row],[JOB CATEGORY]],L_JOBCATEGORY,0))</f>
        <v/>
      </c>
      <c r="AL343">
        <f>IF(T_EMPLOYEES[[#This Row],[EMPLOYEE NUMBER]]="","",MATCH(T_EMPLOYEES[[#This Row],[JOB LEVEL]],L_JOBLEVEL,0))</f>
        <v/>
      </c>
      <c r="AM343">
        <f>IF(T_EMPLOYEES[[#This Row],[EMPLOYEE NUMBER]]="","",MATCH(T_EMPLOYEES[[#This Row],[JOB TITLE]],L_JOBTITLE,0))</f>
        <v/>
      </c>
      <c r="AN343">
        <f>IF(T_EMPLOYEES[[#This Row],[EMPLOYEE NUMBER]]="","",MATCH(T_EMPLOYEES[[#This Row],[MANAGER]],L_EMPLABELS,0))</f>
        <v/>
      </c>
      <c r="AO343">
        <f>IF(T_EMPLOYEES[[#This Row],[EMPLOYEE NUMBER]]="","",IF(T_EMPLOYEES[[#This Row],[ERROR]]="",0,1))</f>
        <v/>
      </c>
      <c r="AP34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43" t="inlineStr">
        <is>
          <t>Claims Financial</t>
        </is>
      </c>
    </row>
    <row r="344">
      <c r="A344" t="inlineStr">
        <is>
          <t>Tushar</t>
        </is>
      </c>
      <c r="B344" t="inlineStr">
        <is>
          <t>Kailas Gavale</t>
        </is>
      </c>
      <c r="C344" t="n">
        <v>1031055</v>
      </c>
      <c r="D344" t="inlineStr">
        <is>
          <t>Tushar.Gavale@infinite.com</t>
        </is>
      </c>
      <c r="E344" s="26" t="n">
        <v>35500</v>
      </c>
      <c r="F344" s="26" t="n">
        <v>44889</v>
      </c>
      <c r="H344" t="inlineStr">
        <is>
          <t>Male</t>
        </is>
      </c>
      <c r="I344" t="inlineStr">
        <is>
          <t>Asian</t>
        </is>
      </c>
      <c r="J344" t="inlineStr">
        <is>
          <t>WEBSITE</t>
        </is>
      </c>
      <c r="K344" t="inlineStr">
        <is>
          <t>Hyderabad</t>
        </is>
      </c>
      <c r="L344" s="27" t="inlineStr">
        <is>
          <t>Infra</t>
        </is>
      </c>
      <c r="M344" t="inlineStr">
        <is>
          <t>Full-Time</t>
        </is>
      </c>
      <c r="N344" t="inlineStr">
        <is>
          <t>Associate Software Engineer</t>
        </is>
      </c>
      <c r="O344" t="inlineStr">
        <is>
          <t>E1</t>
        </is>
      </c>
      <c r="P344" t="inlineStr">
        <is>
          <t>Associate Software Engineer</t>
        </is>
      </c>
      <c r="Q344" t="inlineStr">
        <is>
          <t>K  Saikumar (1026864)</t>
        </is>
      </c>
      <c r="R344" s="27" t="n">
        <v>0</v>
      </c>
      <c r="S344" s="1" t="n">
        <v>250000</v>
      </c>
      <c r="T344" s="1">
        <f>ROUND(T_EMPLOYEES[[#This Row],[EMP_CTC1]]/12, 0)</f>
        <v/>
      </c>
      <c r="U344" s="1" t="n">
        <v>150000</v>
      </c>
      <c r="V344" s="1" t="inlineStr">
        <is>
          <t>ND</t>
        </is>
      </c>
      <c r="W344" s="1" t="inlineStr">
        <is>
          <t>ND</t>
        </is>
      </c>
      <c r="X34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4" t="n">
        <v>120000</v>
      </c>
      <c r="Z344" s="29">
        <f>(S344 - U344)/S344 * 100</f>
        <v/>
      </c>
      <c r="AA344">
        <f>IF(T_EMPLOYEES[[#This Row],[EMPLOYEE NUMBER]]="","",ROW(T_EMPLOYEES[[#This Row],[EMPLOYEE LABEL]])-ROW(T_EMPLOYEES[[#Headers],[EMPLOYEE LABEL]]))</f>
        <v/>
      </c>
      <c r="AB344">
        <f>IF(T_EMPLOYEES[[#This Row],[EMPLOYEE NUMBER]]="","",IF(COUNTIF(T_EMPLOYEES[EMPLOYEE NUMBER],T_EMPLOYEES[[#This Row],[EMPLOYEE NUMBER]])&gt;1,1,0))</f>
        <v/>
      </c>
      <c r="AC344">
        <f>IF(T_EMPLOYEES[[#This Row],[EMPLOYEE NUMBER]]="","",IF(AND(T_EMPLOYEES[[#This Row],[DATE OF BIRTH]]&gt;0,T_EMPLOYEES[[#This Row],[DATE OF BIRTH]]&lt;TODAY()),0,1))</f>
        <v/>
      </c>
      <c r="AD344">
        <f>IF(T_EMPLOYEES[[#This Row],[EMPLOYEE NUMBER]]="","",IF(AND(T_EMPLOYEES[[#This Row],[START DATE]]&gt;0,T_EMPLOYEES[[#This Row],[START DATE]]&lt;TODAY()+60),0,1))</f>
        <v/>
      </c>
      <c r="AE344">
        <f>IF(T_EMPLOYEES[[#This Row],[EMPLOYEE NUMBER]]="","",MATCH(T_EMPLOYEES[[#This Row],[GENDER]],L_GENDER,0))</f>
        <v/>
      </c>
      <c r="AF344">
        <f>IF(T_EMPLOYEES[[#This Row],[EMPLOYEE NUMBER]]="","",MATCH(T_EMPLOYEES[[#This Row],[HIRE SOURCE]],L_HIRESOURCE,0))</f>
        <v/>
      </c>
      <c r="AG344">
        <f>IF(T_EMPLOYEES[[#This Row],[EMPLOYEE NUMBER]]="","",MATCH(T_EMPLOYEES[[#This Row],[ETHNICITY]],L_ETHNICITY,0))</f>
        <v/>
      </c>
      <c r="AH344">
        <f>IF(T_EMPLOYEES[[#This Row],[EMPLOYEE NUMBER]]="","",MATCH(T_EMPLOYEES[[#This Row],[LOCATION]],L_LOCATION,0))</f>
        <v/>
      </c>
      <c r="AI344">
        <f>IF(T_EMPLOYEES[[#This Row],[EMPLOYEE NUMBER]]="","",MATCH(T_EMPLOYEES[[#This Row],[DEPARTMENT]],L_DEPARTMENT,0))</f>
        <v/>
      </c>
      <c r="AJ344">
        <f>IF(T_EMPLOYEES[[#This Row],[EMPLOYEE NUMBER]]="","",MATCH(T_EMPLOYEES[[#This Row],[JOB TYPE]],L_JOBTYPE,0))</f>
        <v/>
      </c>
      <c r="AK344">
        <f>IF(T_EMPLOYEES[[#This Row],[EMPLOYEE NUMBER]]="","",MATCH(T_EMPLOYEES[[#This Row],[JOB CATEGORY]],L_JOBCATEGORY,0))</f>
        <v/>
      </c>
      <c r="AL344">
        <f>IF(T_EMPLOYEES[[#This Row],[EMPLOYEE NUMBER]]="","",MATCH(T_EMPLOYEES[[#This Row],[JOB LEVEL]],L_JOBLEVEL,0))</f>
        <v/>
      </c>
      <c r="AM344">
        <f>IF(T_EMPLOYEES[[#This Row],[EMPLOYEE NUMBER]]="","",MATCH(T_EMPLOYEES[[#This Row],[JOB TITLE]],L_JOBTITLE,0))</f>
        <v/>
      </c>
      <c r="AN344">
        <f>IF(T_EMPLOYEES[[#This Row],[EMPLOYEE NUMBER]]="","",MATCH(T_EMPLOYEES[[#This Row],[MANAGER]],L_EMPLABELS,0))</f>
        <v/>
      </c>
      <c r="AO344">
        <f>IF(T_EMPLOYEES[[#This Row],[EMPLOYEE NUMBER]]="","",IF(T_EMPLOYEES[[#This Row],[ERROR]]="",0,1))</f>
        <v/>
      </c>
      <c r="AP34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5">
      <c r="A345" t="inlineStr">
        <is>
          <t>Abhishek</t>
        </is>
      </c>
      <c r="C345" t="n">
        <v>1027164</v>
      </c>
      <c r="D345" t="inlineStr">
        <is>
          <t>Abhishek.Chinchure@infinite.com</t>
        </is>
      </c>
      <c r="E345" s="26" t="n">
        <v>35521</v>
      </c>
      <c r="F345" s="26" t="n">
        <v>44512</v>
      </c>
      <c r="H345" t="inlineStr">
        <is>
          <t>Male</t>
        </is>
      </c>
      <c r="I345" t="inlineStr">
        <is>
          <t>Asian</t>
        </is>
      </c>
      <c r="J345" t="inlineStr">
        <is>
          <t>WEBSITE</t>
        </is>
      </c>
      <c r="K345" t="inlineStr">
        <is>
          <t>Hyderabad</t>
        </is>
      </c>
      <c r="L345" s="27" t="inlineStr">
        <is>
          <t>IT</t>
        </is>
      </c>
      <c r="M345" t="inlineStr">
        <is>
          <t>Full-Time</t>
        </is>
      </c>
      <c r="N345" t="inlineStr">
        <is>
          <t>Software Test Engineer</t>
        </is>
      </c>
      <c r="O345" t="inlineStr">
        <is>
          <t>E2</t>
        </is>
      </c>
      <c r="P345" t="inlineStr">
        <is>
          <t>Software Test Engineer</t>
        </is>
      </c>
      <c r="Q345" t="inlineStr">
        <is>
          <t>G Mallikarjuna  Gooty (1030389)</t>
        </is>
      </c>
      <c r="R345" t="n">
        <v>4</v>
      </c>
      <c r="S345" s="1" t="n">
        <v>250000</v>
      </c>
      <c r="T345" s="1">
        <f>ROUND(T_EMPLOYEES[[#This Row],[EMP_CTC1]]/12, 0)</f>
        <v/>
      </c>
      <c r="U345" s="1" t="n">
        <v>150000</v>
      </c>
      <c r="V345" s="1" t="inlineStr">
        <is>
          <t>ND</t>
        </is>
      </c>
      <c r="W345" s="1" t="inlineStr">
        <is>
          <t>ND</t>
        </is>
      </c>
      <c r="X34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5" t="n">
        <v>120000</v>
      </c>
      <c r="Z345" s="29">
        <f>(S345 - U345)/S345 * 100</f>
        <v/>
      </c>
      <c r="AA345">
        <f>IF(T_EMPLOYEES[[#This Row],[EMPLOYEE NUMBER]]="","",ROW(T_EMPLOYEES[[#This Row],[EMPLOYEE LABEL]])-ROW(T_EMPLOYEES[[#Headers],[EMPLOYEE LABEL]]))</f>
        <v/>
      </c>
      <c r="AB345">
        <f>IF(T_EMPLOYEES[[#This Row],[EMPLOYEE NUMBER]]="","",IF(COUNTIF(T_EMPLOYEES[EMPLOYEE NUMBER],T_EMPLOYEES[[#This Row],[EMPLOYEE NUMBER]])&gt;1,1,0))</f>
        <v/>
      </c>
      <c r="AC345">
        <f>IF(T_EMPLOYEES[[#This Row],[EMPLOYEE NUMBER]]="","",IF(AND(T_EMPLOYEES[[#This Row],[DATE OF BIRTH]]&gt;0,T_EMPLOYEES[[#This Row],[DATE OF BIRTH]]&lt;TODAY()),0,1))</f>
        <v/>
      </c>
      <c r="AD345">
        <f>IF(T_EMPLOYEES[[#This Row],[EMPLOYEE NUMBER]]="","",IF(AND(T_EMPLOYEES[[#This Row],[START DATE]]&gt;0,T_EMPLOYEES[[#This Row],[START DATE]]&lt;TODAY()+60),0,1))</f>
        <v/>
      </c>
      <c r="AE345">
        <f>IF(T_EMPLOYEES[[#This Row],[EMPLOYEE NUMBER]]="","",MATCH(T_EMPLOYEES[[#This Row],[GENDER]],L_GENDER,0))</f>
        <v/>
      </c>
      <c r="AF345">
        <f>IF(T_EMPLOYEES[[#This Row],[EMPLOYEE NUMBER]]="","",MATCH(T_EMPLOYEES[[#This Row],[HIRE SOURCE]],L_HIRESOURCE,0))</f>
        <v/>
      </c>
      <c r="AG345">
        <f>IF(T_EMPLOYEES[[#This Row],[EMPLOYEE NUMBER]]="","",MATCH(T_EMPLOYEES[[#This Row],[ETHNICITY]],L_ETHNICITY,0))</f>
        <v/>
      </c>
      <c r="AH345">
        <f>IF(T_EMPLOYEES[[#This Row],[EMPLOYEE NUMBER]]="","",MATCH(T_EMPLOYEES[[#This Row],[LOCATION]],L_LOCATION,0))</f>
        <v/>
      </c>
      <c r="AI345">
        <f>IF(T_EMPLOYEES[[#This Row],[EMPLOYEE NUMBER]]="","",MATCH(T_EMPLOYEES[[#This Row],[DEPARTMENT]],L_DEPARTMENT,0))</f>
        <v/>
      </c>
      <c r="AJ345">
        <f>IF(T_EMPLOYEES[[#This Row],[EMPLOYEE NUMBER]]="","",MATCH(T_EMPLOYEES[[#This Row],[JOB TYPE]],L_JOBTYPE,0))</f>
        <v/>
      </c>
      <c r="AK345">
        <f>IF(T_EMPLOYEES[[#This Row],[EMPLOYEE NUMBER]]="","",MATCH(T_EMPLOYEES[[#This Row],[JOB CATEGORY]],L_JOBCATEGORY,0))</f>
        <v/>
      </c>
      <c r="AL345">
        <f>IF(T_EMPLOYEES[[#This Row],[EMPLOYEE NUMBER]]="","",MATCH(T_EMPLOYEES[[#This Row],[JOB LEVEL]],L_JOBLEVEL,0))</f>
        <v/>
      </c>
      <c r="AM345">
        <f>IF(T_EMPLOYEES[[#This Row],[EMPLOYEE NUMBER]]="","",MATCH(T_EMPLOYEES[[#This Row],[JOB TITLE]],L_JOBTITLE,0))</f>
        <v/>
      </c>
      <c r="AN345">
        <f>IF(T_EMPLOYEES[[#This Row],[EMPLOYEE NUMBER]]="","",MATCH(T_EMPLOYEES[[#This Row],[MANAGER]],L_EMPLABELS,0))</f>
        <v/>
      </c>
      <c r="AO345">
        <f>IF(T_EMPLOYEES[[#This Row],[EMPLOYEE NUMBER]]="","",IF(T_EMPLOYEES[[#This Row],[ERROR]]="",0,1))</f>
        <v/>
      </c>
      <c r="AP34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6">
      <c r="A346" t="inlineStr">
        <is>
          <t>K</t>
        </is>
      </c>
      <c r="B346" t="inlineStr">
        <is>
          <t>Nethravathi</t>
        </is>
      </c>
      <c r="C346" t="n">
        <v>1032297</v>
      </c>
      <c r="D346" t="inlineStr">
        <is>
          <t>Nethravathi.Kotipi@infinite.com</t>
        </is>
      </c>
      <c r="E346" s="26" t="n">
        <v>35525</v>
      </c>
      <c r="F346" s="26" t="n">
        <v>44986</v>
      </c>
      <c r="H346" t="inlineStr">
        <is>
          <t>Female</t>
        </is>
      </c>
      <c r="I346" t="inlineStr">
        <is>
          <t>Asian</t>
        </is>
      </c>
      <c r="J346" t="inlineStr">
        <is>
          <t>WEBSITE</t>
        </is>
      </c>
      <c r="K346" t="inlineStr">
        <is>
          <t>Hyderabad</t>
        </is>
      </c>
      <c r="L346" s="27" t="inlineStr">
        <is>
          <t>IT</t>
        </is>
      </c>
      <c r="M346" t="inlineStr">
        <is>
          <t>Full-Time</t>
        </is>
      </c>
      <c r="N346" t="inlineStr">
        <is>
          <t>Senior Database administrator</t>
        </is>
      </c>
      <c r="O346" t="inlineStr">
        <is>
          <t>E3</t>
        </is>
      </c>
      <c r="P346" t="inlineStr">
        <is>
          <t>Senior Database administrator</t>
        </is>
      </c>
      <c r="Q346" t="inlineStr">
        <is>
          <t>Niranjan Reddy G (1032824)</t>
        </is>
      </c>
      <c r="R346" s="27" t="n">
        <v>4</v>
      </c>
      <c r="S346" s="1" t="n">
        <v>250000</v>
      </c>
      <c r="T346" s="1">
        <f>ROUND(T_EMPLOYEES[[#This Row],[EMP_CTC1]]/12, 0)</f>
        <v/>
      </c>
      <c r="U346" s="1" t="n">
        <v>150000</v>
      </c>
      <c r="V346" s="1" t="inlineStr">
        <is>
          <t>ND</t>
        </is>
      </c>
      <c r="W346" s="1" t="inlineStr">
        <is>
          <t>ND</t>
        </is>
      </c>
      <c r="X34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6" t="n">
        <v>120000</v>
      </c>
      <c r="Z346" s="29">
        <f>(S346 - U346)/S346 * 100</f>
        <v/>
      </c>
      <c r="AA346">
        <f>IF(T_EMPLOYEES[[#This Row],[EMPLOYEE NUMBER]]="","",ROW(T_EMPLOYEES[[#This Row],[EMPLOYEE LABEL]])-ROW(T_EMPLOYEES[[#Headers],[EMPLOYEE LABEL]]))</f>
        <v/>
      </c>
      <c r="AB346">
        <f>IF(T_EMPLOYEES[[#This Row],[EMPLOYEE NUMBER]]="","",IF(COUNTIF(T_EMPLOYEES[EMPLOYEE NUMBER],T_EMPLOYEES[[#This Row],[EMPLOYEE NUMBER]])&gt;1,1,0))</f>
        <v/>
      </c>
      <c r="AC346">
        <f>IF(T_EMPLOYEES[[#This Row],[EMPLOYEE NUMBER]]="","",IF(AND(T_EMPLOYEES[[#This Row],[DATE OF BIRTH]]&gt;0,T_EMPLOYEES[[#This Row],[DATE OF BIRTH]]&lt;TODAY()),0,1))</f>
        <v/>
      </c>
      <c r="AD346">
        <f>IF(T_EMPLOYEES[[#This Row],[EMPLOYEE NUMBER]]="","",IF(AND(T_EMPLOYEES[[#This Row],[START DATE]]&gt;0,T_EMPLOYEES[[#This Row],[START DATE]]&lt;TODAY()+60),0,1))</f>
        <v/>
      </c>
      <c r="AE346">
        <f>IF(T_EMPLOYEES[[#This Row],[EMPLOYEE NUMBER]]="","",MATCH(T_EMPLOYEES[[#This Row],[GENDER]],L_GENDER,0))</f>
        <v/>
      </c>
      <c r="AF346">
        <f>IF(T_EMPLOYEES[[#This Row],[EMPLOYEE NUMBER]]="","",MATCH(T_EMPLOYEES[[#This Row],[HIRE SOURCE]],L_HIRESOURCE,0))</f>
        <v/>
      </c>
      <c r="AG346">
        <f>IF(T_EMPLOYEES[[#This Row],[EMPLOYEE NUMBER]]="","",MATCH(T_EMPLOYEES[[#This Row],[ETHNICITY]],L_ETHNICITY,0))</f>
        <v/>
      </c>
      <c r="AH346">
        <f>IF(T_EMPLOYEES[[#This Row],[EMPLOYEE NUMBER]]="","",MATCH(T_EMPLOYEES[[#This Row],[LOCATION]],L_LOCATION,0))</f>
        <v/>
      </c>
      <c r="AI346">
        <f>IF(T_EMPLOYEES[[#This Row],[EMPLOYEE NUMBER]]="","",MATCH(T_EMPLOYEES[[#This Row],[DEPARTMENT]],L_DEPARTMENT,0))</f>
        <v/>
      </c>
      <c r="AJ346">
        <f>IF(T_EMPLOYEES[[#This Row],[EMPLOYEE NUMBER]]="","",MATCH(T_EMPLOYEES[[#This Row],[JOB TYPE]],L_JOBTYPE,0))</f>
        <v/>
      </c>
      <c r="AK346">
        <f>IF(T_EMPLOYEES[[#This Row],[EMPLOYEE NUMBER]]="","",MATCH(T_EMPLOYEES[[#This Row],[JOB CATEGORY]],L_JOBCATEGORY,0))</f>
        <v/>
      </c>
      <c r="AL346">
        <f>IF(T_EMPLOYEES[[#This Row],[EMPLOYEE NUMBER]]="","",MATCH(T_EMPLOYEES[[#This Row],[JOB LEVEL]],L_JOBLEVEL,0))</f>
        <v/>
      </c>
      <c r="AM346">
        <f>IF(T_EMPLOYEES[[#This Row],[EMPLOYEE NUMBER]]="","",MATCH(T_EMPLOYEES[[#This Row],[JOB TITLE]],L_JOBTITLE,0))</f>
        <v/>
      </c>
      <c r="AN346">
        <f>IF(T_EMPLOYEES[[#This Row],[EMPLOYEE NUMBER]]="","",MATCH(T_EMPLOYEES[[#This Row],[MANAGER]],L_EMPLABELS,0))</f>
        <v/>
      </c>
      <c r="AO346">
        <f>IF(T_EMPLOYEES[[#This Row],[EMPLOYEE NUMBER]]="","",IF(T_EMPLOYEES[[#This Row],[ERROR]]="",0,1))</f>
        <v/>
      </c>
      <c r="AP34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7">
      <c r="A347" t="inlineStr">
        <is>
          <t>Prakash</t>
        </is>
      </c>
      <c r="C347" t="n">
        <v>1029935</v>
      </c>
      <c r="D347" t="inlineStr">
        <is>
          <t>Prakash.Anandaraj@infinite.com</t>
        </is>
      </c>
      <c r="E347" s="26" t="n">
        <v>35552</v>
      </c>
      <c r="F347" s="26" t="n">
        <v>44795</v>
      </c>
      <c r="H347" t="inlineStr">
        <is>
          <t>Male</t>
        </is>
      </c>
      <c r="I347" t="inlineStr">
        <is>
          <t>Asian</t>
        </is>
      </c>
      <c r="J347" t="inlineStr">
        <is>
          <t>WEBSITE</t>
        </is>
      </c>
      <c r="K347" t="inlineStr">
        <is>
          <t>Hyderabad</t>
        </is>
      </c>
      <c r="L347" t="inlineStr">
        <is>
          <t>Infra</t>
        </is>
      </c>
      <c r="M347" t="inlineStr">
        <is>
          <t>Full-Time</t>
        </is>
      </c>
      <c r="N347" t="inlineStr">
        <is>
          <t>Database Administrator</t>
        </is>
      </c>
      <c r="O347" t="inlineStr">
        <is>
          <t>E2</t>
        </is>
      </c>
      <c r="P347" t="inlineStr">
        <is>
          <t>Database Administrator</t>
        </is>
      </c>
      <c r="Q347" t="inlineStr">
        <is>
          <t>K  Saikumar (1026864)</t>
        </is>
      </c>
      <c r="R347" t="n">
        <v>4</v>
      </c>
      <c r="S347" s="1" t="n">
        <v>250000</v>
      </c>
      <c r="T347" s="1">
        <f>ROUND(T_EMPLOYEES[[#This Row],[EMP_CTC1]]/12, 0)</f>
        <v/>
      </c>
      <c r="U347" s="1" t="n">
        <v>150000</v>
      </c>
      <c r="V347" s="1" t="inlineStr">
        <is>
          <t>ND</t>
        </is>
      </c>
      <c r="W347" s="1" t="inlineStr">
        <is>
          <t>ND</t>
        </is>
      </c>
      <c r="X34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7" t="n">
        <v>120000</v>
      </c>
      <c r="Z347" s="29">
        <f>(S347 - U347)/S347 * 100</f>
        <v/>
      </c>
      <c r="AA347">
        <f>IF(T_EMPLOYEES[[#This Row],[EMPLOYEE NUMBER]]="","",ROW(T_EMPLOYEES[[#This Row],[EMPLOYEE LABEL]])-ROW(T_EMPLOYEES[[#Headers],[EMPLOYEE LABEL]]))</f>
        <v/>
      </c>
      <c r="AB347">
        <f>IF(T_EMPLOYEES[[#This Row],[EMPLOYEE NUMBER]]="","",IF(COUNTIF(T_EMPLOYEES[EMPLOYEE NUMBER],T_EMPLOYEES[[#This Row],[EMPLOYEE NUMBER]])&gt;1,1,0))</f>
        <v/>
      </c>
      <c r="AC347">
        <f>IF(T_EMPLOYEES[[#This Row],[EMPLOYEE NUMBER]]="","",IF(AND(T_EMPLOYEES[[#This Row],[DATE OF BIRTH]]&gt;0,T_EMPLOYEES[[#This Row],[DATE OF BIRTH]]&lt;TODAY()),0,1))</f>
        <v/>
      </c>
      <c r="AD347">
        <f>IF(T_EMPLOYEES[[#This Row],[EMPLOYEE NUMBER]]="","",IF(AND(T_EMPLOYEES[[#This Row],[START DATE]]&gt;0,T_EMPLOYEES[[#This Row],[START DATE]]&lt;TODAY()+60),0,1))</f>
        <v/>
      </c>
      <c r="AE347">
        <f>IF(T_EMPLOYEES[[#This Row],[EMPLOYEE NUMBER]]="","",MATCH(T_EMPLOYEES[[#This Row],[GENDER]],L_GENDER,0))</f>
        <v/>
      </c>
      <c r="AF347">
        <f>IF(T_EMPLOYEES[[#This Row],[EMPLOYEE NUMBER]]="","",MATCH(T_EMPLOYEES[[#This Row],[HIRE SOURCE]],L_HIRESOURCE,0))</f>
        <v/>
      </c>
      <c r="AG347">
        <f>IF(T_EMPLOYEES[[#This Row],[EMPLOYEE NUMBER]]="","",MATCH(T_EMPLOYEES[[#This Row],[ETHNICITY]],L_ETHNICITY,0))</f>
        <v/>
      </c>
      <c r="AH347">
        <f>IF(T_EMPLOYEES[[#This Row],[EMPLOYEE NUMBER]]="","",MATCH(T_EMPLOYEES[[#This Row],[LOCATION]],L_LOCATION,0))</f>
        <v/>
      </c>
      <c r="AI347">
        <f>IF(T_EMPLOYEES[[#This Row],[EMPLOYEE NUMBER]]="","",MATCH(T_EMPLOYEES[[#This Row],[DEPARTMENT]],L_DEPARTMENT,0))</f>
        <v/>
      </c>
      <c r="AJ347">
        <f>IF(T_EMPLOYEES[[#This Row],[EMPLOYEE NUMBER]]="","",MATCH(T_EMPLOYEES[[#This Row],[JOB TYPE]],L_JOBTYPE,0))</f>
        <v/>
      </c>
      <c r="AK347">
        <f>IF(T_EMPLOYEES[[#This Row],[EMPLOYEE NUMBER]]="","",MATCH(T_EMPLOYEES[[#This Row],[JOB CATEGORY]],L_JOBCATEGORY,0))</f>
        <v/>
      </c>
      <c r="AL347">
        <f>IF(T_EMPLOYEES[[#This Row],[EMPLOYEE NUMBER]]="","",MATCH(T_EMPLOYEES[[#This Row],[JOB LEVEL]],L_JOBLEVEL,0))</f>
        <v/>
      </c>
      <c r="AM347">
        <f>IF(T_EMPLOYEES[[#This Row],[EMPLOYEE NUMBER]]="","",MATCH(T_EMPLOYEES[[#This Row],[JOB TITLE]],L_JOBTITLE,0))</f>
        <v/>
      </c>
      <c r="AN347">
        <f>IF(T_EMPLOYEES[[#This Row],[EMPLOYEE NUMBER]]="","",MATCH(T_EMPLOYEES[[#This Row],[MANAGER]],L_EMPLABELS,0))</f>
        <v/>
      </c>
      <c r="AO347">
        <f>IF(T_EMPLOYEES[[#This Row],[EMPLOYEE NUMBER]]="","",IF(T_EMPLOYEES[[#This Row],[ERROR]]="",0,1))</f>
        <v/>
      </c>
      <c r="AP34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8">
      <c r="A348" t="inlineStr">
        <is>
          <t>Sandeep</t>
        </is>
      </c>
      <c r="B348" t="inlineStr">
        <is>
          <t>Kumar Patra</t>
        </is>
      </c>
      <c r="C348" t="n">
        <v>1029444</v>
      </c>
      <c r="D348" t="inlineStr">
        <is>
          <t>Sandeepkumar.Patra@infinite.com</t>
        </is>
      </c>
      <c r="E348" s="26" t="n">
        <v>35563</v>
      </c>
      <c r="F348" s="26" t="n">
        <v>44746</v>
      </c>
      <c r="H348" t="inlineStr">
        <is>
          <t>Male</t>
        </is>
      </c>
      <c r="I348" t="inlineStr">
        <is>
          <t>Asian</t>
        </is>
      </c>
      <c r="J348" t="inlineStr">
        <is>
          <t>WEBSITE</t>
        </is>
      </c>
      <c r="K348" t="inlineStr">
        <is>
          <t>Bangalore</t>
        </is>
      </c>
      <c r="L348" s="27" t="inlineStr">
        <is>
          <t>IT</t>
        </is>
      </c>
      <c r="M348" t="inlineStr">
        <is>
          <t>Full-Time</t>
        </is>
      </c>
      <c r="N348" t="inlineStr">
        <is>
          <t>Support Engineer</t>
        </is>
      </c>
      <c r="O348" t="inlineStr">
        <is>
          <t>E2</t>
        </is>
      </c>
      <c r="P348" t="inlineStr">
        <is>
          <t>Support Engineer</t>
        </is>
      </c>
      <c r="Q348" t="inlineStr">
        <is>
          <t>Santosh Kumar B (1033071)</t>
        </is>
      </c>
      <c r="R348" s="27" t="n">
        <v>4</v>
      </c>
      <c r="S348" s="1" t="n">
        <v>250000</v>
      </c>
      <c r="T348" s="1">
        <f>ROUND(T_EMPLOYEES[[#This Row],[EMP_CTC1]]/12, 0)</f>
        <v/>
      </c>
      <c r="U348" s="1" t="n">
        <v>150000</v>
      </c>
      <c r="V348" s="1" t="inlineStr">
        <is>
          <t>ND</t>
        </is>
      </c>
      <c r="W348" s="1" t="inlineStr">
        <is>
          <t>ND</t>
        </is>
      </c>
      <c r="X34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8" t="n">
        <v>120000</v>
      </c>
      <c r="Z348" s="29">
        <f>(S348 - U348)/S348 * 100</f>
        <v/>
      </c>
      <c r="AA348">
        <f>IF(T_EMPLOYEES[[#This Row],[EMPLOYEE NUMBER]]="","",ROW(T_EMPLOYEES[[#This Row],[EMPLOYEE LABEL]])-ROW(T_EMPLOYEES[[#Headers],[EMPLOYEE LABEL]]))</f>
        <v/>
      </c>
      <c r="AB348">
        <f>IF(T_EMPLOYEES[[#This Row],[EMPLOYEE NUMBER]]="","",IF(COUNTIF(T_EMPLOYEES[EMPLOYEE NUMBER],T_EMPLOYEES[[#This Row],[EMPLOYEE NUMBER]])&gt;1,1,0))</f>
        <v/>
      </c>
      <c r="AC348">
        <f>IF(T_EMPLOYEES[[#This Row],[EMPLOYEE NUMBER]]="","",IF(AND(T_EMPLOYEES[[#This Row],[DATE OF BIRTH]]&gt;0,T_EMPLOYEES[[#This Row],[DATE OF BIRTH]]&lt;TODAY()),0,1))</f>
        <v/>
      </c>
      <c r="AD348">
        <f>IF(T_EMPLOYEES[[#This Row],[EMPLOYEE NUMBER]]="","",IF(AND(T_EMPLOYEES[[#This Row],[START DATE]]&gt;0,T_EMPLOYEES[[#This Row],[START DATE]]&lt;TODAY()+60),0,1))</f>
        <v/>
      </c>
      <c r="AE348">
        <f>IF(T_EMPLOYEES[[#This Row],[EMPLOYEE NUMBER]]="","",MATCH(T_EMPLOYEES[[#This Row],[GENDER]],L_GENDER,0))</f>
        <v/>
      </c>
      <c r="AF348">
        <f>IF(T_EMPLOYEES[[#This Row],[EMPLOYEE NUMBER]]="","",MATCH(T_EMPLOYEES[[#This Row],[HIRE SOURCE]],L_HIRESOURCE,0))</f>
        <v/>
      </c>
      <c r="AG348">
        <f>IF(T_EMPLOYEES[[#This Row],[EMPLOYEE NUMBER]]="","",MATCH(T_EMPLOYEES[[#This Row],[ETHNICITY]],L_ETHNICITY,0))</f>
        <v/>
      </c>
      <c r="AH348">
        <f>IF(T_EMPLOYEES[[#This Row],[EMPLOYEE NUMBER]]="","",MATCH(T_EMPLOYEES[[#This Row],[LOCATION]],L_LOCATION,0))</f>
        <v/>
      </c>
      <c r="AI348">
        <f>IF(T_EMPLOYEES[[#This Row],[EMPLOYEE NUMBER]]="","",MATCH(T_EMPLOYEES[[#This Row],[DEPARTMENT]],L_DEPARTMENT,0))</f>
        <v/>
      </c>
      <c r="AJ348">
        <f>IF(T_EMPLOYEES[[#This Row],[EMPLOYEE NUMBER]]="","",MATCH(T_EMPLOYEES[[#This Row],[JOB TYPE]],L_JOBTYPE,0))</f>
        <v/>
      </c>
      <c r="AK348">
        <f>IF(T_EMPLOYEES[[#This Row],[EMPLOYEE NUMBER]]="","",MATCH(T_EMPLOYEES[[#This Row],[JOB CATEGORY]],L_JOBCATEGORY,0))</f>
        <v/>
      </c>
      <c r="AL348">
        <f>IF(T_EMPLOYEES[[#This Row],[EMPLOYEE NUMBER]]="","",MATCH(T_EMPLOYEES[[#This Row],[JOB LEVEL]],L_JOBLEVEL,0))</f>
        <v/>
      </c>
      <c r="AM348">
        <f>IF(T_EMPLOYEES[[#This Row],[EMPLOYEE NUMBER]]="","",MATCH(T_EMPLOYEES[[#This Row],[JOB TITLE]],L_JOBTITLE,0))</f>
        <v/>
      </c>
      <c r="AN348">
        <f>IF(T_EMPLOYEES[[#This Row],[EMPLOYEE NUMBER]]="","",MATCH(T_EMPLOYEES[[#This Row],[MANAGER]],L_EMPLABELS,0))</f>
        <v/>
      </c>
      <c r="AO348">
        <f>IF(T_EMPLOYEES[[#This Row],[EMPLOYEE NUMBER]]="","",IF(T_EMPLOYEES[[#This Row],[ERROR]]="",0,1))</f>
        <v/>
      </c>
      <c r="AP34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49">
      <c r="A349" t="inlineStr">
        <is>
          <t>Jadhav</t>
        </is>
      </c>
      <c r="B349" t="inlineStr">
        <is>
          <t>Suraj Sambhaji</t>
        </is>
      </c>
      <c r="C349" t="n">
        <v>1031065</v>
      </c>
      <c r="D349" t="inlineStr">
        <is>
          <t>Suraj.Jadhav@infinite.com</t>
        </is>
      </c>
      <c r="E349" s="26" t="n">
        <v>35568</v>
      </c>
      <c r="F349" s="26" t="n">
        <v>44889</v>
      </c>
      <c r="H349" t="inlineStr">
        <is>
          <t>Male</t>
        </is>
      </c>
      <c r="I349" t="inlineStr">
        <is>
          <t>Asian</t>
        </is>
      </c>
      <c r="J349" t="inlineStr">
        <is>
          <t>WEBSITE</t>
        </is>
      </c>
      <c r="K349" t="inlineStr">
        <is>
          <t>Bangalore</t>
        </is>
      </c>
      <c r="L349" s="27" t="inlineStr">
        <is>
          <t>Core</t>
        </is>
      </c>
      <c r="M349" t="inlineStr">
        <is>
          <t>Full-Time</t>
        </is>
      </c>
      <c r="N349" t="inlineStr">
        <is>
          <t>Associate Software Engineer</t>
        </is>
      </c>
      <c r="O349" t="inlineStr">
        <is>
          <t>E1</t>
        </is>
      </c>
      <c r="P349" t="inlineStr">
        <is>
          <t>Associate Software Engineer</t>
        </is>
      </c>
      <c r="Q349" t="inlineStr">
        <is>
          <t>Anil Kumar Khamari (1013201)</t>
        </is>
      </c>
      <c r="R349" t="n">
        <v>0</v>
      </c>
      <c r="S349" s="1" t="n">
        <v>250000</v>
      </c>
      <c r="T349" s="1">
        <f>ROUND(T_EMPLOYEES[[#This Row],[EMP_CTC1]]/12, 0)</f>
        <v/>
      </c>
      <c r="U349" s="1" t="n">
        <v>150000</v>
      </c>
      <c r="V349" s="1" t="inlineStr">
        <is>
          <t>ND</t>
        </is>
      </c>
      <c r="W349" s="1" t="inlineStr">
        <is>
          <t>ND</t>
        </is>
      </c>
      <c r="X34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49" t="n">
        <v>120000</v>
      </c>
      <c r="Z349" s="29">
        <f>(S349 - U349)/S349 * 100</f>
        <v/>
      </c>
      <c r="AA349">
        <f>IF(T_EMPLOYEES[[#This Row],[EMPLOYEE NUMBER]]="","",ROW(T_EMPLOYEES[[#This Row],[EMPLOYEE LABEL]])-ROW(T_EMPLOYEES[[#Headers],[EMPLOYEE LABEL]]))</f>
        <v/>
      </c>
      <c r="AB349">
        <f>IF(T_EMPLOYEES[[#This Row],[EMPLOYEE NUMBER]]="","",IF(COUNTIF(T_EMPLOYEES[EMPLOYEE NUMBER],T_EMPLOYEES[[#This Row],[EMPLOYEE NUMBER]])&gt;1,1,0))</f>
        <v/>
      </c>
      <c r="AC349">
        <f>IF(T_EMPLOYEES[[#This Row],[EMPLOYEE NUMBER]]="","",IF(AND(T_EMPLOYEES[[#This Row],[DATE OF BIRTH]]&gt;0,T_EMPLOYEES[[#This Row],[DATE OF BIRTH]]&lt;TODAY()),0,1))</f>
        <v/>
      </c>
      <c r="AD349">
        <f>IF(T_EMPLOYEES[[#This Row],[EMPLOYEE NUMBER]]="","",IF(AND(T_EMPLOYEES[[#This Row],[START DATE]]&gt;0,T_EMPLOYEES[[#This Row],[START DATE]]&lt;TODAY()+60),0,1))</f>
        <v/>
      </c>
      <c r="AE349">
        <f>IF(T_EMPLOYEES[[#This Row],[EMPLOYEE NUMBER]]="","",MATCH(T_EMPLOYEES[[#This Row],[GENDER]],L_GENDER,0))</f>
        <v/>
      </c>
      <c r="AF349">
        <f>IF(T_EMPLOYEES[[#This Row],[EMPLOYEE NUMBER]]="","",MATCH(T_EMPLOYEES[[#This Row],[HIRE SOURCE]],L_HIRESOURCE,0))</f>
        <v/>
      </c>
      <c r="AG349">
        <f>IF(T_EMPLOYEES[[#This Row],[EMPLOYEE NUMBER]]="","",MATCH(T_EMPLOYEES[[#This Row],[ETHNICITY]],L_ETHNICITY,0))</f>
        <v/>
      </c>
      <c r="AH349">
        <f>IF(T_EMPLOYEES[[#This Row],[EMPLOYEE NUMBER]]="","",MATCH(T_EMPLOYEES[[#This Row],[LOCATION]],L_LOCATION,0))</f>
        <v/>
      </c>
      <c r="AI349">
        <f>IF(T_EMPLOYEES[[#This Row],[EMPLOYEE NUMBER]]="","",MATCH(T_EMPLOYEES[[#This Row],[DEPARTMENT]],L_DEPARTMENT,0))</f>
        <v/>
      </c>
      <c r="AJ349">
        <f>IF(T_EMPLOYEES[[#This Row],[EMPLOYEE NUMBER]]="","",MATCH(T_EMPLOYEES[[#This Row],[JOB TYPE]],L_JOBTYPE,0))</f>
        <v/>
      </c>
      <c r="AK349">
        <f>IF(T_EMPLOYEES[[#This Row],[EMPLOYEE NUMBER]]="","",MATCH(T_EMPLOYEES[[#This Row],[JOB CATEGORY]],L_JOBCATEGORY,0))</f>
        <v/>
      </c>
      <c r="AL349">
        <f>IF(T_EMPLOYEES[[#This Row],[EMPLOYEE NUMBER]]="","",MATCH(T_EMPLOYEES[[#This Row],[JOB LEVEL]],L_JOBLEVEL,0))</f>
        <v/>
      </c>
      <c r="AM349">
        <f>IF(T_EMPLOYEES[[#This Row],[EMPLOYEE NUMBER]]="","",MATCH(T_EMPLOYEES[[#This Row],[JOB TITLE]],L_JOBTITLE,0))</f>
        <v/>
      </c>
      <c r="AN349">
        <f>IF(T_EMPLOYEES[[#This Row],[EMPLOYEE NUMBER]]="","",MATCH(T_EMPLOYEES[[#This Row],[MANAGER]],L_EMPLABELS,0))</f>
        <v/>
      </c>
      <c r="AO349">
        <f>IF(T_EMPLOYEES[[#This Row],[EMPLOYEE NUMBER]]="","",IF(T_EMPLOYEES[[#This Row],[ERROR]]="",0,1))</f>
        <v/>
      </c>
      <c r="AP34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0">
      <c r="A350" t="inlineStr">
        <is>
          <t>Vulisi</t>
        </is>
      </c>
      <c r="B350" t="inlineStr">
        <is>
          <t xml:space="preserve"> Sai Vamsi</t>
        </is>
      </c>
      <c r="C350" t="n">
        <v>1028495</v>
      </c>
      <c r="D350" t="inlineStr">
        <is>
          <t>Sai.Vamsi@infinite.com</t>
        </is>
      </c>
      <c r="E350" s="26" t="n">
        <v>35586</v>
      </c>
      <c r="F350" s="26" t="n">
        <v>44624</v>
      </c>
      <c r="H350" t="inlineStr">
        <is>
          <t>Male</t>
        </is>
      </c>
      <c r="I350" t="inlineStr">
        <is>
          <t>Asian</t>
        </is>
      </c>
      <c r="J350" t="inlineStr">
        <is>
          <t>WEBSITE</t>
        </is>
      </c>
      <c r="K350" t="inlineStr">
        <is>
          <t>Bangalore</t>
        </is>
      </c>
      <c r="L350" s="27" t="inlineStr">
        <is>
          <t>IT</t>
        </is>
      </c>
      <c r="M350" t="inlineStr">
        <is>
          <t>Full-Time</t>
        </is>
      </c>
      <c r="N350" t="inlineStr">
        <is>
          <t>Senior Software Engineer</t>
        </is>
      </c>
      <c r="O350" t="inlineStr">
        <is>
          <t>E3</t>
        </is>
      </c>
      <c r="P350" t="inlineStr">
        <is>
          <t>Senior Software Engineer</t>
        </is>
      </c>
      <c r="Q350" t="inlineStr">
        <is>
          <t>Sunduru Arun  Jayant (1031825)</t>
        </is>
      </c>
      <c r="R350" s="27" t="n">
        <v>4</v>
      </c>
      <c r="S350" s="1" t="n">
        <v>250000</v>
      </c>
      <c r="T350" s="1">
        <f>ROUND(T_EMPLOYEES[[#This Row],[EMP_CTC1]]/12, 0)</f>
        <v/>
      </c>
      <c r="U350" s="1" t="n">
        <v>150000</v>
      </c>
      <c r="V350" s="1" t="inlineStr">
        <is>
          <t>ND</t>
        </is>
      </c>
      <c r="W350" s="1" t="inlineStr">
        <is>
          <t>ND</t>
        </is>
      </c>
      <c r="X35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0" t="n">
        <v>120000</v>
      </c>
      <c r="Z350" s="29">
        <f>(S350 - U350)/S350 * 100</f>
        <v/>
      </c>
      <c r="AA350">
        <f>IF(T_EMPLOYEES[[#This Row],[EMPLOYEE NUMBER]]="","",ROW(T_EMPLOYEES[[#This Row],[EMPLOYEE LABEL]])-ROW(T_EMPLOYEES[[#Headers],[EMPLOYEE LABEL]]))</f>
        <v/>
      </c>
      <c r="AB350">
        <f>IF(T_EMPLOYEES[[#This Row],[EMPLOYEE NUMBER]]="","",IF(COUNTIF(T_EMPLOYEES[EMPLOYEE NUMBER],T_EMPLOYEES[[#This Row],[EMPLOYEE NUMBER]])&gt;1,1,0))</f>
        <v/>
      </c>
      <c r="AC350">
        <f>IF(T_EMPLOYEES[[#This Row],[EMPLOYEE NUMBER]]="","",IF(AND(T_EMPLOYEES[[#This Row],[DATE OF BIRTH]]&gt;0,T_EMPLOYEES[[#This Row],[DATE OF BIRTH]]&lt;TODAY()),0,1))</f>
        <v/>
      </c>
      <c r="AD350">
        <f>IF(T_EMPLOYEES[[#This Row],[EMPLOYEE NUMBER]]="","",IF(AND(T_EMPLOYEES[[#This Row],[START DATE]]&gt;0,T_EMPLOYEES[[#This Row],[START DATE]]&lt;TODAY()+60),0,1))</f>
        <v/>
      </c>
      <c r="AE350">
        <f>IF(T_EMPLOYEES[[#This Row],[EMPLOYEE NUMBER]]="","",MATCH(T_EMPLOYEES[[#This Row],[GENDER]],L_GENDER,0))</f>
        <v/>
      </c>
      <c r="AF350">
        <f>IF(T_EMPLOYEES[[#This Row],[EMPLOYEE NUMBER]]="","",MATCH(T_EMPLOYEES[[#This Row],[HIRE SOURCE]],L_HIRESOURCE,0))</f>
        <v/>
      </c>
      <c r="AG350">
        <f>IF(T_EMPLOYEES[[#This Row],[EMPLOYEE NUMBER]]="","",MATCH(T_EMPLOYEES[[#This Row],[ETHNICITY]],L_ETHNICITY,0))</f>
        <v/>
      </c>
      <c r="AH350">
        <f>IF(T_EMPLOYEES[[#This Row],[EMPLOYEE NUMBER]]="","",MATCH(T_EMPLOYEES[[#This Row],[LOCATION]],L_LOCATION,0))</f>
        <v/>
      </c>
      <c r="AI350">
        <f>IF(T_EMPLOYEES[[#This Row],[EMPLOYEE NUMBER]]="","",MATCH(T_EMPLOYEES[[#This Row],[DEPARTMENT]],L_DEPARTMENT,0))</f>
        <v/>
      </c>
      <c r="AJ350">
        <f>IF(T_EMPLOYEES[[#This Row],[EMPLOYEE NUMBER]]="","",MATCH(T_EMPLOYEES[[#This Row],[JOB TYPE]],L_JOBTYPE,0))</f>
        <v/>
      </c>
      <c r="AK350">
        <f>IF(T_EMPLOYEES[[#This Row],[EMPLOYEE NUMBER]]="","",MATCH(T_EMPLOYEES[[#This Row],[JOB CATEGORY]],L_JOBCATEGORY,0))</f>
        <v/>
      </c>
      <c r="AL350">
        <f>IF(T_EMPLOYEES[[#This Row],[EMPLOYEE NUMBER]]="","",MATCH(T_EMPLOYEES[[#This Row],[JOB LEVEL]],L_JOBLEVEL,0))</f>
        <v/>
      </c>
      <c r="AM350">
        <f>IF(T_EMPLOYEES[[#This Row],[EMPLOYEE NUMBER]]="","",MATCH(T_EMPLOYEES[[#This Row],[JOB TITLE]],L_JOBTITLE,0))</f>
        <v/>
      </c>
      <c r="AN350">
        <f>IF(T_EMPLOYEES[[#This Row],[EMPLOYEE NUMBER]]="","",MATCH(T_EMPLOYEES[[#This Row],[MANAGER]],L_EMPLABELS,0))</f>
        <v/>
      </c>
      <c r="AO350">
        <f>IF(T_EMPLOYEES[[#This Row],[EMPLOYEE NUMBER]]="","",IF(T_EMPLOYEES[[#This Row],[ERROR]]="",0,1))</f>
        <v/>
      </c>
      <c r="AP35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1">
      <c r="A351" t="inlineStr">
        <is>
          <t>A</t>
        </is>
      </c>
      <c r="B351" t="inlineStr">
        <is>
          <t>Vinay  Kumar</t>
        </is>
      </c>
      <c r="C351" t="n">
        <v>1032582</v>
      </c>
      <c r="D351" t="inlineStr">
        <is>
          <t>Vinaykumar.Anand@infinite.com</t>
        </is>
      </c>
      <c r="E351" s="26" t="n">
        <v>35587</v>
      </c>
      <c r="F351" s="26" t="n">
        <v>45033</v>
      </c>
      <c r="H351" t="inlineStr">
        <is>
          <t>Male</t>
        </is>
      </c>
      <c r="I351" t="inlineStr">
        <is>
          <t>Asian</t>
        </is>
      </c>
      <c r="J351" t="inlineStr">
        <is>
          <t>WEBSITE</t>
        </is>
      </c>
      <c r="K351" t="inlineStr">
        <is>
          <t>Hyderabad</t>
        </is>
      </c>
      <c r="L351" s="27" t="inlineStr">
        <is>
          <t>IT</t>
        </is>
      </c>
      <c r="M351" t="inlineStr">
        <is>
          <t>Full-Time</t>
        </is>
      </c>
      <c r="N351" t="inlineStr">
        <is>
          <t>Software Engineer</t>
        </is>
      </c>
      <c r="O351" t="inlineStr">
        <is>
          <t>E2</t>
        </is>
      </c>
      <c r="P351" t="inlineStr">
        <is>
          <t>Software Engineer</t>
        </is>
      </c>
      <c r="Q351" t="inlineStr">
        <is>
          <t>Sunitha Panguluri (1031865)</t>
        </is>
      </c>
      <c r="R351" t="n">
        <v>4</v>
      </c>
      <c r="S351" s="1" t="n">
        <v>250000</v>
      </c>
      <c r="T351" s="1">
        <f>ROUND(T_EMPLOYEES[[#This Row],[EMP_CTC1]]/12, 0)</f>
        <v/>
      </c>
      <c r="U351" s="1" t="n">
        <v>150000</v>
      </c>
      <c r="V351" s="1" t="inlineStr">
        <is>
          <t>ND</t>
        </is>
      </c>
      <c r="W351" s="1" t="inlineStr">
        <is>
          <t>ND</t>
        </is>
      </c>
      <c r="X35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1" t="n">
        <v>120000</v>
      </c>
      <c r="Z351" s="29">
        <f>(S351 - U351)/S351 * 100</f>
        <v/>
      </c>
      <c r="AA351">
        <f>IF(T_EMPLOYEES[[#This Row],[EMPLOYEE NUMBER]]="","",ROW(T_EMPLOYEES[[#This Row],[EMPLOYEE LABEL]])-ROW(T_EMPLOYEES[[#Headers],[EMPLOYEE LABEL]]))</f>
        <v/>
      </c>
      <c r="AB351">
        <f>IF(T_EMPLOYEES[[#This Row],[EMPLOYEE NUMBER]]="","",IF(COUNTIF(T_EMPLOYEES[EMPLOYEE NUMBER],T_EMPLOYEES[[#This Row],[EMPLOYEE NUMBER]])&gt;1,1,0))</f>
        <v/>
      </c>
      <c r="AC351">
        <f>IF(T_EMPLOYEES[[#This Row],[EMPLOYEE NUMBER]]="","",IF(AND(T_EMPLOYEES[[#This Row],[DATE OF BIRTH]]&gt;0,T_EMPLOYEES[[#This Row],[DATE OF BIRTH]]&lt;TODAY()),0,1))</f>
        <v/>
      </c>
      <c r="AD351">
        <f>IF(T_EMPLOYEES[[#This Row],[EMPLOYEE NUMBER]]="","",IF(AND(T_EMPLOYEES[[#This Row],[START DATE]]&gt;0,T_EMPLOYEES[[#This Row],[START DATE]]&lt;TODAY()+60),0,1))</f>
        <v/>
      </c>
      <c r="AE351">
        <f>IF(T_EMPLOYEES[[#This Row],[EMPLOYEE NUMBER]]="","",MATCH(T_EMPLOYEES[[#This Row],[GENDER]],L_GENDER,0))</f>
        <v/>
      </c>
      <c r="AF351">
        <f>IF(T_EMPLOYEES[[#This Row],[EMPLOYEE NUMBER]]="","",MATCH(T_EMPLOYEES[[#This Row],[HIRE SOURCE]],L_HIRESOURCE,0))</f>
        <v/>
      </c>
      <c r="AG351">
        <f>IF(T_EMPLOYEES[[#This Row],[EMPLOYEE NUMBER]]="","",MATCH(T_EMPLOYEES[[#This Row],[ETHNICITY]],L_ETHNICITY,0))</f>
        <v/>
      </c>
      <c r="AH351">
        <f>IF(T_EMPLOYEES[[#This Row],[EMPLOYEE NUMBER]]="","",MATCH(T_EMPLOYEES[[#This Row],[LOCATION]],L_LOCATION,0))</f>
        <v/>
      </c>
      <c r="AI351">
        <f>IF(T_EMPLOYEES[[#This Row],[EMPLOYEE NUMBER]]="","",MATCH(T_EMPLOYEES[[#This Row],[DEPARTMENT]],L_DEPARTMENT,0))</f>
        <v/>
      </c>
      <c r="AJ351">
        <f>IF(T_EMPLOYEES[[#This Row],[EMPLOYEE NUMBER]]="","",MATCH(T_EMPLOYEES[[#This Row],[JOB TYPE]],L_JOBTYPE,0))</f>
        <v/>
      </c>
      <c r="AK351">
        <f>IF(T_EMPLOYEES[[#This Row],[EMPLOYEE NUMBER]]="","",MATCH(T_EMPLOYEES[[#This Row],[JOB CATEGORY]],L_JOBCATEGORY,0))</f>
        <v/>
      </c>
      <c r="AL351">
        <f>IF(T_EMPLOYEES[[#This Row],[EMPLOYEE NUMBER]]="","",MATCH(T_EMPLOYEES[[#This Row],[JOB LEVEL]],L_JOBLEVEL,0))</f>
        <v/>
      </c>
      <c r="AM351">
        <f>IF(T_EMPLOYEES[[#This Row],[EMPLOYEE NUMBER]]="","",MATCH(T_EMPLOYEES[[#This Row],[JOB TITLE]],L_JOBTITLE,0))</f>
        <v/>
      </c>
      <c r="AN351">
        <f>IF(T_EMPLOYEES[[#This Row],[EMPLOYEE NUMBER]]="","",MATCH(T_EMPLOYEES[[#This Row],[MANAGER]],L_EMPLABELS,0))</f>
        <v/>
      </c>
      <c r="AO351">
        <f>IF(T_EMPLOYEES[[#This Row],[EMPLOYEE NUMBER]]="","",IF(T_EMPLOYEES[[#This Row],[ERROR]]="",0,1))</f>
        <v/>
      </c>
      <c r="AP35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51" t="inlineStr">
        <is>
          <t>Claims Financial</t>
        </is>
      </c>
    </row>
    <row r="352">
      <c r="A352" t="inlineStr">
        <is>
          <t>Sandeep</t>
        </is>
      </c>
      <c r="B352" t="inlineStr">
        <is>
          <t xml:space="preserve"> Sen</t>
        </is>
      </c>
      <c r="C352" t="n">
        <v>1023756</v>
      </c>
      <c r="D352" t="inlineStr">
        <is>
          <t>Sandeep.Sen@infinite.com</t>
        </is>
      </c>
      <c r="E352" s="26" t="n">
        <v>35592</v>
      </c>
      <c r="F352" s="26" t="n">
        <v>44075</v>
      </c>
      <c r="H352" t="inlineStr">
        <is>
          <t>Male</t>
        </is>
      </c>
      <c r="I352" t="inlineStr">
        <is>
          <t>Asian</t>
        </is>
      </c>
      <c r="J352" t="inlineStr">
        <is>
          <t>WEBSITE</t>
        </is>
      </c>
      <c r="K352" t="inlineStr">
        <is>
          <t>Bangalore</t>
        </is>
      </c>
      <c r="L352" s="27" t="inlineStr">
        <is>
          <t>Infra</t>
        </is>
      </c>
      <c r="M352" t="inlineStr">
        <is>
          <t>Full-Time</t>
        </is>
      </c>
      <c r="N352" t="inlineStr">
        <is>
          <t>Software Engineer</t>
        </is>
      </c>
      <c r="O352" t="inlineStr">
        <is>
          <t>E2</t>
        </is>
      </c>
      <c r="P352" t="inlineStr">
        <is>
          <t>Software Engineer</t>
        </is>
      </c>
      <c r="Q352" t="inlineStr">
        <is>
          <t>K  Saikumar (1026864)</t>
        </is>
      </c>
      <c r="R352" s="27" t="n">
        <v>4</v>
      </c>
      <c r="S352" s="1" t="n">
        <v>250000</v>
      </c>
      <c r="T352" s="1">
        <f>ROUND(T_EMPLOYEES[[#This Row],[EMP_CTC1]]/12, 0)</f>
        <v/>
      </c>
      <c r="U352" s="1" t="n">
        <v>150000</v>
      </c>
      <c r="V352" s="1" t="inlineStr">
        <is>
          <t>ND</t>
        </is>
      </c>
      <c r="W352" s="1" t="inlineStr">
        <is>
          <t>ND</t>
        </is>
      </c>
      <c r="X35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2" t="n">
        <v>120000</v>
      </c>
      <c r="Z352" s="29">
        <f>(S352 - U352)/S352 * 100</f>
        <v/>
      </c>
      <c r="AA352">
        <f>IF(T_EMPLOYEES[[#This Row],[EMPLOYEE NUMBER]]="","",ROW(T_EMPLOYEES[[#This Row],[EMPLOYEE LABEL]])-ROW(T_EMPLOYEES[[#Headers],[EMPLOYEE LABEL]]))</f>
        <v/>
      </c>
      <c r="AB352">
        <f>IF(T_EMPLOYEES[[#This Row],[EMPLOYEE NUMBER]]="","",IF(COUNTIF(T_EMPLOYEES[EMPLOYEE NUMBER],T_EMPLOYEES[[#This Row],[EMPLOYEE NUMBER]])&gt;1,1,0))</f>
        <v/>
      </c>
      <c r="AC352">
        <f>IF(T_EMPLOYEES[[#This Row],[EMPLOYEE NUMBER]]="","",IF(AND(T_EMPLOYEES[[#This Row],[DATE OF BIRTH]]&gt;0,T_EMPLOYEES[[#This Row],[DATE OF BIRTH]]&lt;TODAY()),0,1))</f>
        <v/>
      </c>
      <c r="AD352">
        <f>IF(T_EMPLOYEES[[#This Row],[EMPLOYEE NUMBER]]="","",IF(AND(T_EMPLOYEES[[#This Row],[START DATE]]&gt;0,T_EMPLOYEES[[#This Row],[START DATE]]&lt;TODAY()+60),0,1))</f>
        <v/>
      </c>
      <c r="AE352">
        <f>IF(T_EMPLOYEES[[#This Row],[EMPLOYEE NUMBER]]="","",MATCH(T_EMPLOYEES[[#This Row],[GENDER]],L_GENDER,0))</f>
        <v/>
      </c>
      <c r="AF352">
        <f>IF(T_EMPLOYEES[[#This Row],[EMPLOYEE NUMBER]]="","",MATCH(T_EMPLOYEES[[#This Row],[HIRE SOURCE]],L_HIRESOURCE,0))</f>
        <v/>
      </c>
      <c r="AG352">
        <f>IF(T_EMPLOYEES[[#This Row],[EMPLOYEE NUMBER]]="","",MATCH(T_EMPLOYEES[[#This Row],[ETHNICITY]],L_ETHNICITY,0))</f>
        <v/>
      </c>
      <c r="AH352">
        <f>IF(T_EMPLOYEES[[#This Row],[EMPLOYEE NUMBER]]="","",MATCH(T_EMPLOYEES[[#This Row],[LOCATION]],L_LOCATION,0))</f>
        <v/>
      </c>
      <c r="AI352">
        <f>IF(T_EMPLOYEES[[#This Row],[EMPLOYEE NUMBER]]="","",MATCH(T_EMPLOYEES[[#This Row],[DEPARTMENT]],L_DEPARTMENT,0))</f>
        <v/>
      </c>
      <c r="AJ352">
        <f>IF(T_EMPLOYEES[[#This Row],[EMPLOYEE NUMBER]]="","",MATCH(T_EMPLOYEES[[#This Row],[JOB TYPE]],L_JOBTYPE,0))</f>
        <v/>
      </c>
      <c r="AK352">
        <f>IF(T_EMPLOYEES[[#This Row],[EMPLOYEE NUMBER]]="","",MATCH(T_EMPLOYEES[[#This Row],[JOB CATEGORY]],L_JOBCATEGORY,0))</f>
        <v/>
      </c>
      <c r="AL352">
        <f>IF(T_EMPLOYEES[[#This Row],[EMPLOYEE NUMBER]]="","",MATCH(T_EMPLOYEES[[#This Row],[JOB LEVEL]],L_JOBLEVEL,0))</f>
        <v/>
      </c>
      <c r="AM352">
        <f>IF(T_EMPLOYEES[[#This Row],[EMPLOYEE NUMBER]]="","",MATCH(T_EMPLOYEES[[#This Row],[JOB TITLE]],L_JOBTITLE,0))</f>
        <v/>
      </c>
      <c r="AN352">
        <f>IF(T_EMPLOYEES[[#This Row],[EMPLOYEE NUMBER]]="","",MATCH(T_EMPLOYEES[[#This Row],[MANAGER]],L_EMPLABELS,0))</f>
        <v/>
      </c>
      <c r="AO352">
        <f>IF(T_EMPLOYEES[[#This Row],[EMPLOYEE NUMBER]]="","",IF(T_EMPLOYEES[[#This Row],[ERROR]]="",0,1))</f>
        <v/>
      </c>
      <c r="AP35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3">
      <c r="A353" t="inlineStr">
        <is>
          <t>Shantanu</t>
        </is>
      </c>
      <c r="B353" t="inlineStr">
        <is>
          <t>Kumar</t>
        </is>
      </c>
      <c r="C353" t="n">
        <v>1030075</v>
      </c>
      <c r="D353" t="inlineStr">
        <is>
          <t>Shantanu.Kumar2@infinite.com</t>
        </is>
      </c>
      <c r="E353" s="26" t="n">
        <v>35593</v>
      </c>
      <c r="F353" s="26" t="n">
        <v>44806</v>
      </c>
      <c r="H353" t="inlineStr">
        <is>
          <t>Male</t>
        </is>
      </c>
      <c r="I353" t="inlineStr">
        <is>
          <t>Asian</t>
        </is>
      </c>
      <c r="J353" t="inlineStr">
        <is>
          <t>WEBSITE</t>
        </is>
      </c>
      <c r="K353" t="inlineStr">
        <is>
          <t>Bangalore</t>
        </is>
      </c>
      <c r="L353" s="27" t="inlineStr">
        <is>
          <t>IT</t>
        </is>
      </c>
      <c r="M353" t="inlineStr">
        <is>
          <t>Full-Time</t>
        </is>
      </c>
      <c r="N353" t="inlineStr">
        <is>
          <t>Software Engineer</t>
        </is>
      </c>
      <c r="O353" t="inlineStr">
        <is>
          <t>E2</t>
        </is>
      </c>
      <c r="P353" t="inlineStr">
        <is>
          <t>Software Engineer</t>
        </is>
      </c>
      <c r="Q353" t="inlineStr">
        <is>
          <t>Korivolla Umamahesh (1032896)</t>
        </is>
      </c>
      <c r="R353" t="n">
        <v>4</v>
      </c>
      <c r="S353" s="1" t="n">
        <v>250000</v>
      </c>
      <c r="T353" s="1">
        <f>ROUND(T_EMPLOYEES[[#This Row],[EMP_CTC1]]/12, 0)</f>
        <v/>
      </c>
      <c r="U353" s="1" t="n">
        <v>150000</v>
      </c>
      <c r="V353" s="1" t="inlineStr">
        <is>
          <t>ND</t>
        </is>
      </c>
      <c r="W353" s="1" t="inlineStr">
        <is>
          <t>ND</t>
        </is>
      </c>
      <c r="X35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3" t="n">
        <v>120000</v>
      </c>
      <c r="Z353" s="29">
        <f>(S353 - U353)/S353 * 100</f>
        <v/>
      </c>
      <c r="AA353">
        <f>IF(T_EMPLOYEES[[#This Row],[EMPLOYEE NUMBER]]="","",ROW(T_EMPLOYEES[[#This Row],[EMPLOYEE LABEL]])-ROW(T_EMPLOYEES[[#Headers],[EMPLOYEE LABEL]]))</f>
        <v/>
      </c>
      <c r="AB353">
        <f>IF(T_EMPLOYEES[[#This Row],[EMPLOYEE NUMBER]]="","",IF(COUNTIF(T_EMPLOYEES[EMPLOYEE NUMBER],T_EMPLOYEES[[#This Row],[EMPLOYEE NUMBER]])&gt;1,1,0))</f>
        <v/>
      </c>
      <c r="AC353">
        <f>IF(T_EMPLOYEES[[#This Row],[EMPLOYEE NUMBER]]="","",IF(AND(T_EMPLOYEES[[#This Row],[DATE OF BIRTH]]&gt;0,T_EMPLOYEES[[#This Row],[DATE OF BIRTH]]&lt;TODAY()),0,1))</f>
        <v/>
      </c>
      <c r="AD353">
        <f>IF(T_EMPLOYEES[[#This Row],[EMPLOYEE NUMBER]]="","",IF(AND(T_EMPLOYEES[[#This Row],[START DATE]]&gt;0,T_EMPLOYEES[[#This Row],[START DATE]]&lt;TODAY()+60),0,1))</f>
        <v/>
      </c>
      <c r="AE353">
        <f>IF(T_EMPLOYEES[[#This Row],[EMPLOYEE NUMBER]]="","",MATCH(T_EMPLOYEES[[#This Row],[GENDER]],L_GENDER,0))</f>
        <v/>
      </c>
      <c r="AF353">
        <f>IF(T_EMPLOYEES[[#This Row],[EMPLOYEE NUMBER]]="","",MATCH(T_EMPLOYEES[[#This Row],[HIRE SOURCE]],L_HIRESOURCE,0))</f>
        <v/>
      </c>
      <c r="AG353">
        <f>IF(T_EMPLOYEES[[#This Row],[EMPLOYEE NUMBER]]="","",MATCH(T_EMPLOYEES[[#This Row],[ETHNICITY]],L_ETHNICITY,0))</f>
        <v/>
      </c>
      <c r="AH353">
        <f>IF(T_EMPLOYEES[[#This Row],[EMPLOYEE NUMBER]]="","",MATCH(T_EMPLOYEES[[#This Row],[LOCATION]],L_LOCATION,0))</f>
        <v/>
      </c>
      <c r="AI353">
        <f>IF(T_EMPLOYEES[[#This Row],[EMPLOYEE NUMBER]]="","",MATCH(T_EMPLOYEES[[#This Row],[DEPARTMENT]],L_DEPARTMENT,0))</f>
        <v/>
      </c>
      <c r="AJ353">
        <f>IF(T_EMPLOYEES[[#This Row],[EMPLOYEE NUMBER]]="","",MATCH(T_EMPLOYEES[[#This Row],[JOB TYPE]],L_JOBTYPE,0))</f>
        <v/>
      </c>
      <c r="AK353">
        <f>IF(T_EMPLOYEES[[#This Row],[EMPLOYEE NUMBER]]="","",MATCH(T_EMPLOYEES[[#This Row],[JOB CATEGORY]],L_JOBCATEGORY,0))</f>
        <v/>
      </c>
      <c r="AL353">
        <f>IF(T_EMPLOYEES[[#This Row],[EMPLOYEE NUMBER]]="","",MATCH(T_EMPLOYEES[[#This Row],[JOB LEVEL]],L_JOBLEVEL,0))</f>
        <v/>
      </c>
      <c r="AM353">
        <f>IF(T_EMPLOYEES[[#This Row],[EMPLOYEE NUMBER]]="","",MATCH(T_EMPLOYEES[[#This Row],[JOB TITLE]],L_JOBTITLE,0))</f>
        <v/>
      </c>
      <c r="AN353">
        <f>IF(T_EMPLOYEES[[#This Row],[EMPLOYEE NUMBER]]="","",MATCH(T_EMPLOYEES[[#This Row],[MANAGER]],L_EMPLABELS,0))</f>
        <v/>
      </c>
      <c r="AO353">
        <f>IF(T_EMPLOYEES[[#This Row],[EMPLOYEE NUMBER]]="","",IF(T_EMPLOYEES[[#This Row],[ERROR]]="",0,1))</f>
        <v/>
      </c>
      <c r="AP35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4">
      <c r="A354" t="inlineStr">
        <is>
          <t>Ankit</t>
        </is>
      </c>
      <c r="B354" t="inlineStr">
        <is>
          <t>Radheshyam Patil</t>
        </is>
      </c>
      <c r="C354" t="n">
        <v>1031039</v>
      </c>
      <c r="D354" t="inlineStr">
        <is>
          <t>Ankit.Patil@infinite.com</t>
        </is>
      </c>
      <c r="E354" s="26" t="n">
        <v>35601</v>
      </c>
      <c r="F354" s="26" t="n">
        <v>44889</v>
      </c>
      <c r="H354" t="inlineStr">
        <is>
          <t>Male</t>
        </is>
      </c>
      <c r="I354" t="inlineStr">
        <is>
          <t>Asian</t>
        </is>
      </c>
      <c r="J354" t="inlineStr">
        <is>
          <t>WEBSITE</t>
        </is>
      </c>
      <c r="K354" t="inlineStr">
        <is>
          <t>Hyderabad</t>
        </is>
      </c>
      <c r="L354" s="27" t="inlineStr">
        <is>
          <t>Core</t>
        </is>
      </c>
      <c r="M354" t="inlineStr">
        <is>
          <t>Full-Time</t>
        </is>
      </c>
      <c r="N354" t="inlineStr">
        <is>
          <t>Associate Software Engineer</t>
        </is>
      </c>
      <c r="O354" t="inlineStr">
        <is>
          <t>E1</t>
        </is>
      </c>
      <c r="P354" t="inlineStr">
        <is>
          <t>Associate Software Engineer</t>
        </is>
      </c>
      <c r="Q354" t="inlineStr">
        <is>
          <t>Kishore Kumar N (1019765)</t>
        </is>
      </c>
      <c r="R354" s="27" t="n">
        <v>0</v>
      </c>
      <c r="S354" s="1" t="n">
        <v>250000</v>
      </c>
      <c r="T354" s="1">
        <f>ROUND(T_EMPLOYEES[[#This Row],[EMP_CTC1]]/12, 0)</f>
        <v/>
      </c>
      <c r="U354" s="1" t="n">
        <v>150000</v>
      </c>
      <c r="V354" s="1" t="inlineStr">
        <is>
          <t>ND</t>
        </is>
      </c>
      <c r="W354" s="1" t="inlineStr">
        <is>
          <t>ND</t>
        </is>
      </c>
      <c r="X35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4" t="n">
        <v>120000</v>
      </c>
      <c r="Z354" s="29">
        <f>(S354 - U354)/S354 * 100</f>
        <v/>
      </c>
      <c r="AA354">
        <f>IF(T_EMPLOYEES[[#This Row],[EMPLOYEE NUMBER]]="","",ROW(T_EMPLOYEES[[#This Row],[EMPLOYEE LABEL]])-ROW(T_EMPLOYEES[[#Headers],[EMPLOYEE LABEL]]))</f>
        <v/>
      </c>
      <c r="AB354">
        <f>IF(T_EMPLOYEES[[#This Row],[EMPLOYEE NUMBER]]="","",IF(COUNTIF(T_EMPLOYEES[EMPLOYEE NUMBER],T_EMPLOYEES[[#This Row],[EMPLOYEE NUMBER]])&gt;1,1,0))</f>
        <v/>
      </c>
      <c r="AC354">
        <f>IF(T_EMPLOYEES[[#This Row],[EMPLOYEE NUMBER]]="","",IF(AND(T_EMPLOYEES[[#This Row],[DATE OF BIRTH]]&gt;0,T_EMPLOYEES[[#This Row],[DATE OF BIRTH]]&lt;TODAY()),0,1))</f>
        <v/>
      </c>
      <c r="AD354">
        <f>IF(T_EMPLOYEES[[#This Row],[EMPLOYEE NUMBER]]="","",IF(AND(T_EMPLOYEES[[#This Row],[START DATE]]&gt;0,T_EMPLOYEES[[#This Row],[START DATE]]&lt;TODAY()+60),0,1))</f>
        <v/>
      </c>
      <c r="AE354">
        <f>IF(T_EMPLOYEES[[#This Row],[EMPLOYEE NUMBER]]="","",MATCH(T_EMPLOYEES[[#This Row],[GENDER]],L_GENDER,0))</f>
        <v/>
      </c>
      <c r="AF354">
        <f>IF(T_EMPLOYEES[[#This Row],[EMPLOYEE NUMBER]]="","",MATCH(T_EMPLOYEES[[#This Row],[HIRE SOURCE]],L_HIRESOURCE,0))</f>
        <v/>
      </c>
      <c r="AG354">
        <f>IF(T_EMPLOYEES[[#This Row],[EMPLOYEE NUMBER]]="","",MATCH(T_EMPLOYEES[[#This Row],[ETHNICITY]],L_ETHNICITY,0))</f>
        <v/>
      </c>
      <c r="AH354">
        <f>IF(T_EMPLOYEES[[#This Row],[EMPLOYEE NUMBER]]="","",MATCH(T_EMPLOYEES[[#This Row],[LOCATION]],L_LOCATION,0))</f>
        <v/>
      </c>
      <c r="AI354">
        <f>IF(T_EMPLOYEES[[#This Row],[EMPLOYEE NUMBER]]="","",MATCH(T_EMPLOYEES[[#This Row],[DEPARTMENT]],L_DEPARTMENT,0))</f>
        <v/>
      </c>
      <c r="AJ354">
        <f>IF(T_EMPLOYEES[[#This Row],[EMPLOYEE NUMBER]]="","",MATCH(T_EMPLOYEES[[#This Row],[JOB TYPE]],L_JOBTYPE,0))</f>
        <v/>
      </c>
      <c r="AK354">
        <f>IF(T_EMPLOYEES[[#This Row],[EMPLOYEE NUMBER]]="","",MATCH(T_EMPLOYEES[[#This Row],[JOB CATEGORY]],L_JOBCATEGORY,0))</f>
        <v/>
      </c>
      <c r="AL354">
        <f>IF(T_EMPLOYEES[[#This Row],[EMPLOYEE NUMBER]]="","",MATCH(T_EMPLOYEES[[#This Row],[JOB LEVEL]],L_JOBLEVEL,0))</f>
        <v/>
      </c>
      <c r="AM354">
        <f>IF(T_EMPLOYEES[[#This Row],[EMPLOYEE NUMBER]]="","",MATCH(T_EMPLOYEES[[#This Row],[JOB TITLE]],L_JOBTITLE,0))</f>
        <v/>
      </c>
      <c r="AN354">
        <f>IF(T_EMPLOYEES[[#This Row],[EMPLOYEE NUMBER]]="","",MATCH(T_EMPLOYEES[[#This Row],[MANAGER]],L_EMPLABELS,0))</f>
        <v/>
      </c>
      <c r="AO354">
        <f>IF(T_EMPLOYEES[[#This Row],[EMPLOYEE NUMBER]]="","",IF(T_EMPLOYEES[[#This Row],[ERROR]]="",0,1))</f>
        <v/>
      </c>
      <c r="AP35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5">
      <c r="A355" t="inlineStr">
        <is>
          <t>Rushikesh</t>
        </is>
      </c>
      <c r="B355" t="inlineStr">
        <is>
          <t>Ganeshrao Pawar</t>
        </is>
      </c>
      <c r="C355" t="n">
        <v>1031091</v>
      </c>
      <c r="D355" t="inlineStr">
        <is>
          <t>Rushikesh.Pawar@infinite.com</t>
        </is>
      </c>
      <c r="E355" s="26" t="n">
        <v>35616</v>
      </c>
      <c r="F355" s="26" t="n">
        <v>44889</v>
      </c>
      <c r="H355" t="inlineStr">
        <is>
          <t>Male</t>
        </is>
      </c>
      <c r="I355" t="inlineStr">
        <is>
          <t>Asian</t>
        </is>
      </c>
      <c r="J355" t="inlineStr">
        <is>
          <t>WEBSITE</t>
        </is>
      </c>
      <c r="K355" t="inlineStr">
        <is>
          <t>Bangalore</t>
        </is>
      </c>
      <c r="L355" s="27" t="inlineStr">
        <is>
          <t>IT</t>
        </is>
      </c>
      <c r="M355" t="inlineStr">
        <is>
          <t>Full-Time</t>
        </is>
      </c>
      <c r="N355" t="inlineStr">
        <is>
          <t>Associate Software Engineer</t>
        </is>
      </c>
      <c r="O355" t="inlineStr">
        <is>
          <t>E1</t>
        </is>
      </c>
      <c r="P355" t="inlineStr">
        <is>
          <t>Associate Software Engineer</t>
        </is>
      </c>
      <c r="Q355" t="inlineStr">
        <is>
          <t>Sunny Bhattacharjee (1025863)</t>
        </is>
      </c>
      <c r="R355" t="n">
        <v>0</v>
      </c>
      <c r="S355" s="1" t="n">
        <v>250000</v>
      </c>
      <c r="T355" s="1">
        <f>ROUND(T_EMPLOYEES[[#This Row],[EMP_CTC1]]/12, 0)</f>
        <v/>
      </c>
      <c r="U355" s="1" t="n">
        <v>150000</v>
      </c>
      <c r="V355" s="1" t="inlineStr">
        <is>
          <t>ND</t>
        </is>
      </c>
      <c r="W355" s="1" t="inlineStr">
        <is>
          <t>ND</t>
        </is>
      </c>
      <c r="X35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5" t="n">
        <v>120000</v>
      </c>
      <c r="Z355" s="29">
        <f>(S355 - U355)/S355 * 100</f>
        <v/>
      </c>
      <c r="AA355">
        <f>IF(T_EMPLOYEES[[#This Row],[EMPLOYEE NUMBER]]="","",ROW(T_EMPLOYEES[[#This Row],[EMPLOYEE LABEL]])-ROW(T_EMPLOYEES[[#Headers],[EMPLOYEE LABEL]]))</f>
        <v/>
      </c>
      <c r="AB355">
        <f>IF(T_EMPLOYEES[[#This Row],[EMPLOYEE NUMBER]]="","",IF(COUNTIF(T_EMPLOYEES[EMPLOYEE NUMBER],T_EMPLOYEES[[#This Row],[EMPLOYEE NUMBER]])&gt;1,1,0))</f>
        <v/>
      </c>
      <c r="AC355">
        <f>IF(T_EMPLOYEES[[#This Row],[EMPLOYEE NUMBER]]="","",IF(AND(T_EMPLOYEES[[#This Row],[DATE OF BIRTH]]&gt;0,T_EMPLOYEES[[#This Row],[DATE OF BIRTH]]&lt;TODAY()),0,1))</f>
        <v/>
      </c>
      <c r="AD355">
        <f>IF(T_EMPLOYEES[[#This Row],[EMPLOYEE NUMBER]]="","",IF(AND(T_EMPLOYEES[[#This Row],[START DATE]]&gt;0,T_EMPLOYEES[[#This Row],[START DATE]]&lt;TODAY()+60),0,1))</f>
        <v/>
      </c>
      <c r="AE355">
        <f>IF(T_EMPLOYEES[[#This Row],[EMPLOYEE NUMBER]]="","",MATCH(T_EMPLOYEES[[#This Row],[GENDER]],L_GENDER,0))</f>
        <v/>
      </c>
      <c r="AF355">
        <f>IF(T_EMPLOYEES[[#This Row],[EMPLOYEE NUMBER]]="","",MATCH(T_EMPLOYEES[[#This Row],[HIRE SOURCE]],L_HIRESOURCE,0))</f>
        <v/>
      </c>
      <c r="AG355">
        <f>IF(T_EMPLOYEES[[#This Row],[EMPLOYEE NUMBER]]="","",MATCH(T_EMPLOYEES[[#This Row],[ETHNICITY]],L_ETHNICITY,0))</f>
        <v/>
      </c>
      <c r="AH355">
        <f>IF(T_EMPLOYEES[[#This Row],[EMPLOYEE NUMBER]]="","",MATCH(T_EMPLOYEES[[#This Row],[LOCATION]],L_LOCATION,0))</f>
        <v/>
      </c>
      <c r="AI355">
        <f>IF(T_EMPLOYEES[[#This Row],[EMPLOYEE NUMBER]]="","",MATCH(T_EMPLOYEES[[#This Row],[DEPARTMENT]],L_DEPARTMENT,0))</f>
        <v/>
      </c>
      <c r="AJ355">
        <f>IF(T_EMPLOYEES[[#This Row],[EMPLOYEE NUMBER]]="","",MATCH(T_EMPLOYEES[[#This Row],[JOB TYPE]],L_JOBTYPE,0))</f>
        <v/>
      </c>
      <c r="AK355">
        <f>IF(T_EMPLOYEES[[#This Row],[EMPLOYEE NUMBER]]="","",MATCH(T_EMPLOYEES[[#This Row],[JOB CATEGORY]],L_JOBCATEGORY,0))</f>
        <v/>
      </c>
      <c r="AL355">
        <f>IF(T_EMPLOYEES[[#This Row],[EMPLOYEE NUMBER]]="","",MATCH(T_EMPLOYEES[[#This Row],[JOB LEVEL]],L_JOBLEVEL,0))</f>
        <v/>
      </c>
      <c r="AM355">
        <f>IF(T_EMPLOYEES[[#This Row],[EMPLOYEE NUMBER]]="","",MATCH(T_EMPLOYEES[[#This Row],[JOB TITLE]],L_JOBTITLE,0))</f>
        <v/>
      </c>
      <c r="AN355">
        <f>IF(T_EMPLOYEES[[#This Row],[EMPLOYEE NUMBER]]="","",MATCH(T_EMPLOYEES[[#This Row],[MANAGER]],L_EMPLABELS,0))</f>
        <v/>
      </c>
      <c r="AO355">
        <f>IF(T_EMPLOYEES[[#This Row],[EMPLOYEE NUMBER]]="","",IF(T_EMPLOYEES[[#This Row],[ERROR]]="",0,1))</f>
        <v/>
      </c>
      <c r="AP35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6">
      <c r="A356" t="inlineStr">
        <is>
          <t>Mitesh</t>
        </is>
      </c>
      <c r="B356" t="inlineStr">
        <is>
          <t>Malviya</t>
        </is>
      </c>
      <c r="C356" t="n">
        <v>1031067</v>
      </c>
      <c r="D356" t="inlineStr">
        <is>
          <t>Mitesh.Malviya@infinite.com</t>
        </is>
      </c>
      <c r="E356" s="26" t="n">
        <v>35632</v>
      </c>
      <c r="F356" s="26" t="n">
        <v>44889</v>
      </c>
      <c r="H356" t="inlineStr">
        <is>
          <t>Male</t>
        </is>
      </c>
      <c r="I356" t="inlineStr">
        <is>
          <t>Asian</t>
        </is>
      </c>
      <c r="J356" t="inlineStr">
        <is>
          <t>WEBSITE</t>
        </is>
      </c>
      <c r="K356" t="inlineStr">
        <is>
          <t>Hyderabad</t>
        </is>
      </c>
      <c r="L356" s="27" t="inlineStr">
        <is>
          <t>Core</t>
        </is>
      </c>
      <c r="M356" t="inlineStr">
        <is>
          <t>Full-Time</t>
        </is>
      </c>
      <c r="N356" t="inlineStr">
        <is>
          <t>Associate Software Engineer</t>
        </is>
      </c>
      <c r="O356" t="inlineStr">
        <is>
          <t>E1</t>
        </is>
      </c>
      <c r="P356" t="inlineStr">
        <is>
          <t>Associate Software Engineer</t>
        </is>
      </c>
      <c r="Q356" t="inlineStr">
        <is>
          <t>Kishore Kumar N (1019765)</t>
        </is>
      </c>
      <c r="R356" s="27" t="n">
        <v>0</v>
      </c>
      <c r="S356" s="1" t="n">
        <v>250000</v>
      </c>
      <c r="T356" s="1">
        <f>ROUND(T_EMPLOYEES[[#This Row],[EMP_CTC1]]/12, 0)</f>
        <v/>
      </c>
      <c r="U356" s="1" t="n">
        <v>150000</v>
      </c>
      <c r="V356" s="1" t="inlineStr">
        <is>
          <t>ND</t>
        </is>
      </c>
      <c r="W356" s="1" t="inlineStr">
        <is>
          <t>ND</t>
        </is>
      </c>
      <c r="X35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6" t="n">
        <v>120000</v>
      </c>
      <c r="Z356" s="29">
        <f>(S356 - U356)/S356 * 100</f>
        <v/>
      </c>
      <c r="AA356">
        <f>IF(T_EMPLOYEES[[#This Row],[EMPLOYEE NUMBER]]="","",ROW(T_EMPLOYEES[[#This Row],[EMPLOYEE LABEL]])-ROW(T_EMPLOYEES[[#Headers],[EMPLOYEE LABEL]]))</f>
        <v/>
      </c>
      <c r="AB356">
        <f>IF(T_EMPLOYEES[[#This Row],[EMPLOYEE NUMBER]]="","",IF(COUNTIF(T_EMPLOYEES[EMPLOYEE NUMBER],T_EMPLOYEES[[#This Row],[EMPLOYEE NUMBER]])&gt;1,1,0))</f>
        <v/>
      </c>
      <c r="AC356">
        <f>IF(T_EMPLOYEES[[#This Row],[EMPLOYEE NUMBER]]="","",IF(AND(T_EMPLOYEES[[#This Row],[DATE OF BIRTH]]&gt;0,T_EMPLOYEES[[#This Row],[DATE OF BIRTH]]&lt;TODAY()),0,1))</f>
        <v/>
      </c>
      <c r="AD356">
        <f>IF(T_EMPLOYEES[[#This Row],[EMPLOYEE NUMBER]]="","",IF(AND(T_EMPLOYEES[[#This Row],[START DATE]]&gt;0,T_EMPLOYEES[[#This Row],[START DATE]]&lt;TODAY()+60),0,1))</f>
        <v/>
      </c>
      <c r="AE356">
        <f>IF(T_EMPLOYEES[[#This Row],[EMPLOYEE NUMBER]]="","",MATCH(T_EMPLOYEES[[#This Row],[GENDER]],L_GENDER,0))</f>
        <v/>
      </c>
      <c r="AF356">
        <f>IF(T_EMPLOYEES[[#This Row],[EMPLOYEE NUMBER]]="","",MATCH(T_EMPLOYEES[[#This Row],[HIRE SOURCE]],L_HIRESOURCE,0))</f>
        <v/>
      </c>
      <c r="AG356">
        <f>IF(T_EMPLOYEES[[#This Row],[EMPLOYEE NUMBER]]="","",MATCH(T_EMPLOYEES[[#This Row],[ETHNICITY]],L_ETHNICITY,0))</f>
        <v/>
      </c>
      <c r="AH356">
        <f>IF(T_EMPLOYEES[[#This Row],[EMPLOYEE NUMBER]]="","",MATCH(T_EMPLOYEES[[#This Row],[LOCATION]],L_LOCATION,0))</f>
        <v/>
      </c>
      <c r="AI356">
        <f>IF(T_EMPLOYEES[[#This Row],[EMPLOYEE NUMBER]]="","",MATCH(T_EMPLOYEES[[#This Row],[DEPARTMENT]],L_DEPARTMENT,0))</f>
        <v/>
      </c>
      <c r="AJ356">
        <f>IF(T_EMPLOYEES[[#This Row],[EMPLOYEE NUMBER]]="","",MATCH(T_EMPLOYEES[[#This Row],[JOB TYPE]],L_JOBTYPE,0))</f>
        <v/>
      </c>
      <c r="AK356">
        <f>IF(T_EMPLOYEES[[#This Row],[EMPLOYEE NUMBER]]="","",MATCH(T_EMPLOYEES[[#This Row],[JOB CATEGORY]],L_JOBCATEGORY,0))</f>
        <v/>
      </c>
      <c r="AL356">
        <f>IF(T_EMPLOYEES[[#This Row],[EMPLOYEE NUMBER]]="","",MATCH(T_EMPLOYEES[[#This Row],[JOB LEVEL]],L_JOBLEVEL,0))</f>
        <v/>
      </c>
      <c r="AM356">
        <f>IF(T_EMPLOYEES[[#This Row],[EMPLOYEE NUMBER]]="","",MATCH(T_EMPLOYEES[[#This Row],[JOB TITLE]],L_JOBTITLE,0))</f>
        <v/>
      </c>
      <c r="AN356">
        <f>IF(T_EMPLOYEES[[#This Row],[EMPLOYEE NUMBER]]="","",MATCH(T_EMPLOYEES[[#This Row],[MANAGER]],L_EMPLABELS,0))</f>
        <v/>
      </c>
      <c r="AO356">
        <f>IF(T_EMPLOYEES[[#This Row],[EMPLOYEE NUMBER]]="","",IF(T_EMPLOYEES[[#This Row],[ERROR]]="",0,1))</f>
        <v/>
      </c>
      <c r="AP35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7">
      <c r="A357" t="inlineStr">
        <is>
          <t>Meghana</t>
        </is>
      </c>
      <c r="B357" t="inlineStr">
        <is>
          <t xml:space="preserve"> M T</t>
        </is>
      </c>
      <c r="C357" t="n">
        <v>1022131</v>
      </c>
      <c r="D357" t="inlineStr">
        <is>
          <t>Meghana.Thammegowda@infinite.com</t>
        </is>
      </c>
      <c r="E357" s="26" t="n">
        <v>35642</v>
      </c>
      <c r="F357" s="26" t="n">
        <v>43614</v>
      </c>
      <c r="H357" t="inlineStr">
        <is>
          <t>Female</t>
        </is>
      </c>
      <c r="I357" t="inlineStr">
        <is>
          <t>Asian</t>
        </is>
      </c>
      <c r="J357" t="inlineStr">
        <is>
          <t>WEBSITE</t>
        </is>
      </c>
      <c r="K357" t="inlineStr">
        <is>
          <t>Bangalore</t>
        </is>
      </c>
      <c r="L357" s="27" t="inlineStr">
        <is>
          <t>Core</t>
        </is>
      </c>
      <c r="M357" t="inlineStr">
        <is>
          <t>Full-Time</t>
        </is>
      </c>
      <c r="N357" t="inlineStr">
        <is>
          <t>Senior Software Engineer</t>
        </is>
      </c>
      <c r="O357" t="inlineStr">
        <is>
          <t>E3</t>
        </is>
      </c>
      <c r="P357" t="inlineStr">
        <is>
          <t>Senior Software Engineer</t>
        </is>
      </c>
      <c r="Q357" t="inlineStr">
        <is>
          <t>Anil Kumar Khamari (1013201)</t>
        </is>
      </c>
      <c r="R357" t="n">
        <v>4</v>
      </c>
      <c r="S357" s="1" t="n">
        <v>250000</v>
      </c>
      <c r="T357" s="1">
        <f>ROUND(T_EMPLOYEES[[#This Row],[EMP_CTC1]]/12, 0)</f>
        <v/>
      </c>
      <c r="U357" s="1" t="n">
        <v>150000</v>
      </c>
      <c r="V357" s="1" t="inlineStr">
        <is>
          <t>ND</t>
        </is>
      </c>
      <c r="W357" s="1" t="inlineStr">
        <is>
          <t>ND</t>
        </is>
      </c>
      <c r="X35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7" t="n">
        <v>120000</v>
      </c>
      <c r="Z357" s="29">
        <f>(S357 - U357)/S357 * 100</f>
        <v/>
      </c>
      <c r="AA357">
        <f>IF(T_EMPLOYEES[[#This Row],[EMPLOYEE NUMBER]]="","",ROW(T_EMPLOYEES[[#This Row],[EMPLOYEE LABEL]])-ROW(T_EMPLOYEES[[#Headers],[EMPLOYEE LABEL]]))</f>
        <v/>
      </c>
      <c r="AB357">
        <f>IF(T_EMPLOYEES[[#This Row],[EMPLOYEE NUMBER]]="","",IF(COUNTIF(T_EMPLOYEES[EMPLOYEE NUMBER],T_EMPLOYEES[[#This Row],[EMPLOYEE NUMBER]])&gt;1,1,0))</f>
        <v/>
      </c>
      <c r="AC357">
        <f>IF(T_EMPLOYEES[[#This Row],[EMPLOYEE NUMBER]]="","",IF(AND(T_EMPLOYEES[[#This Row],[DATE OF BIRTH]]&gt;0,T_EMPLOYEES[[#This Row],[DATE OF BIRTH]]&lt;TODAY()),0,1))</f>
        <v/>
      </c>
      <c r="AD357">
        <f>IF(T_EMPLOYEES[[#This Row],[EMPLOYEE NUMBER]]="","",IF(AND(T_EMPLOYEES[[#This Row],[START DATE]]&gt;0,T_EMPLOYEES[[#This Row],[START DATE]]&lt;TODAY()+60),0,1))</f>
        <v/>
      </c>
      <c r="AE357">
        <f>IF(T_EMPLOYEES[[#This Row],[EMPLOYEE NUMBER]]="","",MATCH(T_EMPLOYEES[[#This Row],[GENDER]],L_GENDER,0))</f>
        <v/>
      </c>
      <c r="AF357">
        <f>IF(T_EMPLOYEES[[#This Row],[EMPLOYEE NUMBER]]="","",MATCH(T_EMPLOYEES[[#This Row],[HIRE SOURCE]],L_HIRESOURCE,0))</f>
        <v/>
      </c>
      <c r="AG357">
        <f>IF(T_EMPLOYEES[[#This Row],[EMPLOYEE NUMBER]]="","",MATCH(T_EMPLOYEES[[#This Row],[ETHNICITY]],L_ETHNICITY,0))</f>
        <v/>
      </c>
      <c r="AH357">
        <f>IF(T_EMPLOYEES[[#This Row],[EMPLOYEE NUMBER]]="","",MATCH(T_EMPLOYEES[[#This Row],[LOCATION]],L_LOCATION,0))</f>
        <v/>
      </c>
      <c r="AI357">
        <f>IF(T_EMPLOYEES[[#This Row],[EMPLOYEE NUMBER]]="","",MATCH(T_EMPLOYEES[[#This Row],[DEPARTMENT]],L_DEPARTMENT,0))</f>
        <v/>
      </c>
      <c r="AJ357">
        <f>IF(T_EMPLOYEES[[#This Row],[EMPLOYEE NUMBER]]="","",MATCH(T_EMPLOYEES[[#This Row],[JOB TYPE]],L_JOBTYPE,0))</f>
        <v/>
      </c>
      <c r="AK357">
        <f>IF(T_EMPLOYEES[[#This Row],[EMPLOYEE NUMBER]]="","",MATCH(T_EMPLOYEES[[#This Row],[JOB CATEGORY]],L_JOBCATEGORY,0))</f>
        <v/>
      </c>
      <c r="AL357">
        <f>IF(T_EMPLOYEES[[#This Row],[EMPLOYEE NUMBER]]="","",MATCH(T_EMPLOYEES[[#This Row],[JOB LEVEL]],L_JOBLEVEL,0))</f>
        <v/>
      </c>
      <c r="AM357">
        <f>IF(T_EMPLOYEES[[#This Row],[EMPLOYEE NUMBER]]="","",MATCH(T_EMPLOYEES[[#This Row],[JOB TITLE]],L_JOBTITLE,0))</f>
        <v/>
      </c>
      <c r="AN357">
        <f>IF(T_EMPLOYEES[[#This Row],[EMPLOYEE NUMBER]]="","",MATCH(T_EMPLOYEES[[#This Row],[MANAGER]],L_EMPLABELS,0))</f>
        <v/>
      </c>
      <c r="AO357">
        <f>IF(T_EMPLOYEES[[#This Row],[EMPLOYEE NUMBER]]="","",IF(T_EMPLOYEES[[#This Row],[ERROR]]="",0,1))</f>
        <v/>
      </c>
      <c r="AP35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8">
      <c r="A358" t="inlineStr">
        <is>
          <t>Deepak</t>
        </is>
      </c>
      <c r="B358" t="inlineStr">
        <is>
          <t>Singh</t>
        </is>
      </c>
      <c r="C358" t="n">
        <v>1031054</v>
      </c>
      <c r="D358" t="inlineStr">
        <is>
          <t>Deepak.Singh2@infinite.com</t>
        </is>
      </c>
      <c r="E358" s="26" t="n">
        <v>35642</v>
      </c>
      <c r="F358" s="26" t="n">
        <v>44889</v>
      </c>
      <c r="H358" t="inlineStr">
        <is>
          <t>Male</t>
        </is>
      </c>
      <c r="I358" t="inlineStr">
        <is>
          <t>Asian</t>
        </is>
      </c>
      <c r="J358" t="inlineStr">
        <is>
          <t>WEBSITE</t>
        </is>
      </c>
      <c r="K358" t="inlineStr">
        <is>
          <t>Hyderabad</t>
        </is>
      </c>
      <c r="L358" s="27" t="inlineStr">
        <is>
          <t>IT</t>
        </is>
      </c>
      <c r="M358" t="inlineStr">
        <is>
          <t>Full-Time</t>
        </is>
      </c>
      <c r="N358" t="inlineStr">
        <is>
          <t>Associate Software Engineer</t>
        </is>
      </c>
      <c r="O358" t="inlineStr">
        <is>
          <t>E1</t>
        </is>
      </c>
      <c r="P358" t="inlineStr">
        <is>
          <t>Associate Software Engineer</t>
        </is>
      </c>
      <c r="Q358" t="inlineStr">
        <is>
          <t>Siddharth Kumar (1027551)</t>
        </is>
      </c>
      <c r="R358" s="27" t="n">
        <v>0</v>
      </c>
      <c r="S358" s="1" t="n">
        <v>250000</v>
      </c>
      <c r="T358" s="1">
        <f>ROUND(T_EMPLOYEES[[#This Row],[EMP_CTC1]]/12, 0)</f>
        <v/>
      </c>
      <c r="U358" s="1" t="n">
        <v>150000</v>
      </c>
      <c r="V358" s="1" t="inlineStr">
        <is>
          <t>ND</t>
        </is>
      </c>
      <c r="W358" s="1" t="inlineStr">
        <is>
          <t>ND</t>
        </is>
      </c>
      <c r="X35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8" t="n">
        <v>120000</v>
      </c>
      <c r="Z358" s="29">
        <f>(S358 - U358)/S358 * 100</f>
        <v/>
      </c>
      <c r="AA358">
        <f>IF(T_EMPLOYEES[[#This Row],[EMPLOYEE NUMBER]]="","",ROW(T_EMPLOYEES[[#This Row],[EMPLOYEE LABEL]])-ROW(T_EMPLOYEES[[#Headers],[EMPLOYEE LABEL]]))</f>
        <v/>
      </c>
      <c r="AB358">
        <f>IF(T_EMPLOYEES[[#This Row],[EMPLOYEE NUMBER]]="","",IF(COUNTIF(T_EMPLOYEES[EMPLOYEE NUMBER],T_EMPLOYEES[[#This Row],[EMPLOYEE NUMBER]])&gt;1,1,0))</f>
        <v/>
      </c>
      <c r="AC358">
        <f>IF(T_EMPLOYEES[[#This Row],[EMPLOYEE NUMBER]]="","",IF(AND(T_EMPLOYEES[[#This Row],[DATE OF BIRTH]]&gt;0,T_EMPLOYEES[[#This Row],[DATE OF BIRTH]]&lt;TODAY()),0,1))</f>
        <v/>
      </c>
      <c r="AD358">
        <f>IF(T_EMPLOYEES[[#This Row],[EMPLOYEE NUMBER]]="","",IF(AND(T_EMPLOYEES[[#This Row],[START DATE]]&gt;0,T_EMPLOYEES[[#This Row],[START DATE]]&lt;TODAY()+60),0,1))</f>
        <v/>
      </c>
      <c r="AE358">
        <f>IF(T_EMPLOYEES[[#This Row],[EMPLOYEE NUMBER]]="","",MATCH(T_EMPLOYEES[[#This Row],[GENDER]],L_GENDER,0))</f>
        <v/>
      </c>
      <c r="AF358">
        <f>IF(T_EMPLOYEES[[#This Row],[EMPLOYEE NUMBER]]="","",MATCH(T_EMPLOYEES[[#This Row],[HIRE SOURCE]],L_HIRESOURCE,0))</f>
        <v/>
      </c>
      <c r="AG358">
        <f>IF(T_EMPLOYEES[[#This Row],[EMPLOYEE NUMBER]]="","",MATCH(T_EMPLOYEES[[#This Row],[ETHNICITY]],L_ETHNICITY,0))</f>
        <v/>
      </c>
      <c r="AH358">
        <f>IF(T_EMPLOYEES[[#This Row],[EMPLOYEE NUMBER]]="","",MATCH(T_EMPLOYEES[[#This Row],[LOCATION]],L_LOCATION,0))</f>
        <v/>
      </c>
      <c r="AI358">
        <f>IF(T_EMPLOYEES[[#This Row],[EMPLOYEE NUMBER]]="","",MATCH(T_EMPLOYEES[[#This Row],[DEPARTMENT]],L_DEPARTMENT,0))</f>
        <v/>
      </c>
      <c r="AJ358">
        <f>IF(T_EMPLOYEES[[#This Row],[EMPLOYEE NUMBER]]="","",MATCH(T_EMPLOYEES[[#This Row],[JOB TYPE]],L_JOBTYPE,0))</f>
        <v/>
      </c>
      <c r="AK358">
        <f>IF(T_EMPLOYEES[[#This Row],[EMPLOYEE NUMBER]]="","",MATCH(T_EMPLOYEES[[#This Row],[JOB CATEGORY]],L_JOBCATEGORY,0))</f>
        <v/>
      </c>
      <c r="AL358">
        <f>IF(T_EMPLOYEES[[#This Row],[EMPLOYEE NUMBER]]="","",MATCH(T_EMPLOYEES[[#This Row],[JOB LEVEL]],L_JOBLEVEL,0))</f>
        <v/>
      </c>
      <c r="AM358">
        <f>IF(T_EMPLOYEES[[#This Row],[EMPLOYEE NUMBER]]="","",MATCH(T_EMPLOYEES[[#This Row],[JOB TITLE]],L_JOBTITLE,0))</f>
        <v/>
      </c>
      <c r="AN358">
        <f>IF(T_EMPLOYEES[[#This Row],[EMPLOYEE NUMBER]]="","",MATCH(T_EMPLOYEES[[#This Row],[MANAGER]],L_EMPLABELS,0))</f>
        <v/>
      </c>
      <c r="AO358">
        <f>IF(T_EMPLOYEES[[#This Row],[EMPLOYEE NUMBER]]="","",IF(T_EMPLOYEES[[#This Row],[ERROR]]="",0,1))</f>
        <v/>
      </c>
      <c r="AP35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59">
      <c r="A359" t="inlineStr">
        <is>
          <t>Putta</t>
        </is>
      </c>
      <c r="B359" t="inlineStr">
        <is>
          <t xml:space="preserve"> Harish</t>
        </is>
      </c>
      <c r="C359" t="n">
        <v>1024573</v>
      </c>
      <c r="D359" t="inlineStr">
        <is>
          <t>Harish.Putta@infinite.com</t>
        </is>
      </c>
      <c r="E359" s="26" t="n">
        <v>35647</v>
      </c>
      <c r="F359" s="26" t="n">
        <v>44246</v>
      </c>
      <c r="H359" t="inlineStr">
        <is>
          <t>Male</t>
        </is>
      </c>
      <c r="I359" t="inlineStr">
        <is>
          <t>Asian</t>
        </is>
      </c>
      <c r="J359" t="inlineStr">
        <is>
          <t>WEBSITE</t>
        </is>
      </c>
      <c r="K359" t="inlineStr">
        <is>
          <t>Bangalore</t>
        </is>
      </c>
      <c r="L359" s="27" t="inlineStr">
        <is>
          <t>IT</t>
        </is>
      </c>
      <c r="M359" t="inlineStr">
        <is>
          <t>Full-Time</t>
        </is>
      </c>
      <c r="N359" t="inlineStr">
        <is>
          <t>Software Test Engineer</t>
        </is>
      </c>
      <c r="O359" t="inlineStr">
        <is>
          <t>E2</t>
        </is>
      </c>
      <c r="P359" t="inlineStr">
        <is>
          <t>Software Test Engineer</t>
        </is>
      </c>
      <c r="Q359" t="inlineStr">
        <is>
          <t>Sreekanth  Pulumati (1022868)</t>
        </is>
      </c>
      <c r="R359" t="n">
        <v>4</v>
      </c>
      <c r="S359" s="1" t="n">
        <v>250000</v>
      </c>
      <c r="T359" s="1">
        <f>ROUND(T_EMPLOYEES[[#This Row],[EMP_CTC1]]/12, 0)</f>
        <v/>
      </c>
      <c r="U359" s="1" t="n">
        <v>150000</v>
      </c>
      <c r="V359" s="1" t="inlineStr">
        <is>
          <t>ND</t>
        </is>
      </c>
      <c r="W359" s="1" t="inlineStr">
        <is>
          <t>ND</t>
        </is>
      </c>
      <c r="X35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59" t="n">
        <v>120000</v>
      </c>
      <c r="Z359" s="29">
        <f>(S359 - U359)/S359 * 100</f>
        <v/>
      </c>
      <c r="AA359">
        <f>IF(T_EMPLOYEES[[#This Row],[EMPLOYEE NUMBER]]="","",ROW(T_EMPLOYEES[[#This Row],[EMPLOYEE LABEL]])-ROW(T_EMPLOYEES[[#Headers],[EMPLOYEE LABEL]]))</f>
        <v/>
      </c>
      <c r="AB359">
        <f>IF(T_EMPLOYEES[[#This Row],[EMPLOYEE NUMBER]]="","",IF(COUNTIF(T_EMPLOYEES[EMPLOYEE NUMBER],T_EMPLOYEES[[#This Row],[EMPLOYEE NUMBER]])&gt;1,1,0))</f>
        <v/>
      </c>
      <c r="AC359">
        <f>IF(T_EMPLOYEES[[#This Row],[EMPLOYEE NUMBER]]="","",IF(AND(T_EMPLOYEES[[#This Row],[DATE OF BIRTH]]&gt;0,T_EMPLOYEES[[#This Row],[DATE OF BIRTH]]&lt;TODAY()),0,1))</f>
        <v/>
      </c>
      <c r="AD359">
        <f>IF(T_EMPLOYEES[[#This Row],[EMPLOYEE NUMBER]]="","",IF(AND(T_EMPLOYEES[[#This Row],[START DATE]]&gt;0,T_EMPLOYEES[[#This Row],[START DATE]]&lt;TODAY()+60),0,1))</f>
        <v/>
      </c>
      <c r="AE359">
        <f>IF(T_EMPLOYEES[[#This Row],[EMPLOYEE NUMBER]]="","",MATCH(T_EMPLOYEES[[#This Row],[GENDER]],L_GENDER,0))</f>
        <v/>
      </c>
      <c r="AF359">
        <f>IF(T_EMPLOYEES[[#This Row],[EMPLOYEE NUMBER]]="","",MATCH(T_EMPLOYEES[[#This Row],[HIRE SOURCE]],L_HIRESOURCE,0))</f>
        <v/>
      </c>
      <c r="AG359">
        <f>IF(T_EMPLOYEES[[#This Row],[EMPLOYEE NUMBER]]="","",MATCH(T_EMPLOYEES[[#This Row],[ETHNICITY]],L_ETHNICITY,0))</f>
        <v/>
      </c>
      <c r="AH359">
        <f>IF(T_EMPLOYEES[[#This Row],[EMPLOYEE NUMBER]]="","",MATCH(T_EMPLOYEES[[#This Row],[LOCATION]],L_LOCATION,0))</f>
        <v/>
      </c>
      <c r="AI359">
        <f>IF(T_EMPLOYEES[[#This Row],[EMPLOYEE NUMBER]]="","",MATCH(T_EMPLOYEES[[#This Row],[DEPARTMENT]],L_DEPARTMENT,0))</f>
        <v/>
      </c>
      <c r="AJ359">
        <f>IF(T_EMPLOYEES[[#This Row],[EMPLOYEE NUMBER]]="","",MATCH(T_EMPLOYEES[[#This Row],[JOB TYPE]],L_JOBTYPE,0))</f>
        <v/>
      </c>
      <c r="AK359">
        <f>IF(T_EMPLOYEES[[#This Row],[EMPLOYEE NUMBER]]="","",MATCH(T_EMPLOYEES[[#This Row],[JOB CATEGORY]],L_JOBCATEGORY,0))</f>
        <v/>
      </c>
      <c r="AL359">
        <f>IF(T_EMPLOYEES[[#This Row],[EMPLOYEE NUMBER]]="","",MATCH(T_EMPLOYEES[[#This Row],[JOB LEVEL]],L_JOBLEVEL,0))</f>
        <v/>
      </c>
      <c r="AM359">
        <f>IF(T_EMPLOYEES[[#This Row],[EMPLOYEE NUMBER]]="","",MATCH(T_EMPLOYEES[[#This Row],[JOB TITLE]],L_JOBTITLE,0))</f>
        <v/>
      </c>
      <c r="AN359">
        <f>IF(T_EMPLOYEES[[#This Row],[EMPLOYEE NUMBER]]="","",MATCH(T_EMPLOYEES[[#This Row],[MANAGER]],L_EMPLABELS,0))</f>
        <v/>
      </c>
      <c r="AO359">
        <f>IF(T_EMPLOYEES[[#This Row],[EMPLOYEE NUMBER]]="","",IF(T_EMPLOYEES[[#This Row],[ERROR]]="",0,1))</f>
        <v/>
      </c>
      <c r="AP35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0">
      <c r="A360" t="inlineStr">
        <is>
          <t>Manish</t>
        </is>
      </c>
      <c r="B360" t="inlineStr">
        <is>
          <t>Hudli</t>
        </is>
      </c>
      <c r="C360" t="n">
        <v>1033768</v>
      </c>
      <c r="D360" t="inlineStr">
        <is>
          <t>Manish.Hudli@infinite.com</t>
        </is>
      </c>
      <c r="E360" s="26" t="n">
        <v>35647</v>
      </c>
      <c r="F360" s="26" t="n">
        <v>45222</v>
      </c>
      <c r="H360" t="inlineStr">
        <is>
          <t>Male</t>
        </is>
      </c>
      <c r="I360" t="inlineStr">
        <is>
          <t>Asian</t>
        </is>
      </c>
      <c r="J360" t="inlineStr">
        <is>
          <t>WEBSITE</t>
        </is>
      </c>
      <c r="K360" t="inlineStr">
        <is>
          <t>Bangalore</t>
        </is>
      </c>
      <c r="L360" s="27" t="inlineStr">
        <is>
          <t>IT</t>
        </is>
      </c>
      <c r="M360" t="inlineStr">
        <is>
          <t>Full-Time</t>
        </is>
      </c>
      <c r="N360" t="inlineStr">
        <is>
          <t>Support Engineer</t>
        </is>
      </c>
      <c r="O360" t="inlineStr">
        <is>
          <t>E2</t>
        </is>
      </c>
      <c r="P360" t="inlineStr">
        <is>
          <t>Support Engineer</t>
        </is>
      </c>
      <c r="Q360" t="inlineStr">
        <is>
          <t>Santosh Kumar B (1033071)</t>
        </is>
      </c>
      <c r="R360" s="27" t="n">
        <v>4</v>
      </c>
      <c r="S360" s="1" t="n">
        <v>250000</v>
      </c>
      <c r="T360" s="1">
        <f>ROUND(T_EMPLOYEES[[#This Row],[EMP_CTC1]]/12, 0)</f>
        <v/>
      </c>
      <c r="U360" s="1" t="n">
        <v>150000</v>
      </c>
      <c r="V360" s="1" t="inlineStr">
        <is>
          <t>ND</t>
        </is>
      </c>
      <c r="W360" s="1" t="inlineStr">
        <is>
          <t>ND</t>
        </is>
      </c>
      <c r="X36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0" t="n">
        <v>120000</v>
      </c>
      <c r="Z360" s="29">
        <f>(S360 - U360)/S360 * 100</f>
        <v/>
      </c>
      <c r="AA360">
        <f>IF(T_EMPLOYEES[[#This Row],[EMPLOYEE NUMBER]]="","",ROW(T_EMPLOYEES[[#This Row],[EMPLOYEE LABEL]])-ROW(T_EMPLOYEES[[#Headers],[EMPLOYEE LABEL]]))</f>
        <v/>
      </c>
      <c r="AB360">
        <f>IF(T_EMPLOYEES[[#This Row],[EMPLOYEE NUMBER]]="","",IF(COUNTIF(T_EMPLOYEES[EMPLOYEE NUMBER],T_EMPLOYEES[[#This Row],[EMPLOYEE NUMBER]])&gt;1,1,0))</f>
        <v/>
      </c>
      <c r="AC360">
        <f>IF(T_EMPLOYEES[[#This Row],[EMPLOYEE NUMBER]]="","",IF(AND(T_EMPLOYEES[[#This Row],[DATE OF BIRTH]]&gt;0,T_EMPLOYEES[[#This Row],[DATE OF BIRTH]]&lt;TODAY()),0,1))</f>
        <v/>
      </c>
      <c r="AD360">
        <f>IF(T_EMPLOYEES[[#This Row],[EMPLOYEE NUMBER]]="","",IF(AND(T_EMPLOYEES[[#This Row],[START DATE]]&gt;0,T_EMPLOYEES[[#This Row],[START DATE]]&lt;TODAY()+60),0,1))</f>
        <v/>
      </c>
      <c r="AE360">
        <f>IF(T_EMPLOYEES[[#This Row],[EMPLOYEE NUMBER]]="","",MATCH(T_EMPLOYEES[[#This Row],[GENDER]],L_GENDER,0))</f>
        <v/>
      </c>
      <c r="AF360">
        <f>IF(T_EMPLOYEES[[#This Row],[EMPLOYEE NUMBER]]="","",MATCH(T_EMPLOYEES[[#This Row],[HIRE SOURCE]],L_HIRESOURCE,0))</f>
        <v/>
      </c>
      <c r="AG360">
        <f>IF(T_EMPLOYEES[[#This Row],[EMPLOYEE NUMBER]]="","",MATCH(T_EMPLOYEES[[#This Row],[ETHNICITY]],L_ETHNICITY,0))</f>
        <v/>
      </c>
      <c r="AH360">
        <f>IF(T_EMPLOYEES[[#This Row],[EMPLOYEE NUMBER]]="","",MATCH(T_EMPLOYEES[[#This Row],[LOCATION]],L_LOCATION,0))</f>
        <v/>
      </c>
      <c r="AI360">
        <f>IF(T_EMPLOYEES[[#This Row],[EMPLOYEE NUMBER]]="","",MATCH(T_EMPLOYEES[[#This Row],[DEPARTMENT]],L_DEPARTMENT,0))</f>
        <v/>
      </c>
      <c r="AJ360">
        <f>IF(T_EMPLOYEES[[#This Row],[EMPLOYEE NUMBER]]="","",MATCH(T_EMPLOYEES[[#This Row],[JOB TYPE]],L_JOBTYPE,0))</f>
        <v/>
      </c>
      <c r="AK360">
        <f>IF(T_EMPLOYEES[[#This Row],[EMPLOYEE NUMBER]]="","",MATCH(T_EMPLOYEES[[#This Row],[JOB CATEGORY]],L_JOBCATEGORY,0))</f>
        <v/>
      </c>
      <c r="AL360">
        <f>IF(T_EMPLOYEES[[#This Row],[EMPLOYEE NUMBER]]="","",MATCH(T_EMPLOYEES[[#This Row],[JOB LEVEL]],L_JOBLEVEL,0))</f>
        <v/>
      </c>
      <c r="AM360">
        <f>IF(T_EMPLOYEES[[#This Row],[EMPLOYEE NUMBER]]="","",MATCH(T_EMPLOYEES[[#This Row],[JOB TITLE]],L_JOBTITLE,0))</f>
        <v/>
      </c>
      <c r="AN360">
        <f>IF(T_EMPLOYEES[[#This Row],[EMPLOYEE NUMBER]]="","",MATCH(T_EMPLOYEES[[#This Row],[MANAGER]],L_EMPLABELS,0))</f>
        <v/>
      </c>
      <c r="AO360">
        <f>IF(T_EMPLOYEES[[#This Row],[EMPLOYEE NUMBER]]="","",IF(T_EMPLOYEES[[#This Row],[ERROR]]="",0,1))</f>
        <v/>
      </c>
      <c r="AP36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1">
      <c r="A361" t="inlineStr">
        <is>
          <t>Rahul</t>
        </is>
      </c>
      <c r="B361" t="inlineStr">
        <is>
          <t>Dev</t>
        </is>
      </c>
      <c r="C361" t="n">
        <v>1028364</v>
      </c>
      <c r="D361" t="inlineStr">
        <is>
          <t>Rahul.Dev@infinite.com</t>
        </is>
      </c>
      <c r="E361" s="26" t="n">
        <v>35671</v>
      </c>
      <c r="F361" s="26" t="n">
        <v>44608</v>
      </c>
      <c r="H361" t="inlineStr">
        <is>
          <t>Male</t>
        </is>
      </c>
      <c r="I361" t="inlineStr">
        <is>
          <t>Asian</t>
        </is>
      </c>
      <c r="J361" t="inlineStr">
        <is>
          <t>WEBSITE</t>
        </is>
      </c>
      <c r="K361" t="inlineStr">
        <is>
          <t>Bangalore</t>
        </is>
      </c>
      <c r="L361" s="27" t="inlineStr">
        <is>
          <t>Core</t>
        </is>
      </c>
      <c r="M361" t="inlineStr">
        <is>
          <t>Full-Time</t>
        </is>
      </c>
      <c r="N361" t="inlineStr">
        <is>
          <t>Software Engineer</t>
        </is>
      </c>
      <c r="O361" t="inlineStr">
        <is>
          <t>E2</t>
        </is>
      </c>
      <c r="P361" t="inlineStr">
        <is>
          <t>Software Engineer</t>
        </is>
      </c>
      <c r="Q361" t="inlineStr">
        <is>
          <t>Kishore Kumar N (1019765)</t>
        </is>
      </c>
      <c r="R361" t="n">
        <v>4</v>
      </c>
      <c r="S361" s="1" t="n">
        <v>250000</v>
      </c>
      <c r="T361" s="1">
        <f>ROUND(T_EMPLOYEES[[#This Row],[EMP_CTC1]]/12, 0)</f>
        <v/>
      </c>
      <c r="U361" s="1" t="n">
        <v>150000</v>
      </c>
      <c r="V361" s="1" t="inlineStr">
        <is>
          <t>ND</t>
        </is>
      </c>
      <c r="W361" s="1" t="inlineStr">
        <is>
          <t>ND</t>
        </is>
      </c>
      <c r="X36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1" t="n">
        <v>120000</v>
      </c>
      <c r="Z361" s="29">
        <f>(S361 - U361)/S361 * 100</f>
        <v/>
      </c>
      <c r="AA361">
        <f>IF(T_EMPLOYEES[[#This Row],[EMPLOYEE NUMBER]]="","",ROW(T_EMPLOYEES[[#This Row],[EMPLOYEE LABEL]])-ROW(T_EMPLOYEES[[#Headers],[EMPLOYEE LABEL]]))</f>
        <v/>
      </c>
      <c r="AB361">
        <f>IF(T_EMPLOYEES[[#This Row],[EMPLOYEE NUMBER]]="","",IF(COUNTIF(T_EMPLOYEES[EMPLOYEE NUMBER],T_EMPLOYEES[[#This Row],[EMPLOYEE NUMBER]])&gt;1,1,0))</f>
        <v/>
      </c>
      <c r="AC361">
        <f>IF(T_EMPLOYEES[[#This Row],[EMPLOYEE NUMBER]]="","",IF(AND(T_EMPLOYEES[[#This Row],[DATE OF BIRTH]]&gt;0,T_EMPLOYEES[[#This Row],[DATE OF BIRTH]]&lt;TODAY()),0,1))</f>
        <v/>
      </c>
      <c r="AD361">
        <f>IF(T_EMPLOYEES[[#This Row],[EMPLOYEE NUMBER]]="","",IF(AND(T_EMPLOYEES[[#This Row],[START DATE]]&gt;0,T_EMPLOYEES[[#This Row],[START DATE]]&lt;TODAY()+60),0,1))</f>
        <v/>
      </c>
      <c r="AE361">
        <f>IF(T_EMPLOYEES[[#This Row],[EMPLOYEE NUMBER]]="","",MATCH(T_EMPLOYEES[[#This Row],[GENDER]],L_GENDER,0))</f>
        <v/>
      </c>
      <c r="AF361">
        <f>IF(T_EMPLOYEES[[#This Row],[EMPLOYEE NUMBER]]="","",MATCH(T_EMPLOYEES[[#This Row],[HIRE SOURCE]],L_HIRESOURCE,0))</f>
        <v/>
      </c>
      <c r="AG361">
        <f>IF(T_EMPLOYEES[[#This Row],[EMPLOYEE NUMBER]]="","",MATCH(T_EMPLOYEES[[#This Row],[ETHNICITY]],L_ETHNICITY,0))</f>
        <v/>
      </c>
      <c r="AH361">
        <f>IF(T_EMPLOYEES[[#This Row],[EMPLOYEE NUMBER]]="","",MATCH(T_EMPLOYEES[[#This Row],[LOCATION]],L_LOCATION,0))</f>
        <v/>
      </c>
      <c r="AI361">
        <f>IF(T_EMPLOYEES[[#This Row],[EMPLOYEE NUMBER]]="","",MATCH(T_EMPLOYEES[[#This Row],[DEPARTMENT]],L_DEPARTMENT,0))</f>
        <v/>
      </c>
      <c r="AJ361">
        <f>IF(T_EMPLOYEES[[#This Row],[EMPLOYEE NUMBER]]="","",MATCH(T_EMPLOYEES[[#This Row],[JOB TYPE]],L_JOBTYPE,0))</f>
        <v/>
      </c>
      <c r="AK361">
        <f>IF(T_EMPLOYEES[[#This Row],[EMPLOYEE NUMBER]]="","",MATCH(T_EMPLOYEES[[#This Row],[JOB CATEGORY]],L_JOBCATEGORY,0))</f>
        <v/>
      </c>
      <c r="AL361">
        <f>IF(T_EMPLOYEES[[#This Row],[EMPLOYEE NUMBER]]="","",MATCH(T_EMPLOYEES[[#This Row],[JOB LEVEL]],L_JOBLEVEL,0))</f>
        <v/>
      </c>
      <c r="AM361">
        <f>IF(T_EMPLOYEES[[#This Row],[EMPLOYEE NUMBER]]="","",MATCH(T_EMPLOYEES[[#This Row],[JOB TITLE]],L_JOBTITLE,0))</f>
        <v/>
      </c>
      <c r="AN361">
        <f>IF(T_EMPLOYEES[[#This Row],[EMPLOYEE NUMBER]]="","",MATCH(T_EMPLOYEES[[#This Row],[MANAGER]],L_EMPLABELS,0))</f>
        <v/>
      </c>
      <c r="AO361">
        <f>IF(T_EMPLOYEES[[#This Row],[EMPLOYEE NUMBER]]="","",IF(T_EMPLOYEES[[#This Row],[ERROR]]="",0,1))</f>
        <v/>
      </c>
      <c r="AP36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61" t="inlineStr">
        <is>
          <t>Provider</t>
        </is>
      </c>
    </row>
    <row r="362">
      <c r="A362" t="inlineStr">
        <is>
          <t>Akshay</t>
        </is>
      </c>
      <c r="B362" t="inlineStr">
        <is>
          <t>Akaram Arage</t>
        </is>
      </c>
      <c r="C362" t="n">
        <v>1031090</v>
      </c>
      <c r="D362" t="inlineStr">
        <is>
          <t>Akshay.Akaram@infinite.com</t>
        </is>
      </c>
      <c r="E362" s="26" t="n">
        <v>35673</v>
      </c>
      <c r="F362" s="26" t="n">
        <v>44889</v>
      </c>
      <c r="H362" t="inlineStr">
        <is>
          <t>Male</t>
        </is>
      </c>
      <c r="I362" t="inlineStr">
        <is>
          <t>Asian</t>
        </is>
      </c>
      <c r="J362" t="inlineStr">
        <is>
          <t>WEBSITE</t>
        </is>
      </c>
      <c r="K362" t="inlineStr">
        <is>
          <t>Bangalore</t>
        </is>
      </c>
      <c r="L362" s="27" t="inlineStr">
        <is>
          <t>Core</t>
        </is>
      </c>
      <c r="M362" t="inlineStr">
        <is>
          <t>Full-Time</t>
        </is>
      </c>
      <c r="N362" t="inlineStr">
        <is>
          <t>Associate Software Engineer</t>
        </is>
      </c>
      <c r="O362" t="inlineStr">
        <is>
          <t>E1</t>
        </is>
      </c>
      <c r="P362" t="inlineStr">
        <is>
          <t>Associate Software Engineer</t>
        </is>
      </c>
      <c r="Q362" t="inlineStr">
        <is>
          <t>Anil Kumar Khamari (1013201)</t>
        </is>
      </c>
      <c r="R362" s="27" t="n">
        <v>0</v>
      </c>
      <c r="S362" s="1" t="n">
        <v>250000</v>
      </c>
      <c r="T362" s="1">
        <f>ROUND(T_EMPLOYEES[[#This Row],[EMP_CTC1]]/12, 0)</f>
        <v/>
      </c>
      <c r="U362" s="1" t="n">
        <v>150000</v>
      </c>
      <c r="V362" s="1" t="inlineStr">
        <is>
          <t>ND</t>
        </is>
      </c>
      <c r="W362" s="1" t="inlineStr">
        <is>
          <t>ND</t>
        </is>
      </c>
      <c r="X36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2" t="n">
        <v>120000</v>
      </c>
      <c r="Z362" s="29">
        <f>(S362 - U362)/S362 * 100</f>
        <v/>
      </c>
      <c r="AA362">
        <f>IF(T_EMPLOYEES[[#This Row],[EMPLOYEE NUMBER]]="","",ROW(T_EMPLOYEES[[#This Row],[EMPLOYEE LABEL]])-ROW(T_EMPLOYEES[[#Headers],[EMPLOYEE LABEL]]))</f>
        <v/>
      </c>
      <c r="AB362">
        <f>IF(T_EMPLOYEES[[#This Row],[EMPLOYEE NUMBER]]="","",IF(COUNTIF(T_EMPLOYEES[EMPLOYEE NUMBER],T_EMPLOYEES[[#This Row],[EMPLOYEE NUMBER]])&gt;1,1,0))</f>
        <v/>
      </c>
      <c r="AC362">
        <f>IF(T_EMPLOYEES[[#This Row],[EMPLOYEE NUMBER]]="","",IF(AND(T_EMPLOYEES[[#This Row],[DATE OF BIRTH]]&gt;0,T_EMPLOYEES[[#This Row],[DATE OF BIRTH]]&lt;TODAY()),0,1))</f>
        <v/>
      </c>
      <c r="AD362">
        <f>IF(T_EMPLOYEES[[#This Row],[EMPLOYEE NUMBER]]="","",IF(AND(T_EMPLOYEES[[#This Row],[START DATE]]&gt;0,T_EMPLOYEES[[#This Row],[START DATE]]&lt;TODAY()+60),0,1))</f>
        <v/>
      </c>
      <c r="AE362">
        <f>IF(T_EMPLOYEES[[#This Row],[EMPLOYEE NUMBER]]="","",MATCH(T_EMPLOYEES[[#This Row],[GENDER]],L_GENDER,0))</f>
        <v/>
      </c>
      <c r="AF362">
        <f>IF(T_EMPLOYEES[[#This Row],[EMPLOYEE NUMBER]]="","",MATCH(T_EMPLOYEES[[#This Row],[HIRE SOURCE]],L_HIRESOURCE,0))</f>
        <v/>
      </c>
      <c r="AG362">
        <f>IF(T_EMPLOYEES[[#This Row],[EMPLOYEE NUMBER]]="","",MATCH(T_EMPLOYEES[[#This Row],[ETHNICITY]],L_ETHNICITY,0))</f>
        <v/>
      </c>
      <c r="AH362">
        <f>IF(T_EMPLOYEES[[#This Row],[EMPLOYEE NUMBER]]="","",MATCH(T_EMPLOYEES[[#This Row],[LOCATION]],L_LOCATION,0))</f>
        <v/>
      </c>
      <c r="AI362">
        <f>IF(T_EMPLOYEES[[#This Row],[EMPLOYEE NUMBER]]="","",MATCH(T_EMPLOYEES[[#This Row],[DEPARTMENT]],L_DEPARTMENT,0))</f>
        <v/>
      </c>
      <c r="AJ362">
        <f>IF(T_EMPLOYEES[[#This Row],[EMPLOYEE NUMBER]]="","",MATCH(T_EMPLOYEES[[#This Row],[JOB TYPE]],L_JOBTYPE,0))</f>
        <v/>
      </c>
      <c r="AK362">
        <f>IF(T_EMPLOYEES[[#This Row],[EMPLOYEE NUMBER]]="","",MATCH(T_EMPLOYEES[[#This Row],[JOB CATEGORY]],L_JOBCATEGORY,0))</f>
        <v/>
      </c>
      <c r="AL362">
        <f>IF(T_EMPLOYEES[[#This Row],[EMPLOYEE NUMBER]]="","",MATCH(T_EMPLOYEES[[#This Row],[JOB LEVEL]],L_JOBLEVEL,0))</f>
        <v/>
      </c>
      <c r="AM362">
        <f>IF(T_EMPLOYEES[[#This Row],[EMPLOYEE NUMBER]]="","",MATCH(T_EMPLOYEES[[#This Row],[JOB TITLE]],L_JOBTITLE,0))</f>
        <v/>
      </c>
      <c r="AN362">
        <f>IF(T_EMPLOYEES[[#This Row],[EMPLOYEE NUMBER]]="","",MATCH(T_EMPLOYEES[[#This Row],[MANAGER]],L_EMPLABELS,0))</f>
        <v/>
      </c>
      <c r="AO362">
        <f>IF(T_EMPLOYEES[[#This Row],[EMPLOYEE NUMBER]]="","",IF(T_EMPLOYEES[[#This Row],[ERROR]]="",0,1))</f>
        <v/>
      </c>
      <c r="AP36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3">
      <c r="A363" t="inlineStr">
        <is>
          <t>Priyanka</t>
        </is>
      </c>
      <c r="B363" t="inlineStr">
        <is>
          <t>K</t>
        </is>
      </c>
      <c r="C363" t="n">
        <v>1028582</v>
      </c>
      <c r="D363" t="inlineStr">
        <is>
          <t>Priyanka.Kumaraswamy@infinite.com</t>
        </is>
      </c>
      <c r="E363" s="26" t="n">
        <v>35679</v>
      </c>
      <c r="F363" s="26" t="n">
        <v>44635</v>
      </c>
      <c r="H363" t="inlineStr">
        <is>
          <t>Female</t>
        </is>
      </c>
      <c r="I363" t="inlineStr">
        <is>
          <t>Asian</t>
        </is>
      </c>
      <c r="J363" t="inlineStr">
        <is>
          <t>WEBSITE</t>
        </is>
      </c>
      <c r="K363" t="inlineStr">
        <is>
          <t>Bangalore</t>
        </is>
      </c>
      <c r="L363" s="27" t="inlineStr">
        <is>
          <t>IT</t>
        </is>
      </c>
      <c r="M363" t="inlineStr">
        <is>
          <t>Full-Time</t>
        </is>
      </c>
      <c r="N363" t="inlineStr">
        <is>
          <t>Software Test Engineer</t>
        </is>
      </c>
      <c r="O363" t="inlineStr">
        <is>
          <t>E2</t>
        </is>
      </c>
      <c r="P363" t="inlineStr">
        <is>
          <t>Software Test Engineer</t>
        </is>
      </c>
      <c r="Q363" t="inlineStr">
        <is>
          <t>Shrihari S Butti (1029760)</t>
        </is>
      </c>
      <c r="R363" t="n">
        <v>4</v>
      </c>
      <c r="S363" s="1" t="n">
        <v>250000</v>
      </c>
      <c r="T363" s="1">
        <f>ROUND(T_EMPLOYEES[[#This Row],[EMP_CTC1]]/12, 0)</f>
        <v/>
      </c>
      <c r="U363" s="1" t="n">
        <v>150000</v>
      </c>
      <c r="V363" s="1" t="inlineStr">
        <is>
          <t>ND</t>
        </is>
      </c>
      <c r="W363" s="1" t="inlineStr">
        <is>
          <t>ND</t>
        </is>
      </c>
      <c r="X36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3" t="n">
        <v>120000</v>
      </c>
      <c r="Z363" s="29">
        <f>(S363 - U363)/S363 * 100</f>
        <v/>
      </c>
      <c r="AA363">
        <f>IF(T_EMPLOYEES[[#This Row],[EMPLOYEE NUMBER]]="","",ROW(T_EMPLOYEES[[#This Row],[EMPLOYEE LABEL]])-ROW(T_EMPLOYEES[[#Headers],[EMPLOYEE LABEL]]))</f>
        <v/>
      </c>
      <c r="AB363">
        <f>IF(T_EMPLOYEES[[#This Row],[EMPLOYEE NUMBER]]="","",IF(COUNTIF(T_EMPLOYEES[EMPLOYEE NUMBER],T_EMPLOYEES[[#This Row],[EMPLOYEE NUMBER]])&gt;1,1,0))</f>
        <v/>
      </c>
      <c r="AC363">
        <f>IF(T_EMPLOYEES[[#This Row],[EMPLOYEE NUMBER]]="","",IF(AND(T_EMPLOYEES[[#This Row],[DATE OF BIRTH]]&gt;0,T_EMPLOYEES[[#This Row],[DATE OF BIRTH]]&lt;TODAY()),0,1))</f>
        <v/>
      </c>
      <c r="AD363">
        <f>IF(T_EMPLOYEES[[#This Row],[EMPLOYEE NUMBER]]="","",IF(AND(T_EMPLOYEES[[#This Row],[START DATE]]&gt;0,T_EMPLOYEES[[#This Row],[START DATE]]&lt;TODAY()+60),0,1))</f>
        <v/>
      </c>
      <c r="AE363">
        <f>IF(T_EMPLOYEES[[#This Row],[EMPLOYEE NUMBER]]="","",MATCH(T_EMPLOYEES[[#This Row],[GENDER]],L_GENDER,0))</f>
        <v/>
      </c>
      <c r="AF363">
        <f>IF(T_EMPLOYEES[[#This Row],[EMPLOYEE NUMBER]]="","",MATCH(T_EMPLOYEES[[#This Row],[HIRE SOURCE]],L_HIRESOURCE,0))</f>
        <v/>
      </c>
      <c r="AG363">
        <f>IF(T_EMPLOYEES[[#This Row],[EMPLOYEE NUMBER]]="","",MATCH(T_EMPLOYEES[[#This Row],[ETHNICITY]],L_ETHNICITY,0))</f>
        <v/>
      </c>
      <c r="AH363">
        <f>IF(T_EMPLOYEES[[#This Row],[EMPLOYEE NUMBER]]="","",MATCH(T_EMPLOYEES[[#This Row],[LOCATION]],L_LOCATION,0))</f>
        <v/>
      </c>
      <c r="AI363">
        <f>IF(T_EMPLOYEES[[#This Row],[EMPLOYEE NUMBER]]="","",MATCH(T_EMPLOYEES[[#This Row],[DEPARTMENT]],L_DEPARTMENT,0))</f>
        <v/>
      </c>
      <c r="AJ363">
        <f>IF(T_EMPLOYEES[[#This Row],[EMPLOYEE NUMBER]]="","",MATCH(T_EMPLOYEES[[#This Row],[JOB TYPE]],L_JOBTYPE,0))</f>
        <v/>
      </c>
      <c r="AK363">
        <f>IF(T_EMPLOYEES[[#This Row],[EMPLOYEE NUMBER]]="","",MATCH(T_EMPLOYEES[[#This Row],[JOB CATEGORY]],L_JOBCATEGORY,0))</f>
        <v/>
      </c>
      <c r="AL363">
        <f>IF(T_EMPLOYEES[[#This Row],[EMPLOYEE NUMBER]]="","",MATCH(T_EMPLOYEES[[#This Row],[JOB LEVEL]],L_JOBLEVEL,0))</f>
        <v/>
      </c>
      <c r="AM363">
        <f>IF(T_EMPLOYEES[[#This Row],[EMPLOYEE NUMBER]]="","",MATCH(T_EMPLOYEES[[#This Row],[JOB TITLE]],L_JOBTITLE,0))</f>
        <v/>
      </c>
      <c r="AN363">
        <f>IF(T_EMPLOYEES[[#This Row],[EMPLOYEE NUMBER]]="","",MATCH(T_EMPLOYEES[[#This Row],[MANAGER]],L_EMPLABELS,0))</f>
        <v/>
      </c>
      <c r="AO363">
        <f>IF(T_EMPLOYEES[[#This Row],[EMPLOYEE NUMBER]]="","",IF(T_EMPLOYEES[[#This Row],[ERROR]]="",0,1))</f>
        <v/>
      </c>
      <c r="AP36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4">
      <c r="A364" t="inlineStr">
        <is>
          <t>Akshaykumar</t>
        </is>
      </c>
      <c r="B364" t="inlineStr">
        <is>
          <t>Laxman Patil</t>
        </is>
      </c>
      <c r="C364" t="n">
        <v>1031070</v>
      </c>
      <c r="D364" t="inlineStr">
        <is>
          <t>Akshaykumar.Patil@infinite.com</t>
        </is>
      </c>
      <c r="E364" s="26" t="n">
        <v>35689</v>
      </c>
      <c r="F364" s="26" t="n">
        <v>44889</v>
      </c>
      <c r="H364" t="inlineStr">
        <is>
          <t>Male</t>
        </is>
      </c>
      <c r="I364" t="inlineStr">
        <is>
          <t>Asian</t>
        </is>
      </c>
      <c r="J364" t="inlineStr">
        <is>
          <t>WEBSITE</t>
        </is>
      </c>
      <c r="K364" t="inlineStr">
        <is>
          <t>Bangalore</t>
        </is>
      </c>
      <c r="L364" t="inlineStr">
        <is>
          <t>Infra</t>
        </is>
      </c>
      <c r="M364" t="inlineStr">
        <is>
          <t>Full-Time</t>
        </is>
      </c>
      <c r="N364" t="inlineStr">
        <is>
          <t>Associate Software Engineer</t>
        </is>
      </c>
      <c r="O364" t="inlineStr">
        <is>
          <t>E1</t>
        </is>
      </c>
      <c r="P364" t="inlineStr">
        <is>
          <t>Associate Software Engineer</t>
        </is>
      </c>
      <c r="Q364" t="inlineStr">
        <is>
          <t>K  Saikumar (1026864)</t>
        </is>
      </c>
      <c r="R364" s="27" t="n">
        <v>0</v>
      </c>
      <c r="S364" s="1" t="n">
        <v>250000</v>
      </c>
      <c r="T364" s="1">
        <f>ROUND(T_EMPLOYEES[[#This Row],[EMP_CTC1]]/12, 0)</f>
        <v/>
      </c>
      <c r="U364" s="1" t="n">
        <v>150000</v>
      </c>
      <c r="V364" s="1" t="inlineStr">
        <is>
          <t>ND</t>
        </is>
      </c>
      <c r="W364" s="1" t="inlineStr">
        <is>
          <t>ND</t>
        </is>
      </c>
      <c r="X36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4" t="n">
        <v>120000</v>
      </c>
      <c r="Z364" s="29">
        <f>(S364 - U364)/S364 * 100</f>
        <v/>
      </c>
      <c r="AA364">
        <f>IF(T_EMPLOYEES[[#This Row],[EMPLOYEE NUMBER]]="","",ROW(T_EMPLOYEES[[#This Row],[EMPLOYEE LABEL]])-ROW(T_EMPLOYEES[[#Headers],[EMPLOYEE LABEL]]))</f>
        <v/>
      </c>
      <c r="AB364">
        <f>IF(T_EMPLOYEES[[#This Row],[EMPLOYEE NUMBER]]="","",IF(COUNTIF(T_EMPLOYEES[EMPLOYEE NUMBER],T_EMPLOYEES[[#This Row],[EMPLOYEE NUMBER]])&gt;1,1,0))</f>
        <v/>
      </c>
      <c r="AC364">
        <f>IF(T_EMPLOYEES[[#This Row],[EMPLOYEE NUMBER]]="","",IF(AND(T_EMPLOYEES[[#This Row],[DATE OF BIRTH]]&gt;0,T_EMPLOYEES[[#This Row],[DATE OF BIRTH]]&lt;TODAY()),0,1))</f>
        <v/>
      </c>
      <c r="AD364">
        <f>IF(T_EMPLOYEES[[#This Row],[EMPLOYEE NUMBER]]="","",IF(AND(T_EMPLOYEES[[#This Row],[START DATE]]&gt;0,T_EMPLOYEES[[#This Row],[START DATE]]&lt;TODAY()+60),0,1))</f>
        <v/>
      </c>
      <c r="AE364">
        <f>IF(T_EMPLOYEES[[#This Row],[EMPLOYEE NUMBER]]="","",MATCH(T_EMPLOYEES[[#This Row],[GENDER]],L_GENDER,0))</f>
        <v/>
      </c>
      <c r="AF364">
        <f>IF(T_EMPLOYEES[[#This Row],[EMPLOYEE NUMBER]]="","",MATCH(T_EMPLOYEES[[#This Row],[HIRE SOURCE]],L_HIRESOURCE,0))</f>
        <v/>
      </c>
      <c r="AG364">
        <f>IF(T_EMPLOYEES[[#This Row],[EMPLOYEE NUMBER]]="","",MATCH(T_EMPLOYEES[[#This Row],[ETHNICITY]],L_ETHNICITY,0))</f>
        <v/>
      </c>
      <c r="AH364">
        <f>IF(T_EMPLOYEES[[#This Row],[EMPLOYEE NUMBER]]="","",MATCH(T_EMPLOYEES[[#This Row],[LOCATION]],L_LOCATION,0))</f>
        <v/>
      </c>
      <c r="AI364">
        <f>IF(T_EMPLOYEES[[#This Row],[EMPLOYEE NUMBER]]="","",MATCH(T_EMPLOYEES[[#This Row],[DEPARTMENT]],L_DEPARTMENT,0))</f>
        <v/>
      </c>
      <c r="AJ364">
        <f>IF(T_EMPLOYEES[[#This Row],[EMPLOYEE NUMBER]]="","",MATCH(T_EMPLOYEES[[#This Row],[JOB TYPE]],L_JOBTYPE,0))</f>
        <v/>
      </c>
      <c r="AK364">
        <f>IF(T_EMPLOYEES[[#This Row],[EMPLOYEE NUMBER]]="","",MATCH(T_EMPLOYEES[[#This Row],[JOB CATEGORY]],L_JOBCATEGORY,0))</f>
        <v/>
      </c>
      <c r="AL364">
        <f>IF(T_EMPLOYEES[[#This Row],[EMPLOYEE NUMBER]]="","",MATCH(T_EMPLOYEES[[#This Row],[JOB LEVEL]],L_JOBLEVEL,0))</f>
        <v/>
      </c>
      <c r="AM364">
        <f>IF(T_EMPLOYEES[[#This Row],[EMPLOYEE NUMBER]]="","",MATCH(T_EMPLOYEES[[#This Row],[JOB TITLE]],L_JOBTITLE,0))</f>
        <v/>
      </c>
      <c r="AN364">
        <f>IF(T_EMPLOYEES[[#This Row],[EMPLOYEE NUMBER]]="","",MATCH(T_EMPLOYEES[[#This Row],[MANAGER]],L_EMPLABELS,0))</f>
        <v/>
      </c>
      <c r="AO364">
        <f>IF(T_EMPLOYEES[[#This Row],[EMPLOYEE NUMBER]]="","",IF(T_EMPLOYEES[[#This Row],[ERROR]]="",0,1))</f>
        <v/>
      </c>
      <c r="AP36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5">
      <c r="A365" t="inlineStr">
        <is>
          <t>Pravin</t>
        </is>
      </c>
      <c r="B365" t="inlineStr">
        <is>
          <t xml:space="preserve"> Rajamanickam</t>
        </is>
      </c>
      <c r="C365" t="n">
        <v>1032853</v>
      </c>
      <c r="D365" t="inlineStr">
        <is>
          <t>Pravin.Rajamanickam@infinite.com</t>
        </is>
      </c>
      <c r="E365" s="26" t="n">
        <v>35704</v>
      </c>
      <c r="F365" s="26" t="n">
        <v>45070</v>
      </c>
      <c r="H365" t="inlineStr">
        <is>
          <t>Male</t>
        </is>
      </c>
      <c r="I365" t="inlineStr">
        <is>
          <t>Asian</t>
        </is>
      </c>
      <c r="J365" t="inlineStr">
        <is>
          <t>WEBSITE</t>
        </is>
      </c>
      <c r="K365" t="inlineStr">
        <is>
          <t>Hyderabad</t>
        </is>
      </c>
      <c r="L365" s="27" t="inlineStr">
        <is>
          <t>IT</t>
        </is>
      </c>
      <c r="M365" t="inlineStr">
        <is>
          <t>Full-Time</t>
        </is>
      </c>
      <c r="N365" t="inlineStr">
        <is>
          <t>Support Engineer</t>
        </is>
      </c>
      <c r="O365" t="inlineStr">
        <is>
          <t>E2</t>
        </is>
      </c>
      <c r="P365" t="inlineStr">
        <is>
          <t>Support Engineer</t>
        </is>
      </c>
      <c r="Q365" t="inlineStr">
        <is>
          <t>Santosh Kumar B (1033071)</t>
        </is>
      </c>
      <c r="R365" t="n">
        <v>4</v>
      </c>
      <c r="S365" s="1" t="n">
        <v>250000</v>
      </c>
      <c r="T365" s="1">
        <f>ROUND(T_EMPLOYEES[[#This Row],[EMP_CTC1]]/12, 0)</f>
        <v/>
      </c>
      <c r="U365" s="1" t="n">
        <v>150000</v>
      </c>
      <c r="V365" s="1" t="inlineStr">
        <is>
          <t>AK</t>
        </is>
      </c>
      <c r="W365" s="1" t="inlineStr">
        <is>
          <t>AK</t>
        </is>
      </c>
      <c r="X36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5" t="n">
        <v>120000</v>
      </c>
      <c r="Z365" s="29">
        <f>(S365 - U365)/S365 * 100</f>
        <v/>
      </c>
      <c r="AA365">
        <f>IF(T_EMPLOYEES[[#This Row],[EMPLOYEE NUMBER]]="","",ROW(T_EMPLOYEES[[#This Row],[EMPLOYEE LABEL]])-ROW(T_EMPLOYEES[[#Headers],[EMPLOYEE LABEL]]))</f>
        <v/>
      </c>
      <c r="AB365">
        <f>IF(T_EMPLOYEES[[#This Row],[EMPLOYEE NUMBER]]="","",IF(COUNTIF(T_EMPLOYEES[EMPLOYEE NUMBER],T_EMPLOYEES[[#This Row],[EMPLOYEE NUMBER]])&gt;1,1,0))</f>
        <v/>
      </c>
      <c r="AC365">
        <f>IF(T_EMPLOYEES[[#This Row],[EMPLOYEE NUMBER]]="","",IF(AND(T_EMPLOYEES[[#This Row],[DATE OF BIRTH]]&gt;0,T_EMPLOYEES[[#This Row],[DATE OF BIRTH]]&lt;TODAY()),0,1))</f>
        <v/>
      </c>
      <c r="AD365">
        <f>IF(T_EMPLOYEES[[#This Row],[EMPLOYEE NUMBER]]="","",IF(AND(T_EMPLOYEES[[#This Row],[START DATE]]&gt;0,T_EMPLOYEES[[#This Row],[START DATE]]&lt;TODAY()+60),0,1))</f>
        <v/>
      </c>
      <c r="AE365">
        <f>IF(T_EMPLOYEES[[#This Row],[EMPLOYEE NUMBER]]="","",MATCH(T_EMPLOYEES[[#This Row],[GENDER]],L_GENDER,0))</f>
        <v/>
      </c>
      <c r="AF365">
        <f>IF(T_EMPLOYEES[[#This Row],[EMPLOYEE NUMBER]]="","",MATCH(T_EMPLOYEES[[#This Row],[HIRE SOURCE]],L_HIRESOURCE,0))</f>
        <v/>
      </c>
      <c r="AG365">
        <f>IF(T_EMPLOYEES[[#This Row],[EMPLOYEE NUMBER]]="","",MATCH(T_EMPLOYEES[[#This Row],[ETHNICITY]],L_ETHNICITY,0))</f>
        <v/>
      </c>
      <c r="AH365">
        <f>IF(T_EMPLOYEES[[#This Row],[EMPLOYEE NUMBER]]="","",MATCH(T_EMPLOYEES[[#This Row],[LOCATION]],L_LOCATION,0))</f>
        <v/>
      </c>
      <c r="AI365">
        <f>IF(T_EMPLOYEES[[#This Row],[EMPLOYEE NUMBER]]="","",MATCH(T_EMPLOYEES[[#This Row],[DEPARTMENT]],L_DEPARTMENT,0))</f>
        <v/>
      </c>
      <c r="AJ365">
        <f>IF(T_EMPLOYEES[[#This Row],[EMPLOYEE NUMBER]]="","",MATCH(T_EMPLOYEES[[#This Row],[JOB TYPE]],L_JOBTYPE,0))</f>
        <v/>
      </c>
      <c r="AK365">
        <f>IF(T_EMPLOYEES[[#This Row],[EMPLOYEE NUMBER]]="","",MATCH(T_EMPLOYEES[[#This Row],[JOB CATEGORY]],L_JOBCATEGORY,0))</f>
        <v/>
      </c>
      <c r="AL365">
        <f>IF(T_EMPLOYEES[[#This Row],[EMPLOYEE NUMBER]]="","",MATCH(T_EMPLOYEES[[#This Row],[JOB LEVEL]],L_JOBLEVEL,0))</f>
        <v/>
      </c>
      <c r="AM365">
        <f>IF(T_EMPLOYEES[[#This Row],[EMPLOYEE NUMBER]]="","",MATCH(T_EMPLOYEES[[#This Row],[JOB TITLE]],L_JOBTITLE,0))</f>
        <v/>
      </c>
      <c r="AN365">
        <f>IF(T_EMPLOYEES[[#This Row],[EMPLOYEE NUMBER]]="","",MATCH(T_EMPLOYEES[[#This Row],[MANAGER]],L_EMPLABELS,0))</f>
        <v/>
      </c>
      <c r="AO365">
        <f>IF(T_EMPLOYEES[[#This Row],[EMPLOYEE NUMBER]]="","",IF(T_EMPLOYEES[[#This Row],[ERROR]]="",0,1))</f>
        <v/>
      </c>
      <c r="AP36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6">
      <c r="A366" t="inlineStr">
        <is>
          <t>Ojasvi</t>
        </is>
      </c>
      <c r="B366" t="inlineStr">
        <is>
          <t>Gulabrao Hedau</t>
        </is>
      </c>
      <c r="C366" t="n">
        <v>1031087</v>
      </c>
      <c r="D366" t="inlineStr">
        <is>
          <t>Ojasvi.Hedau@infinite.com</t>
        </is>
      </c>
      <c r="E366" s="26" t="n">
        <v>35713</v>
      </c>
      <c r="F366" s="26" t="n">
        <v>44889</v>
      </c>
      <c r="H366" t="inlineStr">
        <is>
          <t>Female</t>
        </is>
      </c>
      <c r="I366" t="inlineStr">
        <is>
          <t>Asian</t>
        </is>
      </c>
      <c r="J366" t="inlineStr">
        <is>
          <t>WEBSITE</t>
        </is>
      </c>
      <c r="K366" t="inlineStr">
        <is>
          <t>Bangalore</t>
        </is>
      </c>
      <c r="L366" s="27" t="inlineStr">
        <is>
          <t>Core</t>
        </is>
      </c>
      <c r="M366" t="inlineStr">
        <is>
          <t>Full-Time</t>
        </is>
      </c>
      <c r="N366" t="inlineStr">
        <is>
          <t>Associate Software Engineer</t>
        </is>
      </c>
      <c r="O366" t="inlineStr">
        <is>
          <t>E1</t>
        </is>
      </c>
      <c r="P366" t="inlineStr">
        <is>
          <t>Associate Software Engineer</t>
        </is>
      </c>
      <c r="Q366" t="inlineStr">
        <is>
          <t>Kishore Kumar N (1019765)</t>
        </is>
      </c>
      <c r="R366" s="27" t="n">
        <v>0</v>
      </c>
      <c r="S366" s="1" t="n">
        <v>250000</v>
      </c>
      <c r="T366" s="1">
        <f>ROUND(T_EMPLOYEES[[#This Row],[EMP_CTC1]]/12, 0)</f>
        <v/>
      </c>
      <c r="U366" s="1" t="n">
        <v>150000</v>
      </c>
      <c r="V366" s="1" t="inlineStr">
        <is>
          <t>AK</t>
        </is>
      </c>
      <c r="W366" s="1" t="inlineStr">
        <is>
          <t>AK</t>
        </is>
      </c>
      <c r="X36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6" t="n">
        <v>120000</v>
      </c>
      <c r="Z366" s="29">
        <f>(S366 - U366)/S366 * 100</f>
        <v/>
      </c>
      <c r="AA366">
        <f>IF(T_EMPLOYEES[[#This Row],[EMPLOYEE NUMBER]]="","",ROW(T_EMPLOYEES[[#This Row],[EMPLOYEE LABEL]])-ROW(T_EMPLOYEES[[#Headers],[EMPLOYEE LABEL]]))</f>
        <v/>
      </c>
      <c r="AB366">
        <f>IF(T_EMPLOYEES[[#This Row],[EMPLOYEE NUMBER]]="","",IF(COUNTIF(T_EMPLOYEES[EMPLOYEE NUMBER],T_EMPLOYEES[[#This Row],[EMPLOYEE NUMBER]])&gt;1,1,0))</f>
        <v/>
      </c>
      <c r="AC366">
        <f>IF(T_EMPLOYEES[[#This Row],[EMPLOYEE NUMBER]]="","",IF(AND(T_EMPLOYEES[[#This Row],[DATE OF BIRTH]]&gt;0,T_EMPLOYEES[[#This Row],[DATE OF BIRTH]]&lt;TODAY()),0,1))</f>
        <v/>
      </c>
      <c r="AD366">
        <f>IF(T_EMPLOYEES[[#This Row],[EMPLOYEE NUMBER]]="","",IF(AND(T_EMPLOYEES[[#This Row],[START DATE]]&gt;0,T_EMPLOYEES[[#This Row],[START DATE]]&lt;TODAY()+60),0,1))</f>
        <v/>
      </c>
      <c r="AE366">
        <f>IF(T_EMPLOYEES[[#This Row],[EMPLOYEE NUMBER]]="","",MATCH(T_EMPLOYEES[[#This Row],[GENDER]],L_GENDER,0))</f>
        <v/>
      </c>
      <c r="AF366">
        <f>IF(T_EMPLOYEES[[#This Row],[EMPLOYEE NUMBER]]="","",MATCH(T_EMPLOYEES[[#This Row],[HIRE SOURCE]],L_HIRESOURCE,0))</f>
        <v/>
      </c>
      <c r="AG366">
        <f>IF(T_EMPLOYEES[[#This Row],[EMPLOYEE NUMBER]]="","",MATCH(T_EMPLOYEES[[#This Row],[ETHNICITY]],L_ETHNICITY,0))</f>
        <v/>
      </c>
      <c r="AH366">
        <f>IF(T_EMPLOYEES[[#This Row],[EMPLOYEE NUMBER]]="","",MATCH(T_EMPLOYEES[[#This Row],[LOCATION]],L_LOCATION,0))</f>
        <v/>
      </c>
      <c r="AI366">
        <f>IF(T_EMPLOYEES[[#This Row],[EMPLOYEE NUMBER]]="","",MATCH(T_EMPLOYEES[[#This Row],[DEPARTMENT]],L_DEPARTMENT,0))</f>
        <v/>
      </c>
      <c r="AJ366">
        <f>IF(T_EMPLOYEES[[#This Row],[EMPLOYEE NUMBER]]="","",MATCH(T_EMPLOYEES[[#This Row],[JOB TYPE]],L_JOBTYPE,0))</f>
        <v/>
      </c>
      <c r="AK366">
        <f>IF(T_EMPLOYEES[[#This Row],[EMPLOYEE NUMBER]]="","",MATCH(T_EMPLOYEES[[#This Row],[JOB CATEGORY]],L_JOBCATEGORY,0))</f>
        <v/>
      </c>
      <c r="AL366">
        <f>IF(T_EMPLOYEES[[#This Row],[EMPLOYEE NUMBER]]="","",MATCH(T_EMPLOYEES[[#This Row],[JOB LEVEL]],L_JOBLEVEL,0))</f>
        <v/>
      </c>
      <c r="AM366">
        <f>IF(T_EMPLOYEES[[#This Row],[EMPLOYEE NUMBER]]="","",MATCH(T_EMPLOYEES[[#This Row],[JOB TITLE]],L_JOBTITLE,0))</f>
        <v/>
      </c>
      <c r="AN366">
        <f>IF(T_EMPLOYEES[[#This Row],[EMPLOYEE NUMBER]]="","",MATCH(T_EMPLOYEES[[#This Row],[MANAGER]],L_EMPLABELS,0))</f>
        <v/>
      </c>
      <c r="AO366">
        <f>IF(T_EMPLOYEES[[#This Row],[EMPLOYEE NUMBER]]="","",IF(T_EMPLOYEES[[#This Row],[ERROR]]="",0,1))</f>
        <v/>
      </c>
      <c r="AP36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7">
      <c r="A367" t="inlineStr">
        <is>
          <t>Neeraj</t>
        </is>
      </c>
      <c r="B367" t="inlineStr">
        <is>
          <t>Singh Rawat</t>
        </is>
      </c>
      <c r="C367" t="n">
        <v>1026051</v>
      </c>
      <c r="D367" t="inlineStr">
        <is>
          <t>Neeraj.Singh@infinite.com</t>
        </is>
      </c>
      <c r="E367" s="26" t="n">
        <v>35715</v>
      </c>
      <c r="F367" s="26" t="n">
        <v>44417</v>
      </c>
      <c r="H367" t="inlineStr">
        <is>
          <t>Male</t>
        </is>
      </c>
      <c r="I367" t="inlineStr">
        <is>
          <t>Asian</t>
        </is>
      </c>
      <c r="J367" t="inlineStr">
        <is>
          <t>WEBSITE</t>
        </is>
      </c>
      <c r="K367" t="inlineStr">
        <is>
          <t>Bangalore</t>
        </is>
      </c>
      <c r="L367" s="27" t="inlineStr">
        <is>
          <t>IT</t>
        </is>
      </c>
      <c r="M367" t="inlineStr">
        <is>
          <t>Full-Time</t>
        </is>
      </c>
      <c r="N367" t="inlineStr">
        <is>
          <t>Software Engineer</t>
        </is>
      </c>
      <c r="O367" t="inlineStr">
        <is>
          <t>E2</t>
        </is>
      </c>
      <c r="P367" t="inlineStr">
        <is>
          <t>Software Engineer</t>
        </is>
      </c>
      <c r="Q367" t="inlineStr">
        <is>
          <t>Joel Clifton Dsouza (1012233)</t>
        </is>
      </c>
      <c r="R367" t="n">
        <v>4</v>
      </c>
      <c r="S367" s="1" t="n">
        <v>250000</v>
      </c>
      <c r="T367" s="1">
        <f>ROUND(T_EMPLOYEES[[#This Row],[EMP_CTC1]]/12, 0)</f>
        <v/>
      </c>
      <c r="U367" s="1" t="n">
        <v>150000</v>
      </c>
      <c r="V367" s="1" t="inlineStr">
        <is>
          <t>AK</t>
        </is>
      </c>
      <c r="W367" s="1" t="inlineStr">
        <is>
          <t>AK</t>
        </is>
      </c>
      <c r="X36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7" t="n">
        <v>120000</v>
      </c>
      <c r="Z367" s="29">
        <f>(S367 - U367)/S367 * 100</f>
        <v/>
      </c>
      <c r="AA367">
        <f>IF(T_EMPLOYEES[[#This Row],[EMPLOYEE NUMBER]]="","",ROW(T_EMPLOYEES[[#This Row],[EMPLOYEE LABEL]])-ROW(T_EMPLOYEES[[#Headers],[EMPLOYEE LABEL]]))</f>
        <v/>
      </c>
      <c r="AB367">
        <f>IF(T_EMPLOYEES[[#This Row],[EMPLOYEE NUMBER]]="","",IF(COUNTIF(T_EMPLOYEES[EMPLOYEE NUMBER],T_EMPLOYEES[[#This Row],[EMPLOYEE NUMBER]])&gt;1,1,0))</f>
        <v/>
      </c>
      <c r="AC367">
        <f>IF(T_EMPLOYEES[[#This Row],[EMPLOYEE NUMBER]]="","",IF(AND(T_EMPLOYEES[[#This Row],[DATE OF BIRTH]]&gt;0,T_EMPLOYEES[[#This Row],[DATE OF BIRTH]]&lt;TODAY()),0,1))</f>
        <v/>
      </c>
      <c r="AD367">
        <f>IF(T_EMPLOYEES[[#This Row],[EMPLOYEE NUMBER]]="","",IF(AND(T_EMPLOYEES[[#This Row],[START DATE]]&gt;0,T_EMPLOYEES[[#This Row],[START DATE]]&lt;TODAY()+60),0,1))</f>
        <v/>
      </c>
      <c r="AE367">
        <f>IF(T_EMPLOYEES[[#This Row],[EMPLOYEE NUMBER]]="","",MATCH(T_EMPLOYEES[[#This Row],[GENDER]],L_GENDER,0))</f>
        <v/>
      </c>
      <c r="AF367">
        <f>IF(T_EMPLOYEES[[#This Row],[EMPLOYEE NUMBER]]="","",MATCH(T_EMPLOYEES[[#This Row],[HIRE SOURCE]],L_HIRESOURCE,0))</f>
        <v/>
      </c>
      <c r="AG367">
        <f>IF(T_EMPLOYEES[[#This Row],[EMPLOYEE NUMBER]]="","",MATCH(T_EMPLOYEES[[#This Row],[ETHNICITY]],L_ETHNICITY,0))</f>
        <v/>
      </c>
      <c r="AH367">
        <f>IF(T_EMPLOYEES[[#This Row],[EMPLOYEE NUMBER]]="","",MATCH(T_EMPLOYEES[[#This Row],[LOCATION]],L_LOCATION,0))</f>
        <v/>
      </c>
      <c r="AI367">
        <f>IF(T_EMPLOYEES[[#This Row],[EMPLOYEE NUMBER]]="","",MATCH(T_EMPLOYEES[[#This Row],[DEPARTMENT]],L_DEPARTMENT,0))</f>
        <v/>
      </c>
      <c r="AJ367">
        <f>IF(T_EMPLOYEES[[#This Row],[EMPLOYEE NUMBER]]="","",MATCH(T_EMPLOYEES[[#This Row],[JOB TYPE]],L_JOBTYPE,0))</f>
        <v/>
      </c>
      <c r="AK367">
        <f>IF(T_EMPLOYEES[[#This Row],[EMPLOYEE NUMBER]]="","",MATCH(T_EMPLOYEES[[#This Row],[JOB CATEGORY]],L_JOBCATEGORY,0))</f>
        <v/>
      </c>
      <c r="AL367">
        <f>IF(T_EMPLOYEES[[#This Row],[EMPLOYEE NUMBER]]="","",MATCH(T_EMPLOYEES[[#This Row],[JOB LEVEL]],L_JOBLEVEL,0))</f>
        <v/>
      </c>
      <c r="AM367">
        <f>IF(T_EMPLOYEES[[#This Row],[EMPLOYEE NUMBER]]="","",MATCH(T_EMPLOYEES[[#This Row],[JOB TITLE]],L_JOBTITLE,0))</f>
        <v/>
      </c>
      <c r="AN367">
        <f>IF(T_EMPLOYEES[[#This Row],[EMPLOYEE NUMBER]]="","",MATCH(T_EMPLOYEES[[#This Row],[MANAGER]],L_EMPLABELS,0))</f>
        <v/>
      </c>
      <c r="AO367">
        <f>IF(T_EMPLOYEES[[#This Row],[EMPLOYEE NUMBER]]="","",IF(T_EMPLOYEES[[#This Row],[ERROR]]="",0,1))</f>
        <v/>
      </c>
      <c r="AP36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8">
      <c r="A368" t="inlineStr">
        <is>
          <t>Kesavan</t>
        </is>
      </c>
      <c r="B368" t="inlineStr">
        <is>
          <t>P</t>
        </is>
      </c>
      <c r="C368" t="n">
        <v>1028378</v>
      </c>
      <c r="D368" t="inlineStr">
        <is>
          <t>Kesavan.Palanisamy@infinite.com</t>
        </is>
      </c>
      <c r="E368" s="26" t="n">
        <v>35726</v>
      </c>
      <c r="F368" s="26" t="n">
        <v>44610</v>
      </c>
      <c r="H368" t="inlineStr">
        <is>
          <t>Male</t>
        </is>
      </c>
      <c r="I368" t="inlineStr">
        <is>
          <t>Asian</t>
        </is>
      </c>
      <c r="J368" t="inlineStr">
        <is>
          <t>WEBSITE</t>
        </is>
      </c>
      <c r="K368" t="inlineStr">
        <is>
          <t>Bangalore</t>
        </is>
      </c>
      <c r="L368" s="27" t="inlineStr">
        <is>
          <t>IT</t>
        </is>
      </c>
      <c r="M368" t="inlineStr">
        <is>
          <t>Full-Time</t>
        </is>
      </c>
      <c r="N368" t="inlineStr">
        <is>
          <t>Support Engineer</t>
        </is>
      </c>
      <c r="O368" t="inlineStr">
        <is>
          <t>E2</t>
        </is>
      </c>
      <c r="P368" t="inlineStr">
        <is>
          <t>Support Engineer</t>
        </is>
      </c>
      <c r="Q368" t="inlineStr">
        <is>
          <t>Neha  Rajput (1020112)</t>
        </is>
      </c>
      <c r="R368" s="27" t="n">
        <v>4</v>
      </c>
      <c r="S368" s="1" t="n">
        <v>250000</v>
      </c>
      <c r="T368" s="1">
        <f>ROUND(T_EMPLOYEES[[#This Row],[EMP_CTC1]]/12, 0)</f>
        <v/>
      </c>
      <c r="U368" s="1" t="n">
        <v>150000</v>
      </c>
      <c r="V368" s="1" t="inlineStr">
        <is>
          <t>AK</t>
        </is>
      </c>
      <c r="W368" s="1" t="inlineStr">
        <is>
          <t>AK</t>
        </is>
      </c>
      <c r="X36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8" t="n">
        <v>120000</v>
      </c>
      <c r="Z368" s="29">
        <f>(S368 - U368)/S368 * 100</f>
        <v/>
      </c>
      <c r="AA368">
        <f>IF(T_EMPLOYEES[[#This Row],[EMPLOYEE NUMBER]]="","",ROW(T_EMPLOYEES[[#This Row],[EMPLOYEE LABEL]])-ROW(T_EMPLOYEES[[#Headers],[EMPLOYEE LABEL]]))</f>
        <v/>
      </c>
      <c r="AB368">
        <f>IF(T_EMPLOYEES[[#This Row],[EMPLOYEE NUMBER]]="","",IF(COUNTIF(T_EMPLOYEES[EMPLOYEE NUMBER],T_EMPLOYEES[[#This Row],[EMPLOYEE NUMBER]])&gt;1,1,0))</f>
        <v/>
      </c>
      <c r="AC368">
        <f>IF(T_EMPLOYEES[[#This Row],[EMPLOYEE NUMBER]]="","",IF(AND(T_EMPLOYEES[[#This Row],[DATE OF BIRTH]]&gt;0,T_EMPLOYEES[[#This Row],[DATE OF BIRTH]]&lt;TODAY()),0,1))</f>
        <v/>
      </c>
      <c r="AD368">
        <f>IF(T_EMPLOYEES[[#This Row],[EMPLOYEE NUMBER]]="","",IF(AND(T_EMPLOYEES[[#This Row],[START DATE]]&gt;0,T_EMPLOYEES[[#This Row],[START DATE]]&lt;TODAY()+60),0,1))</f>
        <v/>
      </c>
      <c r="AE368">
        <f>IF(T_EMPLOYEES[[#This Row],[EMPLOYEE NUMBER]]="","",MATCH(T_EMPLOYEES[[#This Row],[GENDER]],L_GENDER,0))</f>
        <v/>
      </c>
      <c r="AF368">
        <f>IF(T_EMPLOYEES[[#This Row],[EMPLOYEE NUMBER]]="","",MATCH(T_EMPLOYEES[[#This Row],[HIRE SOURCE]],L_HIRESOURCE,0))</f>
        <v/>
      </c>
      <c r="AG368">
        <f>IF(T_EMPLOYEES[[#This Row],[EMPLOYEE NUMBER]]="","",MATCH(T_EMPLOYEES[[#This Row],[ETHNICITY]],L_ETHNICITY,0))</f>
        <v/>
      </c>
      <c r="AH368">
        <f>IF(T_EMPLOYEES[[#This Row],[EMPLOYEE NUMBER]]="","",MATCH(T_EMPLOYEES[[#This Row],[LOCATION]],L_LOCATION,0))</f>
        <v/>
      </c>
      <c r="AI368">
        <f>IF(T_EMPLOYEES[[#This Row],[EMPLOYEE NUMBER]]="","",MATCH(T_EMPLOYEES[[#This Row],[DEPARTMENT]],L_DEPARTMENT,0))</f>
        <v/>
      </c>
      <c r="AJ368">
        <f>IF(T_EMPLOYEES[[#This Row],[EMPLOYEE NUMBER]]="","",MATCH(T_EMPLOYEES[[#This Row],[JOB TYPE]],L_JOBTYPE,0))</f>
        <v/>
      </c>
      <c r="AK368">
        <f>IF(T_EMPLOYEES[[#This Row],[EMPLOYEE NUMBER]]="","",MATCH(T_EMPLOYEES[[#This Row],[JOB CATEGORY]],L_JOBCATEGORY,0))</f>
        <v/>
      </c>
      <c r="AL368">
        <f>IF(T_EMPLOYEES[[#This Row],[EMPLOYEE NUMBER]]="","",MATCH(T_EMPLOYEES[[#This Row],[JOB LEVEL]],L_JOBLEVEL,0))</f>
        <v/>
      </c>
      <c r="AM368">
        <f>IF(T_EMPLOYEES[[#This Row],[EMPLOYEE NUMBER]]="","",MATCH(T_EMPLOYEES[[#This Row],[JOB TITLE]],L_JOBTITLE,0))</f>
        <v/>
      </c>
      <c r="AN368">
        <f>IF(T_EMPLOYEES[[#This Row],[EMPLOYEE NUMBER]]="","",MATCH(T_EMPLOYEES[[#This Row],[MANAGER]],L_EMPLABELS,0))</f>
        <v/>
      </c>
      <c r="AO368">
        <f>IF(T_EMPLOYEES[[#This Row],[EMPLOYEE NUMBER]]="","",IF(T_EMPLOYEES[[#This Row],[ERROR]]="",0,1))</f>
        <v/>
      </c>
      <c r="AP36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69">
      <c r="A369" t="inlineStr">
        <is>
          <t>Talada</t>
        </is>
      </c>
      <c r="B369" t="inlineStr">
        <is>
          <t>Sumanth</t>
        </is>
      </c>
      <c r="C369" t="n">
        <v>1029520</v>
      </c>
      <c r="D369" t="inlineStr">
        <is>
          <t>Talada.Sumanth@infinite.com</t>
        </is>
      </c>
      <c r="E369" s="26" t="n">
        <v>35728</v>
      </c>
      <c r="F369" s="26" t="n">
        <v>44757</v>
      </c>
      <c r="H369" t="inlineStr">
        <is>
          <t>Male</t>
        </is>
      </c>
      <c r="I369" t="inlineStr">
        <is>
          <t>Asian</t>
        </is>
      </c>
      <c r="J369" t="inlineStr">
        <is>
          <t>WEBSITE</t>
        </is>
      </c>
      <c r="K369" t="inlineStr">
        <is>
          <t>Bangalore</t>
        </is>
      </c>
      <c r="L369" s="27" t="inlineStr">
        <is>
          <t>Core</t>
        </is>
      </c>
      <c r="M369" t="inlineStr">
        <is>
          <t>Full-Time</t>
        </is>
      </c>
      <c r="N369" t="inlineStr">
        <is>
          <t>Associate Software Engineer</t>
        </is>
      </c>
      <c r="O369" t="inlineStr">
        <is>
          <t>E1</t>
        </is>
      </c>
      <c r="P369" t="inlineStr">
        <is>
          <t>Associate Software Engineer</t>
        </is>
      </c>
      <c r="Q369" t="inlineStr">
        <is>
          <t>Kishore Kumar N (1019765)</t>
        </is>
      </c>
      <c r="R369" t="n">
        <v>0</v>
      </c>
      <c r="S369" s="1" t="n">
        <v>250000</v>
      </c>
      <c r="T369" s="1">
        <f>ROUND(T_EMPLOYEES[[#This Row],[EMP_CTC1]]/12, 0)</f>
        <v/>
      </c>
      <c r="U369" s="1" t="n">
        <v>150000</v>
      </c>
      <c r="V369" s="1" t="inlineStr">
        <is>
          <t>AK</t>
        </is>
      </c>
      <c r="W369" s="1" t="inlineStr">
        <is>
          <t>AK</t>
        </is>
      </c>
      <c r="X36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69" t="n">
        <v>120000</v>
      </c>
      <c r="Z369" s="29">
        <f>(S369 - U369)/S369 * 100</f>
        <v/>
      </c>
      <c r="AA369">
        <f>IF(T_EMPLOYEES[[#This Row],[EMPLOYEE NUMBER]]="","",ROW(T_EMPLOYEES[[#This Row],[EMPLOYEE LABEL]])-ROW(T_EMPLOYEES[[#Headers],[EMPLOYEE LABEL]]))</f>
        <v/>
      </c>
      <c r="AB369">
        <f>IF(T_EMPLOYEES[[#This Row],[EMPLOYEE NUMBER]]="","",IF(COUNTIF(T_EMPLOYEES[EMPLOYEE NUMBER],T_EMPLOYEES[[#This Row],[EMPLOYEE NUMBER]])&gt;1,1,0))</f>
        <v/>
      </c>
      <c r="AC369">
        <f>IF(T_EMPLOYEES[[#This Row],[EMPLOYEE NUMBER]]="","",IF(AND(T_EMPLOYEES[[#This Row],[DATE OF BIRTH]]&gt;0,T_EMPLOYEES[[#This Row],[DATE OF BIRTH]]&lt;TODAY()),0,1))</f>
        <v/>
      </c>
      <c r="AD369">
        <f>IF(T_EMPLOYEES[[#This Row],[EMPLOYEE NUMBER]]="","",IF(AND(T_EMPLOYEES[[#This Row],[START DATE]]&gt;0,T_EMPLOYEES[[#This Row],[START DATE]]&lt;TODAY()+60),0,1))</f>
        <v/>
      </c>
      <c r="AE369">
        <f>IF(T_EMPLOYEES[[#This Row],[EMPLOYEE NUMBER]]="","",MATCH(T_EMPLOYEES[[#This Row],[GENDER]],L_GENDER,0))</f>
        <v/>
      </c>
      <c r="AF369">
        <f>IF(T_EMPLOYEES[[#This Row],[EMPLOYEE NUMBER]]="","",MATCH(T_EMPLOYEES[[#This Row],[HIRE SOURCE]],L_HIRESOURCE,0))</f>
        <v/>
      </c>
      <c r="AG369">
        <f>IF(T_EMPLOYEES[[#This Row],[EMPLOYEE NUMBER]]="","",MATCH(T_EMPLOYEES[[#This Row],[ETHNICITY]],L_ETHNICITY,0))</f>
        <v/>
      </c>
      <c r="AH369">
        <f>IF(T_EMPLOYEES[[#This Row],[EMPLOYEE NUMBER]]="","",MATCH(T_EMPLOYEES[[#This Row],[LOCATION]],L_LOCATION,0))</f>
        <v/>
      </c>
      <c r="AI369">
        <f>IF(T_EMPLOYEES[[#This Row],[EMPLOYEE NUMBER]]="","",MATCH(T_EMPLOYEES[[#This Row],[DEPARTMENT]],L_DEPARTMENT,0))</f>
        <v/>
      </c>
      <c r="AJ369">
        <f>IF(T_EMPLOYEES[[#This Row],[EMPLOYEE NUMBER]]="","",MATCH(T_EMPLOYEES[[#This Row],[JOB TYPE]],L_JOBTYPE,0))</f>
        <v/>
      </c>
      <c r="AK369">
        <f>IF(T_EMPLOYEES[[#This Row],[EMPLOYEE NUMBER]]="","",MATCH(T_EMPLOYEES[[#This Row],[JOB CATEGORY]],L_JOBCATEGORY,0))</f>
        <v/>
      </c>
      <c r="AL369">
        <f>IF(T_EMPLOYEES[[#This Row],[EMPLOYEE NUMBER]]="","",MATCH(T_EMPLOYEES[[#This Row],[JOB LEVEL]],L_JOBLEVEL,0))</f>
        <v/>
      </c>
      <c r="AM369">
        <f>IF(T_EMPLOYEES[[#This Row],[EMPLOYEE NUMBER]]="","",MATCH(T_EMPLOYEES[[#This Row],[JOB TITLE]],L_JOBTITLE,0))</f>
        <v/>
      </c>
      <c r="AN369">
        <f>IF(T_EMPLOYEES[[#This Row],[EMPLOYEE NUMBER]]="","",MATCH(T_EMPLOYEES[[#This Row],[MANAGER]],L_EMPLABELS,0))</f>
        <v/>
      </c>
      <c r="AO369">
        <f>IF(T_EMPLOYEES[[#This Row],[EMPLOYEE NUMBER]]="","",IF(T_EMPLOYEES[[#This Row],[ERROR]]="",0,1))</f>
        <v/>
      </c>
      <c r="AP36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0">
      <c r="A370" t="inlineStr">
        <is>
          <t>Priyanka</t>
        </is>
      </c>
      <c r="B370" t="inlineStr">
        <is>
          <t>Yadav</t>
        </is>
      </c>
      <c r="C370" t="n">
        <v>1030910</v>
      </c>
      <c r="D370" t="inlineStr">
        <is>
          <t>Priyanka.Yadav@infinite.com</t>
        </is>
      </c>
      <c r="E370" s="26" t="n">
        <v>35758</v>
      </c>
      <c r="F370" s="26" t="n">
        <v>44876</v>
      </c>
      <c r="H370" t="inlineStr">
        <is>
          <t>Female</t>
        </is>
      </c>
      <c r="I370" t="inlineStr">
        <is>
          <t>Asian</t>
        </is>
      </c>
      <c r="J370" t="inlineStr">
        <is>
          <t>WEBSITE</t>
        </is>
      </c>
      <c r="K370" t="inlineStr">
        <is>
          <t>Bangalore</t>
        </is>
      </c>
      <c r="L370" s="27" t="inlineStr">
        <is>
          <t>Core</t>
        </is>
      </c>
      <c r="M370" t="inlineStr">
        <is>
          <t>Full-Time</t>
        </is>
      </c>
      <c r="N370" t="inlineStr">
        <is>
          <t>Associate Software Engineer</t>
        </is>
      </c>
      <c r="O370" t="inlineStr">
        <is>
          <t>E1</t>
        </is>
      </c>
      <c r="P370" t="inlineStr">
        <is>
          <t>Associate Software Engineer</t>
        </is>
      </c>
      <c r="Q370" t="inlineStr">
        <is>
          <t>Anil Kumar Khamari (1013201)</t>
        </is>
      </c>
      <c r="R370" s="27" t="n">
        <v>0</v>
      </c>
      <c r="S370" s="1" t="n">
        <v>250000</v>
      </c>
      <c r="T370" s="1">
        <f>ROUND(T_EMPLOYEES[[#This Row],[EMP_CTC1]]/12, 0)</f>
        <v/>
      </c>
      <c r="U370" s="1" t="n">
        <v>150000</v>
      </c>
      <c r="V370" s="1" t="inlineStr">
        <is>
          <t>AK</t>
        </is>
      </c>
      <c r="W370" s="1" t="inlineStr">
        <is>
          <t>AK</t>
        </is>
      </c>
      <c r="X37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0" t="n">
        <v>120000</v>
      </c>
      <c r="Z370" s="29">
        <f>(S370 - U370)/S370 * 100</f>
        <v/>
      </c>
      <c r="AA370">
        <f>IF(T_EMPLOYEES[[#This Row],[EMPLOYEE NUMBER]]="","",ROW(T_EMPLOYEES[[#This Row],[EMPLOYEE LABEL]])-ROW(T_EMPLOYEES[[#Headers],[EMPLOYEE LABEL]]))</f>
        <v/>
      </c>
      <c r="AB370">
        <f>IF(T_EMPLOYEES[[#This Row],[EMPLOYEE NUMBER]]="","",IF(COUNTIF(T_EMPLOYEES[EMPLOYEE NUMBER],T_EMPLOYEES[[#This Row],[EMPLOYEE NUMBER]])&gt;1,1,0))</f>
        <v/>
      </c>
      <c r="AC370">
        <f>IF(T_EMPLOYEES[[#This Row],[EMPLOYEE NUMBER]]="","",IF(AND(T_EMPLOYEES[[#This Row],[DATE OF BIRTH]]&gt;0,T_EMPLOYEES[[#This Row],[DATE OF BIRTH]]&lt;TODAY()),0,1))</f>
        <v/>
      </c>
      <c r="AD370">
        <f>IF(T_EMPLOYEES[[#This Row],[EMPLOYEE NUMBER]]="","",IF(AND(T_EMPLOYEES[[#This Row],[START DATE]]&gt;0,T_EMPLOYEES[[#This Row],[START DATE]]&lt;TODAY()+60),0,1))</f>
        <v/>
      </c>
      <c r="AE370">
        <f>IF(T_EMPLOYEES[[#This Row],[EMPLOYEE NUMBER]]="","",MATCH(T_EMPLOYEES[[#This Row],[GENDER]],L_GENDER,0))</f>
        <v/>
      </c>
      <c r="AF370">
        <f>IF(T_EMPLOYEES[[#This Row],[EMPLOYEE NUMBER]]="","",MATCH(T_EMPLOYEES[[#This Row],[HIRE SOURCE]],L_HIRESOURCE,0))</f>
        <v/>
      </c>
      <c r="AG370">
        <f>IF(T_EMPLOYEES[[#This Row],[EMPLOYEE NUMBER]]="","",MATCH(T_EMPLOYEES[[#This Row],[ETHNICITY]],L_ETHNICITY,0))</f>
        <v/>
      </c>
      <c r="AH370">
        <f>IF(T_EMPLOYEES[[#This Row],[EMPLOYEE NUMBER]]="","",MATCH(T_EMPLOYEES[[#This Row],[LOCATION]],L_LOCATION,0))</f>
        <v/>
      </c>
      <c r="AI370">
        <f>IF(T_EMPLOYEES[[#This Row],[EMPLOYEE NUMBER]]="","",MATCH(T_EMPLOYEES[[#This Row],[DEPARTMENT]],L_DEPARTMENT,0))</f>
        <v/>
      </c>
      <c r="AJ370">
        <f>IF(T_EMPLOYEES[[#This Row],[EMPLOYEE NUMBER]]="","",MATCH(T_EMPLOYEES[[#This Row],[JOB TYPE]],L_JOBTYPE,0))</f>
        <v/>
      </c>
      <c r="AK370">
        <f>IF(T_EMPLOYEES[[#This Row],[EMPLOYEE NUMBER]]="","",MATCH(T_EMPLOYEES[[#This Row],[JOB CATEGORY]],L_JOBCATEGORY,0))</f>
        <v/>
      </c>
      <c r="AL370">
        <f>IF(T_EMPLOYEES[[#This Row],[EMPLOYEE NUMBER]]="","",MATCH(T_EMPLOYEES[[#This Row],[JOB LEVEL]],L_JOBLEVEL,0))</f>
        <v/>
      </c>
      <c r="AM370">
        <f>IF(T_EMPLOYEES[[#This Row],[EMPLOYEE NUMBER]]="","",MATCH(T_EMPLOYEES[[#This Row],[JOB TITLE]],L_JOBTITLE,0))</f>
        <v/>
      </c>
      <c r="AN370">
        <f>IF(T_EMPLOYEES[[#This Row],[EMPLOYEE NUMBER]]="","",MATCH(T_EMPLOYEES[[#This Row],[MANAGER]],L_EMPLABELS,0))</f>
        <v/>
      </c>
      <c r="AO370">
        <f>IF(T_EMPLOYEES[[#This Row],[EMPLOYEE NUMBER]]="","",IF(T_EMPLOYEES[[#This Row],[ERROR]]="",0,1))</f>
        <v/>
      </c>
      <c r="AP37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1">
      <c r="A371" t="inlineStr">
        <is>
          <t>Ananya</t>
        </is>
      </c>
      <c r="B371" t="inlineStr">
        <is>
          <t xml:space="preserve"> Nidhi</t>
        </is>
      </c>
      <c r="C371" t="n">
        <v>1023748</v>
      </c>
      <c r="D371" t="inlineStr">
        <is>
          <t>Ananya.Nidhi@infinite.com</t>
        </is>
      </c>
      <c r="E371" s="26" t="n">
        <v>35771</v>
      </c>
      <c r="F371" s="26" t="n">
        <v>44075</v>
      </c>
      <c r="H371" t="inlineStr">
        <is>
          <t>Female</t>
        </is>
      </c>
      <c r="I371" t="inlineStr">
        <is>
          <t>Asian</t>
        </is>
      </c>
      <c r="J371" t="inlineStr">
        <is>
          <t>WEBSITE</t>
        </is>
      </c>
      <c r="K371" t="inlineStr">
        <is>
          <t>Bangalore</t>
        </is>
      </c>
      <c r="L371" s="27" t="inlineStr">
        <is>
          <t>Core</t>
        </is>
      </c>
      <c r="M371" t="inlineStr">
        <is>
          <t>Full-Time</t>
        </is>
      </c>
      <c r="N371" t="inlineStr">
        <is>
          <t>Software Engineer</t>
        </is>
      </c>
      <c r="O371" t="inlineStr">
        <is>
          <t>E2</t>
        </is>
      </c>
      <c r="P371" t="inlineStr">
        <is>
          <t>Software Engineer</t>
        </is>
      </c>
      <c r="Q371" t="inlineStr">
        <is>
          <t>Kishore Kumar N (1019765)</t>
        </is>
      </c>
      <c r="R371" t="n">
        <v>4</v>
      </c>
      <c r="S371" s="1" t="n">
        <v>250000</v>
      </c>
      <c r="T371" s="1">
        <f>ROUND(T_EMPLOYEES[[#This Row],[EMP_CTC1]]/12, 0)</f>
        <v/>
      </c>
      <c r="U371" s="1" t="n">
        <v>150000</v>
      </c>
      <c r="V371" s="1" t="inlineStr">
        <is>
          <t>AK</t>
        </is>
      </c>
      <c r="W371" s="1" t="inlineStr">
        <is>
          <t>AK</t>
        </is>
      </c>
      <c r="X37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1" t="n">
        <v>120000</v>
      </c>
      <c r="Z371" s="29">
        <f>(S371 - U371)/S371 * 100</f>
        <v/>
      </c>
      <c r="AA371">
        <f>IF(T_EMPLOYEES[[#This Row],[EMPLOYEE NUMBER]]="","",ROW(T_EMPLOYEES[[#This Row],[EMPLOYEE LABEL]])-ROW(T_EMPLOYEES[[#Headers],[EMPLOYEE LABEL]]))</f>
        <v/>
      </c>
      <c r="AB371">
        <f>IF(T_EMPLOYEES[[#This Row],[EMPLOYEE NUMBER]]="","",IF(COUNTIF(T_EMPLOYEES[EMPLOYEE NUMBER],T_EMPLOYEES[[#This Row],[EMPLOYEE NUMBER]])&gt;1,1,0))</f>
        <v/>
      </c>
      <c r="AC371">
        <f>IF(T_EMPLOYEES[[#This Row],[EMPLOYEE NUMBER]]="","",IF(AND(T_EMPLOYEES[[#This Row],[DATE OF BIRTH]]&gt;0,T_EMPLOYEES[[#This Row],[DATE OF BIRTH]]&lt;TODAY()),0,1))</f>
        <v/>
      </c>
      <c r="AD371">
        <f>IF(T_EMPLOYEES[[#This Row],[EMPLOYEE NUMBER]]="","",IF(AND(T_EMPLOYEES[[#This Row],[START DATE]]&gt;0,T_EMPLOYEES[[#This Row],[START DATE]]&lt;TODAY()+60),0,1))</f>
        <v/>
      </c>
      <c r="AE371">
        <f>IF(T_EMPLOYEES[[#This Row],[EMPLOYEE NUMBER]]="","",MATCH(T_EMPLOYEES[[#This Row],[GENDER]],L_GENDER,0))</f>
        <v/>
      </c>
      <c r="AF371">
        <f>IF(T_EMPLOYEES[[#This Row],[EMPLOYEE NUMBER]]="","",MATCH(T_EMPLOYEES[[#This Row],[HIRE SOURCE]],L_HIRESOURCE,0))</f>
        <v/>
      </c>
      <c r="AG371">
        <f>IF(T_EMPLOYEES[[#This Row],[EMPLOYEE NUMBER]]="","",MATCH(T_EMPLOYEES[[#This Row],[ETHNICITY]],L_ETHNICITY,0))</f>
        <v/>
      </c>
      <c r="AH371">
        <f>IF(T_EMPLOYEES[[#This Row],[EMPLOYEE NUMBER]]="","",MATCH(T_EMPLOYEES[[#This Row],[LOCATION]],L_LOCATION,0))</f>
        <v/>
      </c>
      <c r="AI371">
        <f>IF(T_EMPLOYEES[[#This Row],[EMPLOYEE NUMBER]]="","",MATCH(T_EMPLOYEES[[#This Row],[DEPARTMENT]],L_DEPARTMENT,0))</f>
        <v/>
      </c>
      <c r="AJ371">
        <f>IF(T_EMPLOYEES[[#This Row],[EMPLOYEE NUMBER]]="","",MATCH(T_EMPLOYEES[[#This Row],[JOB TYPE]],L_JOBTYPE,0))</f>
        <v/>
      </c>
      <c r="AK371">
        <f>IF(T_EMPLOYEES[[#This Row],[EMPLOYEE NUMBER]]="","",MATCH(T_EMPLOYEES[[#This Row],[JOB CATEGORY]],L_JOBCATEGORY,0))</f>
        <v/>
      </c>
      <c r="AL371">
        <f>IF(T_EMPLOYEES[[#This Row],[EMPLOYEE NUMBER]]="","",MATCH(T_EMPLOYEES[[#This Row],[JOB LEVEL]],L_JOBLEVEL,0))</f>
        <v/>
      </c>
      <c r="AM371">
        <f>IF(T_EMPLOYEES[[#This Row],[EMPLOYEE NUMBER]]="","",MATCH(T_EMPLOYEES[[#This Row],[JOB TITLE]],L_JOBTITLE,0))</f>
        <v/>
      </c>
      <c r="AN371">
        <f>IF(T_EMPLOYEES[[#This Row],[EMPLOYEE NUMBER]]="","",MATCH(T_EMPLOYEES[[#This Row],[MANAGER]],L_EMPLABELS,0))</f>
        <v/>
      </c>
      <c r="AO371">
        <f>IF(T_EMPLOYEES[[#This Row],[EMPLOYEE NUMBER]]="","",IF(T_EMPLOYEES[[#This Row],[ERROR]]="",0,1))</f>
        <v/>
      </c>
      <c r="AP37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2">
      <c r="A372" t="inlineStr">
        <is>
          <t>Lalithkishore</t>
        </is>
      </c>
      <c r="B372" t="inlineStr">
        <is>
          <t>S</t>
        </is>
      </c>
      <c r="C372" t="n">
        <v>1028228</v>
      </c>
      <c r="D372" t="inlineStr">
        <is>
          <t>Lalithkishore.Sidharthan@infinite.com</t>
        </is>
      </c>
      <c r="E372" s="26" t="n">
        <v>35775</v>
      </c>
      <c r="F372" s="26" t="n">
        <v>44594</v>
      </c>
      <c r="H372" t="inlineStr">
        <is>
          <t>Male</t>
        </is>
      </c>
      <c r="I372" t="inlineStr">
        <is>
          <t>Asian</t>
        </is>
      </c>
      <c r="J372" t="inlineStr">
        <is>
          <t>WEBSITE</t>
        </is>
      </c>
      <c r="K372" t="inlineStr">
        <is>
          <t>Bangalore</t>
        </is>
      </c>
      <c r="L372" s="27" t="inlineStr">
        <is>
          <t>IT</t>
        </is>
      </c>
      <c r="M372" t="inlineStr">
        <is>
          <t>Full-Time</t>
        </is>
      </c>
      <c r="N372" t="inlineStr">
        <is>
          <t>Software Test Engineer</t>
        </is>
      </c>
      <c r="O372" t="inlineStr">
        <is>
          <t>E2</t>
        </is>
      </c>
      <c r="P372" t="inlineStr">
        <is>
          <t>Software Test Engineer</t>
        </is>
      </c>
      <c r="Q372" t="inlineStr">
        <is>
          <t>Someshwara Prabhu Nanje Gowda (1021418)</t>
        </is>
      </c>
      <c r="R372" s="27" t="n">
        <v>4</v>
      </c>
      <c r="S372" s="1" t="n">
        <v>250000</v>
      </c>
      <c r="T372" s="1">
        <f>ROUND(T_EMPLOYEES[[#This Row],[EMP_CTC1]]/12, 0)</f>
        <v/>
      </c>
      <c r="U372" s="1" t="n">
        <v>150000</v>
      </c>
      <c r="V372" s="1" t="inlineStr">
        <is>
          <t>AK</t>
        </is>
      </c>
      <c r="W372" s="1" t="inlineStr">
        <is>
          <t>AK</t>
        </is>
      </c>
      <c r="X37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2" t="n">
        <v>120000</v>
      </c>
      <c r="Z372" s="29">
        <f>(S372 - U372)/S372 * 100</f>
        <v/>
      </c>
      <c r="AA372">
        <f>IF(T_EMPLOYEES[[#This Row],[EMPLOYEE NUMBER]]="","",ROW(T_EMPLOYEES[[#This Row],[EMPLOYEE LABEL]])-ROW(T_EMPLOYEES[[#Headers],[EMPLOYEE LABEL]]))</f>
        <v/>
      </c>
      <c r="AB372">
        <f>IF(T_EMPLOYEES[[#This Row],[EMPLOYEE NUMBER]]="","",IF(COUNTIF(T_EMPLOYEES[EMPLOYEE NUMBER],T_EMPLOYEES[[#This Row],[EMPLOYEE NUMBER]])&gt;1,1,0))</f>
        <v/>
      </c>
      <c r="AC372">
        <f>IF(T_EMPLOYEES[[#This Row],[EMPLOYEE NUMBER]]="","",IF(AND(T_EMPLOYEES[[#This Row],[DATE OF BIRTH]]&gt;0,T_EMPLOYEES[[#This Row],[DATE OF BIRTH]]&lt;TODAY()),0,1))</f>
        <v/>
      </c>
      <c r="AD372">
        <f>IF(T_EMPLOYEES[[#This Row],[EMPLOYEE NUMBER]]="","",IF(AND(T_EMPLOYEES[[#This Row],[START DATE]]&gt;0,T_EMPLOYEES[[#This Row],[START DATE]]&lt;TODAY()+60),0,1))</f>
        <v/>
      </c>
      <c r="AE372">
        <f>IF(T_EMPLOYEES[[#This Row],[EMPLOYEE NUMBER]]="","",MATCH(T_EMPLOYEES[[#This Row],[GENDER]],L_GENDER,0))</f>
        <v/>
      </c>
      <c r="AF372">
        <f>IF(T_EMPLOYEES[[#This Row],[EMPLOYEE NUMBER]]="","",MATCH(T_EMPLOYEES[[#This Row],[HIRE SOURCE]],L_HIRESOURCE,0))</f>
        <v/>
      </c>
      <c r="AG372">
        <f>IF(T_EMPLOYEES[[#This Row],[EMPLOYEE NUMBER]]="","",MATCH(T_EMPLOYEES[[#This Row],[ETHNICITY]],L_ETHNICITY,0))</f>
        <v/>
      </c>
      <c r="AH372">
        <f>IF(T_EMPLOYEES[[#This Row],[EMPLOYEE NUMBER]]="","",MATCH(T_EMPLOYEES[[#This Row],[LOCATION]],L_LOCATION,0))</f>
        <v/>
      </c>
      <c r="AI372">
        <f>IF(T_EMPLOYEES[[#This Row],[EMPLOYEE NUMBER]]="","",MATCH(T_EMPLOYEES[[#This Row],[DEPARTMENT]],L_DEPARTMENT,0))</f>
        <v/>
      </c>
      <c r="AJ372">
        <f>IF(T_EMPLOYEES[[#This Row],[EMPLOYEE NUMBER]]="","",MATCH(T_EMPLOYEES[[#This Row],[JOB TYPE]],L_JOBTYPE,0))</f>
        <v/>
      </c>
      <c r="AK372">
        <f>IF(T_EMPLOYEES[[#This Row],[EMPLOYEE NUMBER]]="","",MATCH(T_EMPLOYEES[[#This Row],[JOB CATEGORY]],L_JOBCATEGORY,0))</f>
        <v/>
      </c>
      <c r="AL372">
        <f>IF(T_EMPLOYEES[[#This Row],[EMPLOYEE NUMBER]]="","",MATCH(T_EMPLOYEES[[#This Row],[JOB LEVEL]],L_JOBLEVEL,0))</f>
        <v/>
      </c>
      <c r="AM372">
        <f>IF(T_EMPLOYEES[[#This Row],[EMPLOYEE NUMBER]]="","",MATCH(T_EMPLOYEES[[#This Row],[JOB TITLE]],L_JOBTITLE,0))</f>
        <v/>
      </c>
      <c r="AN372">
        <f>IF(T_EMPLOYEES[[#This Row],[EMPLOYEE NUMBER]]="","",MATCH(T_EMPLOYEES[[#This Row],[MANAGER]],L_EMPLABELS,0))</f>
        <v/>
      </c>
      <c r="AO372">
        <f>IF(T_EMPLOYEES[[#This Row],[EMPLOYEE NUMBER]]="","",IF(T_EMPLOYEES[[#This Row],[ERROR]]="",0,1))</f>
        <v/>
      </c>
      <c r="AP37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3">
      <c r="A373" t="inlineStr">
        <is>
          <t>Roshni</t>
        </is>
      </c>
      <c r="B373" t="inlineStr">
        <is>
          <t xml:space="preserve"> Mishra</t>
        </is>
      </c>
      <c r="C373" t="n">
        <v>1023770</v>
      </c>
      <c r="D373" t="inlineStr">
        <is>
          <t>Roshni.Mishra@infinite.com</t>
        </is>
      </c>
      <c r="E373" s="26" t="n">
        <v>35791</v>
      </c>
      <c r="F373" s="26" t="n">
        <v>44075</v>
      </c>
      <c r="H373" t="inlineStr">
        <is>
          <t>Female</t>
        </is>
      </c>
      <c r="I373" t="inlineStr">
        <is>
          <t>Asian</t>
        </is>
      </c>
      <c r="J373" t="inlineStr">
        <is>
          <t>WEBSITE</t>
        </is>
      </c>
      <c r="K373" t="inlineStr">
        <is>
          <t>Bangalore</t>
        </is>
      </c>
      <c r="L373" s="27" t="inlineStr">
        <is>
          <t>Infra</t>
        </is>
      </c>
      <c r="M373" t="inlineStr">
        <is>
          <t>Full-Time</t>
        </is>
      </c>
      <c r="N373" t="inlineStr">
        <is>
          <t>Software Engineer</t>
        </is>
      </c>
      <c r="O373" t="inlineStr">
        <is>
          <t>E2</t>
        </is>
      </c>
      <c r="P373" t="inlineStr">
        <is>
          <t>Software Engineer</t>
        </is>
      </c>
      <c r="Q373" t="inlineStr">
        <is>
          <t>K  Saikumar (1026864)</t>
        </is>
      </c>
      <c r="R373" t="n">
        <v>4</v>
      </c>
      <c r="S373" s="1" t="n">
        <v>250000</v>
      </c>
      <c r="T373" s="1">
        <f>ROUND(T_EMPLOYEES[[#This Row],[EMP_CTC1]]/12, 0)</f>
        <v/>
      </c>
      <c r="U373" s="1" t="n">
        <v>150000</v>
      </c>
      <c r="V373" s="1" t="inlineStr">
        <is>
          <t>AK</t>
        </is>
      </c>
      <c r="W373" s="1" t="inlineStr">
        <is>
          <t>AK</t>
        </is>
      </c>
      <c r="X37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3" t="n">
        <v>120000</v>
      </c>
      <c r="Z373" s="29">
        <f>(S373 - U373)/S373 * 100</f>
        <v/>
      </c>
      <c r="AA373">
        <f>IF(T_EMPLOYEES[[#This Row],[EMPLOYEE NUMBER]]="","",ROW(T_EMPLOYEES[[#This Row],[EMPLOYEE LABEL]])-ROW(T_EMPLOYEES[[#Headers],[EMPLOYEE LABEL]]))</f>
        <v/>
      </c>
      <c r="AB373">
        <f>IF(T_EMPLOYEES[[#This Row],[EMPLOYEE NUMBER]]="","",IF(COUNTIF(T_EMPLOYEES[EMPLOYEE NUMBER],T_EMPLOYEES[[#This Row],[EMPLOYEE NUMBER]])&gt;1,1,0))</f>
        <v/>
      </c>
      <c r="AC373">
        <f>IF(T_EMPLOYEES[[#This Row],[EMPLOYEE NUMBER]]="","",IF(AND(T_EMPLOYEES[[#This Row],[DATE OF BIRTH]]&gt;0,T_EMPLOYEES[[#This Row],[DATE OF BIRTH]]&lt;TODAY()),0,1))</f>
        <v/>
      </c>
      <c r="AD373">
        <f>IF(T_EMPLOYEES[[#This Row],[EMPLOYEE NUMBER]]="","",IF(AND(T_EMPLOYEES[[#This Row],[START DATE]]&gt;0,T_EMPLOYEES[[#This Row],[START DATE]]&lt;TODAY()+60),0,1))</f>
        <v/>
      </c>
      <c r="AE373">
        <f>IF(T_EMPLOYEES[[#This Row],[EMPLOYEE NUMBER]]="","",MATCH(T_EMPLOYEES[[#This Row],[GENDER]],L_GENDER,0))</f>
        <v/>
      </c>
      <c r="AF373">
        <f>IF(T_EMPLOYEES[[#This Row],[EMPLOYEE NUMBER]]="","",MATCH(T_EMPLOYEES[[#This Row],[HIRE SOURCE]],L_HIRESOURCE,0))</f>
        <v/>
      </c>
      <c r="AG373">
        <f>IF(T_EMPLOYEES[[#This Row],[EMPLOYEE NUMBER]]="","",MATCH(T_EMPLOYEES[[#This Row],[ETHNICITY]],L_ETHNICITY,0))</f>
        <v/>
      </c>
      <c r="AH373">
        <f>IF(T_EMPLOYEES[[#This Row],[EMPLOYEE NUMBER]]="","",MATCH(T_EMPLOYEES[[#This Row],[LOCATION]],L_LOCATION,0))</f>
        <v/>
      </c>
      <c r="AI373">
        <f>IF(T_EMPLOYEES[[#This Row],[EMPLOYEE NUMBER]]="","",MATCH(T_EMPLOYEES[[#This Row],[DEPARTMENT]],L_DEPARTMENT,0))</f>
        <v/>
      </c>
      <c r="AJ373">
        <f>IF(T_EMPLOYEES[[#This Row],[EMPLOYEE NUMBER]]="","",MATCH(T_EMPLOYEES[[#This Row],[JOB TYPE]],L_JOBTYPE,0))</f>
        <v/>
      </c>
      <c r="AK373">
        <f>IF(T_EMPLOYEES[[#This Row],[EMPLOYEE NUMBER]]="","",MATCH(T_EMPLOYEES[[#This Row],[JOB CATEGORY]],L_JOBCATEGORY,0))</f>
        <v/>
      </c>
      <c r="AL373">
        <f>IF(T_EMPLOYEES[[#This Row],[EMPLOYEE NUMBER]]="","",MATCH(T_EMPLOYEES[[#This Row],[JOB LEVEL]],L_JOBLEVEL,0))</f>
        <v/>
      </c>
      <c r="AM373">
        <f>IF(T_EMPLOYEES[[#This Row],[EMPLOYEE NUMBER]]="","",MATCH(T_EMPLOYEES[[#This Row],[JOB TITLE]],L_JOBTITLE,0))</f>
        <v/>
      </c>
      <c r="AN373">
        <f>IF(T_EMPLOYEES[[#This Row],[EMPLOYEE NUMBER]]="","",MATCH(T_EMPLOYEES[[#This Row],[MANAGER]],L_EMPLABELS,0))</f>
        <v/>
      </c>
      <c r="AO373">
        <f>IF(T_EMPLOYEES[[#This Row],[EMPLOYEE NUMBER]]="","",IF(T_EMPLOYEES[[#This Row],[ERROR]]="",0,1))</f>
        <v/>
      </c>
      <c r="AP37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4">
      <c r="A374" t="inlineStr">
        <is>
          <t>Sunil</t>
        </is>
      </c>
      <c r="B374" t="inlineStr">
        <is>
          <t>Kumar Kallepalli</t>
        </is>
      </c>
      <c r="C374" t="n">
        <v>1027415</v>
      </c>
      <c r="D374" t="inlineStr">
        <is>
          <t>Sunil.Kallepalli@infinite.com</t>
        </is>
      </c>
      <c r="E374" s="26" t="n">
        <v>35799</v>
      </c>
      <c r="F374" s="26" t="n">
        <v>44531</v>
      </c>
      <c r="H374" t="inlineStr">
        <is>
          <t>Male</t>
        </is>
      </c>
      <c r="I374" t="inlineStr">
        <is>
          <t>Asian</t>
        </is>
      </c>
      <c r="J374" t="inlineStr">
        <is>
          <t>WEBSITE</t>
        </is>
      </c>
      <c r="K374" t="inlineStr">
        <is>
          <t>Hyderabad</t>
        </is>
      </c>
      <c r="L374" s="27" t="inlineStr">
        <is>
          <t>IT</t>
        </is>
      </c>
      <c r="M374" t="inlineStr">
        <is>
          <t>Full-Time</t>
        </is>
      </c>
      <c r="N374" t="inlineStr">
        <is>
          <t>Software Engineer</t>
        </is>
      </c>
      <c r="O374" t="inlineStr">
        <is>
          <t>E2</t>
        </is>
      </c>
      <c r="P374" t="inlineStr">
        <is>
          <t>Software Engineer</t>
        </is>
      </c>
      <c r="Q374" t="inlineStr">
        <is>
          <t>Kiran Kumar Uppara (1020047)</t>
        </is>
      </c>
      <c r="R374" s="27" t="n">
        <v>4</v>
      </c>
      <c r="S374" s="1" t="n">
        <v>250000</v>
      </c>
      <c r="T374" s="1">
        <f>ROUND(T_EMPLOYEES[[#This Row],[EMP_CTC1]]/12, 0)</f>
        <v/>
      </c>
      <c r="U374" s="1" t="n">
        <v>150000</v>
      </c>
      <c r="V374" s="1" t="inlineStr">
        <is>
          <t>AK</t>
        </is>
      </c>
      <c r="W374" s="1" t="inlineStr">
        <is>
          <t>AK</t>
        </is>
      </c>
      <c r="X37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4" t="n">
        <v>120000</v>
      </c>
      <c r="Z374" s="29">
        <f>(S374 - U374)/S374 * 100</f>
        <v/>
      </c>
      <c r="AA374">
        <f>IF(T_EMPLOYEES[[#This Row],[EMPLOYEE NUMBER]]="","",ROW(T_EMPLOYEES[[#This Row],[EMPLOYEE LABEL]])-ROW(T_EMPLOYEES[[#Headers],[EMPLOYEE LABEL]]))</f>
        <v/>
      </c>
      <c r="AB374">
        <f>IF(T_EMPLOYEES[[#This Row],[EMPLOYEE NUMBER]]="","",IF(COUNTIF(T_EMPLOYEES[EMPLOYEE NUMBER],T_EMPLOYEES[[#This Row],[EMPLOYEE NUMBER]])&gt;1,1,0))</f>
        <v/>
      </c>
      <c r="AC374">
        <f>IF(T_EMPLOYEES[[#This Row],[EMPLOYEE NUMBER]]="","",IF(AND(T_EMPLOYEES[[#This Row],[DATE OF BIRTH]]&gt;0,T_EMPLOYEES[[#This Row],[DATE OF BIRTH]]&lt;TODAY()),0,1))</f>
        <v/>
      </c>
      <c r="AD374">
        <f>IF(T_EMPLOYEES[[#This Row],[EMPLOYEE NUMBER]]="","",IF(AND(T_EMPLOYEES[[#This Row],[START DATE]]&gt;0,T_EMPLOYEES[[#This Row],[START DATE]]&lt;TODAY()+60),0,1))</f>
        <v/>
      </c>
      <c r="AE374">
        <f>IF(T_EMPLOYEES[[#This Row],[EMPLOYEE NUMBER]]="","",MATCH(T_EMPLOYEES[[#This Row],[GENDER]],L_GENDER,0))</f>
        <v/>
      </c>
      <c r="AF374">
        <f>IF(T_EMPLOYEES[[#This Row],[EMPLOYEE NUMBER]]="","",MATCH(T_EMPLOYEES[[#This Row],[HIRE SOURCE]],L_HIRESOURCE,0))</f>
        <v/>
      </c>
      <c r="AG374">
        <f>IF(T_EMPLOYEES[[#This Row],[EMPLOYEE NUMBER]]="","",MATCH(T_EMPLOYEES[[#This Row],[ETHNICITY]],L_ETHNICITY,0))</f>
        <v/>
      </c>
      <c r="AH374">
        <f>IF(T_EMPLOYEES[[#This Row],[EMPLOYEE NUMBER]]="","",MATCH(T_EMPLOYEES[[#This Row],[LOCATION]],L_LOCATION,0))</f>
        <v/>
      </c>
      <c r="AI374">
        <f>IF(T_EMPLOYEES[[#This Row],[EMPLOYEE NUMBER]]="","",MATCH(T_EMPLOYEES[[#This Row],[DEPARTMENT]],L_DEPARTMENT,0))</f>
        <v/>
      </c>
      <c r="AJ374">
        <f>IF(T_EMPLOYEES[[#This Row],[EMPLOYEE NUMBER]]="","",MATCH(T_EMPLOYEES[[#This Row],[JOB TYPE]],L_JOBTYPE,0))</f>
        <v/>
      </c>
      <c r="AK374">
        <f>IF(T_EMPLOYEES[[#This Row],[EMPLOYEE NUMBER]]="","",MATCH(T_EMPLOYEES[[#This Row],[JOB CATEGORY]],L_JOBCATEGORY,0))</f>
        <v/>
      </c>
      <c r="AL374">
        <f>IF(T_EMPLOYEES[[#This Row],[EMPLOYEE NUMBER]]="","",MATCH(T_EMPLOYEES[[#This Row],[JOB LEVEL]],L_JOBLEVEL,0))</f>
        <v/>
      </c>
      <c r="AM374">
        <f>IF(T_EMPLOYEES[[#This Row],[EMPLOYEE NUMBER]]="","",MATCH(T_EMPLOYEES[[#This Row],[JOB TITLE]],L_JOBTITLE,0))</f>
        <v/>
      </c>
      <c r="AN374">
        <f>IF(T_EMPLOYEES[[#This Row],[EMPLOYEE NUMBER]]="","",MATCH(T_EMPLOYEES[[#This Row],[MANAGER]],L_EMPLABELS,0))</f>
        <v/>
      </c>
      <c r="AO374">
        <f>IF(T_EMPLOYEES[[#This Row],[EMPLOYEE NUMBER]]="","",IF(T_EMPLOYEES[[#This Row],[ERROR]]="",0,1))</f>
        <v/>
      </c>
      <c r="AP37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5">
      <c r="A375" t="inlineStr">
        <is>
          <t>Naveen</t>
        </is>
      </c>
      <c r="B375" t="inlineStr">
        <is>
          <t>G N</t>
        </is>
      </c>
      <c r="C375" t="n">
        <v>1031903</v>
      </c>
      <c r="D375" t="inlineStr">
        <is>
          <t>Naveen.Gubbi@infinite.com</t>
        </is>
      </c>
      <c r="E375" s="26" t="n">
        <v>35817</v>
      </c>
      <c r="F375" s="26" t="n">
        <v>44918</v>
      </c>
      <c r="H375" t="inlineStr">
        <is>
          <t>Male</t>
        </is>
      </c>
      <c r="I375" t="inlineStr">
        <is>
          <t>Asian</t>
        </is>
      </c>
      <c r="J375" t="inlineStr">
        <is>
          <t>WEBSITE</t>
        </is>
      </c>
      <c r="K375" t="inlineStr">
        <is>
          <t>Bangalore</t>
        </is>
      </c>
      <c r="L375" s="27" t="inlineStr">
        <is>
          <t>IT</t>
        </is>
      </c>
      <c r="M375" t="inlineStr">
        <is>
          <t>Full-Time</t>
        </is>
      </c>
      <c r="N375" t="inlineStr">
        <is>
          <t>Software Engineer</t>
        </is>
      </c>
      <c r="O375" t="inlineStr">
        <is>
          <t>E2</t>
        </is>
      </c>
      <c r="P375" t="inlineStr">
        <is>
          <t>Software Engineer</t>
        </is>
      </c>
      <c r="Q375" t="inlineStr">
        <is>
          <t>K Murari Bhat (1008532)</t>
        </is>
      </c>
      <c r="R375" t="n">
        <v>4</v>
      </c>
      <c r="S375" s="1" t="n">
        <v>250000</v>
      </c>
      <c r="T375" s="1">
        <f>ROUND(T_EMPLOYEES[[#This Row],[EMP_CTC1]]/12, 0)</f>
        <v/>
      </c>
      <c r="U375" s="1" t="n">
        <v>150000</v>
      </c>
      <c r="V375" s="1" t="inlineStr">
        <is>
          <t>AK</t>
        </is>
      </c>
      <c r="W375" s="1" t="inlineStr">
        <is>
          <t>AK</t>
        </is>
      </c>
      <c r="X37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5" t="n">
        <v>120000</v>
      </c>
      <c r="Z375" s="29">
        <f>(S375 - U375)/S375 * 100</f>
        <v/>
      </c>
      <c r="AA375">
        <f>IF(T_EMPLOYEES[[#This Row],[EMPLOYEE NUMBER]]="","",ROW(T_EMPLOYEES[[#This Row],[EMPLOYEE LABEL]])-ROW(T_EMPLOYEES[[#Headers],[EMPLOYEE LABEL]]))</f>
        <v/>
      </c>
      <c r="AB375">
        <f>IF(T_EMPLOYEES[[#This Row],[EMPLOYEE NUMBER]]="","",IF(COUNTIF(T_EMPLOYEES[EMPLOYEE NUMBER],T_EMPLOYEES[[#This Row],[EMPLOYEE NUMBER]])&gt;1,1,0))</f>
        <v/>
      </c>
      <c r="AC375">
        <f>IF(T_EMPLOYEES[[#This Row],[EMPLOYEE NUMBER]]="","",IF(AND(T_EMPLOYEES[[#This Row],[DATE OF BIRTH]]&gt;0,T_EMPLOYEES[[#This Row],[DATE OF BIRTH]]&lt;TODAY()),0,1))</f>
        <v/>
      </c>
      <c r="AD375">
        <f>IF(T_EMPLOYEES[[#This Row],[EMPLOYEE NUMBER]]="","",IF(AND(T_EMPLOYEES[[#This Row],[START DATE]]&gt;0,T_EMPLOYEES[[#This Row],[START DATE]]&lt;TODAY()+60),0,1))</f>
        <v/>
      </c>
      <c r="AE375">
        <f>IF(T_EMPLOYEES[[#This Row],[EMPLOYEE NUMBER]]="","",MATCH(T_EMPLOYEES[[#This Row],[GENDER]],L_GENDER,0))</f>
        <v/>
      </c>
      <c r="AF375">
        <f>IF(T_EMPLOYEES[[#This Row],[EMPLOYEE NUMBER]]="","",MATCH(T_EMPLOYEES[[#This Row],[HIRE SOURCE]],L_HIRESOURCE,0))</f>
        <v/>
      </c>
      <c r="AG375">
        <f>IF(T_EMPLOYEES[[#This Row],[EMPLOYEE NUMBER]]="","",MATCH(T_EMPLOYEES[[#This Row],[ETHNICITY]],L_ETHNICITY,0))</f>
        <v/>
      </c>
      <c r="AH375">
        <f>IF(T_EMPLOYEES[[#This Row],[EMPLOYEE NUMBER]]="","",MATCH(T_EMPLOYEES[[#This Row],[LOCATION]],L_LOCATION,0))</f>
        <v/>
      </c>
      <c r="AI375">
        <f>IF(T_EMPLOYEES[[#This Row],[EMPLOYEE NUMBER]]="","",MATCH(T_EMPLOYEES[[#This Row],[DEPARTMENT]],L_DEPARTMENT,0))</f>
        <v/>
      </c>
      <c r="AJ375">
        <f>IF(T_EMPLOYEES[[#This Row],[EMPLOYEE NUMBER]]="","",MATCH(T_EMPLOYEES[[#This Row],[JOB TYPE]],L_JOBTYPE,0))</f>
        <v/>
      </c>
      <c r="AK375">
        <f>IF(T_EMPLOYEES[[#This Row],[EMPLOYEE NUMBER]]="","",MATCH(T_EMPLOYEES[[#This Row],[JOB CATEGORY]],L_JOBCATEGORY,0))</f>
        <v/>
      </c>
      <c r="AL375">
        <f>IF(T_EMPLOYEES[[#This Row],[EMPLOYEE NUMBER]]="","",MATCH(T_EMPLOYEES[[#This Row],[JOB LEVEL]],L_JOBLEVEL,0))</f>
        <v/>
      </c>
      <c r="AM375">
        <f>IF(T_EMPLOYEES[[#This Row],[EMPLOYEE NUMBER]]="","",MATCH(T_EMPLOYEES[[#This Row],[JOB TITLE]],L_JOBTITLE,0))</f>
        <v/>
      </c>
      <c r="AN375">
        <f>IF(T_EMPLOYEES[[#This Row],[EMPLOYEE NUMBER]]="","",MATCH(T_EMPLOYEES[[#This Row],[MANAGER]],L_EMPLABELS,0))</f>
        <v/>
      </c>
      <c r="AO375">
        <f>IF(T_EMPLOYEES[[#This Row],[EMPLOYEE NUMBER]]="","",IF(T_EMPLOYEES[[#This Row],[ERROR]]="",0,1))</f>
        <v/>
      </c>
      <c r="AP37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6">
      <c r="A376" t="inlineStr">
        <is>
          <t>Menta</t>
        </is>
      </c>
      <c r="B376" t="inlineStr">
        <is>
          <t>Venkata Naga Sai Saran</t>
        </is>
      </c>
      <c r="C376" t="n">
        <v>1026952</v>
      </c>
      <c r="D376" t="inlineStr">
        <is>
          <t>Sai.Saran@infinite.com</t>
        </is>
      </c>
      <c r="E376" s="26" t="n">
        <v>35825</v>
      </c>
      <c r="F376" s="26" t="n">
        <v>44494</v>
      </c>
      <c r="H376" t="inlineStr">
        <is>
          <t>Male</t>
        </is>
      </c>
      <c r="I376" t="inlineStr">
        <is>
          <t>Asian</t>
        </is>
      </c>
      <c r="J376" t="inlineStr">
        <is>
          <t>WEBSITE</t>
        </is>
      </c>
      <c r="K376" t="inlineStr">
        <is>
          <t>Hyderabad</t>
        </is>
      </c>
      <c r="L376" s="27" t="inlineStr">
        <is>
          <t>IT</t>
        </is>
      </c>
      <c r="M376" t="inlineStr">
        <is>
          <t>Full-Time</t>
        </is>
      </c>
      <c r="N376" t="inlineStr">
        <is>
          <t>Senior Software Engineer</t>
        </is>
      </c>
      <c r="O376" t="inlineStr">
        <is>
          <t>E3</t>
        </is>
      </c>
      <c r="P376" t="inlineStr">
        <is>
          <t>Senior Software Engineer</t>
        </is>
      </c>
      <c r="Q376" t="inlineStr">
        <is>
          <t>Siddharth Kumar (1027551)</t>
        </is>
      </c>
      <c r="R376" s="27" t="n">
        <v>4</v>
      </c>
      <c r="S376" s="1" t="n">
        <v>250000</v>
      </c>
      <c r="T376" s="1">
        <f>ROUND(T_EMPLOYEES[[#This Row],[EMP_CTC1]]/12, 0)</f>
        <v/>
      </c>
      <c r="U376" s="1" t="n">
        <v>150000</v>
      </c>
      <c r="V376" s="1" t="inlineStr">
        <is>
          <t>AK</t>
        </is>
      </c>
      <c r="W376" s="1" t="inlineStr">
        <is>
          <t>AK</t>
        </is>
      </c>
      <c r="X37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6" t="n">
        <v>120000</v>
      </c>
      <c r="Z376" s="29">
        <f>(S376 - U376)/S376 * 100</f>
        <v/>
      </c>
      <c r="AA376">
        <f>IF(T_EMPLOYEES[[#This Row],[EMPLOYEE NUMBER]]="","",ROW(T_EMPLOYEES[[#This Row],[EMPLOYEE LABEL]])-ROW(T_EMPLOYEES[[#Headers],[EMPLOYEE LABEL]]))</f>
        <v/>
      </c>
      <c r="AB376">
        <f>IF(T_EMPLOYEES[[#This Row],[EMPLOYEE NUMBER]]="","",IF(COUNTIF(T_EMPLOYEES[EMPLOYEE NUMBER],T_EMPLOYEES[[#This Row],[EMPLOYEE NUMBER]])&gt;1,1,0))</f>
        <v/>
      </c>
      <c r="AC376">
        <f>IF(T_EMPLOYEES[[#This Row],[EMPLOYEE NUMBER]]="","",IF(AND(T_EMPLOYEES[[#This Row],[DATE OF BIRTH]]&gt;0,T_EMPLOYEES[[#This Row],[DATE OF BIRTH]]&lt;TODAY()),0,1))</f>
        <v/>
      </c>
      <c r="AD376">
        <f>IF(T_EMPLOYEES[[#This Row],[EMPLOYEE NUMBER]]="","",IF(AND(T_EMPLOYEES[[#This Row],[START DATE]]&gt;0,T_EMPLOYEES[[#This Row],[START DATE]]&lt;TODAY()+60),0,1))</f>
        <v/>
      </c>
      <c r="AE376">
        <f>IF(T_EMPLOYEES[[#This Row],[EMPLOYEE NUMBER]]="","",MATCH(T_EMPLOYEES[[#This Row],[GENDER]],L_GENDER,0))</f>
        <v/>
      </c>
      <c r="AF376">
        <f>IF(T_EMPLOYEES[[#This Row],[EMPLOYEE NUMBER]]="","",MATCH(T_EMPLOYEES[[#This Row],[HIRE SOURCE]],L_HIRESOURCE,0))</f>
        <v/>
      </c>
      <c r="AG376">
        <f>IF(T_EMPLOYEES[[#This Row],[EMPLOYEE NUMBER]]="","",MATCH(T_EMPLOYEES[[#This Row],[ETHNICITY]],L_ETHNICITY,0))</f>
        <v/>
      </c>
      <c r="AH376">
        <f>IF(T_EMPLOYEES[[#This Row],[EMPLOYEE NUMBER]]="","",MATCH(T_EMPLOYEES[[#This Row],[LOCATION]],L_LOCATION,0))</f>
        <v/>
      </c>
      <c r="AI376">
        <f>IF(T_EMPLOYEES[[#This Row],[EMPLOYEE NUMBER]]="","",MATCH(T_EMPLOYEES[[#This Row],[DEPARTMENT]],L_DEPARTMENT,0))</f>
        <v/>
      </c>
      <c r="AJ376">
        <f>IF(T_EMPLOYEES[[#This Row],[EMPLOYEE NUMBER]]="","",MATCH(T_EMPLOYEES[[#This Row],[JOB TYPE]],L_JOBTYPE,0))</f>
        <v/>
      </c>
      <c r="AK376">
        <f>IF(T_EMPLOYEES[[#This Row],[EMPLOYEE NUMBER]]="","",MATCH(T_EMPLOYEES[[#This Row],[JOB CATEGORY]],L_JOBCATEGORY,0))</f>
        <v/>
      </c>
      <c r="AL376">
        <f>IF(T_EMPLOYEES[[#This Row],[EMPLOYEE NUMBER]]="","",MATCH(T_EMPLOYEES[[#This Row],[JOB LEVEL]],L_JOBLEVEL,0))</f>
        <v/>
      </c>
      <c r="AM376">
        <f>IF(T_EMPLOYEES[[#This Row],[EMPLOYEE NUMBER]]="","",MATCH(T_EMPLOYEES[[#This Row],[JOB TITLE]],L_JOBTITLE,0))</f>
        <v/>
      </c>
      <c r="AN376">
        <f>IF(T_EMPLOYEES[[#This Row],[EMPLOYEE NUMBER]]="","",MATCH(T_EMPLOYEES[[#This Row],[MANAGER]],L_EMPLABELS,0))</f>
        <v/>
      </c>
      <c r="AO376">
        <f>IF(T_EMPLOYEES[[#This Row],[EMPLOYEE NUMBER]]="","",IF(T_EMPLOYEES[[#This Row],[ERROR]]="",0,1))</f>
        <v/>
      </c>
      <c r="AP37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7">
      <c r="A377" t="inlineStr">
        <is>
          <t>Swathi</t>
        </is>
      </c>
      <c r="B377" t="inlineStr">
        <is>
          <t>K P</t>
        </is>
      </c>
      <c r="C377" t="n">
        <v>1030387</v>
      </c>
      <c r="D377" t="inlineStr">
        <is>
          <t>Swathi.Poojappa@infinite.com</t>
        </is>
      </c>
      <c r="E377" s="26" t="n">
        <v>35828</v>
      </c>
      <c r="F377" s="26" t="n">
        <v>44825</v>
      </c>
      <c r="H377" t="inlineStr">
        <is>
          <t>Female</t>
        </is>
      </c>
      <c r="I377" t="inlineStr">
        <is>
          <t>Asian</t>
        </is>
      </c>
      <c r="J377" t="inlineStr">
        <is>
          <t>WEBSITE</t>
        </is>
      </c>
      <c r="K377" t="inlineStr">
        <is>
          <t>Bangalore</t>
        </is>
      </c>
      <c r="L377" s="27" t="inlineStr">
        <is>
          <t>Core</t>
        </is>
      </c>
      <c r="M377" t="inlineStr">
        <is>
          <t>Full-Time</t>
        </is>
      </c>
      <c r="N377" t="inlineStr">
        <is>
          <t>Associate Software Engineer</t>
        </is>
      </c>
      <c r="O377" t="inlineStr">
        <is>
          <t>E1</t>
        </is>
      </c>
      <c r="P377" t="inlineStr">
        <is>
          <t>Associate Software Engineer</t>
        </is>
      </c>
      <c r="Q377" t="inlineStr">
        <is>
          <t>Anil Kumar Khamari (1013201)</t>
        </is>
      </c>
      <c r="R377" t="n">
        <v>0</v>
      </c>
      <c r="S377" s="1" t="n">
        <v>250000</v>
      </c>
      <c r="T377" s="1">
        <f>ROUND(T_EMPLOYEES[[#This Row],[EMP_CTC1]]/12, 0)</f>
        <v/>
      </c>
      <c r="U377" s="1" t="n">
        <v>150000</v>
      </c>
      <c r="V377" s="1" t="inlineStr">
        <is>
          <t>AK</t>
        </is>
      </c>
      <c r="W377" s="1" t="inlineStr">
        <is>
          <t>AK</t>
        </is>
      </c>
      <c r="X37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7" t="n">
        <v>120000</v>
      </c>
      <c r="Z377" s="29">
        <f>(S377 - U377)/S377 * 100</f>
        <v/>
      </c>
      <c r="AA377">
        <f>IF(T_EMPLOYEES[[#This Row],[EMPLOYEE NUMBER]]="","",ROW(T_EMPLOYEES[[#This Row],[EMPLOYEE LABEL]])-ROW(T_EMPLOYEES[[#Headers],[EMPLOYEE LABEL]]))</f>
        <v/>
      </c>
      <c r="AB377">
        <f>IF(T_EMPLOYEES[[#This Row],[EMPLOYEE NUMBER]]="","",IF(COUNTIF(T_EMPLOYEES[EMPLOYEE NUMBER],T_EMPLOYEES[[#This Row],[EMPLOYEE NUMBER]])&gt;1,1,0))</f>
        <v/>
      </c>
      <c r="AC377">
        <f>IF(T_EMPLOYEES[[#This Row],[EMPLOYEE NUMBER]]="","",IF(AND(T_EMPLOYEES[[#This Row],[DATE OF BIRTH]]&gt;0,T_EMPLOYEES[[#This Row],[DATE OF BIRTH]]&lt;TODAY()),0,1))</f>
        <v/>
      </c>
      <c r="AD377">
        <f>IF(T_EMPLOYEES[[#This Row],[EMPLOYEE NUMBER]]="","",IF(AND(T_EMPLOYEES[[#This Row],[START DATE]]&gt;0,T_EMPLOYEES[[#This Row],[START DATE]]&lt;TODAY()+60),0,1))</f>
        <v/>
      </c>
      <c r="AE377">
        <f>IF(T_EMPLOYEES[[#This Row],[EMPLOYEE NUMBER]]="","",MATCH(T_EMPLOYEES[[#This Row],[GENDER]],L_GENDER,0))</f>
        <v/>
      </c>
      <c r="AF377">
        <f>IF(T_EMPLOYEES[[#This Row],[EMPLOYEE NUMBER]]="","",MATCH(T_EMPLOYEES[[#This Row],[HIRE SOURCE]],L_HIRESOURCE,0))</f>
        <v/>
      </c>
      <c r="AG377">
        <f>IF(T_EMPLOYEES[[#This Row],[EMPLOYEE NUMBER]]="","",MATCH(T_EMPLOYEES[[#This Row],[ETHNICITY]],L_ETHNICITY,0))</f>
        <v/>
      </c>
      <c r="AH377">
        <f>IF(T_EMPLOYEES[[#This Row],[EMPLOYEE NUMBER]]="","",MATCH(T_EMPLOYEES[[#This Row],[LOCATION]],L_LOCATION,0))</f>
        <v/>
      </c>
      <c r="AI377">
        <f>IF(T_EMPLOYEES[[#This Row],[EMPLOYEE NUMBER]]="","",MATCH(T_EMPLOYEES[[#This Row],[DEPARTMENT]],L_DEPARTMENT,0))</f>
        <v/>
      </c>
      <c r="AJ377">
        <f>IF(T_EMPLOYEES[[#This Row],[EMPLOYEE NUMBER]]="","",MATCH(T_EMPLOYEES[[#This Row],[JOB TYPE]],L_JOBTYPE,0))</f>
        <v/>
      </c>
      <c r="AK377">
        <f>IF(T_EMPLOYEES[[#This Row],[EMPLOYEE NUMBER]]="","",MATCH(T_EMPLOYEES[[#This Row],[JOB CATEGORY]],L_JOBCATEGORY,0))</f>
        <v/>
      </c>
      <c r="AL377">
        <f>IF(T_EMPLOYEES[[#This Row],[EMPLOYEE NUMBER]]="","",MATCH(T_EMPLOYEES[[#This Row],[JOB LEVEL]],L_JOBLEVEL,0))</f>
        <v/>
      </c>
      <c r="AM377">
        <f>IF(T_EMPLOYEES[[#This Row],[EMPLOYEE NUMBER]]="","",MATCH(T_EMPLOYEES[[#This Row],[JOB TITLE]],L_JOBTITLE,0))</f>
        <v/>
      </c>
      <c r="AN377">
        <f>IF(T_EMPLOYEES[[#This Row],[EMPLOYEE NUMBER]]="","",MATCH(T_EMPLOYEES[[#This Row],[MANAGER]],L_EMPLABELS,0))</f>
        <v/>
      </c>
      <c r="AO377">
        <f>IF(T_EMPLOYEES[[#This Row],[EMPLOYEE NUMBER]]="","",IF(T_EMPLOYEES[[#This Row],[ERROR]]="",0,1))</f>
        <v/>
      </c>
      <c r="AP37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8">
      <c r="A378" t="inlineStr">
        <is>
          <t>Sharon</t>
        </is>
      </c>
      <c r="B378" t="inlineStr">
        <is>
          <t xml:space="preserve"> J</t>
        </is>
      </c>
      <c r="C378" t="n">
        <v>1024023</v>
      </c>
      <c r="D378" t="inlineStr">
        <is>
          <t>Sharon.John@infinite.com</t>
        </is>
      </c>
      <c r="E378" s="26" t="n">
        <v>35849</v>
      </c>
      <c r="F378" s="26" t="n">
        <v>44132</v>
      </c>
      <c r="H378" t="inlineStr">
        <is>
          <t>Female</t>
        </is>
      </c>
      <c r="I378" t="inlineStr">
        <is>
          <t>Asian</t>
        </is>
      </c>
      <c r="J378" t="inlineStr">
        <is>
          <t>WEBSITE</t>
        </is>
      </c>
      <c r="K378" t="inlineStr">
        <is>
          <t>Bangalore</t>
        </is>
      </c>
      <c r="L378" s="27" t="inlineStr">
        <is>
          <t>Core</t>
        </is>
      </c>
      <c r="M378" t="inlineStr">
        <is>
          <t>Full-Time</t>
        </is>
      </c>
      <c r="N378" t="inlineStr">
        <is>
          <t>Software Engineer</t>
        </is>
      </c>
      <c r="O378" t="inlineStr">
        <is>
          <t>E2</t>
        </is>
      </c>
      <c r="P378" t="inlineStr">
        <is>
          <t>Software Engineer</t>
        </is>
      </c>
      <c r="Q378" t="inlineStr">
        <is>
          <t>Anil Kumar Khamari (1013201)</t>
        </is>
      </c>
      <c r="R378" s="27" t="n">
        <v>4</v>
      </c>
      <c r="S378" s="1" t="n">
        <v>250000</v>
      </c>
      <c r="T378" s="1">
        <f>ROUND(T_EMPLOYEES[[#This Row],[EMP_CTC1]]/12, 0)</f>
        <v/>
      </c>
      <c r="U378" s="1" t="n">
        <v>150000</v>
      </c>
      <c r="V378" s="1" t="inlineStr">
        <is>
          <t>AK</t>
        </is>
      </c>
      <c r="W378" s="1" t="inlineStr">
        <is>
          <t>AK</t>
        </is>
      </c>
      <c r="X37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8" t="n">
        <v>120000</v>
      </c>
      <c r="Z378" s="29">
        <f>(S378 - U378)/S378 * 100</f>
        <v/>
      </c>
      <c r="AA378">
        <f>IF(T_EMPLOYEES[[#This Row],[EMPLOYEE NUMBER]]="","",ROW(T_EMPLOYEES[[#This Row],[EMPLOYEE LABEL]])-ROW(T_EMPLOYEES[[#Headers],[EMPLOYEE LABEL]]))</f>
        <v/>
      </c>
      <c r="AB378">
        <f>IF(T_EMPLOYEES[[#This Row],[EMPLOYEE NUMBER]]="","",IF(COUNTIF(T_EMPLOYEES[EMPLOYEE NUMBER],T_EMPLOYEES[[#This Row],[EMPLOYEE NUMBER]])&gt;1,1,0))</f>
        <v/>
      </c>
      <c r="AC378">
        <f>IF(T_EMPLOYEES[[#This Row],[EMPLOYEE NUMBER]]="","",IF(AND(T_EMPLOYEES[[#This Row],[DATE OF BIRTH]]&gt;0,T_EMPLOYEES[[#This Row],[DATE OF BIRTH]]&lt;TODAY()),0,1))</f>
        <v/>
      </c>
      <c r="AD378">
        <f>IF(T_EMPLOYEES[[#This Row],[EMPLOYEE NUMBER]]="","",IF(AND(T_EMPLOYEES[[#This Row],[START DATE]]&gt;0,T_EMPLOYEES[[#This Row],[START DATE]]&lt;TODAY()+60),0,1))</f>
        <v/>
      </c>
      <c r="AE378">
        <f>IF(T_EMPLOYEES[[#This Row],[EMPLOYEE NUMBER]]="","",MATCH(T_EMPLOYEES[[#This Row],[GENDER]],L_GENDER,0))</f>
        <v/>
      </c>
      <c r="AF378">
        <f>IF(T_EMPLOYEES[[#This Row],[EMPLOYEE NUMBER]]="","",MATCH(T_EMPLOYEES[[#This Row],[HIRE SOURCE]],L_HIRESOURCE,0))</f>
        <v/>
      </c>
      <c r="AG378">
        <f>IF(T_EMPLOYEES[[#This Row],[EMPLOYEE NUMBER]]="","",MATCH(T_EMPLOYEES[[#This Row],[ETHNICITY]],L_ETHNICITY,0))</f>
        <v/>
      </c>
      <c r="AH378">
        <f>IF(T_EMPLOYEES[[#This Row],[EMPLOYEE NUMBER]]="","",MATCH(T_EMPLOYEES[[#This Row],[LOCATION]],L_LOCATION,0))</f>
        <v/>
      </c>
      <c r="AI378">
        <f>IF(T_EMPLOYEES[[#This Row],[EMPLOYEE NUMBER]]="","",MATCH(T_EMPLOYEES[[#This Row],[DEPARTMENT]],L_DEPARTMENT,0))</f>
        <v/>
      </c>
      <c r="AJ378">
        <f>IF(T_EMPLOYEES[[#This Row],[EMPLOYEE NUMBER]]="","",MATCH(T_EMPLOYEES[[#This Row],[JOB TYPE]],L_JOBTYPE,0))</f>
        <v/>
      </c>
      <c r="AK378">
        <f>IF(T_EMPLOYEES[[#This Row],[EMPLOYEE NUMBER]]="","",MATCH(T_EMPLOYEES[[#This Row],[JOB CATEGORY]],L_JOBCATEGORY,0))</f>
        <v/>
      </c>
      <c r="AL378">
        <f>IF(T_EMPLOYEES[[#This Row],[EMPLOYEE NUMBER]]="","",MATCH(T_EMPLOYEES[[#This Row],[JOB LEVEL]],L_JOBLEVEL,0))</f>
        <v/>
      </c>
      <c r="AM378">
        <f>IF(T_EMPLOYEES[[#This Row],[EMPLOYEE NUMBER]]="","",MATCH(T_EMPLOYEES[[#This Row],[JOB TITLE]],L_JOBTITLE,0))</f>
        <v/>
      </c>
      <c r="AN378">
        <f>IF(T_EMPLOYEES[[#This Row],[EMPLOYEE NUMBER]]="","",MATCH(T_EMPLOYEES[[#This Row],[MANAGER]],L_EMPLABELS,0))</f>
        <v/>
      </c>
      <c r="AO378">
        <f>IF(T_EMPLOYEES[[#This Row],[EMPLOYEE NUMBER]]="","",IF(T_EMPLOYEES[[#This Row],[ERROR]]="",0,1))</f>
        <v/>
      </c>
      <c r="AP37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79">
      <c r="A379" t="inlineStr">
        <is>
          <t>Aishwarya</t>
        </is>
      </c>
      <c r="B379" t="inlineStr">
        <is>
          <t xml:space="preserve"> Ds</t>
        </is>
      </c>
      <c r="C379" t="n">
        <v>1024946</v>
      </c>
      <c r="D379" t="inlineStr">
        <is>
          <t>Aishwarya.Subbaiah@infinite.com</t>
        </is>
      </c>
      <c r="E379" s="26" t="n">
        <v>35858</v>
      </c>
      <c r="F379" s="26" t="n">
        <v>44287</v>
      </c>
      <c r="H379" t="inlineStr">
        <is>
          <t>Female</t>
        </is>
      </c>
      <c r="I379" t="inlineStr">
        <is>
          <t>Asian</t>
        </is>
      </c>
      <c r="J379" t="inlineStr">
        <is>
          <t>WEBSITE</t>
        </is>
      </c>
      <c r="K379" t="inlineStr">
        <is>
          <t>Bangalore</t>
        </is>
      </c>
      <c r="L379" s="27" t="inlineStr">
        <is>
          <t>QA</t>
        </is>
      </c>
      <c r="M379" t="inlineStr">
        <is>
          <t>Full-Time</t>
        </is>
      </c>
      <c r="N379" t="inlineStr">
        <is>
          <t>Software Test Engineer</t>
        </is>
      </c>
      <c r="O379" t="inlineStr">
        <is>
          <t>E2</t>
        </is>
      </c>
      <c r="P379" t="inlineStr">
        <is>
          <t>Software Test Engineer</t>
        </is>
      </c>
      <c r="Q379" t="inlineStr">
        <is>
          <t>Siva Kumar  Shada (1000177)</t>
        </is>
      </c>
      <c r="R379" t="n">
        <v>4</v>
      </c>
      <c r="S379" s="1" t="n">
        <v>250000</v>
      </c>
      <c r="T379" s="1">
        <f>ROUND(T_EMPLOYEES[[#This Row],[EMP_CTC1]]/12, 0)</f>
        <v/>
      </c>
      <c r="U379" s="1" t="n">
        <v>150000</v>
      </c>
      <c r="V379" s="1" t="inlineStr">
        <is>
          <t>AK</t>
        </is>
      </c>
      <c r="W379" s="1" t="inlineStr">
        <is>
          <t>AK</t>
        </is>
      </c>
      <c r="X37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79" t="n">
        <v>120000</v>
      </c>
      <c r="Z379" s="29">
        <f>(S379 - U379)/S379 * 100</f>
        <v/>
      </c>
      <c r="AA379">
        <f>IF(T_EMPLOYEES[[#This Row],[EMPLOYEE NUMBER]]="","",ROW(T_EMPLOYEES[[#This Row],[EMPLOYEE LABEL]])-ROW(T_EMPLOYEES[[#Headers],[EMPLOYEE LABEL]]))</f>
        <v/>
      </c>
      <c r="AB379">
        <f>IF(T_EMPLOYEES[[#This Row],[EMPLOYEE NUMBER]]="","",IF(COUNTIF(T_EMPLOYEES[EMPLOYEE NUMBER],T_EMPLOYEES[[#This Row],[EMPLOYEE NUMBER]])&gt;1,1,0))</f>
        <v/>
      </c>
      <c r="AC379">
        <f>IF(T_EMPLOYEES[[#This Row],[EMPLOYEE NUMBER]]="","",IF(AND(T_EMPLOYEES[[#This Row],[DATE OF BIRTH]]&gt;0,T_EMPLOYEES[[#This Row],[DATE OF BIRTH]]&lt;TODAY()),0,1))</f>
        <v/>
      </c>
      <c r="AD379">
        <f>IF(T_EMPLOYEES[[#This Row],[EMPLOYEE NUMBER]]="","",IF(AND(T_EMPLOYEES[[#This Row],[START DATE]]&gt;0,T_EMPLOYEES[[#This Row],[START DATE]]&lt;TODAY()+60),0,1))</f>
        <v/>
      </c>
      <c r="AE379">
        <f>IF(T_EMPLOYEES[[#This Row],[EMPLOYEE NUMBER]]="","",MATCH(T_EMPLOYEES[[#This Row],[GENDER]],L_GENDER,0))</f>
        <v/>
      </c>
      <c r="AF379">
        <f>IF(T_EMPLOYEES[[#This Row],[EMPLOYEE NUMBER]]="","",MATCH(T_EMPLOYEES[[#This Row],[HIRE SOURCE]],L_HIRESOURCE,0))</f>
        <v/>
      </c>
      <c r="AG379">
        <f>IF(T_EMPLOYEES[[#This Row],[EMPLOYEE NUMBER]]="","",MATCH(T_EMPLOYEES[[#This Row],[ETHNICITY]],L_ETHNICITY,0))</f>
        <v/>
      </c>
      <c r="AH379">
        <f>IF(T_EMPLOYEES[[#This Row],[EMPLOYEE NUMBER]]="","",MATCH(T_EMPLOYEES[[#This Row],[LOCATION]],L_LOCATION,0))</f>
        <v/>
      </c>
      <c r="AI379">
        <f>IF(T_EMPLOYEES[[#This Row],[EMPLOYEE NUMBER]]="","",MATCH(T_EMPLOYEES[[#This Row],[DEPARTMENT]],L_DEPARTMENT,0))</f>
        <v/>
      </c>
      <c r="AJ379">
        <f>IF(T_EMPLOYEES[[#This Row],[EMPLOYEE NUMBER]]="","",MATCH(T_EMPLOYEES[[#This Row],[JOB TYPE]],L_JOBTYPE,0))</f>
        <v/>
      </c>
      <c r="AK379">
        <f>IF(T_EMPLOYEES[[#This Row],[EMPLOYEE NUMBER]]="","",MATCH(T_EMPLOYEES[[#This Row],[JOB CATEGORY]],L_JOBCATEGORY,0))</f>
        <v/>
      </c>
      <c r="AL379">
        <f>IF(T_EMPLOYEES[[#This Row],[EMPLOYEE NUMBER]]="","",MATCH(T_EMPLOYEES[[#This Row],[JOB LEVEL]],L_JOBLEVEL,0))</f>
        <v/>
      </c>
      <c r="AM379">
        <f>IF(T_EMPLOYEES[[#This Row],[EMPLOYEE NUMBER]]="","",MATCH(T_EMPLOYEES[[#This Row],[JOB TITLE]],L_JOBTITLE,0))</f>
        <v/>
      </c>
      <c r="AN379">
        <f>IF(T_EMPLOYEES[[#This Row],[EMPLOYEE NUMBER]]="","",MATCH(T_EMPLOYEES[[#This Row],[MANAGER]],L_EMPLABELS,0))</f>
        <v/>
      </c>
      <c r="AO379">
        <f>IF(T_EMPLOYEES[[#This Row],[EMPLOYEE NUMBER]]="","",IF(T_EMPLOYEES[[#This Row],[ERROR]]="",0,1))</f>
        <v/>
      </c>
      <c r="AP37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0">
      <c r="A380" t="inlineStr">
        <is>
          <t>Gayathri</t>
        </is>
      </c>
      <c r="B380" t="inlineStr">
        <is>
          <t xml:space="preserve"> Mariyappan</t>
        </is>
      </c>
      <c r="C380" t="n">
        <v>1021855</v>
      </c>
      <c r="D380" t="inlineStr">
        <is>
          <t>Gayathri.Mariyappan@infinite.com</t>
        </is>
      </c>
      <c r="E380" s="26" t="n">
        <v>35859</v>
      </c>
      <c r="F380" s="26" t="n">
        <v>43577</v>
      </c>
      <c r="H380" t="inlineStr">
        <is>
          <t>Female</t>
        </is>
      </c>
      <c r="I380" t="inlineStr">
        <is>
          <t>Asian</t>
        </is>
      </c>
      <c r="J380" t="inlineStr">
        <is>
          <t>WEBSITE</t>
        </is>
      </c>
      <c r="K380" t="inlineStr">
        <is>
          <t>Bangalore</t>
        </is>
      </c>
      <c r="L380" s="27" t="inlineStr">
        <is>
          <t>Core</t>
        </is>
      </c>
      <c r="M380" t="inlineStr">
        <is>
          <t>Full-Time</t>
        </is>
      </c>
      <c r="N380" t="inlineStr">
        <is>
          <t>Senior Software Engineer</t>
        </is>
      </c>
      <c r="O380" t="inlineStr">
        <is>
          <t>E3</t>
        </is>
      </c>
      <c r="P380" t="inlineStr">
        <is>
          <t>Senior Software Engineer</t>
        </is>
      </c>
      <c r="Q380" t="inlineStr">
        <is>
          <t>Anil Kumar Khamari (1013201)</t>
        </is>
      </c>
      <c r="R380" s="27" t="n">
        <v>4</v>
      </c>
      <c r="S380" s="1" t="n">
        <v>250000</v>
      </c>
      <c r="T380" s="1">
        <f>ROUND(T_EMPLOYEES[[#This Row],[EMP_CTC1]]/12, 0)</f>
        <v/>
      </c>
      <c r="U380" s="1" t="n">
        <v>150000</v>
      </c>
      <c r="V380" s="1" t="inlineStr">
        <is>
          <t>AK</t>
        </is>
      </c>
      <c r="W380" s="1" t="inlineStr">
        <is>
          <t>AK</t>
        </is>
      </c>
      <c r="X38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0" t="n">
        <v>120000</v>
      </c>
      <c r="Z380" s="29">
        <f>(S380 - U380)/S380 * 100</f>
        <v/>
      </c>
      <c r="AA380">
        <f>IF(T_EMPLOYEES[[#This Row],[EMPLOYEE NUMBER]]="","",ROW(T_EMPLOYEES[[#This Row],[EMPLOYEE LABEL]])-ROW(T_EMPLOYEES[[#Headers],[EMPLOYEE LABEL]]))</f>
        <v/>
      </c>
      <c r="AB380">
        <f>IF(T_EMPLOYEES[[#This Row],[EMPLOYEE NUMBER]]="","",IF(COUNTIF(T_EMPLOYEES[EMPLOYEE NUMBER],T_EMPLOYEES[[#This Row],[EMPLOYEE NUMBER]])&gt;1,1,0))</f>
        <v/>
      </c>
      <c r="AC380">
        <f>IF(T_EMPLOYEES[[#This Row],[EMPLOYEE NUMBER]]="","",IF(AND(T_EMPLOYEES[[#This Row],[DATE OF BIRTH]]&gt;0,T_EMPLOYEES[[#This Row],[DATE OF BIRTH]]&lt;TODAY()),0,1))</f>
        <v/>
      </c>
      <c r="AD380">
        <f>IF(T_EMPLOYEES[[#This Row],[EMPLOYEE NUMBER]]="","",IF(AND(T_EMPLOYEES[[#This Row],[START DATE]]&gt;0,T_EMPLOYEES[[#This Row],[START DATE]]&lt;TODAY()+60),0,1))</f>
        <v/>
      </c>
      <c r="AE380">
        <f>IF(T_EMPLOYEES[[#This Row],[EMPLOYEE NUMBER]]="","",MATCH(T_EMPLOYEES[[#This Row],[GENDER]],L_GENDER,0))</f>
        <v/>
      </c>
      <c r="AF380">
        <f>IF(T_EMPLOYEES[[#This Row],[EMPLOYEE NUMBER]]="","",MATCH(T_EMPLOYEES[[#This Row],[HIRE SOURCE]],L_HIRESOURCE,0))</f>
        <v/>
      </c>
      <c r="AG380">
        <f>IF(T_EMPLOYEES[[#This Row],[EMPLOYEE NUMBER]]="","",MATCH(T_EMPLOYEES[[#This Row],[ETHNICITY]],L_ETHNICITY,0))</f>
        <v/>
      </c>
      <c r="AH380">
        <f>IF(T_EMPLOYEES[[#This Row],[EMPLOYEE NUMBER]]="","",MATCH(T_EMPLOYEES[[#This Row],[LOCATION]],L_LOCATION,0))</f>
        <v/>
      </c>
      <c r="AI380">
        <f>IF(T_EMPLOYEES[[#This Row],[EMPLOYEE NUMBER]]="","",MATCH(T_EMPLOYEES[[#This Row],[DEPARTMENT]],L_DEPARTMENT,0))</f>
        <v/>
      </c>
      <c r="AJ380">
        <f>IF(T_EMPLOYEES[[#This Row],[EMPLOYEE NUMBER]]="","",MATCH(T_EMPLOYEES[[#This Row],[JOB TYPE]],L_JOBTYPE,0))</f>
        <v/>
      </c>
      <c r="AK380">
        <f>IF(T_EMPLOYEES[[#This Row],[EMPLOYEE NUMBER]]="","",MATCH(T_EMPLOYEES[[#This Row],[JOB CATEGORY]],L_JOBCATEGORY,0))</f>
        <v/>
      </c>
      <c r="AL380">
        <f>IF(T_EMPLOYEES[[#This Row],[EMPLOYEE NUMBER]]="","",MATCH(T_EMPLOYEES[[#This Row],[JOB LEVEL]],L_JOBLEVEL,0))</f>
        <v/>
      </c>
      <c r="AM380">
        <f>IF(T_EMPLOYEES[[#This Row],[EMPLOYEE NUMBER]]="","",MATCH(T_EMPLOYEES[[#This Row],[JOB TITLE]],L_JOBTITLE,0))</f>
        <v/>
      </c>
      <c r="AN380">
        <f>IF(T_EMPLOYEES[[#This Row],[EMPLOYEE NUMBER]]="","",MATCH(T_EMPLOYEES[[#This Row],[MANAGER]],L_EMPLABELS,0))</f>
        <v/>
      </c>
      <c r="AO380">
        <f>IF(T_EMPLOYEES[[#This Row],[EMPLOYEE NUMBER]]="","",IF(T_EMPLOYEES[[#This Row],[ERROR]]="",0,1))</f>
        <v/>
      </c>
      <c r="AP38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1">
      <c r="A381" t="inlineStr">
        <is>
          <t>Rushikesh</t>
        </is>
      </c>
      <c r="B381" t="inlineStr">
        <is>
          <t>Balu Chaudhar</t>
        </is>
      </c>
      <c r="C381" t="n">
        <v>1031063</v>
      </c>
      <c r="D381" t="inlineStr">
        <is>
          <t>Rushikesh.Chaudhar@infinite.com</t>
        </is>
      </c>
      <c r="E381" s="26" t="n">
        <v>35859</v>
      </c>
      <c r="F381" s="26" t="n">
        <v>44889</v>
      </c>
      <c r="H381" t="inlineStr">
        <is>
          <t>Male</t>
        </is>
      </c>
      <c r="I381" t="inlineStr">
        <is>
          <t>Asian</t>
        </is>
      </c>
      <c r="J381" t="inlineStr">
        <is>
          <t>WEBSITE</t>
        </is>
      </c>
      <c r="K381" t="inlineStr">
        <is>
          <t>Bangalore</t>
        </is>
      </c>
      <c r="L381" s="27" t="inlineStr">
        <is>
          <t>Core</t>
        </is>
      </c>
      <c r="M381" t="inlineStr">
        <is>
          <t>Full-Time</t>
        </is>
      </c>
      <c r="N381" t="inlineStr">
        <is>
          <t>Associate Software Engineer</t>
        </is>
      </c>
      <c r="O381" t="inlineStr">
        <is>
          <t>E1</t>
        </is>
      </c>
      <c r="P381" t="inlineStr">
        <is>
          <t>Associate Software Engineer</t>
        </is>
      </c>
      <c r="Q381" t="inlineStr">
        <is>
          <t>Dipakbhai Motibhai Tandel (1027230)</t>
        </is>
      </c>
      <c r="R381" t="n">
        <v>0</v>
      </c>
      <c r="S381" s="1" t="n">
        <v>250000</v>
      </c>
      <c r="T381" s="1">
        <f>ROUND(T_EMPLOYEES[[#This Row],[EMP_CTC1]]/12, 0)</f>
        <v/>
      </c>
      <c r="U381" s="1" t="n">
        <v>150000</v>
      </c>
      <c r="V381" s="1" t="inlineStr">
        <is>
          <t>AK</t>
        </is>
      </c>
      <c r="W381" s="1" t="inlineStr">
        <is>
          <t>AK</t>
        </is>
      </c>
      <c r="X38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1" t="n">
        <v>120000</v>
      </c>
      <c r="Z381" s="29">
        <f>(S381 - U381)/S381 * 100</f>
        <v/>
      </c>
      <c r="AA381">
        <f>IF(T_EMPLOYEES[[#This Row],[EMPLOYEE NUMBER]]="","",ROW(T_EMPLOYEES[[#This Row],[EMPLOYEE LABEL]])-ROW(T_EMPLOYEES[[#Headers],[EMPLOYEE LABEL]]))</f>
        <v/>
      </c>
      <c r="AB381">
        <f>IF(T_EMPLOYEES[[#This Row],[EMPLOYEE NUMBER]]="","",IF(COUNTIF(T_EMPLOYEES[EMPLOYEE NUMBER],T_EMPLOYEES[[#This Row],[EMPLOYEE NUMBER]])&gt;1,1,0))</f>
        <v/>
      </c>
      <c r="AC381">
        <f>IF(T_EMPLOYEES[[#This Row],[EMPLOYEE NUMBER]]="","",IF(AND(T_EMPLOYEES[[#This Row],[DATE OF BIRTH]]&gt;0,T_EMPLOYEES[[#This Row],[DATE OF BIRTH]]&lt;TODAY()),0,1))</f>
        <v/>
      </c>
      <c r="AD381">
        <f>IF(T_EMPLOYEES[[#This Row],[EMPLOYEE NUMBER]]="","",IF(AND(T_EMPLOYEES[[#This Row],[START DATE]]&gt;0,T_EMPLOYEES[[#This Row],[START DATE]]&lt;TODAY()+60),0,1))</f>
        <v/>
      </c>
      <c r="AE381">
        <f>IF(T_EMPLOYEES[[#This Row],[EMPLOYEE NUMBER]]="","",MATCH(T_EMPLOYEES[[#This Row],[GENDER]],L_GENDER,0))</f>
        <v/>
      </c>
      <c r="AF381">
        <f>IF(T_EMPLOYEES[[#This Row],[EMPLOYEE NUMBER]]="","",MATCH(T_EMPLOYEES[[#This Row],[HIRE SOURCE]],L_HIRESOURCE,0))</f>
        <v/>
      </c>
      <c r="AG381">
        <f>IF(T_EMPLOYEES[[#This Row],[EMPLOYEE NUMBER]]="","",MATCH(T_EMPLOYEES[[#This Row],[ETHNICITY]],L_ETHNICITY,0))</f>
        <v/>
      </c>
      <c r="AH381">
        <f>IF(T_EMPLOYEES[[#This Row],[EMPLOYEE NUMBER]]="","",MATCH(T_EMPLOYEES[[#This Row],[LOCATION]],L_LOCATION,0))</f>
        <v/>
      </c>
      <c r="AI381">
        <f>IF(T_EMPLOYEES[[#This Row],[EMPLOYEE NUMBER]]="","",MATCH(T_EMPLOYEES[[#This Row],[DEPARTMENT]],L_DEPARTMENT,0))</f>
        <v/>
      </c>
      <c r="AJ381">
        <f>IF(T_EMPLOYEES[[#This Row],[EMPLOYEE NUMBER]]="","",MATCH(T_EMPLOYEES[[#This Row],[JOB TYPE]],L_JOBTYPE,0))</f>
        <v/>
      </c>
      <c r="AK381">
        <f>IF(T_EMPLOYEES[[#This Row],[EMPLOYEE NUMBER]]="","",MATCH(T_EMPLOYEES[[#This Row],[JOB CATEGORY]],L_JOBCATEGORY,0))</f>
        <v/>
      </c>
      <c r="AL381">
        <f>IF(T_EMPLOYEES[[#This Row],[EMPLOYEE NUMBER]]="","",MATCH(T_EMPLOYEES[[#This Row],[JOB LEVEL]],L_JOBLEVEL,0))</f>
        <v/>
      </c>
      <c r="AM381">
        <f>IF(T_EMPLOYEES[[#This Row],[EMPLOYEE NUMBER]]="","",MATCH(T_EMPLOYEES[[#This Row],[JOB TITLE]],L_JOBTITLE,0))</f>
        <v/>
      </c>
      <c r="AN381">
        <f>IF(T_EMPLOYEES[[#This Row],[EMPLOYEE NUMBER]]="","",MATCH(T_EMPLOYEES[[#This Row],[MANAGER]],L_EMPLABELS,0))</f>
        <v/>
      </c>
      <c r="AO381">
        <f>IF(T_EMPLOYEES[[#This Row],[EMPLOYEE NUMBER]]="","",IF(T_EMPLOYEES[[#This Row],[ERROR]]="",0,1))</f>
        <v/>
      </c>
      <c r="AP38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2">
      <c r="A382" t="inlineStr">
        <is>
          <t>Lingampally</t>
        </is>
      </c>
      <c r="B382" t="inlineStr">
        <is>
          <t>Ramesh</t>
        </is>
      </c>
      <c r="C382" t="n">
        <v>1029912</v>
      </c>
      <c r="D382" t="inlineStr">
        <is>
          <t>Ramesh.Lingampally@infinite.com</t>
        </is>
      </c>
      <c r="E382" s="26" t="n">
        <v>35901</v>
      </c>
      <c r="F382" s="26" t="n">
        <v>44791</v>
      </c>
      <c r="H382" t="inlineStr">
        <is>
          <t>Male</t>
        </is>
      </c>
      <c r="I382" t="inlineStr">
        <is>
          <t>Asian</t>
        </is>
      </c>
      <c r="J382" t="inlineStr">
        <is>
          <t>WEBSITE</t>
        </is>
      </c>
      <c r="K382" t="inlineStr">
        <is>
          <t>Hyderabad</t>
        </is>
      </c>
      <c r="L382" s="27" t="inlineStr">
        <is>
          <t>IT</t>
        </is>
      </c>
      <c r="M382" t="inlineStr">
        <is>
          <t>Full-Time</t>
        </is>
      </c>
      <c r="N382" t="inlineStr">
        <is>
          <t>Associate Software Engineer</t>
        </is>
      </c>
      <c r="O382" t="inlineStr">
        <is>
          <t>E1</t>
        </is>
      </c>
      <c r="P382" t="inlineStr">
        <is>
          <t>Associate Software Engineer</t>
        </is>
      </c>
      <c r="Q382" t="inlineStr">
        <is>
          <t>Shrihari S Butti (1029760)</t>
        </is>
      </c>
      <c r="R382" s="27" t="n">
        <v>0</v>
      </c>
      <c r="S382" s="1" t="n">
        <v>250000</v>
      </c>
      <c r="T382" s="1">
        <f>ROUND(T_EMPLOYEES[[#This Row],[EMP_CTC1]]/12, 0)</f>
        <v/>
      </c>
      <c r="U382" s="1" t="n">
        <v>150000</v>
      </c>
      <c r="V382" s="1" t="inlineStr">
        <is>
          <t>AK</t>
        </is>
      </c>
      <c r="W382" s="1" t="inlineStr">
        <is>
          <t>AK</t>
        </is>
      </c>
      <c r="X38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2" t="n">
        <v>120000</v>
      </c>
      <c r="Z382" s="29">
        <f>(S382 - U382)/S382 * 100</f>
        <v/>
      </c>
      <c r="AA382">
        <f>IF(T_EMPLOYEES[[#This Row],[EMPLOYEE NUMBER]]="","",ROW(T_EMPLOYEES[[#This Row],[EMPLOYEE LABEL]])-ROW(T_EMPLOYEES[[#Headers],[EMPLOYEE LABEL]]))</f>
        <v/>
      </c>
      <c r="AB382">
        <f>IF(T_EMPLOYEES[[#This Row],[EMPLOYEE NUMBER]]="","",IF(COUNTIF(T_EMPLOYEES[EMPLOYEE NUMBER],T_EMPLOYEES[[#This Row],[EMPLOYEE NUMBER]])&gt;1,1,0))</f>
        <v/>
      </c>
      <c r="AC382">
        <f>IF(T_EMPLOYEES[[#This Row],[EMPLOYEE NUMBER]]="","",IF(AND(T_EMPLOYEES[[#This Row],[DATE OF BIRTH]]&gt;0,T_EMPLOYEES[[#This Row],[DATE OF BIRTH]]&lt;TODAY()),0,1))</f>
        <v/>
      </c>
      <c r="AD382">
        <f>IF(T_EMPLOYEES[[#This Row],[EMPLOYEE NUMBER]]="","",IF(AND(T_EMPLOYEES[[#This Row],[START DATE]]&gt;0,T_EMPLOYEES[[#This Row],[START DATE]]&lt;TODAY()+60),0,1))</f>
        <v/>
      </c>
      <c r="AE382">
        <f>IF(T_EMPLOYEES[[#This Row],[EMPLOYEE NUMBER]]="","",MATCH(T_EMPLOYEES[[#This Row],[GENDER]],L_GENDER,0))</f>
        <v/>
      </c>
      <c r="AF382">
        <f>IF(T_EMPLOYEES[[#This Row],[EMPLOYEE NUMBER]]="","",MATCH(T_EMPLOYEES[[#This Row],[HIRE SOURCE]],L_HIRESOURCE,0))</f>
        <v/>
      </c>
      <c r="AG382">
        <f>IF(T_EMPLOYEES[[#This Row],[EMPLOYEE NUMBER]]="","",MATCH(T_EMPLOYEES[[#This Row],[ETHNICITY]],L_ETHNICITY,0))</f>
        <v/>
      </c>
      <c r="AH382">
        <f>IF(T_EMPLOYEES[[#This Row],[EMPLOYEE NUMBER]]="","",MATCH(T_EMPLOYEES[[#This Row],[LOCATION]],L_LOCATION,0))</f>
        <v/>
      </c>
      <c r="AI382">
        <f>IF(T_EMPLOYEES[[#This Row],[EMPLOYEE NUMBER]]="","",MATCH(T_EMPLOYEES[[#This Row],[DEPARTMENT]],L_DEPARTMENT,0))</f>
        <v/>
      </c>
      <c r="AJ382">
        <f>IF(T_EMPLOYEES[[#This Row],[EMPLOYEE NUMBER]]="","",MATCH(T_EMPLOYEES[[#This Row],[JOB TYPE]],L_JOBTYPE,0))</f>
        <v/>
      </c>
      <c r="AK382">
        <f>IF(T_EMPLOYEES[[#This Row],[EMPLOYEE NUMBER]]="","",MATCH(T_EMPLOYEES[[#This Row],[JOB CATEGORY]],L_JOBCATEGORY,0))</f>
        <v/>
      </c>
      <c r="AL382">
        <f>IF(T_EMPLOYEES[[#This Row],[EMPLOYEE NUMBER]]="","",MATCH(T_EMPLOYEES[[#This Row],[JOB LEVEL]],L_JOBLEVEL,0))</f>
        <v/>
      </c>
      <c r="AM382">
        <f>IF(T_EMPLOYEES[[#This Row],[EMPLOYEE NUMBER]]="","",MATCH(T_EMPLOYEES[[#This Row],[JOB TITLE]],L_JOBTITLE,0))</f>
        <v/>
      </c>
      <c r="AN382">
        <f>IF(T_EMPLOYEES[[#This Row],[EMPLOYEE NUMBER]]="","",MATCH(T_EMPLOYEES[[#This Row],[MANAGER]],L_EMPLABELS,0))</f>
        <v/>
      </c>
      <c r="AO382">
        <f>IF(T_EMPLOYEES[[#This Row],[EMPLOYEE NUMBER]]="","",IF(T_EMPLOYEES[[#This Row],[ERROR]]="",0,1))</f>
        <v/>
      </c>
      <c r="AP38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82" t="inlineStr">
        <is>
          <t>Member</t>
        </is>
      </c>
    </row>
    <row r="383">
      <c r="A383" t="inlineStr">
        <is>
          <t>Shreedevi</t>
        </is>
      </c>
      <c r="B383" t="inlineStr">
        <is>
          <t xml:space="preserve"> K</t>
        </is>
      </c>
      <c r="C383" t="n">
        <v>1024957</v>
      </c>
      <c r="D383" t="inlineStr">
        <is>
          <t>Shreedevi.Kudipudi@infinite.com</t>
        </is>
      </c>
      <c r="E383" s="26" t="n">
        <v>35902</v>
      </c>
      <c r="F383" s="26" t="n">
        <v>44287</v>
      </c>
      <c r="H383" t="inlineStr">
        <is>
          <t>Female</t>
        </is>
      </c>
      <c r="I383" t="inlineStr">
        <is>
          <t>Asian</t>
        </is>
      </c>
      <c r="J383" t="inlineStr">
        <is>
          <t>WEBSITE</t>
        </is>
      </c>
      <c r="K383" t="inlineStr">
        <is>
          <t>Hyderabad</t>
        </is>
      </c>
      <c r="L383" s="27" t="inlineStr">
        <is>
          <t>IT</t>
        </is>
      </c>
      <c r="M383" t="inlineStr">
        <is>
          <t>Full-Time</t>
        </is>
      </c>
      <c r="N383" t="inlineStr">
        <is>
          <t>Software Test Engineer</t>
        </is>
      </c>
      <c r="O383" t="inlineStr">
        <is>
          <t>E2</t>
        </is>
      </c>
      <c r="P383" t="inlineStr">
        <is>
          <t>Software Test Engineer</t>
        </is>
      </c>
      <c r="Q383" t="inlineStr">
        <is>
          <t>Sreekanth  Pulumati (1022868)</t>
        </is>
      </c>
      <c r="R383" t="n">
        <v>4</v>
      </c>
      <c r="S383" s="1" t="n">
        <v>250000</v>
      </c>
      <c r="T383" s="1">
        <f>ROUND(T_EMPLOYEES[[#This Row],[EMP_CTC1]]/12, 0)</f>
        <v/>
      </c>
      <c r="U383" s="1" t="n">
        <v>150000</v>
      </c>
      <c r="V383" s="1" t="inlineStr">
        <is>
          <t>AK</t>
        </is>
      </c>
      <c r="W383" s="1" t="inlineStr">
        <is>
          <t>AK</t>
        </is>
      </c>
      <c r="X38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3" t="n">
        <v>120000</v>
      </c>
      <c r="Z383" s="29">
        <f>(S383 - U383)/S383 * 100</f>
        <v/>
      </c>
      <c r="AA383">
        <f>IF(T_EMPLOYEES[[#This Row],[EMPLOYEE NUMBER]]="","",ROW(T_EMPLOYEES[[#This Row],[EMPLOYEE LABEL]])-ROW(T_EMPLOYEES[[#Headers],[EMPLOYEE LABEL]]))</f>
        <v/>
      </c>
      <c r="AB383">
        <f>IF(T_EMPLOYEES[[#This Row],[EMPLOYEE NUMBER]]="","",IF(COUNTIF(T_EMPLOYEES[EMPLOYEE NUMBER],T_EMPLOYEES[[#This Row],[EMPLOYEE NUMBER]])&gt;1,1,0))</f>
        <v/>
      </c>
      <c r="AC383">
        <f>IF(T_EMPLOYEES[[#This Row],[EMPLOYEE NUMBER]]="","",IF(AND(T_EMPLOYEES[[#This Row],[DATE OF BIRTH]]&gt;0,T_EMPLOYEES[[#This Row],[DATE OF BIRTH]]&lt;TODAY()),0,1))</f>
        <v/>
      </c>
      <c r="AD383">
        <f>IF(T_EMPLOYEES[[#This Row],[EMPLOYEE NUMBER]]="","",IF(AND(T_EMPLOYEES[[#This Row],[START DATE]]&gt;0,T_EMPLOYEES[[#This Row],[START DATE]]&lt;TODAY()+60),0,1))</f>
        <v/>
      </c>
      <c r="AE383">
        <f>IF(T_EMPLOYEES[[#This Row],[EMPLOYEE NUMBER]]="","",MATCH(T_EMPLOYEES[[#This Row],[GENDER]],L_GENDER,0))</f>
        <v/>
      </c>
      <c r="AF383">
        <f>IF(T_EMPLOYEES[[#This Row],[EMPLOYEE NUMBER]]="","",MATCH(T_EMPLOYEES[[#This Row],[HIRE SOURCE]],L_HIRESOURCE,0))</f>
        <v/>
      </c>
      <c r="AG383">
        <f>IF(T_EMPLOYEES[[#This Row],[EMPLOYEE NUMBER]]="","",MATCH(T_EMPLOYEES[[#This Row],[ETHNICITY]],L_ETHNICITY,0))</f>
        <v/>
      </c>
      <c r="AH383">
        <f>IF(T_EMPLOYEES[[#This Row],[EMPLOYEE NUMBER]]="","",MATCH(T_EMPLOYEES[[#This Row],[LOCATION]],L_LOCATION,0))</f>
        <v/>
      </c>
      <c r="AI383">
        <f>IF(T_EMPLOYEES[[#This Row],[EMPLOYEE NUMBER]]="","",MATCH(T_EMPLOYEES[[#This Row],[DEPARTMENT]],L_DEPARTMENT,0))</f>
        <v/>
      </c>
      <c r="AJ383">
        <f>IF(T_EMPLOYEES[[#This Row],[EMPLOYEE NUMBER]]="","",MATCH(T_EMPLOYEES[[#This Row],[JOB TYPE]],L_JOBTYPE,0))</f>
        <v/>
      </c>
      <c r="AK383">
        <f>IF(T_EMPLOYEES[[#This Row],[EMPLOYEE NUMBER]]="","",MATCH(T_EMPLOYEES[[#This Row],[JOB CATEGORY]],L_JOBCATEGORY,0))</f>
        <v/>
      </c>
      <c r="AL383">
        <f>IF(T_EMPLOYEES[[#This Row],[EMPLOYEE NUMBER]]="","",MATCH(T_EMPLOYEES[[#This Row],[JOB LEVEL]],L_JOBLEVEL,0))</f>
        <v/>
      </c>
      <c r="AM383">
        <f>IF(T_EMPLOYEES[[#This Row],[EMPLOYEE NUMBER]]="","",MATCH(T_EMPLOYEES[[#This Row],[JOB TITLE]],L_JOBTITLE,0))</f>
        <v/>
      </c>
      <c r="AN383">
        <f>IF(T_EMPLOYEES[[#This Row],[EMPLOYEE NUMBER]]="","",MATCH(T_EMPLOYEES[[#This Row],[MANAGER]],L_EMPLABELS,0))</f>
        <v/>
      </c>
      <c r="AO383">
        <f>IF(T_EMPLOYEES[[#This Row],[EMPLOYEE NUMBER]]="","",IF(T_EMPLOYEES[[#This Row],[ERROR]]="",0,1))</f>
        <v/>
      </c>
      <c r="AP38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4">
      <c r="A384" t="inlineStr">
        <is>
          <t>Gore</t>
        </is>
      </c>
      <c r="B384" t="inlineStr">
        <is>
          <t>Hussain Valli</t>
        </is>
      </c>
      <c r="C384" t="n">
        <v>1026542</v>
      </c>
      <c r="D384" t="inlineStr">
        <is>
          <t>Hussain.Valli@infinite.com</t>
        </is>
      </c>
      <c r="E384" s="26" t="n">
        <v>35914</v>
      </c>
      <c r="F384" s="26" t="n">
        <v>44463</v>
      </c>
      <c r="H384" t="inlineStr">
        <is>
          <t>Male</t>
        </is>
      </c>
      <c r="I384" t="inlineStr">
        <is>
          <t>Asian</t>
        </is>
      </c>
      <c r="J384" t="inlineStr">
        <is>
          <t>WEBSITE</t>
        </is>
      </c>
      <c r="K384" t="inlineStr">
        <is>
          <t>Bangalore</t>
        </is>
      </c>
      <c r="L384" s="27" t="inlineStr">
        <is>
          <t>IT</t>
        </is>
      </c>
      <c r="M384" t="inlineStr">
        <is>
          <t>Full-Time</t>
        </is>
      </c>
      <c r="N384" t="inlineStr">
        <is>
          <t>Software Test Engineer</t>
        </is>
      </c>
      <c r="O384" t="inlineStr">
        <is>
          <t>E2</t>
        </is>
      </c>
      <c r="P384" t="inlineStr">
        <is>
          <t>Software Test Engineer</t>
        </is>
      </c>
      <c r="Q384" t="inlineStr">
        <is>
          <t>Sreekanth  Pulumati (1022868)</t>
        </is>
      </c>
      <c r="R384" s="27" t="n">
        <v>4</v>
      </c>
      <c r="S384" s="1" t="n">
        <v>250000</v>
      </c>
      <c r="T384" s="1">
        <f>ROUND(T_EMPLOYEES[[#This Row],[EMP_CTC1]]/12, 0)</f>
        <v/>
      </c>
      <c r="U384" s="1" t="n">
        <v>150000</v>
      </c>
      <c r="V384" s="1" t="inlineStr">
        <is>
          <t>AK</t>
        </is>
      </c>
      <c r="W384" s="1" t="inlineStr">
        <is>
          <t>AK</t>
        </is>
      </c>
      <c r="X38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4" t="n">
        <v>120000</v>
      </c>
      <c r="Z384" s="29">
        <f>(S384 - U384)/S384 * 100</f>
        <v/>
      </c>
      <c r="AA384">
        <f>IF(T_EMPLOYEES[[#This Row],[EMPLOYEE NUMBER]]="","",ROW(T_EMPLOYEES[[#This Row],[EMPLOYEE LABEL]])-ROW(T_EMPLOYEES[[#Headers],[EMPLOYEE LABEL]]))</f>
        <v/>
      </c>
      <c r="AB384">
        <f>IF(T_EMPLOYEES[[#This Row],[EMPLOYEE NUMBER]]="","",IF(COUNTIF(T_EMPLOYEES[EMPLOYEE NUMBER],T_EMPLOYEES[[#This Row],[EMPLOYEE NUMBER]])&gt;1,1,0))</f>
        <v/>
      </c>
      <c r="AC384">
        <f>IF(T_EMPLOYEES[[#This Row],[EMPLOYEE NUMBER]]="","",IF(AND(T_EMPLOYEES[[#This Row],[DATE OF BIRTH]]&gt;0,T_EMPLOYEES[[#This Row],[DATE OF BIRTH]]&lt;TODAY()),0,1))</f>
        <v/>
      </c>
      <c r="AD384">
        <f>IF(T_EMPLOYEES[[#This Row],[EMPLOYEE NUMBER]]="","",IF(AND(T_EMPLOYEES[[#This Row],[START DATE]]&gt;0,T_EMPLOYEES[[#This Row],[START DATE]]&lt;TODAY()+60),0,1))</f>
        <v/>
      </c>
      <c r="AE384">
        <f>IF(T_EMPLOYEES[[#This Row],[EMPLOYEE NUMBER]]="","",MATCH(T_EMPLOYEES[[#This Row],[GENDER]],L_GENDER,0))</f>
        <v/>
      </c>
      <c r="AF384">
        <f>IF(T_EMPLOYEES[[#This Row],[EMPLOYEE NUMBER]]="","",MATCH(T_EMPLOYEES[[#This Row],[HIRE SOURCE]],L_HIRESOURCE,0))</f>
        <v/>
      </c>
      <c r="AG384">
        <f>IF(T_EMPLOYEES[[#This Row],[EMPLOYEE NUMBER]]="","",MATCH(T_EMPLOYEES[[#This Row],[ETHNICITY]],L_ETHNICITY,0))</f>
        <v/>
      </c>
      <c r="AH384">
        <f>IF(T_EMPLOYEES[[#This Row],[EMPLOYEE NUMBER]]="","",MATCH(T_EMPLOYEES[[#This Row],[LOCATION]],L_LOCATION,0))</f>
        <v/>
      </c>
      <c r="AI384">
        <f>IF(T_EMPLOYEES[[#This Row],[EMPLOYEE NUMBER]]="","",MATCH(T_EMPLOYEES[[#This Row],[DEPARTMENT]],L_DEPARTMENT,0))</f>
        <v/>
      </c>
      <c r="AJ384">
        <f>IF(T_EMPLOYEES[[#This Row],[EMPLOYEE NUMBER]]="","",MATCH(T_EMPLOYEES[[#This Row],[JOB TYPE]],L_JOBTYPE,0))</f>
        <v/>
      </c>
      <c r="AK384">
        <f>IF(T_EMPLOYEES[[#This Row],[EMPLOYEE NUMBER]]="","",MATCH(T_EMPLOYEES[[#This Row],[JOB CATEGORY]],L_JOBCATEGORY,0))</f>
        <v/>
      </c>
      <c r="AL384">
        <f>IF(T_EMPLOYEES[[#This Row],[EMPLOYEE NUMBER]]="","",MATCH(T_EMPLOYEES[[#This Row],[JOB LEVEL]],L_JOBLEVEL,0))</f>
        <v/>
      </c>
      <c r="AM384">
        <f>IF(T_EMPLOYEES[[#This Row],[EMPLOYEE NUMBER]]="","",MATCH(T_EMPLOYEES[[#This Row],[JOB TITLE]],L_JOBTITLE,0))</f>
        <v/>
      </c>
      <c r="AN384">
        <f>IF(T_EMPLOYEES[[#This Row],[EMPLOYEE NUMBER]]="","",MATCH(T_EMPLOYEES[[#This Row],[MANAGER]],L_EMPLABELS,0))</f>
        <v/>
      </c>
      <c r="AO384">
        <f>IF(T_EMPLOYEES[[#This Row],[EMPLOYEE NUMBER]]="","",IF(T_EMPLOYEES[[#This Row],[ERROR]]="",0,1))</f>
        <v/>
      </c>
      <c r="AP38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5">
      <c r="A385" t="inlineStr">
        <is>
          <t>Abhishek</t>
        </is>
      </c>
      <c r="B385" t="inlineStr">
        <is>
          <t>V</t>
        </is>
      </c>
      <c r="C385" t="n">
        <v>1027163</v>
      </c>
      <c r="D385" t="inlineStr">
        <is>
          <t>Abhishek.Venkatesh2@infinite.com</t>
        </is>
      </c>
      <c r="E385" s="26" t="n">
        <v>35918</v>
      </c>
      <c r="F385" s="26" t="n">
        <v>44512</v>
      </c>
      <c r="H385" t="inlineStr">
        <is>
          <t>Male</t>
        </is>
      </c>
      <c r="I385" t="inlineStr">
        <is>
          <t>Asian</t>
        </is>
      </c>
      <c r="J385" t="inlineStr">
        <is>
          <t>WEBSITE</t>
        </is>
      </c>
      <c r="K385" t="inlineStr">
        <is>
          <t>Hyderabad</t>
        </is>
      </c>
      <c r="L385" s="27" t="inlineStr">
        <is>
          <t>IT</t>
        </is>
      </c>
      <c r="M385" t="inlineStr">
        <is>
          <t>Full-Time</t>
        </is>
      </c>
      <c r="N385" t="inlineStr">
        <is>
          <t>Software Test Engineer</t>
        </is>
      </c>
      <c r="O385" t="inlineStr">
        <is>
          <t>E2</t>
        </is>
      </c>
      <c r="P385" t="inlineStr">
        <is>
          <t>Software Test Engineer</t>
        </is>
      </c>
      <c r="Q385" t="inlineStr">
        <is>
          <t>G Mallikarjuna  Gooty (1030389)</t>
        </is>
      </c>
      <c r="R385" t="n">
        <v>4</v>
      </c>
      <c r="S385" s="1" t="n">
        <v>250000</v>
      </c>
      <c r="T385" s="1">
        <f>ROUND(T_EMPLOYEES[[#This Row],[EMP_CTC1]]/12, 0)</f>
        <v/>
      </c>
      <c r="U385" s="1" t="n">
        <v>150000</v>
      </c>
      <c r="V385" s="1" t="inlineStr">
        <is>
          <t>AK</t>
        </is>
      </c>
      <c r="W385" s="1" t="inlineStr">
        <is>
          <t>AK</t>
        </is>
      </c>
      <c r="X38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5" t="n">
        <v>120000</v>
      </c>
      <c r="Z385" s="29">
        <f>(S385 - U385)/S385 * 100</f>
        <v/>
      </c>
      <c r="AA385">
        <f>IF(T_EMPLOYEES[[#This Row],[EMPLOYEE NUMBER]]="","",ROW(T_EMPLOYEES[[#This Row],[EMPLOYEE LABEL]])-ROW(T_EMPLOYEES[[#Headers],[EMPLOYEE LABEL]]))</f>
        <v/>
      </c>
      <c r="AB385">
        <f>IF(T_EMPLOYEES[[#This Row],[EMPLOYEE NUMBER]]="","",IF(COUNTIF(T_EMPLOYEES[EMPLOYEE NUMBER],T_EMPLOYEES[[#This Row],[EMPLOYEE NUMBER]])&gt;1,1,0))</f>
        <v/>
      </c>
      <c r="AC385">
        <f>IF(T_EMPLOYEES[[#This Row],[EMPLOYEE NUMBER]]="","",IF(AND(T_EMPLOYEES[[#This Row],[DATE OF BIRTH]]&gt;0,T_EMPLOYEES[[#This Row],[DATE OF BIRTH]]&lt;TODAY()),0,1))</f>
        <v/>
      </c>
      <c r="AD385">
        <f>IF(T_EMPLOYEES[[#This Row],[EMPLOYEE NUMBER]]="","",IF(AND(T_EMPLOYEES[[#This Row],[START DATE]]&gt;0,T_EMPLOYEES[[#This Row],[START DATE]]&lt;TODAY()+60),0,1))</f>
        <v/>
      </c>
      <c r="AE385">
        <f>IF(T_EMPLOYEES[[#This Row],[EMPLOYEE NUMBER]]="","",MATCH(T_EMPLOYEES[[#This Row],[GENDER]],L_GENDER,0))</f>
        <v/>
      </c>
      <c r="AF385">
        <f>IF(T_EMPLOYEES[[#This Row],[EMPLOYEE NUMBER]]="","",MATCH(T_EMPLOYEES[[#This Row],[HIRE SOURCE]],L_HIRESOURCE,0))</f>
        <v/>
      </c>
      <c r="AG385">
        <f>IF(T_EMPLOYEES[[#This Row],[EMPLOYEE NUMBER]]="","",MATCH(T_EMPLOYEES[[#This Row],[ETHNICITY]],L_ETHNICITY,0))</f>
        <v/>
      </c>
      <c r="AH385">
        <f>IF(T_EMPLOYEES[[#This Row],[EMPLOYEE NUMBER]]="","",MATCH(T_EMPLOYEES[[#This Row],[LOCATION]],L_LOCATION,0))</f>
        <v/>
      </c>
      <c r="AI385">
        <f>IF(T_EMPLOYEES[[#This Row],[EMPLOYEE NUMBER]]="","",MATCH(T_EMPLOYEES[[#This Row],[DEPARTMENT]],L_DEPARTMENT,0))</f>
        <v/>
      </c>
      <c r="AJ385">
        <f>IF(T_EMPLOYEES[[#This Row],[EMPLOYEE NUMBER]]="","",MATCH(T_EMPLOYEES[[#This Row],[JOB TYPE]],L_JOBTYPE,0))</f>
        <v/>
      </c>
      <c r="AK385">
        <f>IF(T_EMPLOYEES[[#This Row],[EMPLOYEE NUMBER]]="","",MATCH(T_EMPLOYEES[[#This Row],[JOB CATEGORY]],L_JOBCATEGORY,0))</f>
        <v/>
      </c>
      <c r="AL385">
        <f>IF(T_EMPLOYEES[[#This Row],[EMPLOYEE NUMBER]]="","",MATCH(T_EMPLOYEES[[#This Row],[JOB LEVEL]],L_JOBLEVEL,0))</f>
        <v/>
      </c>
      <c r="AM385">
        <f>IF(T_EMPLOYEES[[#This Row],[EMPLOYEE NUMBER]]="","",MATCH(T_EMPLOYEES[[#This Row],[JOB TITLE]],L_JOBTITLE,0))</f>
        <v/>
      </c>
      <c r="AN385">
        <f>IF(T_EMPLOYEES[[#This Row],[EMPLOYEE NUMBER]]="","",MATCH(T_EMPLOYEES[[#This Row],[MANAGER]],L_EMPLABELS,0))</f>
        <v/>
      </c>
      <c r="AO385">
        <f>IF(T_EMPLOYEES[[#This Row],[EMPLOYEE NUMBER]]="","",IF(T_EMPLOYEES[[#This Row],[ERROR]]="",0,1))</f>
        <v/>
      </c>
      <c r="AP38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6">
      <c r="A386" t="inlineStr">
        <is>
          <t>Nikhil</t>
        </is>
      </c>
      <c r="B386" t="inlineStr">
        <is>
          <t>S</t>
        </is>
      </c>
      <c r="C386" t="n">
        <v>1033710</v>
      </c>
      <c r="D386" t="inlineStr">
        <is>
          <t>Nikhil.Shankar@infinite.com</t>
        </is>
      </c>
      <c r="E386" s="26" t="n">
        <v>35919</v>
      </c>
      <c r="F386" s="26" t="n">
        <v>45210</v>
      </c>
      <c r="H386" t="inlineStr">
        <is>
          <t>Male</t>
        </is>
      </c>
      <c r="I386" t="inlineStr">
        <is>
          <t>Asian</t>
        </is>
      </c>
      <c r="J386" t="inlineStr">
        <is>
          <t>WEBSITE</t>
        </is>
      </c>
      <c r="K386" t="inlineStr">
        <is>
          <t>Hyderabad</t>
        </is>
      </c>
      <c r="L386" s="27" t="inlineStr">
        <is>
          <t>IT</t>
        </is>
      </c>
      <c r="M386" t="inlineStr">
        <is>
          <t>Full-Time</t>
        </is>
      </c>
      <c r="N386" t="inlineStr">
        <is>
          <t>Software Engineer</t>
        </is>
      </c>
      <c r="O386" t="inlineStr">
        <is>
          <t>E2</t>
        </is>
      </c>
      <c r="P386" t="inlineStr">
        <is>
          <t>Software Engineer</t>
        </is>
      </c>
      <c r="Q386" t="inlineStr">
        <is>
          <t>Prabhakar Janardhanam (1031867)</t>
        </is>
      </c>
      <c r="R386" s="27" t="n">
        <v>4</v>
      </c>
      <c r="S386" s="1" t="n">
        <v>250000</v>
      </c>
      <c r="T386" s="1">
        <f>ROUND(T_EMPLOYEES[[#This Row],[EMP_CTC1]]/12, 0)</f>
        <v/>
      </c>
      <c r="U386" s="1" t="n">
        <v>150000</v>
      </c>
      <c r="V386" s="1" t="inlineStr">
        <is>
          <t>AK</t>
        </is>
      </c>
      <c r="W386" s="1" t="inlineStr">
        <is>
          <t>AK</t>
        </is>
      </c>
      <c r="X38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6" t="n">
        <v>120000</v>
      </c>
      <c r="Z386" s="29">
        <f>(S386 - U386)/S386 * 100</f>
        <v/>
      </c>
      <c r="AA386">
        <f>IF(T_EMPLOYEES[[#This Row],[EMPLOYEE NUMBER]]="","",ROW(T_EMPLOYEES[[#This Row],[EMPLOYEE LABEL]])-ROW(T_EMPLOYEES[[#Headers],[EMPLOYEE LABEL]]))</f>
        <v/>
      </c>
      <c r="AB386">
        <f>IF(T_EMPLOYEES[[#This Row],[EMPLOYEE NUMBER]]="","",IF(COUNTIF(T_EMPLOYEES[EMPLOYEE NUMBER],T_EMPLOYEES[[#This Row],[EMPLOYEE NUMBER]])&gt;1,1,0))</f>
        <v/>
      </c>
      <c r="AC386">
        <f>IF(T_EMPLOYEES[[#This Row],[EMPLOYEE NUMBER]]="","",IF(AND(T_EMPLOYEES[[#This Row],[DATE OF BIRTH]]&gt;0,T_EMPLOYEES[[#This Row],[DATE OF BIRTH]]&lt;TODAY()),0,1))</f>
        <v/>
      </c>
      <c r="AD386">
        <f>IF(T_EMPLOYEES[[#This Row],[EMPLOYEE NUMBER]]="","",IF(AND(T_EMPLOYEES[[#This Row],[START DATE]]&gt;0,T_EMPLOYEES[[#This Row],[START DATE]]&lt;TODAY()+60),0,1))</f>
        <v/>
      </c>
      <c r="AE386">
        <f>IF(T_EMPLOYEES[[#This Row],[EMPLOYEE NUMBER]]="","",MATCH(T_EMPLOYEES[[#This Row],[GENDER]],L_GENDER,0))</f>
        <v/>
      </c>
      <c r="AF386">
        <f>IF(T_EMPLOYEES[[#This Row],[EMPLOYEE NUMBER]]="","",MATCH(T_EMPLOYEES[[#This Row],[HIRE SOURCE]],L_HIRESOURCE,0))</f>
        <v/>
      </c>
      <c r="AG386">
        <f>IF(T_EMPLOYEES[[#This Row],[EMPLOYEE NUMBER]]="","",MATCH(T_EMPLOYEES[[#This Row],[ETHNICITY]],L_ETHNICITY,0))</f>
        <v/>
      </c>
      <c r="AH386">
        <f>IF(T_EMPLOYEES[[#This Row],[EMPLOYEE NUMBER]]="","",MATCH(T_EMPLOYEES[[#This Row],[LOCATION]],L_LOCATION,0))</f>
        <v/>
      </c>
      <c r="AI386">
        <f>IF(T_EMPLOYEES[[#This Row],[EMPLOYEE NUMBER]]="","",MATCH(T_EMPLOYEES[[#This Row],[DEPARTMENT]],L_DEPARTMENT,0))</f>
        <v/>
      </c>
      <c r="AJ386">
        <f>IF(T_EMPLOYEES[[#This Row],[EMPLOYEE NUMBER]]="","",MATCH(T_EMPLOYEES[[#This Row],[JOB TYPE]],L_JOBTYPE,0))</f>
        <v/>
      </c>
      <c r="AK386">
        <f>IF(T_EMPLOYEES[[#This Row],[EMPLOYEE NUMBER]]="","",MATCH(T_EMPLOYEES[[#This Row],[JOB CATEGORY]],L_JOBCATEGORY,0))</f>
        <v/>
      </c>
      <c r="AL386">
        <f>IF(T_EMPLOYEES[[#This Row],[EMPLOYEE NUMBER]]="","",MATCH(T_EMPLOYEES[[#This Row],[JOB LEVEL]],L_JOBLEVEL,0))</f>
        <v/>
      </c>
      <c r="AM386">
        <f>IF(T_EMPLOYEES[[#This Row],[EMPLOYEE NUMBER]]="","",MATCH(T_EMPLOYEES[[#This Row],[JOB TITLE]],L_JOBTITLE,0))</f>
        <v/>
      </c>
      <c r="AN386">
        <f>IF(T_EMPLOYEES[[#This Row],[EMPLOYEE NUMBER]]="","",MATCH(T_EMPLOYEES[[#This Row],[MANAGER]],L_EMPLABELS,0))</f>
        <v/>
      </c>
      <c r="AO386">
        <f>IF(T_EMPLOYEES[[#This Row],[EMPLOYEE NUMBER]]="","",IF(T_EMPLOYEES[[#This Row],[ERROR]]="",0,1))</f>
        <v/>
      </c>
      <c r="AP38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86" t="inlineStr">
        <is>
          <t>Claims</t>
        </is>
      </c>
    </row>
    <row r="387">
      <c r="A387" t="inlineStr">
        <is>
          <t>Saurabh</t>
        </is>
      </c>
      <c r="B387" t="inlineStr">
        <is>
          <t>Rajendra Kadam</t>
        </is>
      </c>
      <c r="C387" t="n">
        <v>1031040</v>
      </c>
      <c r="D387" t="inlineStr">
        <is>
          <t>Saurabh.Kadam@infinite.com</t>
        </is>
      </c>
      <c r="E387" s="26" t="n">
        <v>35931</v>
      </c>
      <c r="F387" s="26" t="n">
        <v>44889</v>
      </c>
      <c r="H387" t="inlineStr">
        <is>
          <t>Male</t>
        </is>
      </c>
      <c r="I387" t="inlineStr">
        <is>
          <t>Asian</t>
        </is>
      </c>
      <c r="J387" t="inlineStr">
        <is>
          <t>WEBSITE</t>
        </is>
      </c>
      <c r="K387" t="inlineStr">
        <is>
          <t>Bangalore</t>
        </is>
      </c>
      <c r="L387" s="27" t="inlineStr">
        <is>
          <t>Core</t>
        </is>
      </c>
      <c r="M387" t="inlineStr">
        <is>
          <t>Full-Time</t>
        </is>
      </c>
      <c r="N387" t="inlineStr">
        <is>
          <t>Associate Software Engineer</t>
        </is>
      </c>
      <c r="O387" t="inlineStr">
        <is>
          <t>E1</t>
        </is>
      </c>
      <c r="P387" t="inlineStr">
        <is>
          <t>Associate Software Engineer</t>
        </is>
      </c>
      <c r="Q387" t="inlineStr">
        <is>
          <t>Kishore Kumar N (1019765)</t>
        </is>
      </c>
      <c r="R387" t="n">
        <v>0</v>
      </c>
      <c r="S387" s="1" t="n">
        <v>250000</v>
      </c>
      <c r="T387" s="1">
        <f>ROUND(T_EMPLOYEES[[#This Row],[EMP_CTC1]]/12, 0)</f>
        <v/>
      </c>
      <c r="U387" s="1" t="n">
        <v>150000</v>
      </c>
      <c r="V387" s="1" t="inlineStr">
        <is>
          <t>AK</t>
        </is>
      </c>
      <c r="W387" s="1" t="inlineStr">
        <is>
          <t>AK</t>
        </is>
      </c>
      <c r="X38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7" t="n">
        <v>120000</v>
      </c>
      <c r="Z387" s="29">
        <f>(S387 - U387)/S387 * 100</f>
        <v/>
      </c>
      <c r="AA387">
        <f>IF(T_EMPLOYEES[[#This Row],[EMPLOYEE NUMBER]]="","",ROW(T_EMPLOYEES[[#This Row],[EMPLOYEE LABEL]])-ROW(T_EMPLOYEES[[#Headers],[EMPLOYEE LABEL]]))</f>
        <v/>
      </c>
      <c r="AB387">
        <f>IF(T_EMPLOYEES[[#This Row],[EMPLOYEE NUMBER]]="","",IF(COUNTIF(T_EMPLOYEES[EMPLOYEE NUMBER],T_EMPLOYEES[[#This Row],[EMPLOYEE NUMBER]])&gt;1,1,0))</f>
        <v/>
      </c>
      <c r="AC387">
        <f>IF(T_EMPLOYEES[[#This Row],[EMPLOYEE NUMBER]]="","",IF(AND(T_EMPLOYEES[[#This Row],[DATE OF BIRTH]]&gt;0,T_EMPLOYEES[[#This Row],[DATE OF BIRTH]]&lt;TODAY()),0,1))</f>
        <v/>
      </c>
      <c r="AD387">
        <f>IF(T_EMPLOYEES[[#This Row],[EMPLOYEE NUMBER]]="","",IF(AND(T_EMPLOYEES[[#This Row],[START DATE]]&gt;0,T_EMPLOYEES[[#This Row],[START DATE]]&lt;TODAY()+60),0,1))</f>
        <v/>
      </c>
      <c r="AE387">
        <f>IF(T_EMPLOYEES[[#This Row],[EMPLOYEE NUMBER]]="","",MATCH(T_EMPLOYEES[[#This Row],[GENDER]],L_GENDER,0))</f>
        <v/>
      </c>
      <c r="AF387">
        <f>IF(T_EMPLOYEES[[#This Row],[EMPLOYEE NUMBER]]="","",MATCH(T_EMPLOYEES[[#This Row],[HIRE SOURCE]],L_HIRESOURCE,0))</f>
        <v/>
      </c>
      <c r="AG387">
        <f>IF(T_EMPLOYEES[[#This Row],[EMPLOYEE NUMBER]]="","",MATCH(T_EMPLOYEES[[#This Row],[ETHNICITY]],L_ETHNICITY,0))</f>
        <v/>
      </c>
      <c r="AH387">
        <f>IF(T_EMPLOYEES[[#This Row],[EMPLOYEE NUMBER]]="","",MATCH(T_EMPLOYEES[[#This Row],[LOCATION]],L_LOCATION,0))</f>
        <v/>
      </c>
      <c r="AI387">
        <f>IF(T_EMPLOYEES[[#This Row],[EMPLOYEE NUMBER]]="","",MATCH(T_EMPLOYEES[[#This Row],[DEPARTMENT]],L_DEPARTMENT,0))</f>
        <v/>
      </c>
      <c r="AJ387">
        <f>IF(T_EMPLOYEES[[#This Row],[EMPLOYEE NUMBER]]="","",MATCH(T_EMPLOYEES[[#This Row],[JOB TYPE]],L_JOBTYPE,0))</f>
        <v/>
      </c>
      <c r="AK387">
        <f>IF(T_EMPLOYEES[[#This Row],[EMPLOYEE NUMBER]]="","",MATCH(T_EMPLOYEES[[#This Row],[JOB CATEGORY]],L_JOBCATEGORY,0))</f>
        <v/>
      </c>
      <c r="AL387">
        <f>IF(T_EMPLOYEES[[#This Row],[EMPLOYEE NUMBER]]="","",MATCH(T_EMPLOYEES[[#This Row],[JOB LEVEL]],L_JOBLEVEL,0))</f>
        <v/>
      </c>
      <c r="AM387">
        <f>IF(T_EMPLOYEES[[#This Row],[EMPLOYEE NUMBER]]="","",MATCH(T_EMPLOYEES[[#This Row],[JOB TITLE]],L_JOBTITLE,0))</f>
        <v/>
      </c>
      <c r="AN387">
        <f>IF(T_EMPLOYEES[[#This Row],[EMPLOYEE NUMBER]]="","",MATCH(T_EMPLOYEES[[#This Row],[MANAGER]],L_EMPLABELS,0))</f>
        <v/>
      </c>
      <c r="AO387">
        <f>IF(T_EMPLOYEES[[#This Row],[EMPLOYEE NUMBER]]="","",IF(T_EMPLOYEES[[#This Row],[ERROR]]="",0,1))</f>
        <v/>
      </c>
      <c r="AP38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387" t="inlineStr">
        <is>
          <t>Claims</t>
        </is>
      </c>
    </row>
    <row r="388">
      <c r="A388" t="inlineStr">
        <is>
          <t>Mukkella</t>
        </is>
      </c>
      <c r="B388" t="inlineStr">
        <is>
          <t xml:space="preserve"> Sai Lokesh</t>
        </is>
      </c>
      <c r="C388" t="n">
        <v>1024580</v>
      </c>
      <c r="D388" t="inlineStr">
        <is>
          <t>Sai.Lokesh@infinite.com</t>
        </is>
      </c>
      <c r="E388" s="26" t="n">
        <v>35939</v>
      </c>
      <c r="F388" s="26" t="n">
        <v>44246</v>
      </c>
      <c r="H388" t="inlineStr">
        <is>
          <t>Male</t>
        </is>
      </c>
      <c r="I388" t="inlineStr">
        <is>
          <t>Asian</t>
        </is>
      </c>
      <c r="J388" t="inlineStr">
        <is>
          <t>WEBSITE</t>
        </is>
      </c>
      <c r="K388" t="inlineStr">
        <is>
          <t>Hyderabad</t>
        </is>
      </c>
      <c r="L388" s="27" t="inlineStr">
        <is>
          <t>IT</t>
        </is>
      </c>
      <c r="M388" t="inlineStr">
        <is>
          <t>Full-Time</t>
        </is>
      </c>
      <c r="N388" t="inlineStr">
        <is>
          <t>Software Test Engineer</t>
        </is>
      </c>
      <c r="O388" t="inlineStr">
        <is>
          <t>E2</t>
        </is>
      </c>
      <c r="P388" t="inlineStr">
        <is>
          <t>Software Test Engineer</t>
        </is>
      </c>
      <c r="Q388" t="inlineStr">
        <is>
          <t>Maddipati Mohan Chowdary (1025070)</t>
        </is>
      </c>
      <c r="R388" s="27" t="n">
        <v>4</v>
      </c>
      <c r="S388" s="1" t="n">
        <v>250000</v>
      </c>
      <c r="T388" s="1">
        <f>ROUND(T_EMPLOYEES[[#This Row],[EMP_CTC1]]/12, 0)</f>
        <v/>
      </c>
      <c r="U388" s="1" t="n">
        <v>150000</v>
      </c>
      <c r="V388" s="1" t="inlineStr">
        <is>
          <t>AK</t>
        </is>
      </c>
      <c r="W388" s="1" t="inlineStr">
        <is>
          <t>AK</t>
        </is>
      </c>
      <c r="X38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8" t="n">
        <v>120000</v>
      </c>
      <c r="Z388" s="29">
        <f>(S388 - U388)/S388 * 100</f>
        <v/>
      </c>
      <c r="AA388">
        <f>IF(T_EMPLOYEES[[#This Row],[EMPLOYEE NUMBER]]="","",ROW(T_EMPLOYEES[[#This Row],[EMPLOYEE LABEL]])-ROW(T_EMPLOYEES[[#Headers],[EMPLOYEE LABEL]]))</f>
        <v/>
      </c>
      <c r="AB388">
        <f>IF(T_EMPLOYEES[[#This Row],[EMPLOYEE NUMBER]]="","",IF(COUNTIF(T_EMPLOYEES[EMPLOYEE NUMBER],T_EMPLOYEES[[#This Row],[EMPLOYEE NUMBER]])&gt;1,1,0))</f>
        <v/>
      </c>
      <c r="AC388">
        <f>IF(T_EMPLOYEES[[#This Row],[EMPLOYEE NUMBER]]="","",IF(AND(T_EMPLOYEES[[#This Row],[DATE OF BIRTH]]&gt;0,T_EMPLOYEES[[#This Row],[DATE OF BIRTH]]&lt;TODAY()),0,1))</f>
        <v/>
      </c>
      <c r="AD388">
        <f>IF(T_EMPLOYEES[[#This Row],[EMPLOYEE NUMBER]]="","",IF(AND(T_EMPLOYEES[[#This Row],[START DATE]]&gt;0,T_EMPLOYEES[[#This Row],[START DATE]]&lt;TODAY()+60),0,1))</f>
        <v/>
      </c>
      <c r="AE388">
        <f>IF(T_EMPLOYEES[[#This Row],[EMPLOYEE NUMBER]]="","",MATCH(T_EMPLOYEES[[#This Row],[GENDER]],L_GENDER,0))</f>
        <v/>
      </c>
      <c r="AF388">
        <f>IF(T_EMPLOYEES[[#This Row],[EMPLOYEE NUMBER]]="","",MATCH(T_EMPLOYEES[[#This Row],[HIRE SOURCE]],L_HIRESOURCE,0))</f>
        <v/>
      </c>
      <c r="AG388">
        <f>IF(T_EMPLOYEES[[#This Row],[EMPLOYEE NUMBER]]="","",MATCH(T_EMPLOYEES[[#This Row],[ETHNICITY]],L_ETHNICITY,0))</f>
        <v/>
      </c>
      <c r="AH388">
        <f>IF(T_EMPLOYEES[[#This Row],[EMPLOYEE NUMBER]]="","",MATCH(T_EMPLOYEES[[#This Row],[LOCATION]],L_LOCATION,0))</f>
        <v/>
      </c>
      <c r="AI388">
        <f>IF(T_EMPLOYEES[[#This Row],[EMPLOYEE NUMBER]]="","",MATCH(T_EMPLOYEES[[#This Row],[DEPARTMENT]],L_DEPARTMENT,0))</f>
        <v/>
      </c>
      <c r="AJ388">
        <f>IF(T_EMPLOYEES[[#This Row],[EMPLOYEE NUMBER]]="","",MATCH(T_EMPLOYEES[[#This Row],[JOB TYPE]],L_JOBTYPE,0))</f>
        <v/>
      </c>
      <c r="AK388">
        <f>IF(T_EMPLOYEES[[#This Row],[EMPLOYEE NUMBER]]="","",MATCH(T_EMPLOYEES[[#This Row],[JOB CATEGORY]],L_JOBCATEGORY,0))</f>
        <v/>
      </c>
      <c r="AL388">
        <f>IF(T_EMPLOYEES[[#This Row],[EMPLOYEE NUMBER]]="","",MATCH(T_EMPLOYEES[[#This Row],[JOB LEVEL]],L_JOBLEVEL,0))</f>
        <v/>
      </c>
      <c r="AM388">
        <f>IF(T_EMPLOYEES[[#This Row],[EMPLOYEE NUMBER]]="","",MATCH(T_EMPLOYEES[[#This Row],[JOB TITLE]],L_JOBTITLE,0))</f>
        <v/>
      </c>
      <c r="AN388">
        <f>IF(T_EMPLOYEES[[#This Row],[EMPLOYEE NUMBER]]="","",MATCH(T_EMPLOYEES[[#This Row],[MANAGER]],L_EMPLABELS,0))</f>
        <v/>
      </c>
      <c r="AO388">
        <f>IF(T_EMPLOYEES[[#This Row],[EMPLOYEE NUMBER]]="","",IF(T_EMPLOYEES[[#This Row],[ERROR]]="",0,1))</f>
        <v/>
      </c>
      <c r="AP38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89">
      <c r="A389" t="inlineStr">
        <is>
          <t>Santhiya</t>
        </is>
      </c>
      <c r="B389" t="inlineStr">
        <is>
          <t xml:space="preserve"> Krishnamoorthy</t>
        </is>
      </c>
      <c r="C389" t="n">
        <v>1024022</v>
      </c>
      <c r="D389" t="inlineStr">
        <is>
          <t>Santhiya.Krishnamoorthy@infinite.com</t>
        </is>
      </c>
      <c r="E389" s="26" t="n">
        <v>35940</v>
      </c>
      <c r="F389" s="26" t="n">
        <v>44132</v>
      </c>
      <c r="H389" t="inlineStr">
        <is>
          <t>Female</t>
        </is>
      </c>
      <c r="I389" t="inlineStr">
        <is>
          <t>Asian</t>
        </is>
      </c>
      <c r="J389" t="inlineStr">
        <is>
          <t>WEBSITE</t>
        </is>
      </c>
      <c r="K389" t="inlineStr">
        <is>
          <t>Bangalore</t>
        </is>
      </c>
      <c r="L389" s="27" t="inlineStr">
        <is>
          <t>Core</t>
        </is>
      </c>
      <c r="M389" t="inlineStr">
        <is>
          <t>Full-Time</t>
        </is>
      </c>
      <c r="N389" t="inlineStr">
        <is>
          <t>Software Engineer</t>
        </is>
      </c>
      <c r="O389" t="inlineStr">
        <is>
          <t>E2</t>
        </is>
      </c>
      <c r="P389" t="inlineStr">
        <is>
          <t>Software Engineer</t>
        </is>
      </c>
      <c r="Q389" t="inlineStr">
        <is>
          <t>Kishore Kumar N (1019765)</t>
        </is>
      </c>
      <c r="R389" t="n">
        <v>4</v>
      </c>
      <c r="S389" s="1" t="n">
        <v>250000</v>
      </c>
      <c r="T389" s="1">
        <f>ROUND(T_EMPLOYEES[[#This Row],[EMP_CTC1]]/12, 0)</f>
        <v/>
      </c>
      <c r="U389" s="1" t="n">
        <v>150000</v>
      </c>
      <c r="V389" s="1" t="inlineStr">
        <is>
          <t>AK</t>
        </is>
      </c>
      <c r="W389" s="1" t="inlineStr">
        <is>
          <t>AK</t>
        </is>
      </c>
      <c r="X38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89" t="n">
        <v>120000</v>
      </c>
      <c r="Z389" s="29">
        <f>(S389 - U389)/S389 * 100</f>
        <v/>
      </c>
      <c r="AA389">
        <f>IF(T_EMPLOYEES[[#This Row],[EMPLOYEE NUMBER]]="","",ROW(T_EMPLOYEES[[#This Row],[EMPLOYEE LABEL]])-ROW(T_EMPLOYEES[[#Headers],[EMPLOYEE LABEL]]))</f>
        <v/>
      </c>
      <c r="AB389">
        <f>IF(T_EMPLOYEES[[#This Row],[EMPLOYEE NUMBER]]="","",IF(COUNTIF(T_EMPLOYEES[EMPLOYEE NUMBER],T_EMPLOYEES[[#This Row],[EMPLOYEE NUMBER]])&gt;1,1,0))</f>
        <v/>
      </c>
      <c r="AC389">
        <f>IF(T_EMPLOYEES[[#This Row],[EMPLOYEE NUMBER]]="","",IF(AND(T_EMPLOYEES[[#This Row],[DATE OF BIRTH]]&gt;0,T_EMPLOYEES[[#This Row],[DATE OF BIRTH]]&lt;TODAY()),0,1))</f>
        <v/>
      </c>
      <c r="AD389">
        <f>IF(T_EMPLOYEES[[#This Row],[EMPLOYEE NUMBER]]="","",IF(AND(T_EMPLOYEES[[#This Row],[START DATE]]&gt;0,T_EMPLOYEES[[#This Row],[START DATE]]&lt;TODAY()+60),0,1))</f>
        <v/>
      </c>
      <c r="AE389">
        <f>IF(T_EMPLOYEES[[#This Row],[EMPLOYEE NUMBER]]="","",MATCH(T_EMPLOYEES[[#This Row],[GENDER]],L_GENDER,0))</f>
        <v/>
      </c>
      <c r="AF389">
        <f>IF(T_EMPLOYEES[[#This Row],[EMPLOYEE NUMBER]]="","",MATCH(T_EMPLOYEES[[#This Row],[HIRE SOURCE]],L_HIRESOURCE,0))</f>
        <v/>
      </c>
      <c r="AG389">
        <f>IF(T_EMPLOYEES[[#This Row],[EMPLOYEE NUMBER]]="","",MATCH(T_EMPLOYEES[[#This Row],[ETHNICITY]],L_ETHNICITY,0))</f>
        <v/>
      </c>
      <c r="AH389">
        <f>IF(T_EMPLOYEES[[#This Row],[EMPLOYEE NUMBER]]="","",MATCH(T_EMPLOYEES[[#This Row],[LOCATION]],L_LOCATION,0))</f>
        <v/>
      </c>
      <c r="AI389">
        <f>IF(T_EMPLOYEES[[#This Row],[EMPLOYEE NUMBER]]="","",MATCH(T_EMPLOYEES[[#This Row],[DEPARTMENT]],L_DEPARTMENT,0))</f>
        <v/>
      </c>
      <c r="AJ389">
        <f>IF(T_EMPLOYEES[[#This Row],[EMPLOYEE NUMBER]]="","",MATCH(T_EMPLOYEES[[#This Row],[JOB TYPE]],L_JOBTYPE,0))</f>
        <v/>
      </c>
      <c r="AK389">
        <f>IF(T_EMPLOYEES[[#This Row],[EMPLOYEE NUMBER]]="","",MATCH(T_EMPLOYEES[[#This Row],[JOB CATEGORY]],L_JOBCATEGORY,0))</f>
        <v/>
      </c>
      <c r="AL389">
        <f>IF(T_EMPLOYEES[[#This Row],[EMPLOYEE NUMBER]]="","",MATCH(T_EMPLOYEES[[#This Row],[JOB LEVEL]],L_JOBLEVEL,0))</f>
        <v/>
      </c>
      <c r="AM389">
        <f>IF(T_EMPLOYEES[[#This Row],[EMPLOYEE NUMBER]]="","",MATCH(T_EMPLOYEES[[#This Row],[JOB TITLE]],L_JOBTITLE,0))</f>
        <v/>
      </c>
      <c r="AN389">
        <f>IF(T_EMPLOYEES[[#This Row],[EMPLOYEE NUMBER]]="","",MATCH(T_EMPLOYEES[[#This Row],[MANAGER]],L_EMPLABELS,0))</f>
        <v/>
      </c>
      <c r="AO389">
        <f>IF(T_EMPLOYEES[[#This Row],[EMPLOYEE NUMBER]]="","",IF(T_EMPLOYEES[[#This Row],[ERROR]]="",0,1))</f>
        <v/>
      </c>
      <c r="AP38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0">
      <c r="A390" t="inlineStr">
        <is>
          <t>Suchismita</t>
        </is>
      </c>
      <c r="B390" t="inlineStr">
        <is>
          <t xml:space="preserve"> Mohanty</t>
        </is>
      </c>
      <c r="C390" t="n">
        <v>1022859</v>
      </c>
      <c r="D390" t="inlineStr">
        <is>
          <t>Suchismita.Mohanty@infinite.com</t>
        </is>
      </c>
      <c r="E390" s="26" t="n">
        <v>35945</v>
      </c>
      <c r="F390" s="26" t="n">
        <v>43790</v>
      </c>
      <c r="H390" t="inlineStr">
        <is>
          <t>Female</t>
        </is>
      </c>
      <c r="I390" t="inlineStr">
        <is>
          <t>Asian</t>
        </is>
      </c>
      <c r="J390" t="inlineStr">
        <is>
          <t>WEBSITE</t>
        </is>
      </c>
      <c r="K390" t="inlineStr">
        <is>
          <t>Bangalore</t>
        </is>
      </c>
      <c r="L390" s="27" t="inlineStr">
        <is>
          <t>QA</t>
        </is>
      </c>
      <c r="M390" t="inlineStr">
        <is>
          <t>Full-Time</t>
        </is>
      </c>
      <c r="N390" t="inlineStr">
        <is>
          <t>Senior Software Test Engineer</t>
        </is>
      </c>
      <c r="O390" t="inlineStr">
        <is>
          <t>E3</t>
        </is>
      </c>
      <c r="P390" t="inlineStr">
        <is>
          <t>Senior Software Test Engineer</t>
        </is>
      </c>
      <c r="Q390" t="inlineStr">
        <is>
          <t>Siva Kumar  Shada (1000177)</t>
        </is>
      </c>
      <c r="R390" s="27" t="n">
        <v>4</v>
      </c>
      <c r="S390" s="1" t="n">
        <v>250000</v>
      </c>
      <c r="T390" s="1">
        <f>ROUND(T_EMPLOYEES[[#This Row],[EMP_CTC1]]/12, 0)</f>
        <v/>
      </c>
      <c r="U390" s="1" t="n">
        <v>150000</v>
      </c>
      <c r="V390" s="1" t="inlineStr">
        <is>
          <t>AK</t>
        </is>
      </c>
      <c r="W390" s="1" t="inlineStr">
        <is>
          <t>AK</t>
        </is>
      </c>
      <c r="X39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0" t="n">
        <v>120000</v>
      </c>
      <c r="Z390" s="29">
        <f>(S390 - U390)/S390 * 100</f>
        <v/>
      </c>
      <c r="AA390">
        <f>IF(T_EMPLOYEES[[#This Row],[EMPLOYEE NUMBER]]="","",ROW(T_EMPLOYEES[[#This Row],[EMPLOYEE LABEL]])-ROW(T_EMPLOYEES[[#Headers],[EMPLOYEE LABEL]]))</f>
        <v/>
      </c>
      <c r="AB390">
        <f>IF(T_EMPLOYEES[[#This Row],[EMPLOYEE NUMBER]]="","",IF(COUNTIF(T_EMPLOYEES[EMPLOYEE NUMBER],T_EMPLOYEES[[#This Row],[EMPLOYEE NUMBER]])&gt;1,1,0))</f>
        <v/>
      </c>
      <c r="AC390">
        <f>IF(T_EMPLOYEES[[#This Row],[EMPLOYEE NUMBER]]="","",IF(AND(T_EMPLOYEES[[#This Row],[DATE OF BIRTH]]&gt;0,T_EMPLOYEES[[#This Row],[DATE OF BIRTH]]&lt;TODAY()),0,1))</f>
        <v/>
      </c>
      <c r="AD390">
        <f>IF(T_EMPLOYEES[[#This Row],[EMPLOYEE NUMBER]]="","",IF(AND(T_EMPLOYEES[[#This Row],[START DATE]]&gt;0,T_EMPLOYEES[[#This Row],[START DATE]]&lt;TODAY()+60),0,1))</f>
        <v/>
      </c>
      <c r="AE390">
        <f>IF(T_EMPLOYEES[[#This Row],[EMPLOYEE NUMBER]]="","",MATCH(T_EMPLOYEES[[#This Row],[GENDER]],L_GENDER,0))</f>
        <v/>
      </c>
      <c r="AF390">
        <f>IF(T_EMPLOYEES[[#This Row],[EMPLOYEE NUMBER]]="","",MATCH(T_EMPLOYEES[[#This Row],[HIRE SOURCE]],L_HIRESOURCE,0))</f>
        <v/>
      </c>
      <c r="AG390">
        <f>IF(T_EMPLOYEES[[#This Row],[EMPLOYEE NUMBER]]="","",MATCH(T_EMPLOYEES[[#This Row],[ETHNICITY]],L_ETHNICITY,0))</f>
        <v/>
      </c>
      <c r="AH390">
        <f>IF(T_EMPLOYEES[[#This Row],[EMPLOYEE NUMBER]]="","",MATCH(T_EMPLOYEES[[#This Row],[LOCATION]],L_LOCATION,0))</f>
        <v/>
      </c>
      <c r="AI390">
        <f>IF(T_EMPLOYEES[[#This Row],[EMPLOYEE NUMBER]]="","",MATCH(T_EMPLOYEES[[#This Row],[DEPARTMENT]],L_DEPARTMENT,0))</f>
        <v/>
      </c>
      <c r="AJ390">
        <f>IF(T_EMPLOYEES[[#This Row],[EMPLOYEE NUMBER]]="","",MATCH(T_EMPLOYEES[[#This Row],[JOB TYPE]],L_JOBTYPE,0))</f>
        <v/>
      </c>
      <c r="AK390">
        <f>IF(T_EMPLOYEES[[#This Row],[EMPLOYEE NUMBER]]="","",MATCH(T_EMPLOYEES[[#This Row],[JOB CATEGORY]],L_JOBCATEGORY,0))</f>
        <v/>
      </c>
      <c r="AL390">
        <f>IF(T_EMPLOYEES[[#This Row],[EMPLOYEE NUMBER]]="","",MATCH(T_EMPLOYEES[[#This Row],[JOB LEVEL]],L_JOBLEVEL,0))</f>
        <v/>
      </c>
      <c r="AM390">
        <f>IF(T_EMPLOYEES[[#This Row],[EMPLOYEE NUMBER]]="","",MATCH(T_EMPLOYEES[[#This Row],[JOB TITLE]],L_JOBTITLE,0))</f>
        <v/>
      </c>
      <c r="AN390">
        <f>IF(T_EMPLOYEES[[#This Row],[EMPLOYEE NUMBER]]="","",MATCH(T_EMPLOYEES[[#This Row],[MANAGER]],L_EMPLABELS,0))</f>
        <v/>
      </c>
      <c r="AO390">
        <f>IF(T_EMPLOYEES[[#This Row],[EMPLOYEE NUMBER]]="","",IF(T_EMPLOYEES[[#This Row],[ERROR]]="",0,1))</f>
        <v/>
      </c>
      <c r="AP39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1">
      <c r="A391" t="inlineStr">
        <is>
          <t>Raveendra</t>
        </is>
      </c>
      <c r="B391" t="inlineStr">
        <is>
          <t>Kumar Patnala</t>
        </is>
      </c>
      <c r="C391" t="n">
        <v>1032906</v>
      </c>
      <c r="D391" t="inlineStr">
        <is>
          <t>Raveendra.Patnala@infinite.com</t>
        </is>
      </c>
      <c r="E391" s="26" t="n">
        <v>35955</v>
      </c>
      <c r="F391" s="26" t="n">
        <v>45084</v>
      </c>
      <c r="H391" t="inlineStr">
        <is>
          <t>Male</t>
        </is>
      </c>
      <c r="I391" t="inlineStr">
        <is>
          <t>Asian</t>
        </is>
      </c>
      <c r="J391" t="inlineStr">
        <is>
          <t>WEBSITE</t>
        </is>
      </c>
      <c r="K391" t="inlineStr">
        <is>
          <t>Hyderabad</t>
        </is>
      </c>
      <c r="L391" s="27" t="inlineStr">
        <is>
          <t>IT</t>
        </is>
      </c>
      <c r="M391" t="inlineStr">
        <is>
          <t>Full-Time</t>
        </is>
      </c>
      <c r="N391" t="inlineStr">
        <is>
          <t>Support Engineer</t>
        </is>
      </c>
      <c r="O391" t="inlineStr">
        <is>
          <t>E2</t>
        </is>
      </c>
      <c r="P391" t="inlineStr">
        <is>
          <t>Support Engineer</t>
        </is>
      </c>
      <c r="Q391" t="inlineStr">
        <is>
          <t>Santosh Kumar B (1033071)</t>
        </is>
      </c>
      <c r="R391" t="n">
        <v>4</v>
      </c>
      <c r="S391" s="1" t="n">
        <v>250000</v>
      </c>
      <c r="T391" s="1">
        <f>ROUND(T_EMPLOYEES[[#This Row],[EMP_CTC1]]/12, 0)</f>
        <v/>
      </c>
      <c r="U391" s="1" t="n">
        <v>150000</v>
      </c>
      <c r="V391" s="1" t="inlineStr">
        <is>
          <t>AK</t>
        </is>
      </c>
      <c r="W391" s="1" t="inlineStr">
        <is>
          <t>AK</t>
        </is>
      </c>
      <c r="X39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1" t="n">
        <v>120000</v>
      </c>
      <c r="Z391" s="29">
        <f>(S391 - U391)/S391 * 100</f>
        <v/>
      </c>
      <c r="AA391">
        <f>IF(T_EMPLOYEES[[#This Row],[EMPLOYEE NUMBER]]="","",ROW(T_EMPLOYEES[[#This Row],[EMPLOYEE LABEL]])-ROW(T_EMPLOYEES[[#Headers],[EMPLOYEE LABEL]]))</f>
        <v/>
      </c>
      <c r="AB391">
        <f>IF(T_EMPLOYEES[[#This Row],[EMPLOYEE NUMBER]]="","",IF(COUNTIF(T_EMPLOYEES[EMPLOYEE NUMBER],T_EMPLOYEES[[#This Row],[EMPLOYEE NUMBER]])&gt;1,1,0))</f>
        <v/>
      </c>
      <c r="AC391">
        <f>IF(T_EMPLOYEES[[#This Row],[EMPLOYEE NUMBER]]="","",IF(AND(T_EMPLOYEES[[#This Row],[DATE OF BIRTH]]&gt;0,T_EMPLOYEES[[#This Row],[DATE OF BIRTH]]&lt;TODAY()),0,1))</f>
        <v/>
      </c>
      <c r="AD391">
        <f>IF(T_EMPLOYEES[[#This Row],[EMPLOYEE NUMBER]]="","",IF(AND(T_EMPLOYEES[[#This Row],[START DATE]]&gt;0,T_EMPLOYEES[[#This Row],[START DATE]]&lt;TODAY()+60),0,1))</f>
        <v/>
      </c>
      <c r="AE391">
        <f>IF(T_EMPLOYEES[[#This Row],[EMPLOYEE NUMBER]]="","",MATCH(T_EMPLOYEES[[#This Row],[GENDER]],L_GENDER,0))</f>
        <v/>
      </c>
      <c r="AF391">
        <f>IF(T_EMPLOYEES[[#This Row],[EMPLOYEE NUMBER]]="","",MATCH(T_EMPLOYEES[[#This Row],[HIRE SOURCE]],L_HIRESOURCE,0))</f>
        <v/>
      </c>
      <c r="AG391">
        <f>IF(T_EMPLOYEES[[#This Row],[EMPLOYEE NUMBER]]="","",MATCH(T_EMPLOYEES[[#This Row],[ETHNICITY]],L_ETHNICITY,0))</f>
        <v/>
      </c>
      <c r="AH391">
        <f>IF(T_EMPLOYEES[[#This Row],[EMPLOYEE NUMBER]]="","",MATCH(T_EMPLOYEES[[#This Row],[LOCATION]],L_LOCATION,0))</f>
        <v/>
      </c>
      <c r="AI391">
        <f>IF(T_EMPLOYEES[[#This Row],[EMPLOYEE NUMBER]]="","",MATCH(T_EMPLOYEES[[#This Row],[DEPARTMENT]],L_DEPARTMENT,0))</f>
        <v/>
      </c>
      <c r="AJ391">
        <f>IF(T_EMPLOYEES[[#This Row],[EMPLOYEE NUMBER]]="","",MATCH(T_EMPLOYEES[[#This Row],[JOB TYPE]],L_JOBTYPE,0))</f>
        <v/>
      </c>
      <c r="AK391">
        <f>IF(T_EMPLOYEES[[#This Row],[EMPLOYEE NUMBER]]="","",MATCH(T_EMPLOYEES[[#This Row],[JOB CATEGORY]],L_JOBCATEGORY,0))</f>
        <v/>
      </c>
      <c r="AL391">
        <f>IF(T_EMPLOYEES[[#This Row],[EMPLOYEE NUMBER]]="","",MATCH(T_EMPLOYEES[[#This Row],[JOB LEVEL]],L_JOBLEVEL,0))</f>
        <v/>
      </c>
      <c r="AM391">
        <f>IF(T_EMPLOYEES[[#This Row],[EMPLOYEE NUMBER]]="","",MATCH(T_EMPLOYEES[[#This Row],[JOB TITLE]],L_JOBTITLE,0))</f>
        <v/>
      </c>
      <c r="AN391">
        <f>IF(T_EMPLOYEES[[#This Row],[EMPLOYEE NUMBER]]="","",MATCH(T_EMPLOYEES[[#This Row],[MANAGER]],L_EMPLABELS,0))</f>
        <v/>
      </c>
      <c r="AO391">
        <f>IF(T_EMPLOYEES[[#This Row],[EMPLOYEE NUMBER]]="","",IF(T_EMPLOYEES[[#This Row],[ERROR]]="",0,1))</f>
        <v/>
      </c>
      <c r="AP39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2">
      <c r="A392" t="inlineStr">
        <is>
          <t>Madala</t>
        </is>
      </c>
      <c r="B392" t="inlineStr">
        <is>
          <t>Sai Keerthana</t>
        </is>
      </c>
      <c r="C392" t="n">
        <v>1028407</v>
      </c>
      <c r="D392" t="inlineStr">
        <is>
          <t>Sai.Keerthana@infinite.com</t>
        </is>
      </c>
      <c r="E392" s="26" t="n">
        <v>35971</v>
      </c>
      <c r="F392" s="26" t="n">
        <v>44615</v>
      </c>
      <c r="H392" t="inlineStr">
        <is>
          <t>Female</t>
        </is>
      </c>
      <c r="I392" t="inlineStr">
        <is>
          <t>Asian</t>
        </is>
      </c>
      <c r="J392" t="inlineStr">
        <is>
          <t>WEBSITE</t>
        </is>
      </c>
      <c r="K392" t="inlineStr">
        <is>
          <t>Bangalore</t>
        </is>
      </c>
      <c r="L392" s="27" t="inlineStr">
        <is>
          <t>Core</t>
        </is>
      </c>
      <c r="M392" t="inlineStr">
        <is>
          <t>Full-Time</t>
        </is>
      </c>
      <c r="N392" t="inlineStr">
        <is>
          <t>Software Engineer</t>
        </is>
      </c>
      <c r="O392" t="inlineStr">
        <is>
          <t>E2</t>
        </is>
      </c>
      <c r="P392" t="inlineStr">
        <is>
          <t>Software Engineer</t>
        </is>
      </c>
      <c r="Q392" t="inlineStr">
        <is>
          <t>Dipakbhai Motibhai Tandel (1027230)</t>
        </is>
      </c>
      <c r="R392" s="27" t="n">
        <v>4</v>
      </c>
      <c r="S392" s="1" t="n">
        <v>250000</v>
      </c>
      <c r="T392" s="1">
        <f>ROUND(T_EMPLOYEES[[#This Row],[EMP_CTC1]]/12, 0)</f>
        <v/>
      </c>
      <c r="U392" s="1" t="n">
        <v>150000</v>
      </c>
      <c r="V392" s="1" t="inlineStr">
        <is>
          <t>AK</t>
        </is>
      </c>
      <c r="W392" s="1" t="inlineStr">
        <is>
          <t>AK</t>
        </is>
      </c>
      <c r="X39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2" t="n">
        <v>120000</v>
      </c>
      <c r="Z392" s="29">
        <f>(S392 - U392)/S392 * 100</f>
        <v/>
      </c>
      <c r="AA392">
        <f>IF(T_EMPLOYEES[[#This Row],[EMPLOYEE NUMBER]]="","",ROW(T_EMPLOYEES[[#This Row],[EMPLOYEE LABEL]])-ROW(T_EMPLOYEES[[#Headers],[EMPLOYEE LABEL]]))</f>
        <v/>
      </c>
      <c r="AB392">
        <f>IF(T_EMPLOYEES[[#This Row],[EMPLOYEE NUMBER]]="","",IF(COUNTIF(T_EMPLOYEES[EMPLOYEE NUMBER],T_EMPLOYEES[[#This Row],[EMPLOYEE NUMBER]])&gt;1,1,0))</f>
        <v/>
      </c>
      <c r="AC392">
        <f>IF(T_EMPLOYEES[[#This Row],[EMPLOYEE NUMBER]]="","",IF(AND(T_EMPLOYEES[[#This Row],[DATE OF BIRTH]]&gt;0,T_EMPLOYEES[[#This Row],[DATE OF BIRTH]]&lt;TODAY()),0,1))</f>
        <v/>
      </c>
      <c r="AD392">
        <f>IF(T_EMPLOYEES[[#This Row],[EMPLOYEE NUMBER]]="","",IF(AND(T_EMPLOYEES[[#This Row],[START DATE]]&gt;0,T_EMPLOYEES[[#This Row],[START DATE]]&lt;TODAY()+60),0,1))</f>
        <v/>
      </c>
      <c r="AE392">
        <f>IF(T_EMPLOYEES[[#This Row],[EMPLOYEE NUMBER]]="","",MATCH(T_EMPLOYEES[[#This Row],[GENDER]],L_GENDER,0))</f>
        <v/>
      </c>
      <c r="AF392">
        <f>IF(T_EMPLOYEES[[#This Row],[EMPLOYEE NUMBER]]="","",MATCH(T_EMPLOYEES[[#This Row],[HIRE SOURCE]],L_HIRESOURCE,0))</f>
        <v/>
      </c>
      <c r="AG392">
        <f>IF(T_EMPLOYEES[[#This Row],[EMPLOYEE NUMBER]]="","",MATCH(T_EMPLOYEES[[#This Row],[ETHNICITY]],L_ETHNICITY,0))</f>
        <v/>
      </c>
      <c r="AH392">
        <f>IF(T_EMPLOYEES[[#This Row],[EMPLOYEE NUMBER]]="","",MATCH(T_EMPLOYEES[[#This Row],[LOCATION]],L_LOCATION,0))</f>
        <v/>
      </c>
      <c r="AI392">
        <f>IF(T_EMPLOYEES[[#This Row],[EMPLOYEE NUMBER]]="","",MATCH(T_EMPLOYEES[[#This Row],[DEPARTMENT]],L_DEPARTMENT,0))</f>
        <v/>
      </c>
      <c r="AJ392">
        <f>IF(T_EMPLOYEES[[#This Row],[EMPLOYEE NUMBER]]="","",MATCH(T_EMPLOYEES[[#This Row],[JOB TYPE]],L_JOBTYPE,0))</f>
        <v/>
      </c>
      <c r="AK392">
        <f>IF(T_EMPLOYEES[[#This Row],[EMPLOYEE NUMBER]]="","",MATCH(T_EMPLOYEES[[#This Row],[JOB CATEGORY]],L_JOBCATEGORY,0))</f>
        <v/>
      </c>
      <c r="AL392">
        <f>IF(T_EMPLOYEES[[#This Row],[EMPLOYEE NUMBER]]="","",MATCH(T_EMPLOYEES[[#This Row],[JOB LEVEL]],L_JOBLEVEL,0))</f>
        <v/>
      </c>
      <c r="AM392">
        <f>IF(T_EMPLOYEES[[#This Row],[EMPLOYEE NUMBER]]="","",MATCH(T_EMPLOYEES[[#This Row],[JOB TITLE]],L_JOBTITLE,0))</f>
        <v/>
      </c>
      <c r="AN392">
        <f>IF(T_EMPLOYEES[[#This Row],[EMPLOYEE NUMBER]]="","",MATCH(T_EMPLOYEES[[#This Row],[MANAGER]],L_EMPLABELS,0))</f>
        <v/>
      </c>
      <c r="AO392">
        <f>IF(T_EMPLOYEES[[#This Row],[EMPLOYEE NUMBER]]="","",IF(T_EMPLOYEES[[#This Row],[ERROR]]="",0,1))</f>
        <v/>
      </c>
      <c r="AP39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3">
      <c r="A393" t="inlineStr">
        <is>
          <t>Yatham</t>
        </is>
      </c>
      <c r="B393" t="inlineStr">
        <is>
          <t>Srinath Reddy</t>
        </is>
      </c>
      <c r="C393" t="n">
        <v>1029191</v>
      </c>
      <c r="D393" t="inlineStr">
        <is>
          <t>Srinath.Reddy2@infinite.com</t>
        </is>
      </c>
      <c r="E393" s="26" t="n">
        <v>35971</v>
      </c>
      <c r="F393" s="26" t="n">
        <v>44714</v>
      </c>
      <c r="H393" t="inlineStr">
        <is>
          <t>Male</t>
        </is>
      </c>
      <c r="I393" t="inlineStr">
        <is>
          <t>Asian</t>
        </is>
      </c>
      <c r="J393" t="inlineStr">
        <is>
          <t>WEBSITE</t>
        </is>
      </c>
      <c r="K393" t="inlineStr">
        <is>
          <t>Bangalore</t>
        </is>
      </c>
      <c r="L393" s="27" t="inlineStr">
        <is>
          <t>IT</t>
        </is>
      </c>
      <c r="M393" t="inlineStr">
        <is>
          <t>Full-Time</t>
        </is>
      </c>
      <c r="N393" t="inlineStr">
        <is>
          <t>Software Engineer</t>
        </is>
      </c>
      <c r="O393" t="inlineStr">
        <is>
          <t>E2</t>
        </is>
      </c>
      <c r="P393" t="inlineStr">
        <is>
          <t>Software Engineer</t>
        </is>
      </c>
      <c r="Q393" t="inlineStr">
        <is>
          <t>Shaik Jabeer Basha (1027017)</t>
        </is>
      </c>
      <c r="R393" t="n">
        <v>4</v>
      </c>
      <c r="S393" s="1" t="n">
        <v>250000</v>
      </c>
      <c r="T393" s="1">
        <f>ROUND(T_EMPLOYEES[[#This Row],[EMP_CTC1]]/12, 0)</f>
        <v/>
      </c>
      <c r="U393" s="1" t="n">
        <v>150000</v>
      </c>
      <c r="V393" s="1" t="inlineStr">
        <is>
          <t>AK</t>
        </is>
      </c>
      <c r="W393" s="1" t="inlineStr">
        <is>
          <t>AK</t>
        </is>
      </c>
      <c r="X39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3" t="n">
        <v>120000</v>
      </c>
      <c r="Z393" s="29">
        <f>(S393 - U393)/S393 * 100</f>
        <v/>
      </c>
      <c r="AA393">
        <f>IF(T_EMPLOYEES[[#This Row],[EMPLOYEE NUMBER]]="","",ROW(T_EMPLOYEES[[#This Row],[EMPLOYEE LABEL]])-ROW(T_EMPLOYEES[[#Headers],[EMPLOYEE LABEL]]))</f>
        <v/>
      </c>
      <c r="AB393">
        <f>IF(T_EMPLOYEES[[#This Row],[EMPLOYEE NUMBER]]="","",IF(COUNTIF(T_EMPLOYEES[EMPLOYEE NUMBER],T_EMPLOYEES[[#This Row],[EMPLOYEE NUMBER]])&gt;1,1,0))</f>
        <v/>
      </c>
      <c r="AC393">
        <f>IF(T_EMPLOYEES[[#This Row],[EMPLOYEE NUMBER]]="","",IF(AND(T_EMPLOYEES[[#This Row],[DATE OF BIRTH]]&gt;0,T_EMPLOYEES[[#This Row],[DATE OF BIRTH]]&lt;TODAY()),0,1))</f>
        <v/>
      </c>
      <c r="AD393">
        <f>IF(T_EMPLOYEES[[#This Row],[EMPLOYEE NUMBER]]="","",IF(AND(T_EMPLOYEES[[#This Row],[START DATE]]&gt;0,T_EMPLOYEES[[#This Row],[START DATE]]&lt;TODAY()+60),0,1))</f>
        <v/>
      </c>
      <c r="AE393">
        <f>IF(T_EMPLOYEES[[#This Row],[EMPLOYEE NUMBER]]="","",MATCH(T_EMPLOYEES[[#This Row],[GENDER]],L_GENDER,0))</f>
        <v/>
      </c>
      <c r="AF393">
        <f>IF(T_EMPLOYEES[[#This Row],[EMPLOYEE NUMBER]]="","",MATCH(T_EMPLOYEES[[#This Row],[HIRE SOURCE]],L_HIRESOURCE,0))</f>
        <v/>
      </c>
      <c r="AG393">
        <f>IF(T_EMPLOYEES[[#This Row],[EMPLOYEE NUMBER]]="","",MATCH(T_EMPLOYEES[[#This Row],[ETHNICITY]],L_ETHNICITY,0))</f>
        <v/>
      </c>
      <c r="AH393">
        <f>IF(T_EMPLOYEES[[#This Row],[EMPLOYEE NUMBER]]="","",MATCH(T_EMPLOYEES[[#This Row],[LOCATION]],L_LOCATION,0))</f>
        <v/>
      </c>
      <c r="AI393">
        <f>IF(T_EMPLOYEES[[#This Row],[EMPLOYEE NUMBER]]="","",MATCH(T_EMPLOYEES[[#This Row],[DEPARTMENT]],L_DEPARTMENT,0))</f>
        <v/>
      </c>
      <c r="AJ393">
        <f>IF(T_EMPLOYEES[[#This Row],[EMPLOYEE NUMBER]]="","",MATCH(T_EMPLOYEES[[#This Row],[JOB TYPE]],L_JOBTYPE,0))</f>
        <v/>
      </c>
      <c r="AK393">
        <f>IF(T_EMPLOYEES[[#This Row],[EMPLOYEE NUMBER]]="","",MATCH(T_EMPLOYEES[[#This Row],[JOB CATEGORY]],L_JOBCATEGORY,0))</f>
        <v/>
      </c>
      <c r="AL393">
        <f>IF(T_EMPLOYEES[[#This Row],[EMPLOYEE NUMBER]]="","",MATCH(T_EMPLOYEES[[#This Row],[JOB LEVEL]],L_JOBLEVEL,0))</f>
        <v/>
      </c>
      <c r="AM393">
        <f>IF(T_EMPLOYEES[[#This Row],[EMPLOYEE NUMBER]]="","",MATCH(T_EMPLOYEES[[#This Row],[JOB TITLE]],L_JOBTITLE,0))</f>
        <v/>
      </c>
      <c r="AN393">
        <f>IF(T_EMPLOYEES[[#This Row],[EMPLOYEE NUMBER]]="","",MATCH(T_EMPLOYEES[[#This Row],[MANAGER]],L_EMPLABELS,0))</f>
        <v/>
      </c>
      <c r="AO393">
        <f>IF(T_EMPLOYEES[[#This Row],[EMPLOYEE NUMBER]]="","",IF(T_EMPLOYEES[[#This Row],[ERROR]]="",0,1))</f>
        <v/>
      </c>
      <c r="AP39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4">
      <c r="A394" t="inlineStr">
        <is>
          <t>Srishti</t>
        </is>
      </c>
      <c r="B394" t="inlineStr">
        <is>
          <t xml:space="preserve"> Gupta</t>
        </is>
      </c>
      <c r="C394" t="n">
        <v>1024892</v>
      </c>
      <c r="D394" t="inlineStr">
        <is>
          <t>Srishti.Gupta@infinite.com</t>
        </is>
      </c>
      <c r="E394" s="26" t="n">
        <v>35975</v>
      </c>
      <c r="F394" s="26" t="n">
        <v>44284</v>
      </c>
      <c r="H394" t="inlineStr">
        <is>
          <t>Female</t>
        </is>
      </c>
      <c r="I394" t="inlineStr">
        <is>
          <t>Asian</t>
        </is>
      </c>
      <c r="J394" t="inlineStr">
        <is>
          <t>WEBSITE</t>
        </is>
      </c>
      <c r="K394" t="inlineStr">
        <is>
          <t>Bangalore</t>
        </is>
      </c>
      <c r="L394" s="27" t="inlineStr">
        <is>
          <t>IT</t>
        </is>
      </c>
      <c r="M394" t="inlineStr">
        <is>
          <t>Full-Time</t>
        </is>
      </c>
      <c r="N394" t="inlineStr">
        <is>
          <t>Executive</t>
        </is>
      </c>
      <c r="O394" t="inlineStr">
        <is>
          <t>E2</t>
        </is>
      </c>
      <c r="P394" t="inlineStr">
        <is>
          <t>Executive</t>
        </is>
      </c>
      <c r="Q394" t="inlineStr">
        <is>
          <t>Shambhavi Priya (1015227)</t>
        </is>
      </c>
      <c r="R394" s="27" t="n">
        <v>4</v>
      </c>
      <c r="S394" s="1" t="n">
        <v>250000</v>
      </c>
      <c r="T394" s="1">
        <f>ROUND(T_EMPLOYEES[[#This Row],[EMP_CTC1]]/12, 0)</f>
        <v/>
      </c>
      <c r="U394" s="1" t="n">
        <v>150000</v>
      </c>
      <c r="V394" s="1" t="inlineStr">
        <is>
          <t>AK</t>
        </is>
      </c>
      <c r="W394" s="1" t="inlineStr">
        <is>
          <t>AK</t>
        </is>
      </c>
      <c r="X39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4" t="n">
        <v>120000</v>
      </c>
      <c r="Z394" s="29">
        <f>(S394 - U394)/S394 * 100</f>
        <v/>
      </c>
      <c r="AA394">
        <f>IF(T_EMPLOYEES[[#This Row],[EMPLOYEE NUMBER]]="","",ROW(T_EMPLOYEES[[#This Row],[EMPLOYEE LABEL]])-ROW(T_EMPLOYEES[[#Headers],[EMPLOYEE LABEL]]))</f>
        <v/>
      </c>
      <c r="AB394">
        <f>IF(T_EMPLOYEES[[#This Row],[EMPLOYEE NUMBER]]="","",IF(COUNTIF(T_EMPLOYEES[EMPLOYEE NUMBER],T_EMPLOYEES[[#This Row],[EMPLOYEE NUMBER]])&gt;1,1,0))</f>
        <v/>
      </c>
      <c r="AC394">
        <f>IF(T_EMPLOYEES[[#This Row],[EMPLOYEE NUMBER]]="","",IF(AND(T_EMPLOYEES[[#This Row],[DATE OF BIRTH]]&gt;0,T_EMPLOYEES[[#This Row],[DATE OF BIRTH]]&lt;TODAY()),0,1))</f>
        <v/>
      </c>
      <c r="AD394">
        <f>IF(T_EMPLOYEES[[#This Row],[EMPLOYEE NUMBER]]="","",IF(AND(T_EMPLOYEES[[#This Row],[START DATE]]&gt;0,T_EMPLOYEES[[#This Row],[START DATE]]&lt;TODAY()+60),0,1))</f>
        <v/>
      </c>
      <c r="AE394">
        <f>IF(T_EMPLOYEES[[#This Row],[EMPLOYEE NUMBER]]="","",MATCH(T_EMPLOYEES[[#This Row],[GENDER]],L_GENDER,0))</f>
        <v/>
      </c>
      <c r="AF394">
        <f>IF(T_EMPLOYEES[[#This Row],[EMPLOYEE NUMBER]]="","",MATCH(T_EMPLOYEES[[#This Row],[HIRE SOURCE]],L_HIRESOURCE,0))</f>
        <v/>
      </c>
      <c r="AG394">
        <f>IF(T_EMPLOYEES[[#This Row],[EMPLOYEE NUMBER]]="","",MATCH(T_EMPLOYEES[[#This Row],[ETHNICITY]],L_ETHNICITY,0))</f>
        <v/>
      </c>
      <c r="AH394">
        <f>IF(T_EMPLOYEES[[#This Row],[EMPLOYEE NUMBER]]="","",MATCH(T_EMPLOYEES[[#This Row],[LOCATION]],L_LOCATION,0))</f>
        <v/>
      </c>
      <c r="AI394">
        <f>IF(T_EMPLOYEES[[#This Row],[EMPLOYEE NUMBER]]="","",MATCH(T_EMPLOYEES[[#This Row],[DEPARTMENT]],L_DEPARTMENT,0))</f>
        <v/>
      </c>
      <c r="AJ394">
        <f>IF(T_EMPLOYEES[[#This Row],[EMPLOYEE NUMBER]]="","",MATCH(T_EMPLOYEES[[#This Row],[JOB TYPE]],L_JOBTYPE,0))</f>
        <v/>
      </c>
      <c r="AK394">
        <f>IF(T_EMPLOYEES[[#This Row],[EMPLOYEE NUMBER]]="","",MATCH(T_EMPLOYEES[[#This Row],[JOB CATEGORY]],L_JOBCATEGORY,0))</f>
        <v/>
      </c>
      <c r="AL394">
        <f>IF(T_EMPLOYEES[[#This Row],[EMPLOYEE NUMBER]]="","",MATCH(T_EMPLOYEES[[#This Row],[JOB LEVEL]],L_JOBLEVEL,0))</f>
        <v/>
      </c>
      <c r="AM394">
        <f>IF(T_EMPLOYEES[[#This Row],[EMPLOYEE NUMBER]]="","",MATCH(T_EMPLOYEES[[#This Row],[JOB TITLE]],L_JOBTITLE,0))</f>
        <v/>
      </c>
      <c r="AN394">
        <f>IF(T_EMPLOYEES[[#This Row],[EMPLOYEE NUMBER]]="","",MATCH(T_EMPLOYEES[[#This Row],[MANAGER]],L_EMPLABELS,0))</f>
        <v/>
      </c>
      <c r="AO394">
        <f>IF(T_EMPLOYEES[[#This Row],[EMPLOYEE NUMBER]]="","",IF(T_EMPLOYEES[[#This Row],[ERROR]]="",0,1))</f>
        <v/>
      </c>
      <c r="AP39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5">
      <c r="A395" t="inlineStr">
        <is>
          <t>Siddhesh</t>
        </is>
      </c>
      <c r="B395" t="inlineStr">
        <is>
          <t>suresh patil</t>
        </is>
      </c>
      <c r="C395" t="n">
        <v>1031069</v>
      </c>
      <c r="D395" t="inlineStr">
        <is>
          <t>Siddhesh.Patil@infinite.com</t>
        </is>
      </c>
      <c r="E395" s="26" t="n">
        <v>35980</v>
      </c>
      <c r="F395" s="26" t="n">
        <v>44889</v>
      </c>
      <c r="H395" t="inlineStr">
        <is>
          <t>Male</t>
        </is>
      </c>
      <c r="I395" t="inlineStr">
        <is>
          <t>Asian</t>
        </is>
      </c>
      <c r="J395" t="inlineStr">
        <is>
          <t>WEBSITE</t>
        </is>
      </c>
      <c r="K395" t="inlineStr">
        <is>
          <t>Hyderabad</t>
        </is>
      </c>
      <c r="L395" t="inlineStr">
        <is>
          <t>Infra</t>
        </is>
      </c>
      <c r="M395" t="inlineStr">
        <is>
          <t>Full-Time</t>
        </is>
      </c>
      <c r="N395" t="inlineStr">
        <is>
          <t>Associate Software Engineer</t>
        </is>
      </c>
      <c r="O395" t="inlineStr">
        <is>
          <t>E1</t>
        </is>
      </c>
      <c r="P395" t="inlineStr">
        <is>
          <t>Associate Software Engineer</t>
        </is>
      </c>
      <c r="Q395" t="inlineStr">
        <is>
          <t>K  Saikumar (1026864)</t>
        </is>
      </c>
      <c r="R395" t="n">
        <v>0</v>
      </c>
      <c r="S395" s="1" t="n">
        <v>250000</v>
      </c>
      <c r="T395" s="1">
        <f>ROUND(T_EMPLOYEES[[#This Row],[EMP_CTC1]]/12, 0)</f>
        <v/>
      </c>
      <c r="U395" s="1" t="n">
        <v>150000</v>
      </c>
      <c r="V395" s="1" t="inlineStr">
        <is>
          <t>AK</t>
        </is>
      </c>
      <c r="W395" s="1" t="inlineStr">
        <is>
          <t>AK</t>
        </is>
      </c>
      <c r="X39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5" t="n">
        <v>120000</v>
      </c>
      <c r="Z395" s="29">
        <f>(S395 - U395)/S395 * 100</f>
        <v/>
      </c>
      <c r="AA395">
        <f>IF(T_EMPLOYEES[[#This Row],[EMPLOYEE NUMBER]]="","",ROW(T_EMPLOYEES[[#This Row],[EMPLOYEE LABEL]])-ROW(T_EMPLOYEES[[#Headers],[EMPLOYEE LABEL]]))</f>
        <v/>
      </c>
      <c r="AB395">
        <f>IF(T_EMPLOYEES[[#This Row],[EMPLOYEE NUMBER]]="","",IF(COUNTIF(T_EMPLOYEES[EMPLOYEE NUMBER],T_EMPLOYEES[[#This Row],[EMPLOYEE NUMBER]])&gt;1,1,0))</f>
        <v/>
      </c>
      <c r="AC395">
        <f>IF(T_EMPLOYEES[[#This Row],[EMPLOYEE NUMBER]]="","",IF(AND(T_EMPLOYEES[[#This Row],[DATE OF BIRTH]]&gt;0,T_EMPLOYEES[[#This Row],[DATE OF BIRTH]]&lt;TODAY()),0,1))</f>
        <v/>
      </c>
      <c r="AD395">
        <f>IF(T_EMPLOYEES[[#This Row],[EMPLOYEE NUMBER]]="","",IF(AND(T_EMPLOYEES[[#This Row],[START DATE]]&gt;0,T_EMPLOYEES[[#This Row],[START DATE]]&lt;TODAY()+60),0,1))</f>
        <v/>
      </c>
      <c r="AE395">
        <f>IF(T_EMPLOYEES[[#This Row],[EMPLOYEE NUMBER]]="","",MATCH(T_EMPLOYEES[[#This Row],[GENDER]],L_GENDER,0))</f>
        <v/>
      </c>
      <c r="AF395">
        <f>IF(T_EMPLOYEES[[#This Row],[EMPLOYEE NUMBER]]="","",MATCH(T_EMPLOYEES[[#This Row],[HIRE SOURCE]],L_HIRESOURCE,0))</f>
        <v/>
      </c>
      <c r="AG395">
        <f>IF(T_EMPLOYEES[[#This Row],[EMPLOYEE NUMBER]]="","",MATCH(T_EMPLOYEES[[#This Row],[ETHNICITY]],L_ETHNICITY,0))</f>
        <v/>
      </c>
      <c r="AH395">
        <f>IF(T_EMPLOYEES[[#This Row],[EMPLOYEE NUMBER]]="","",MATCH(T_EMPLOYEES[[#This Row],[LOCATION]],L_LOCATION,0))</f>
        <v/>
      </c>
      <c r="AI395">
        <f>IF(T_EMPLOYEES[[#This Row],[EMPLOYEE NUMBER]]="","",MATCH(T_EMPLOYEES[[#This Row],[DEPARTMENT]],L_DEPARTMENT,0))</f>
        <v/>
      </c>
      <c r="AJ395">
        <f>IF(T_EMPLOYEES[[#This Row],[EMPLOYEE NUMBER]]="","",MATCH(T_EMPLOYEES[[#This Row],[JOB TYPE]],L_JOBTYPE,0))</f>
        <v/>
      </c>
      <c r="AK395">
        <f>IF(T_EMPLOYEES[[#This Row],[EMPLOYEE NUMBER]]="","",MATCH(T_EMPLOYEES[[#This Row],[JOB CATEGORY]],L_JOBCATEGORY,0))</f>
        <v/>
      </c>
      <c r="AL395">
        <f>IF(T_EMPLOYEES[[#This Row],[EMPLOYEE NUMBER]]="","",MATCH(T_EMPLOYEES[[#This Row],[JOB LEVEL]],L_JOBLEVEL,0))</f>
        <v/>
      </c>
      <c r="AM395">
        <f>IF(T_EMPLOYEES[[#This Row],[EMPLOYEE NUMBER]]="","",MATCH(T_EMPLOYEES[[#This Row],[JOB TITLE]],L_JOBTITLE,0))</f>
        <v/>
      </c>
      <c r="AN395">
        <f>IF(T_EMPLOYEES[[#This Row],[EMPLOYEE NUMBER]]="","",MATCH(T_EMPLOYEES[[#This Row],[MANAGER]],L_EMPLABELS,0))</f>
        <v/>
      </c>
      <c r="AO395">
        <f>IF(T_EMPLOYEES[[#This Row],[EMPLOYEE NUMBER]]="","",IF(T_EMPLOYEES[[#This Row],[ERROR]]="",0,1))</f>
        <v/>
      </c>
      <c r="AP39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6">
      <c r="A396" t="inlineStr">
        <is>
          <t>Abhijit</t>
        </is>
      </c>
      <c r="B396" t="inlineStr">
        <is>
          <t xml:space="preserve"> Mohapatra</t>
        </is>
      </c>
      <c r="C396" t="n">
        <v>1023755</v>
      </c>
      <c r="D396" t="inlineStr">
        <is>
          <t>Abhijit.Mohapatra@infinite.com</t>
        </is>
      </c>
      <c r="E396" s="26" t="n">
        <v>35982</v>
      </c>
      <c r="F396" s="26" t="n">
        <v>44075</v>
      </c>
      <c r="H396" t="inlineStr">
        <is>
          <t>Male</t>
        </is>
      </c>
      <c r="I396" t="inlineStr">
        <is>
          <t>Asian</t>
        </is>
      </c>
      <c r="J396" t="inlineStr">
        <is>
          <t>WEBSITE</t>
        </is>
      </c>
      <c r="K396" t="inlineStr">
        <is>
          <t>Bangalore</t>
        </is>
      </c>
      <c r="L396" s="27" t="inlineStr">
        <is>
          <t>Core</t>
        </is>
      </c>
      <c r="M396" t="inlineStr">
        <is>
          <t>Full-Time</t>
        </is>
      </c>
      <c r="N396" t="inlineStr">
        <is>
          <t>Software Engineer</t>
        </is>
      </c>
      <c r="O396" t="inlineStr">
        <is>
          <t>E2</t>
        </is>
      </c>
      <c r="P396" t="inlineStr">
        <is>
          <t>Software Engineer</t>
        </is>
      </c>
      <c r="Q396" t="inlineStr">
        <is>
          <t>Anil Kumar Khamari (1013201)</t>
        </is>
      </c>
      <c r="R396" s="27" t="n">
        <v>4</v>
      </c>
      <c r="S396" s="1" t="n">
        <v>250000</v>
      </c>
      <c r="T396" s="1">
        <f>ROUND(T_EMPLOYEES[[#This Row],[EMP_CTC1]]/12, 0)</f>
        <v/>
      </c>
      <c r="U396" s="1" t="n">
        <v>150000</v>
      </c>
      <c r="V396" s="1" t="inlineStr">
        <is>
          <t>AK</t>
        </is>
      </c>
      <c r="W396" s="1" t="inlineStr">
        <is>
          <t>AK</t>
        </is>
      </c>
      <c r="X39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6" t="n">
        <v>120000</v>
      </c>
      <c r="Z396" s="29">
        <f>(S396 - U396)/S396 * 100</f>
        <v/>
      </c>
      <c r="AA396">
        <f>IF(T_EMPLOYEES[[#This Row],[EMPLOYEE NUMBER]]="","",ROW(T_EMPLOYEES[[#This Row],[EMPLOYEE LABEL]])-ROW(T_EMPLOYEES[[#Headers],[EMPLOYEE LABEL]]))</f>
        <v/>
      </c>
      <c r="AB396">
        <f>IF(T_EMPLOYEES[[#This Row],[EMPLOYEE NUMBER]]="","",IF(COUNTIF(T_EMPLOYEES[EMPLOYEE NUMBER],T_EMPLOYEES[[#This Row],[EMPLOYEE NUMBER]])&gt;1,1,0))</f>
        <v/>
      </c>
      <c r="AC396">
        <f>IF(T_EMPLOYEES[[#This Row],[EMPLOYEE NUMBER]]="","",IF(AND(T_EMPLOYEES[[#This Row],[DATE OF BIRTH]]&gt;0,T_EMPLOYEES[[#This Row],[DATE OF BIRTH]]&lt;TODAY()),0,1))</f>
        <v/>
      </c>
      <c r="AD396">
        <f>IF(T_EMPLOYEES[[#This Row],[EMPLOYEE NUMBER]]="","",IF(AND(T_EMPLOYEES[[#This Row],[START DATE]]&gt;0,T_EMPLOYEES[[#This Row],[START DATE]]&lt;TODAY()+60),0,1))</f>
        <v/>
      </c>
      <c r="AE396">
        <f>IF(T_EMPLOYEES[[#This Row],[EMPLOYEE NUMBER]]="","",MATCH(T_EMPLOYEES[[#This Row],[GENDER]],L_GENDER,0))</f>
        <v/>
      </c>
      <c r="AF396">
        <f>IF(T_EMPLOYEES[[#This Row],[EMPLOYEE NUMBER]]="","",MATCH(T_EMPLOYEES[[#This Row],[HIRE SOURCE]],L_HIRESOURCE,0))</f>
        <v/>
      </c>
      <c r="AG396">
        <f>IF(T_EMPLOYEES[[#This Row],[EMPLOYEE NUMBER]]="","",MATCH(T_EMPLOYEES[[#This Row],[ETHNICITY]],L_ETHNICITY,0))</f>
        <v/>
      </c>
      <c r="AH396">
        <f>IF(T_EMPLOYEES[[#This Row],[EMPLOYEE NUMBER]]="","",MATCH(T_EMPLOYEES[[#This Row],[LOCATION]],L_LOCATION,0))</f>
        <v/>
      </c>
      <c r="AI396">
        <f>IF(T_EMPLOYEES[[#This Row],[EMPLOYEE NUMBER]]="","",MATCH(T_EMPLOYEES[[#This Row],[DEPARTMENT]],L_DEPARTMENT,0))</f>
        <v/>
      </c>
      <c r="AJ396">
        <f>IF(T_EMPLOYEES[[#This Row],[EMPLOYEE NUMBER]]="","",MATCH(T_EMPLOYEES[[#This Row],[JOB TYPE]],L_JOBTYPE,0))</f>
        <v/>
      </c>
      <c r="AK396">
        <f>IF(T_EMPLOYEES[[#This Row],[EMPLOYEE NUMBER]]="","",MATCH(T_EMPLOYEES[[#This Row],[JOB CATEGORY]],L_JOBCATEGORY,0))</f>
        <v/>
      </c>
      <c r="AL396">
        <f>IF(T_EMPLOYEES[[#This Row],[EMPLOYEE NUMBER]]="","",MATCH(T_EMPLOYEES[[#This Row],[JOB LEVEL]],L_JOBLEVEL,0))</f>
        <v/>
      </c>
      <c r="AM396">
        <f>IF(T_EMPLOYEES[[#This Row],[EMPLOYEE NUMBER]]="","",MATCH(T_EMPLOYEES[[#This Row],[JOB TITLE]],L_JOBTITLE,0))</f>
        <v/>
      </c>
      <c r="AN396">
        <f>IF(T_EMPLOYEES[[#This Row],[EMPLOYEE NUMBER]]="","",MATCH(T_EMPLOYEES[[#This Row],[MANAGER]],L_EMPLABELS,0))</f>
        <v/>
      </c>
      <c r="AO396">
        <f>IF(T_EMPLOYEES[[#This Row],[EMPLOYEE NUMBER]]="","",IF(T_EMPLOYEES[[#This Row],[ERROR]]="",0,1))</f>
        <v/>
      </c>
      <c r="AP39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7">
      <c r="A397" t="inlineStr">
        <is>
          <t>Sagar</t>
        </is>
      </c>
      <c r="B397" t="inlineStr">
        <is>
          <t>Ravi Indi</t>
        </is>
      </c>
      <c r="C397" t="n">
        <v>1027110</v>
      </c>
      <c r="D397" t="inlineStr">
        <is>
          <t>Sagar.Indi@infinite.com</t>
        </is>
      </c>
      <c r="E397" s="26" t="n">
        <v>35986</v>
      </c>
      <c r="F397" s="26" t="n">
        <v>44508</v>
      </c>
      <c r="H397" t="inlineStr">
        <is>
          <t>Male</t>
        </is>
      </c>
      <c r="I397" t="inlineStr">
        <is>
          <t>Asian</t>
        </is>
      </c>
      <c r="J397" t="inlineStr">
        <is>
          <t>WEBSITE</t>
        </is>
      </c>
      <c r="K397" t="inlineStr">
        <is>
          <t>Bangalore</t>
        </is>
      </c>
      <c r="L397" s="27" t="inlineStr">
        <is>
          <t>IT</t>
        </is>
      </c>
      <c r="M397" t="inlineStr">
        <is>
          <t>Full-Time</t>
        </is>
      </c>
      <c r="N397" t="inlineStr">
        <is>
          <t>Software Test Engineer</t>
        </is>
      </c>
      <c r="O397" t="inlineStr">
        <is>
          <t>E2</t>
        </is>
      </c>
      <c r="P397" t="inlineStr">
        <is>
          <t>Software Test Engineer</t>
        </is>
      </c>
      <c r="Q397" t="inlineStr">
        <is>
          <t>G Mallikarjuna  Gooty (1030389)</t>
        </is>
      </c>
      <c r="R397" t="n">
        <v>4</v>
      </c>
      <c r="S397" s="1" t="n">
        <v>250000</v>
      </c>
      <c r="T397" s="1">
        <f>ROUND(T_EMPLOYEES[[#This Row],[EMP_CTC1]]/12, 0)</f>
        <v/>
      </c>
      <c r="U397" s="1" t="n">
        <v>150000</v>
      </c>
      <c r="V397" s="1" t="inlineStr">
        <is>
          <t>AK</t>
        </is>
      </c>
      <c r="W397" s="1" t="inlineStr">
        <is>
          <t>AK</t>
        </is>
      </c>
      <c r="X39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7" t="n">
        <v>120000</v>
      </c>
      <c r="Z397" s="29">
        <f>(S397 - U397)/S397 * 100</f>
        <v/>
      </c>
      <c r="AA397">
        <f>IF(T_EMPLOYEES[[#This Row],[EMPLOYEE NUMBER]]="","",ROW(T_EMPLOYEES[[#This Row],[EMPLOYEE LABEL]])-ROW(T_EMPLOYEES[[#Headers],[EMPLOYEE LABEL]]))</f>
        <v/>
      </c>
      <c r="AB397">
        <f>IF(T_EMPLOYEES[[#This Row],[EMPLOYEE NUMBER]]="","",IF(COUNTIF(T_EMPLOYEES[EMPLOYEE NUMBER],T_EMPLOYEES[[#This Row],[EMPLOYEE NUMBER]])&gt;1,1,0))</f>
        <v/>
      </c>
      <c r="AC397">
        <f>IF(T_EMPLOYEES[[#This Row],[EMPLOYEE NUMBER]]="","",IF(AND(T_EMPLOYEES[[#This Row],[DATE OF BIRTH]]&gt;0,T_EMPLOYEES[[#This Row],[DATE OF BIRTH]]&lt;TODAY()),0,1))</f>
        <v/>
      </c>
      <c r="AD397">
        <f>IF(T_EMPLOYEES[[#This Row],[EMPLOYEE NUMBER]]="","",IF(AND(T_EMPLOYEES[[#This Row],[START DATE]]&gt;0,T_EMPLOYEES[[#This Row],[START DATE]]&lt;TODAY()+60),0,1))</f>
        <v/>
      </c>
      <c r="AE397">
        <f>IF(T_EMPLOYEES[[#This Row],[EMPLOYEE NUMBER]]="","",MATCH(T_EMPLOYEES[[#This Row],[GENDER]],L_GENDER,0))</f>
        <v/>
      </c>
      <c r="AF397">
        <f>IF(T_EMPLOYEES[[#This Row],[EMPLOYEE NUMBER]]="","",MATCH(T_EMPLOYEES[[#This Row],[HIRE SOURCE]],L_HIRESOURCE,0))</f>
        <v/>
      </c>
      <c r="AG397">
        <f>IF(T_EMPLOYEES[[#This Row],[EMPLOYEE NUMBER]]="","",MATCH(T_EMPLOYEES[[#This Row],[ETHNICITY]],L_ETHNICITY,0))</f>
        <v/>
      </c>
      <c r="AH397">
        <f>IF(T_EMPLOYEES[[#This Row],[EMPLOYEE NUMBER]]="","",MATCH(T_EMPLOYEES[[#This Row],[LOCATION]],L_LOCATION,0))</f>
        <v/>
      </c>
      <c r="AI397">
        <f>IF(T_EMPLOYEES[[#This Row],[EMPLOYEE NUMBER]]="","",MATCH(T_EMPLOYEES[[#This Row],[DEPARTMENT]],L_DEPARTMENT,0))</f>
        <v/>
      </c>
      <c r="AJ397">
        <f>IF(T_EMPLOYEES[[#This Row],[EMPLOYEE NUMBER]]="","",MATCH(T_EMPLOYEES[[#This Row],[JOB TYPE]],L_JOBTYPE,0))</f>
        <v/>
      </c>
      <c r="AK397">
        <f>IF(T_EMPLOYEES[[#This Row],[EMPLOYEE NUMBER]]="","",MATCH(T_EMPLOYEES[[#This Row],[JOB CATEGORY]],L_JOBCATEGORY,0))</f>
        <v/>
      </c>
      <c r="AL397">
        <f>IF(T_EMPLOYEES[[#This Row],[EMPLOYEE NUMBER]]="","",MATCH(T_EMPLOYEES[[#This Row],[JOB LEVEL]],L_JOBLEVEL,0))</f>
        <v/>
      </c>
      <c r="AM397">
        <f>IF(T_EMPLOYEES[[#This Row],[EMPLOYEE NUMBER]]="","",MATCH(T_EMPLOYEES[[#This Row],[JOB TITLE]],L_JOBTITLE,0))</f>
        <v/>
      </c>
      <c r="AN397">
        <f>IF(T_EMPLOYEES[[#This Row],[EMPLOYEE NUMBER]]="","",MATCH(T_EMPLOYEES[[#This Row],[MANAGER]],L_EMPLABELS,0))</f>
        <v/>
      </c>
      <c r="AO397">
        <f>IF(T_EMPLOYEES[[#This Row],[EMPLOYEE NUMBER]]="","",IF(T_EMPLOYEES[[#This Row],[ERROR]]="",0,1))</f>
        <v/>
      </c>
      <c r="AP39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8">
      <c r="A398" t="inlineStr">
        <is>
          <t>Deepika</t>
        </is>
      </c>
      <c r="B398" t="inlineStr">
        <is>
          <t xml:space="preserve"> N</t>
        </is>
      </c>
      <c r="C398" t="n">
        <v>1024939</v>
      </c>
      <c r="D398" t="inlineStr">
        <is>
          <t>Deepika.Nagendra@infinite.com</t>
        </is>
      </c>
      <c r="E398" s="26" t="n">
        <v>35998</v>
      </c>
      <c r="F398" s="26" t="n">
        <v>44287</v>
      </c>
      <c r="H398" t="inlineStr">
        <is>
          <t>Female</t>
        </is>
      </c>
      <c r="I398" t="inlineStr">
        <is>
          <t>Asian</t>
        </is>
      </c>
      <c r="J398" t="inlineStr">
        <is>
          <t>WEBSITE</t>
        </is>
      </c>
      <c r="K398" t="inlineStr">
        <is>
          <t>Hyderabad</t>
        </is>
      </c>
      <c r="L398" s="27" t="inlineStr">
        <is>
          <t>QA</t>
        </is>
      </c>
      <c r="M398" t="inlineStr">
        <is>
          <t>Full-Time</t>
        </is>
      </c>
      <c r="N398" t="inlineStr">
        <is>
          <t>Software Test Engineer</t>
        </is>
      </c>
      <c r="O398" t="inlineStr">
        <is>
          <t>E2</t>
        </is>
      </c>
      <c r="P398" t="inlineStr">
        <is>
          <t>Software Test Engineer</t>
        </is>
      </c>
      <c r="Q398" t="inlineStr">
        <is>
          <t>Vinayak  Tatuskar (1023387)</t>
        </is>
      </c>
      <c r="R398" s="27" t="n">
        <v>4</v>
      </c>
      <c r="S398" s="1" t="n">
        <v>250000</v>
      </c>
      <c r="T398" s="1">
        <f>ROUND(T_EMPLOYEES[[#This Row],[EMP_CTC1]]/12, 0)</f>
        <v/>
      </c>
      <c r="U398" s="1" t="n">
        <v>150000</v>
      </c>
      <c r="V398" s="1" t="inlineStr">
        <is>
          <t>AK</t>
        </is>
      </c>
      <c r="W398" s="1" t="inlineStr">
        <is>
          <t>AK</t>
        </is>
      </c>
      <c r="X39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8" t="n">
        <v>120000</v>
      </c>
      <c r="Z398" s="29">
        <f>(S398 - U398)/S398 * 100</f>
        <v/>
      </c>
      <c r="AA398">
        <f>IF(T_EMPLOYEES[[#This Row],[EMPLOYEE NUMBER]]="","",ROW(T_EMPLOYEES[[#This Row],[EMPLOYEE LABEL]])-ROW(T_EMPLOYEES[[#Headers],[EMPLOYEE LABEL]]))</f>
        <v/>
      </c>
      <c r="AB398">
        <f>IF(T_EMPLOYEES[[#This Row],[EMPLOYEE NUMBER]]="","",IF(COUNTIF(T_EMPLOYEES[EMPLOYEE NUMBER],T_EMPLOYEES[[#This Row],[EMPLOYEE NUMBER]])&gt;1,1,0))</f>
        <v/>
      </c>
      <c r="AC398">
        <f>IF(T_EMPLOYEES[[#This Row],[EMPLOYEE NUMBER]]="","",IF(AND(T_EMPLOYEES[[#This Row],[DATE OF BIRTH]]&gt;0,T_EMPLOYEES[[#This Row],[DATE OF BIRTH]]&lt;TODAY()),0,1))</f>
        <v/>
      </c>
      <c r="AD398">
        <f>IF(T_EMPLOYEES[[#This Row],[EMPLOYEE NUMBER]]="","",IF(AND(T_EMPLOYEES[[#This Row],[START DATE]]&gt;0,T_EMPLOYEES[[#This Row],[START DATE]]&lt;TODAY()+60),0,1))</f>
        <v/>
      </c>
      <c r="AE398">
        <f>IF(T_EMPLOYEES[[#This Row],[EMPLOYEE NUMBER]]="","",MATCH(T_EMPLOYEES[[#This Row],[GENDER]],L_GENDER,0))</f>
        <v/>
      </c>
      <c r="AF398">
        <f>IF(T_EMPLOYEES[[#This Row],[EMPLOYEE NUMBER]]="","",MATCH(T_EMPLOYEES[[#This Row],[HIRE SOURCE]],L_HIRESOURCE,0))</f>
        <v/>
      </c>
      <c r="AG398">
        <f>IF(T_EMPLOYEES[[#This Row],[EMPLOYEE NUMBER]]="","",MATCH(T_EMPLOYEES[[#This Row],[ETHNICITY]],L_ETHNICITY,0))</f>
        <v/>
      </c>
      <c r="AH398">
        <f>IF(T_EMPLOYEES[[#This Row],[EMPLOYEE NUMBER]]="","",MATCH(T_EMPLOYEES[[#This Row],[LOCATION]],L_LOCATION,0))</f>
        <v/>
      </c>
      <c r="AI398">
        <f>IF(T_EMPLOYEES[[#This Row],[EMPLOYEE NUMBER]]="","",MATCH(T_EMPLOYEES[[#This Row],[DEPARTMENT]],L_DEPARTMENT,0))</f>
        <v/>
      </c>
      <c r="AJ398">
        <f>IF(T_EMPLOYEES[[#This Row],[EMPLOYEE NUMBER]]="","",MATCH(T_EMPLOYEES[[#This Row],[JOB TYPE]],L_JOBTYPE,0))</f>
        <v/>
      </c>
      <c r="AK398">
        <f>IF(T_EMPLOYEES[[#This Row],[EMPLOYEE NUMBER]]="","",MATCH(T_EMPLOYEES[[#This Row],[JOB CATEGORY]],L_JOBCATEGORY,0))</f>
        <v/>
      </c>
      <c r="AL398">
        <f>IF(T_EMPLOYEES[[#This Row],[EMPLOYEE NUMBER]]="","",MATCH(T_EMPLOYEES[[#This Row],[JOB LEVEL]],L_JOBLEVEL,0))</f>
        <v/>
      </c>
      <c r="AM398">
        <f>IF(T_EMPLOYEES[[#This Row],[EMPLOYEE NUMBER]]="","",MATCH(T_EMPLOYEES[[#This Row],[JOB TITLE]],L_JOBTITLE,0))</f>
        <v/>
      </c>
      <c r="AN398">
        <f>IF(T_EMPLOYEES[[#This Row],[EMPLOYEE NUMBER]]="","",MATCH(T_EMPLOYEES[[#This Row],[MANAGER]],L_EMPLABELS,0))</f>
        <v/>
      </c>
      <c r="AO398">
        <f>IF(T_EMPLOYEES[[#This Row],[EMPLOYEE NUMBER]]="","",IF(T_EMPLOYEES[[#This Row],[ERROR]]="",0,1))</f>
        <v/>
      </c>
      <c r="AP39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399">
      <c r="A399" t="inlineStr">
        <is>
          <t>Vidya</t>
        </is>
      </c>
      <c r="B399" t="inlineStr">
        <is>
          <t xml:space="preserve"> K</t>
        </is>
      </c>
      <c r="C399" t="n">
        <v>1023719</v>
      </c>
      <c r="D399" t="inlineStr">
        <is>
          <t>Vidya.Karthigairasu@infinite.com</t>
        </is>
      </c>
      <c r="E399" s="26" t="n">
        <v>36027</v>
      </c>
      <c r="F399" s="26" t="n">
        <v>44075</v>
      </c>
      <c r="H399" t="inlineStr">
        <is>
          <t>Female</t>
        </is>
      </c>
      <c r="I399" t="inlineStr">
        <is>
          <t>Asian</t>
        </is>
      </c>
      <c r="J399" t="inlineStr">
        <is>
          <t>WEBSITE</t>
        </is>
      </c>
      <c r="K399" t="inlineStr">
        <is>
          <t>Bangalore</t>
        </is>
      </c>
      <c r="L399" s="27" t="inlineStr">
        <is>
          <t>Core</t>
        </is>
      </c>
      <c r="M399" t="inlineStr">
        <is>
          <t>Full-Time</t>
        </is>
      </c>
      <c r="N399" t="inlineStr">
        <is>
          <t>Software Engineer</t>
        </is>
      </c>
      <c r="O399" t="inlineStr">
        <is>
          <t>E2</t>
        </is>
      </c>
      <c r="P399" t="inlineStr">
        <is>
          <t>Software Engineer</t>
        </is>
      </c>
      <c r="Q399" t="inlineStr">
        <is>
          <t>Kishore Kumar N (1019765)</t>
        </is>
      </c>
      <c r="R399" t="n">
        <v>4</v>
      </c>
      <c r="S399" s="1" t="n">
        <v>250000</v>
      </c>
      <c r="T399" s="1">
        <f>ROUND(T_EMPLOYEES[[#This Row],[EMP_CTC1]]/12, 0)</f>
        <v/>
      </c>
      <c r="U399" s="1" t="n">
        <v>150000</v>
      </c>
      <c r="V399" s="1" t="inlineStr">
        <is>
          <t>AK</t>
        </is>
      </c>
      <c r="W399" s="1" t="inlineStr">
        <is>
          <t>AK</t>
        </is>
      </c>
      <c r="X39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399" t="n">
        <v>120000</v>
      </c>
      <c r="Z399" s="29">
        <f>(S399 - U399)/S399 * 100</f>
        <v/>
      </c>
      <c r="AA399">
        <f>IF(T_EMPLOYEES[[#This Row],[EMPLOYEE NUMBER]]="","",ROW(T_EMPLOYEES[[#This Row],[EMPLOYEE LABEL]])-ROW(T_EMPLOYEES[[#Headers],[EMPLOYEE LABEL]]))</f>
        <v/>
      </c>
      <c r="AB399">
        <f>IF(T_EMPLOYEES[[#This Row],[EMPLOYEE NUMBER]]="","",IF(COUNTIF(T_EMPLOYEES[EMPLOYEE NUMBER],T_EMPLOYEES[[#This Row],[EMPLOYEE NUMBER]])&gt;1,1,0))</f>
        <v/>
      </c>
      <c r="AC399">
        <f>IF(T_EMPLOYEES[[#This Row],[EMPLOYEE NUMBER]]="","",IF(AND(T_EMPLOYEES[[#This Row],[DATE OF BIRTH]]&gt;0,T_EMPLOYEES[[#This Row],[DATE OF BIRTH]]&lt;TODAY()),0,1))</f>
        <v/>
      </c>
      <c r="AD399">
        <f>IF(T_EMPLOYEES[[#This Row],[EMPLOYEE NUMBER]]="","",IF(AND(T_EMPLOYEES[[#This Row],[START DATE]]&gt;0,T_EMPLOYEES[[#This Row],[START DATE]]&lt;TODAY()+60),0,1))</f>
        <v/>
      </c>
      <c r="AE399">
        <f>IF(T_EMPLOYEES[[#This Row],[EMPLOYEE NUMBER]]="","",MATCH(T_EMPLOYEES[[#This Row],[GENDER]],L_GENDER,0))</f>
        <v/>
      </c>
      <c r="AF399">
        <f>IF(T_EMPLOYEES[[#This Row],[EMPLOYEE NUMBER]]="","",MATCH(T_EMPLOYEES[[#This Row],[HIRE SOURCE]],L_HIRESOURCE,0))</f>
        <v/>
      </c>
      <c r="AG399">
        <f>IF(T_EMPLOYEES[[#This Row],[EMPLOYEE NUMBER]]="","",MATCH(T_EMPLOYEES[[#This Row],[ETHNICITY]],L_ETHNICITY,0))</f>
        <v/>
      </c>
      <c r="AH399">
        <f>IF(T_EMPLOYEES[[#This Row],[EMPLOYEE NUMBER]]="","",MATCH(T_EMPLOYEES[[#This Row],[LOCATION]],L_LOCATION,0))</f>
        <v/>
      </c>
      <c r="AI399">
        <f>IF(T_EMPLOYEES[[#This Row],[EMPLOYEE NUMBER]]="","",MATCH(T_EMPLOYEES[[#This Row],[DEPARTMENT]],L_DEPARTMENT,0))</f>
        <v/>
      </c>
      <c r="AJ399">
        <f>IF(T_EMPLOYEES[[#This Row],[EMPLOYEE NUMBER]]="","",MATCH(T_EMPLOYEES[[#This Row],[JOB TYPE]],L_JOBTYPE,0))</f>
        <v/>
      </c>
      <c r="AK399">
        <f>IF(T_EMPLOYEES[[#This Row],[EMPLOYEE NUMBER]]="","",MATCH(T_EMPLOYEES[[#This Row],[JOB CATEGORY]],L_JOBCATEGORY,0))</f>
        <v/>
      </c>
      <c r="AL399">
        <f>IF(T_EMPLOYEES[[#This Row],[EMPLOYEE NUMBER]]="","",MATCH(T_EMPLOYEES[[#This Row],[JOB LEVEL]],L_JOBLEVEL,0))</f>
        <v/>
      </c>
      <c r="AM399">
        <f>IF(T_EMPLOYEES[[#This Row],[EMPLOYEE NUMBER]]="","",MATCH(T_EMPLOYEES[[#This Row],[JOB TITLE]],L_JOBTITLE,0))</f>
        <v/>
      </c>
      <c r="AN399">
        <f>IF(T_EMPLOYEES[[#This Row],[EMPLOYEE NUMBER]]="","",MATCH(T_EMPLOYEES[[#This Row],[MANAGER]],L_EMPLABELS,0))</f>
        <v/>
      </c>
      <c r="AO399">
        <f>IF(T_EMPLOYEES[[#This Row],[EMPLOYEE NUMBER]]="","",IF(T_EMPLOYEES[[#This Row],[ERROR]]="",0,1))</f>
        <v/>
      </c>
      <c r="AP39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0">
      <c r="A400" t="inlineStr">
        <is>
          <t>Amrutha</t>
        </is>
      </c>
      <c r="B400" t="inlineStr">
        <is>
          <t xml:space="preserve"> K</t>
        </is>
      </c>
      <c r="C400" t="n">
        <v>1022715</v>
      </c>
      <c r="D400" t="inlineStr">
        <is>
          <t>Amrutha.Kancham@infinite.com</t>
        </is>
      </c>
      <c r="E400" s="26" t="n">
        <v>36030</v>
      </c>
      <c r="F400" s="26" t="n">
        <v>43745</v>
      </c>
      <c r="H400" t="inlineStr">
        <is>
          <t>Female</t>
        </is>
      </c>
      <c r="I400" t="inlineStr">
        <is>
          <t>Asian</t>
        </is>
      </c>
      <c r="J400" t="inlineStr">
        <is>
          <t>WEBSITE</t>
        </is>
      </c>
      <c r="K400" t="inlineStr">
        <is>
          <t>Bangalore</t>
        </is>
      </c>
      <c r="L400" s="27" t="inlineStr">
        <is>
          <t>IT</t>
        </is>
      </c>
      <c r="M400" t="inlineStr">
        <is>
          <t>Full-Time</t>
        </is>
      </c>
      <c r="N400" t="inlineStr">
        <is>
          <t>Senior Software Engineer</t>
        </is>
      </c>
      <c r="O400" t="inlineStr">
        <is>
          <t>E3</t>
        </is>
      </c>
      <c r="P400" t="inlineStr">
        <is>
          <t>Senior Software Engineer</t>
        </is>
      </c>
      <c r="Q400" t="inlineStr">
        <is>
          <t>Siddharth Kumar (1027551)</t>
        </is>
      </c>
      <c r="R400" s="27" t="n">
        <v>4</v>
      </c>
      <c r="S400" s="1" t="n">
        <v>250000</v>
      </c>
      <c r="T400" s="1">
        <f>ROUND(T_EMPLOYEES[[#This Row],[EMP_CTC1]]/12, 0)</f>
        <v/>
      </c>
      <c r="U400" s="1" t="n">
        <v>150000</v>
      </c>
      <c r="V400" s="1" t="inlineStr">
        <is>
          <t>AK</t>
        </is>
      </c>
      <c r="W400" s="1" t="inlineStr">
        <is>
          <t>AK</t>
        </is>
      </c>
      <c r="X40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0" t="n">
        <v>120000</v>
      </c>
      <c r="Z400" s="29">
        <f>(S400 - U400)/S400 * 100</f>
        <v/>
      </c>
      <c r="AA400">
        <f>IF(T_EMPLOYEES[[#This Row],[EMPLOYEE NUMBER]]="","",ROW(T_EMPLOYEES[[#This Row],[EMPLOYEE LABEL]])-ROW(T_EMPLOYEES[[#Headers],[EMPLOYEE LABEL]]))</f>
        <v/>
      </c>
      <c r="AB400">
        <f>IF(T_EMPLOYEES[[#This Row],[EMPLOYEE NUMBER]]="","",IF(COUNTIF(T_EMPLOYEES[EMPLOYEE NUMBER],T_EMPLOYEES[[#This Row],[EMPLOYEE NUMBER]])&gt;1,1,0))</f>
        <v/>
      </c>
      <c r="AC400">
        <f>IF(T_EMPLOYEES[[#This Row],[EMPLOYEE NUMBER]]="","",IF(AND(T_EMPLOYEES[[#This Row],[DATE OF BIRTH]]&gt;0,T_EMPLOYEES[[#This Row],[DATE OF BIRTH]]&lt;TODAY()),0,1))</f>
        <v/>
      </c>
      <c r="AD400">
        <f>IF(T_EMPLOYEES[[#This Row],[EMPLOYEE NUMBER]]="","",IF(AND(T_EMPLOYEES[[#This Row],[START DATE]]&gt;0,T_EMPLOYEES[[#This Row],[START DATE]]&lt;TODAY()+60),0,1))</f>
        <v/>
      </c>
      <c r="AE400">
        <f>IF(T_EMPLOYEES[[#This Row],[EMPLOYEE NUMBER]]="","",MATCH(T_EMPLOYEES[[#This Row],[GENDER]],L_GENDER,0))</f>
        <v/>
      </c>
      <c r="AF400">
        <f>IF(T_EMPLOYEES[[#This Row],[EMPLOYEE NUMBER]]="","",MATCH(T_EMPLOYEES[[#This Row],[HIRE SOURCE]],L_HIRESOURCE,0))</f>
        <v/>
      </c>
      <c r="AG400">
        <f>IF(T_EMPLOYEES[[#This Row],[EMPLOYEE NUMBER]]="","",MATCH(T_EMPLOYEES[[#This Row],[ETHNICITY]],L_ETHNICITY,0))</f>
        <v/>
      </c>
      <c r="AH400">
        <f>IF(T_EMPLOYEES[[#This Row],[EMPLOYEE NUMBER]]="","",MATCH(T_EMPLOYEES[[#This Row],[LOCATION]],L_LOCATION,0))</f>
        <v/>
      </c>
      <c r="AI400">
        <f>IF(T_EMPLOYEES[[#This Row],[EMPLOYEE NUMBER]]="","",MATCH(T_EMPLOYEES[[#This Row],[DEPARTMENT]],L_DEPARTMENT,0))</f>
        <v/>
      </c>
      <c r="AJ400">
        <f>IF(T_EMPLOYEES[[#This Row],[EMPLOYEE NUMBER]]="","",MATCH(T_EMPLOYEES[[#This Row],[JOB TYPE]],L_JOBTYPE,0))</f>
        <v/>
      </c>
      <c r="AK400">
        <f>IF(T_EMPLOYEES[[#This Row],[EMPLOYEE NUMBER]]="","",MATCH(T_EMPLOYEES[[#This Row],[JOB CATEGORY]],L_JOBCATEGORY,0))</f>
        <v/>
      </c>
      <c r="AL400">
        <f>IF(T_EMPLOYEES[[#This Row],[EMPLOYEE NUMBER]]="","",MATCH(T_EMPLOYEES[[#This Row],[JOB LEVEL]],L_JOBLEVEL,0))</f>
        <v/>
      </c>
      <c r="AM400">
        <f>IF(T_EMPLOYEES[[#This Row],[EMPLOYEE NUMBER]]="","",MATCH(T_EMPLOYEES[[#This Row],[JOB TITLE]],L_JOBTITLE,0))</f>
        <v/>
      </c>
      <c r="AN400">
        <f>IF(T_EMPLOYEES[[#This Row],[EMPLOYEE NUMBER]]="","",MATCH(T_EMPLOYEES[[#This Row],[MANAGER]],L_EMPLABELS,0))</f>
        <v/>
      </c>
      <c r="AO400">
        <f>IF(T_EMPLOYEES[[#This Row],[EMPLOYEE NUMBER]]="","",IF(T_EMPLOYEES[[#This Row],[ERROR]]="",0,1))</f>
        <v/>
      </c>
      <c r="AP40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1">
      <c r="A401" t="inlineStr">
        <is>
          <t>D</t>
        </is>
      </c>
      <c r="B401" t="inlineStr">
        <is>
          <t xml:space="preserve"> Ramya</t>
        </is>
      </c>
      <c r="C401" t="n">
        <v>1024021</v>
      </c>
      <c r="D401" t="inlineStr">
        <is>
          <t>Ramya.Dharmaraj@infinite.com</t>
        </is>
      </c>
      <c r="E401" s="26" t="n">
        <v>36033</v>
      </c>
      <c r="F401" s="26" t="n">
        <v>44132</v>
      </c>
      <c r="H401" t="inlineStr">
        <is>
          <t>Female</t>
        </is>
      </c>
      <c r="I401" t="inlineStr">
        <is>
          <t>Asian</t>
        </is>
      </c>
      <c r="J401" t="inlineStr">
        <is>
          <t>WEBSITE</t>
        </is>
      </c>
      <c r="K401" t="inlineStr">
        <is>
          <t>Bangalore</t>
        </is>
      </c>
      <c r="L401" s="27" t="inlineStr">
        <is>
          <t>IT</t>
        </is>
      </c>
      <c r="M401" t="inlineStr">
        <is>
          <t>Full-Time</t>
        </is>
      </c>
      <c r="N401" t="inlineStr">
        <is>
          <t>Software Test Engineer</t>
        </is>
      </c>
      <c r="O401" t="inlineStr">
        <is>
          <t>E2</t>
        </is>
      </c>
      <c r="P401" t="inlineStr">
        <is>
          <t>Software Test Engineer</t>
        </is>
      </c>
      <c r="Q401" t="inlineStr">
        <is>
          <t>Sreekanth  Pulumati (1022868)</t>
        </is>
      </c>
      <c r="R401" t="n">
        <v>4</v>
      </c>
      <c r="S401" s="1" t="n">
        <v>250000</v>
      </c>
      <c r="T401" s="1">
        <f>ROUND(T_EMPLOYEES[[#This Row],[EMP_CTC1]]/12, 0)</f>
        <v/>
      </c>
      <c r="U401" s="1" t="n">
        <v>150000</v>
      </c>
      <c r="V401" s="1" t="inlineStr">
        <is>
          <t>AK</t>
        </is>
      </c>
      <c r="W401" s="1" t="inlineStr">
        <is>
          <t>AK</t>
        </is>
      </c>
      <c r="X40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1" t="n">
        <v>120000</v>
      </c>
      <c r="Z401" s="29">
        <f>(S401 - U401)/S401 * 100</f>
        <v/>
      </c>
      <c r="AA401">
        <f>IF(T_EMPLOYEES[[#This Row],[EMPLOYEE NUMBER]]="","",ROW(T_EMPLOYEES[[#This Row],[EMPLOYEE LABEL]])-ROW(T_EMPLOYEES[[#Headers],[EMPLOYEE LABEL]]))</f>
        <v/>
      </c>
      <c r="AB401">
        <f>IF(T_EMPLOYEES[[#This Row],[EMPLOYEE NUMBER]]="","",IF(COUNTIF(T_EMPLOYEES[EMPLOYEE NUMBER],T_EMPLOYEES[[#This Row],[EMPLOYEE NUMBER]])&gt;1,1,0))</f>
        <v/>
      </c>
      <c r="AC401">
        <f>IF(T_EMPLOYEES[[#This Row],[EMPLOYEE NUMBER]]="","",IF(AND(T_EMPLOYEES[[#This Row],[DATE OF BIRTH]]&gt;0,T_EMPLOYEES[[#This Row],[DATE OF BIRTH]]&lt;TODAY()),0,1))</f>
        <v/>
      </c>
      <c r="AD401">
        <f>IF(T_EMPLOYEES[[#This Row],[EMPLOYEE NUMBER]]="","",IF(AND(T_EMPLOYEES[[#This Row],[START DATE]]&gt;0,T_EMPLOYEES[[#This Row],[START DATE]]&lt;TODAY()+60),0,1))</f>
        <v/>
      </c>
      <c r="AE401">
        <f>IF(T_EMPLOYEES[[#This Row],[EMPLOYEE NUMBER]]="","",MATCH(T_EMPLOYEES[[#This Row],[GENDER]],L_GENDER,0))</f>
        <v/>
      </c>
      <c r="AF401">
        <f>IF(T_EMPLOYEES[[#This Row],[EMPLOYEE NUMBER]]="","",MATCH(T_EMPLOYEES[[#This Row],[HIRE SOURCE]],L_HIRESOURCE,0))</f>
        <v/>
      </c>
      <c r="AG401">
        <f>IF(T_EMPLOYEES[[#This Row],[EMPLOYEE NUMBER]]="","",MATCH(T_EMPLOYEES[[#This Row],[ETHNICITY]],L_ETHNICITY,0))</f>
        <v/>
      </c>
      <c r="AH401">
        <f>IF(T_EMPLOYEES[[#This Row],[EMPLOYEE NUMBER]]="","",MATCH(T_EMPLOYEES[[#This Row],[LOCATION]],L_LOCATION,0))</f>
        <v/>
      </c>
      <c r="AI401">
        <f>IF(T_EMPLOYEES[[#This Row],[EMPLOYEE NUMBER]]="","",MATCH(T_EMPLOYEES[[#This Row],[DEPARTMENT]],L_DEPARTMENT,0))</f>
        <v/>
      </c>
      <c r="AJ401">
        <f>IF(T_EMPLOYEES[[#This Row],[EMPLOYEE NUMBER]]="","",MATCH(T_EMPLOYEES[[#This Row],[JOB TYPE]],L_JOBTYPE,0))</f>
        <v/>
      </c>
      <c r="AK401">
        <f>IF(T_EMPLOYEES[[#This Row],[EMPLOYEE NUMBER]]="","",MATCH(T_EMPLOYEES[[#This Row],[JOB CATEGORY]],L_JOBCATEGORY,0))</f>
        <v/>
      </c>
      <c r="AL401">
        <f>IF(T_EMPLOYEES[[#This Row],[EMPLOYEE NUMBER]]="","",MATCH(T_EMPLOYEES[[#This Row],[JOB LEVEL]],L_JOBLEVEL,0))</f>
        <v/>
      </c>
      <c r="AM401">
        <f>IF(T_EMPLOYEES[[#This Row],[EMPLOYEE NUMBER]]="","",MATCH(T_EMPLOYEES[[#This Row],[JOB TITLE]],L_JOBTITLE,0))</f>
        <v/>
      </c>
      <c r="AN401">
        <f>IF(T_EMPLOYEES[[#This Row],[EMPLOYEE NUMBER]]="","",MATCH(T_EMPLOYEES[[#This Row],[MANAGER]],L_EMPLABELS,0))</f>
        <v/>
      </c>
      <c r="AO401">
        <f>IF(T_EMPLOYEES[[#This Row],[EMPLOYEE NUMBER]]="","",IF(T_EMPLOYEES[[#This Row],[ERROR]]="",0,1))</f>
        <v/>
      </c>
      <c r="AP40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2">
      <c r="A402" t="inlineStr">
        <is>
          <t>Riddhi</t>
        </is>
      </c>
      <c r="B402" t="inlineStr">
        <is>
          <t>kishor Choudhari</t>
        </is>
      </c>
      <c r="C402" t="n">
        <v>1031074</v>
      </c>
      <c r="D402" t="inlineStr">
        <is>
          <t>Riddhi.Choudhari@infinite.com</t>
        </is>
      </c>
      <c r="E402" s="26" t="n">
        <v>36033</v>
      </c>
      <c r="F402" s="26" t="n">
        <v>44889</v>
      </c>
      <c r="H402" t="inlineStr">
        <is>
          <t>Female</t>
        </is>
      </c>
      <c r="I402" t="inlineStr">
        <is>
          <t>Asian</t>
        </is>
      </c>
      <c r="J402" t="inlineStr">
        <is>
          <t>WEBSITE</t>
        </is>
      </c>
      <c r="K402" t="inlineStr">
        <is>
          <t>Bangalore</t>
        </is>
      </c>
      <c r="L402" s="27" t="inlineStr">
        <is>
          <t>Core</t>
        </is>
      </c>
      <c r="M402" t="inlineStr">
        <is>
          <t>Full-Time</t>
        </is>
      </c>
      <c r="N402" t="inlineStr">
        <is>
          <t>Associate Software Engineer</t>
        </is>
      </c>
      <c r="O402" t="inlineStr">
        <is>
          <t>E1</t>
        </is>
      </c>
      <c r="P402" t="inlineStr">
        <is>
          <t>Associate Software Engineer</t>
        </is>
      </c>
      <c r="Q402" t="inlineStr">
        <is>
          <t>Dipakbhai Motibhai Tandel (1027230)</t>
        </is>
      </c>
      <c r="R402" s="27" t="n">
        <v>0</v>
      </c>
      <c r="S402" s="1" t="n">
        <v>250000</v>
      </c>
      <c r="T402" s="1">
        <f>ROUND(T_EMPLOYEES[[#This Row],[EMP_CTC1]]/12, 0)</f>
        <v/>
      </c>
      <c r="U402" s="1" t="n">
        <v>150000</v>
      </c>
      <c r="V402" s="1" t="inlineStr">
        <is>
          <t>AK</t>
        </is>
      </c>
      <c r="W402" s="1" t="inlineStr">
        <is>
          <t>AK</t>
        </is>
      </c>
      <c r="X40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2" t="n">
        <v>120000</v>
      </c>
      <c r="Z402" s="29">
        <f>(S402 - U402)/S402 * 100</f>
        <v/>
      </c>
      <c r="AA402">
        <f>IF(T_EMPLOYEES[[#This Row],[EMPLOYEE NUMBER]]="","",ROW(T_EMPLOYEES[[#This Row],[EMPLOYEE LABEL]])-ROW(T_EMPLOYEES[[#Headers],[EMPLOYEE LABEL]]))</f>
        <v/>
      </c>
      <c r="AB402">
        <f>IF(T_EMPLOYEES[[#This Row],[EMPLOYEE NUMBER]]="","",IF(COUNTIF(T_EMPLOYEES[EMPLOYEE NUMBER],T_EMPLOYEES[[#This Row],[EMPLOYEE NUMBER]])&gt;1,1,0))</f>
        <v/>
      </c>
      <c r="AC402">
        <f>IF(T_EMPLOYEES[[#This Row],[EMPLOYEE NUMBER]]="","",IF(AND(T_EMPLOYEES[[#This Row],[DATE OF BIRTH]]&gt;0,T_EMPLOYEES[[#This Row],[DATE OF BIRTH]]&lt;TODAY()),0,1))</f>
        <v/>
      </c>
      <c r="AD402">
        <f>IF(T_EMPLOYEES[[#This Row],[EMPLOYEE NUMBER]]="","",IF(AND(T_EMPLOYEES[[#This Row],[START DATE]]&gt;0,T_EMPLOYEES[[#This Row],[START DATE]]&lt;TODAY()+60),0,1))</f>
        <v/>
      </c>
      <c r="AE402">
        <f>IF(T_EMPLOYEES[[#This Row],[EMPLOYEE NUMBER]]="","",MATCH(T_EMPLOYEES[[#This Row],[GENDER]],L_GENDER,0))</f>
        <v/>
      </c>
      <c r="AF402">
        <f>IF(T_EMPLOYEES[[#This Row],[EMPLOYEE NUMBER]]="","",MATCH(T_EMPLOYEES[[#This Row],[HIRE SOURCE]],L_HIRESOURCE,0))</f>
        <v/>
      </c>
      <c r="AG402">
        <f>IF(T_EMPLOYEES[[#This Row],[EMPLOYEE NUMBER]]="","",MATCH(T_EMPLOYEES[[#This Row],[ETHNICITY]],L_ETHNICITY,0))</f>
        <v/>
      </c>
      <c r="AH402">
        <f>IF(T_EMPLOYEES[[#This Row],[EMPLOYEE NUMBER]]="","",MATCH(T_EMPLOYEES[[#This Row],[LOCATION]],L_LOCATION,0))</f>
        <v/>
      </c>
      <c r="AI402">
        <f>IF(T_EMPLOYEES[[#This Row],[EMPLOYEE NUMBER]]="","",MATCH(T_EMPLOYEES[[#This Row],[DEPARTMENT]],L_DEPARTMENT,0))</f>
        <v/>
      </c>
      <c r="AJ402">
        <f>IF(T_EMPLOYEES[[#This Row],[EMPLOYEE NUMBER]]="","",MATCH(T_EMPLOYEES[[#This Row],[JOB TYPE]],L_JOBTYPE,0))</f>
        <v/>
      </c>
      <c r="AK402">
        <f>IF(T_EMPLOYEES[[#This Row],[EMPLOYEE NUMBER]]="","",MATCH(T_EMPLOYEES[[#This Row],[JOB CATEGORY]],L_JOBCATEGORY,0))</f>
        <v/>
      </c>
      <c r="AL402">
        <f>IF(T_EMPLOYEES[[#This Row],[EMPLOYEE NUMBER]]="","",MATCH(T_EMPLOYEES[[#This Row],[JOB LEVEL]],L_JOBLEVEL,0))</f>
        <v/>
      </c>
      <c r="AM402">
        <f>IF(T_EMPLOYEES[[#This Row],[EMPLOYEE NUMBER]]="","",MATCH(T_EMPLOYEES[[#This Row],[JOB TITLE]],L_JOBTITLE,0))</f>
        <v/>
      </c>
      <c r="AN402">
        <f>IF(T_EMPLOYEES[[#This Row],[EMPLOYEE NUMBER]]="","",MATCH(T_EMPLOYEES[[#This Row],[MANAGER]],L_EMPLABELS,0))</f>
        <v/>
      </c>
      <c r="AO402">
        <f>IF(T_EMPLOYEES[[#This Row],[EMPLOYEE NUMBER]]="","",IF(T_EMPLOYEES[[#This Row],[ERROR]]="",0,1))</f>
        <v/>
      </c>
      <c r="AP40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3">
      <c r="A403" t="inlineStr">
        <is>
          <t>Ankit</t>
        </is>
      </c>
      <c r="B403" t="inlineStr">
        <is>
          <t>Sanjayrao Itankar</t>
        </is>
      </c>
      <c r="C403" t="n">
        <v>1031068</v>
      </c>
      <c r="D403" t="inlineStr">
        <is>
          <t>Ankit.Itankar@infinite.com</t>
        </is>
      </c>
      <c r="E403" s="26" t="n">
        <v>36060</v>
      </c>
      <c r="F403" s="26" t="n">
        <v>44889</v>
      </c>
      <c r="H403" t="inlineStr">
        <is>
          <t>Male</t>
        </is>
      </c>
      <c r="I403" t="inlineStr">
        <is>
          <t>Asian</t>
        </is>
      </c>
      <c r="J403" t="inlineStr">
        <is>
          <t>WEBSITE</t>
        </is>
      </c>
      <c r="K403" t="inlineStr">
        <is>
          <t>Bangalore</t>
        </is>
      </c>
      <c r="L403" s="27" t="inlineStr">
        <is>
          <t>Core</t>
        </is>
      </c>
      <c r="M403" t="inlineStr">
        <is>
          <t>Full-Time</t>
        </is>
      </c>
      <c r="N403" t="inlineStr">
        <is>
          <t>Associate Software Engineer</t>
        </is>
      </c>
      <c r="O403" t="inlineStr">
        <is>
          <t>E1</t>
        </is>
      </c>
      <c r="P403" t="inlineStr">
        <is>
          <t>Associate Software Engineer</t>
        </is>
      </c>
      <c r="Q403" t="inlineStr">
        <is>
          <t>Kishore Kumar N (1019765)</t>
        </is>
      </c>
      <c r="R403" t="n">
        <v>0</v>
      </c>
      <c r="S403" s="1" t="n">
        <v>250000</v>
      </c>
      <c r="T403" s="1">
        <f>ROUND(T_EMPLOYEES[[#This Row],[EMP_CTC1]]/12, 0)</f>
        <v/>
      </c>
      <c r="U403" s="1" t="n">
        <v>150000</v>
      </c>
      <c r="V403" s="1" t="inlineStr">
        <is>
          <t>AK</t>
        </is>
      </c>
      <c r="W403" s="1" t="inlineStr">
        <is>
          <t>AK</t>
        </is>
      </c>
      <c r="X40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3" t="n">
        <v>120000</v>
      </c>
      <c r="Z403" s="29">
        <f>(S403 - U403)/S403 * 100</f>
        <v/>
      </c>
      <c r="AA403">
        <f>IF(T_EMPLOYEES[[#This Row],[EMPLOYEE NUMBER]]="","",ROW(T_EMPLOYEES[[#This Row],[EMPLOYEE LABEL]])-ROW(T_EMPLOYEES[[#Headers],[EMPLOYEE LABEL]]))</f>
        <v/>
      </c>
      <c r="AB403">
        <f>IF(T_EMPLOYEES[[#This Row],[EMPLOYEE NUMBER]]="","",IF(COUNTIF(T_EMPLOYEES[EMPLOYEE NUMBER],T_EMPLOYEES[[#This Row],[EMPLOYEE NUMBER]])&gt;1,1,0))</f>
        <v/>
      </c>
      <c r="AC403">
        <f>IF(T_EMPLOYEES[[#This Row],[EMPLOYEE NUMBER]]="","",IF(AND(T_EMPLOYEES[[#This Row],[DATE OF BIRTH]]&gt;0,T_EMPLOYEES[[#This Row],[DATE OF BIRTH]]&lt;TODAY()),0,1))</f>
        <v/>
      </c>
      <c r="AD403">
        <f>IF(T_EMPLOYEES[[#This Row],[EMPLOYEE NUMBER]]="","",IF(AND(T_EMPLOYEES[[#This Row],[START DATE]]&gt;0,T_EMPLOYEES[[#This Row],[START DATE]]&lt;TODAY()+60),0,1))</f>
        <v/>
      </c>
      <c r="AE403">
        <f>IF(T_EMPLOYEES[[#This Row],[EMPLOYEE NUMBER]]="","",MATCH(T_EMPLOYEES[[#This Row],[GENDER]],L_GENDER,0))</f>
        <v/>
      </c>
      <c r="AF403">
        <f>IF(T_EMPLOYEES[[#This Row],[EMPLOYEE NUMBER]]="","",MATCH(T_EMPLOYEES[[#This Row],[HIRE SOURCE]],L_HIRESOURCE,0))</f>
        <v/>
      </c>
      <c r="AG403">
        <f>IF(T_EMPLOYEES[[#This Row],[EMPLOYEE NUMBER]]="","",MATCH(T_EMPLOYEES[[#This Row],[ETHNICITY]],L_ETHNICITY,0))</f>
        <v/>
      </c>
      <c r="AH403">
        <f>IF(T_EMPLOYEES[[#This Row],[EMPLOYEE NUMBER]]="","",MATCH(T_EMPLOYEES[[#This Row],[LOCATION]],L_LOCATION,0))</f>
        <v/>
      </c>
      <c r="AI403">
        <f>IF(T_EMPLOYEES[[#This Row],[EMPLOYEE NUMBER]]="","",MATCH(T_EMPLOYEES[[#This Row],[DEPARTMENT]],L_DEPARTMENT,0))</f>
        <v/>
      </c>
      <c r="AJ403">
        <f>IF(T_EMPLOYEES[[#This Row],[EMPLOYEE NUMBER]]="","",MATCH(T_EMPLOYEES[[#This Row],[JOB TYPE]],L_JOBTYPE,0))</f>
        <v/>
      </c>
      <c r="AK403">
        <f>IF(T_EMPLOYEES[[#This Row],[EMPLOYEE NUMBER]]="","",MATCH(T_EMPLOYEES[[#This Row],[JOB CATEGORY]],L_JOBCATEGORY,0))</f>
        <v/>
      </c>
      <c r="AL403">
        <f>IF(T_EMPLOYEES[[#This Row],[EMPLOYEE NUMBER]]="","",MATCH(T_EMPLOYEES[[#This Row],[JOB LEVEL]],L_JOBLEVEL,0))</f>
        <v/>
      </c>
      <c r="AM403">
        <f>IF(T_EMPLOYEES[[#This Row],[EMPLOYEE NUMBER]]="","",MATCH(T_EMPLOYEES[[#This Row],[JOB TITLE]],L_JOBTITLE,0))</f>
        <v/>
      </c>
      <c r="AN403">
        <f>IF(T_EMPLOYEES[[#This Row],[EMPLOYEE NUMBER]]="","",MATCH(T_EMPLOYEES[[#This Row],[MANAGER]],L_EMPLABELS,0))</f>
        <v/>
      </c>
      <c r="AO403">
        <f>IF(T_EMPLOYEES[[#This Row],[EMPLOYEE NUMBER]]="","",IF(T_EMPLOYEES[[#This Row],[ERROR]]="",0,1))</f>
        <v/>
      </c>
      <c r="AP40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4">
      <c r="A404" t="inlineStr">
        <is>
          <t>Suvarnaganti</t>
        </is>
      </c>
      <c r="B404" t="inlineStr">
        <is>
          <t>Mahendra</t>
        </is>
      </c>
      <c r="C404" t="n">
        <v>1029888</v>
      </c>
      <c r="D404" t="inlineStr">
        <is>
          <t>Mahendra.Suvarnaganti@infinite.com</t>
        </is>
      </c>
      <c r="E404" s="26" t="n">
        <v>36073</v>
      </c>
      <c r="F404" s="26" t="n">
        <v>44791</v>
      </c>
      <c r="H404" t="inlineStr">
        <is>
          <t>Male</t>
        </is>
      </c>
      <c r="I404" t="inlineStr">
        <is>
          <t>Asian</t>
        </is>
      </c>
      <c r="J404" t="inlineStr">
        <is>
          <t>WEBSITE</t>
        </is>
      </c>
      <c r="K404" t="inlineStr">
        <is>
          <t>Bangalore</t>
        </is>
      </c>
      <c r="L404" s="27" t="inlineStr">
        <is>
          <t>IT</t>
        </is>
      </c>
      <c r="M404" t="inlineStr">
        <is>
          <t>Full-Time</t>
        </is>
      </c>
      <c r="N404" t="inlineStr">
        <is>
          <t>Associate Software Engineer</t>
        </is>
      </c>
      <c r="O404" t="inlineStr">
        <is>
          <t>E1</t>
        </is>
      </c>
      <c r="P404" t="inlineStr">
        <is>
          <t>Associate Software Engineer</t>
        </is>
      </c>
      <c r="Q404" t="inlineStr">
        <is>
          <t>Siddharth Kumar (1027551)</t>
        </is>
      </c>
      <c r="R404" s="27" t="n">
        <v>0</v>
      </c>
      <c r="S404" s="1" t="n">
        <v>250000</v>
      </c>
      <c r="T404" s="1">
        <f>ROUND(T_EMPLOYEES[[#This Row],[EMP_CTC1]]/12, 0)</f>
        <v/>
      </c>
      <c r="U404" s="1" t="n">
        <v>150000</v>
      </c>
      <c r="V404" s="1" t="inlineStr">
        <is>
          <t>AK</t>
        </is>
      </c>
      <c r="W404" s="1" t="inlineStr">
        <is>
          <t>AK</t>
        </is>
      </c>
      <c r="X40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4" t="n">
        <v>120000</v>
      </c>
      <c r="Z404" s="29">
        <f>(S404 - U404)/S404 * 100</f>
        <v/>
      </c>
      <c r="AA404">
        <f>IF(T_EMPLOYEES[[#This Row],[EMPLOYEE NUMBER]]="","",ROW(T_EMPLOYEES[[#This Row],[EMPLOYEE LABEL]])-ROW(T_EMPLOYEES[[#Headers],[EMPLOYEE LABEL]]))</f>
        <v/>
      </c>
      <c r="AB404">
        <f>IF(T_EMPLOYEES[[#This Row],[EMPLOYEE NUMBER]]="","",IF(COUNTIF(T_EMPLOYEES[EMPLOYEE NUMBER],T_EMPLOYEES[[#This Row],[EMPLOYEE NUMBER]])&gt;1,1,0))</f>
        <v/>
      </c>
      <c r="AC404">
        <f>IF(T_EMPLOYEES[[#This Row],[EMPLOYEE NUMBER]]="","",IF(AND(T_EMPLOYEES[[#This Row],[DATE OF BIRTH]]&gt;0,T_EMPLOYEES[[#This Row],[DATE OF BIRTH]]&lt;TODAY()),0,1))</f>
        <v/>
      </c>
      <c r="AD404">
        <f>IF(T_EMPLOYEES[[#This Row],[EMPLOYEE NUMBER]]="","",IF(AND(T_EMPLOYEES[[#This Row],[START DATE]]&gt;0,T_EMPLOYEES[[#This Row],[START DATE]]&lt;TODAY()+60),0,1))</f>
        <v/>
      </c>
      <c r="AE404">
        <f>IF(T_EMPLOYEES[[#This Row],[EMPLOYEE NUMBER]]="","",MATCH(T_EMPLOYEES[[#This Row],[GENDER]],L_GENDER,0))</f>
        <v/>
      </c>
      <c r="AF404">
        <f>IF(T_EMPLOYEES[[#This Row],[EMPLOYEE NUMBER]]="","",MATCH(T_EMPLOYEES[[#This Row],[HIRE SOURCE]],L_HIRESOURCE,0))</f>
        <v/>
      </c>
      <c r="AG404">
        <f>IF(T_EMPLOYEES[[#This Row],[EMPLOYEE NUMBER]]="","",MATCH(T_EMPLOYEES[[#This Row],[ETHNICITY]],L_ETHNICITY,0))</f>
        <v/>
      </c>
      <c r="AH404">
        <f>IF(T_EMPLOYEES[[#This Row],[EMPLOYEE NUMBER]]="","",MATCH(T_EMPLOYEES[[#This Row],[LOCATION]],L_LOCATION,0))</f>
        <v/>
      </c>
      <c r="AI404">
        <f>IF(T_EMPLOYEES[[#This Row],[EMPLOYEE NUMBER]]="","",MATCH(T_EMPLOYEES[[#This Row],[DEPARTMENT]],L_DEPARTMENT,0))</f>
        <v/>
      </c>
      <c r="AJ404">
        <f>IF(T_EMPLOYEES[[#This Row],[EMPLOYEE NUMBER]]="","",MATCH(T_EMPLOYEES[[#This Row],[JOB TYPE]],L_JOBTYPE,0))</f>
        <v/>
      </c>
      <c r="AK404">
        <f>IF(T_EMPLOYEES[[#This Row],[EMPLOYEE NUMBER]]="","",MATCH(T_EMPLOYEES[[#This Row],[JOB CATEGORY]],L_JOBCATEGORY,0))</f>
        <v/>
      </c>
      <c r="AL404">
        <f>IF(T_EMPLOYEES[[#This Row],[EMPLOYEE NUMBER]]="","",MATCH(T_EMPLOYEES[[#This Row],[JOB LEVEL]],L_JOBLEVEL,0))</f>
        <v/>
      </c>
      <c r="AM404">
        <f>IF(T_EMPLOYEES[[#This Row],[EMPLOYEE NUMBER]]="","",MATCH(T_EMPLOYEES[[#This Row],[JOB TITLE]],L_JOBTITLE,0))</f>
        <v/>
      </c>
      <c r="AN404">
        <f>IF(T_EMPLOYEES[[#This Row],[EMPLOYEE NUMBER]]="","",MATCH(T_EMPLOYEES[[#This Row],[MANAGER]],L_EMPLABELS,0))</f>
        <v/>
      </c>
      <c r="AO404">
        <f>IF(T_EMPLOYEES[[#This Row],[EMPLOYEE NUMBER]]="","",IF(T_EMPLOYEES[[#This Row],[ERROR]]="",0,1))</f>
        <v/>
      </c>
      <c r="AP40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04" t="inlineStr">
        <is>
          <t>Member</t>
        </is>
      </c>
    </row>
    <row r="405">
      <c r="A405" t="inlineStr">
        <is>
          <t>Nanubala</t>
        </is>
      </c>
      <c r="B405" t="inlineStr">
        <is>
          <t>Komal Raja</t>
        </is>
      </c>
      <c r="C405" t="n">
        <v>1026550</v>
      </c>
      <c r="D405" t="inlineStr">
        <is>
          <t>Komal.Raja@infinite.com</t>
        </is>
      </c>
      <c r="E405" s="26" t="n">
        <v>36080</v>
      </c>
      <c r="F405" s="26" t="n">
        <v>44463</v>
      </c>
      <c r="H405" t="inlineStr">
        <is>
          <t>Male</t>
        </is>
      </c>
      <c r="I405" t="inlineStr">
        <is>
          <t>Asian</t>
        </is>
      </c>
      <c r="J405" t="inlineStr">
        <is>
          <t>WEBSITE</t>
        </is>
      </c>
      <c r="K405" t="inlineStr">
        <is>
          <t>Bangalore</t>
        </is>
      </c>
      <c r="L405" s="27" t="inlineStr">
        <is>
          <t>IT</t>
        </is>
      </c>
      <c r="M405" t="inlineStr">
        <is>
          <t>Full-Time</t>
        </is>
      </c>
      <c r="N405" t="inlineStr">
        <is>
          <t>Software Test Engineer</t>
        </is>
      </c>
      <c r="O405" t="inlineStr">
        <is>
          <t>E2</t>
        </is>
      </c>
      <c r="P405" t="inlineStr">
        <is>
          <t>Software Test Engineer</t>
        </is>
      </c>
      <c r="Q405" t="inlineStr">
        <is>
          <t>J S S  Vardhan (1020135)</t>
        </is>
      </c>
      <c r="R405" t="n">
        <v>4</v>
      </c>
      <c r="S405" s="1" t="n">
        <v>250000</v>
      </c>
      <c r="T405" s="1">
        <f>ROUND(T_EMPLOYEES[[#This Row],[EMP_CTC1]]/12, 0)</f>
        <v/>
      </c>
      <c r="U405" s="1" t="n">
        <v>150000</v>
      </c>
      <c r="V405" s="1" t="inlineStr">
        <is>
          <t>AK</t>
        </is>
      </c>
      <c r="W405" s="1" t="inlineStr">
        <is>
          <t>AK</t>
        </is>
      </c>
      <c r="X40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5" t="n">
        <v>120000</v>
      </c>
      <c r="Z405" s="29">
        <f>(S405 - U405)/S405 * 100</f>
        <v/>
      </c>
      <c r="AA405">
        <f>IF(T_EMPLOYEES[[#This Row],[EMPLOYEE NUMBER]]="","",ROW(T_EMPLOYEES[[#This Row],[EMPLOYEE LABEL]])-ROW(T_EMPLOYEES[[#Headers],[EMPLOYEE LABEL]]))</f>
        <v/>
      </c>
      <c r="AB405">
        <f>IF(T_EMPLOYEES[[#This Row],[EMPLOYEE NUMBER]]="","",IF(COUNTIF(T_EMPLOYEES[EMPLOYEE NUMBER],T_EMPLOYEES[[#This Row],[EMPLOYEE NUMBER]])&gt;1,1,0))</f>
        <v/>
      </c>
      <c r="AC405">
        <f>IF(T_EMPLOYEES[[#This Row],[EMPLOYEE NUMBER]]="","",IF(AND(T_EMPLOYEES[[#This Row],[DATE OF BIRTH]]&gt;0,T_EMPLOYEES[[#This Row],[DATE OF BIRTH]]&lt;TODAY()),0,1))</f>
        <v/>
      </c>
      <c r="AD405">
        <f>IF(T_EMPLOYEES[[#This Row],[EMPLOYEE NUMBER]]="","",IF(AND(T_EMPLOYEES[[#This Row],[START DATE]]&gt;0,T_EMPLOYEES[[#This Row],[START DATE]]&lt;TODAY()+60),0,1))</f>
        <v/>
      </c>
      <c r="AE405">
        <f>IF(T_EMPLOYEES[[#This Row],[EMPLOYEE NUMBER]]="","",MATCH(T_EMPLOYEES[[#This Row],[GENDER]],L_GENDER,0))</f>
        <v/>
      </c>
      <c r="AF405">
        <f>IF(T_EMPLOYEES[[#This Row],[EMPLOYEE NUMBER]]="","",MATCH(T_EMPLOYEES[[#This Row],[HIRE SOURCE]],L_HIRESOURCE,0))</f>
        <v/>
      </c>
      <c r="AG405">
        <f>IF(T_EMPLOYEES[[#This Row],[EMPLOYEE NUMBER]]="","",MATCH(T_EMPLOYEES[[#This Row],[ETHNICITY]],L_ETHNICITY,0))</f>
        <v/>
      </c>
      <c r="AH405">
        <f>IF(T_EMPLOYEES[[#This Row],[EMPLOYEE NUMBER]]="","",MATCH(T_EMPLOYEES[[#This Row],[LOCATION]],L_LOCATION,0))</f>
        <v/>
      </c>
      <c r="AI405">
        <f>IF(T_EMPLOYEES[[#This Row],[EMPLOYEE NUMBER]]="","",MATCH(T_EMPLOYEES[[#This Row],[DEPARTMENT]],L_DEPARTMENT,0))</f>
        <v/>
      </c>
      <c r="AJ405">
        <f>IF(T_EMPLOYEES[[#This Row],[EMPLOYEE NUMBER]]="","",MATCH(T_EMPLOYEES[[#This Row],[JOB TYPE]],L_JOBTYPE,0))</f>
        <v/>
      </c>
      <c r="AK405">
        <f>IF(T_EMPLOYEES[[#This Row],[EMPLOYEE NUMBER]]="","",MATCH(T_EMPLOYEES[[#This Row],[JOB CATEGORY]],L_JOBCATEGORY,0))</f>
        <v/>
      </c>
      <c r="AL405">
        <f>IF(T_EMPLOYEES[[#This Row],[EMPLOYEE NUMBER]]="","",MATCH(T_EMPLOYEES[[#This Row],[JOB LEVEL]],L_JOBLEVEL,0))</f>
        <v/>
      </c>
      <c r="AM405">
        <f>IF(T_EMPLOYEES[[#This Row],[EMPLOYEE NUMBER]]="","",MATCH(T_EMPLOYEES[[#This Row],[JOB TITLE]],L_JOBTITLE,0))</f>
        <v/>
      </c>
      <c r="AN405">
        <f>IF(T_EMPLOYEES[[#This Row],[EMPLOYEE NUMBER]]="","",MATCH(T_EMPLOYEES[[#This Row],[MANAGER]],L_EMPLABELS,0))</f>
        <v/>
      </c>
      <c r="AO405">
        <f>IF(T_EMPLOYEES[[#This Row],[EMPLOYEE NUMBER]]="","",IF(T_EMPLOYEES[[#This Row],[ERROR]]="",0,1))</f>
        <v/>
      </c>
      <c r="AP40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6">
      <c r="A406" t="inlineStr">
        <is>
          <t>S</t>
        </is>
      </c>
      <c r="B406" t="inlineStr">
        <is>
          <t>R Halaswamy</t>
        </is>
      </c>
      <c r="C406" t="n">
        <v>1026419</v>
      </c>
      <c r="D406" t="inlineStr">
        <is>
          <t>Halaswamy.Rudrappa@infinite.com</t>
        </is>
      </c>
      <c r="E406" s="26" t="n">
        <v>36084</v>
      </c>
      <c r="F406" s="26" t="n">
        <v>44453</v>
      </c>
      <c r="H406" t="inlineStr">
        <is>
          <t>Male</t>
        </is>
      </c>
      <c r="I406" t="inlineStr">
        <is>
          <t>Asian</t>
        </is>
      </c>
      <c r="J406" t="inlineStr">
        <is>
          <t>WEBSITE</t>
        </is>
      </c>
      <c r="K406" t="inlineStr">
        <is>
          <t>Bangalore</t>
        </is>
      </c>
      <c r="L406" s="27" t="inlineStr">
        <is>
          <t>IT</t>
        </is>
      </c>
      <c r="M406" t="inlineStr">
        <is>
          <t>Full-Time</t>
        </is>
      </c>
      <c r="N406" t="inlineStr">
        <is>
          <t>Software Test Engineer</t>
        </is>
      </c>
      <c r="O406" t="inlineStr">
        <is>
          <t>E2</t>
        </is>
      </c>
      <c r="P406" t="inlineStr">
        <is>
          <t>Software Test Engineer</t>
        </is>
      </c>
      <c r="Q406" t="inlineStr">
        <is>
          <t>J S S  Vardhan (1020135)</t>
        </is>
      </c>
      <c r="R406" s="27" t="n">
        <v>4</v>
      </c>
      <c r="S406" s="1" t="n">
        <v>250000</v>
      </c>
      <c r="T406" s="1">
        <f>ROUND(T_EMPLOYEES[[#This Row],[EMP_CTC1]]/12, 0)</f>
        <v/>
      </c>
      <c r="U406" s="1" t="n">
        <v>150000</v>
      </c>
      <c r="V406" s="1" t="inlineStr">
        <is>
          <t>AK</t>
        </is>
      </c>
      <c r="W406" s="1" t="inlineStr">
        <is>
          <t>AK</t>
        </is>
      </c>
      <c r="X40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6" t="n">
        <v>120000</v>
      </c>
      <c r="Z406" s="29">
        <f>(S406 - U406)/S406 * 100</f>
        <v/>
      </c>
      <c r="AA406">
        <f>IF(T_EMPLOYEES[[#This Row],[EMPLOYEE NUMBER]]="","",ROW(T_EMPLOYEES[[#This Row],[EMPLOYEE LABEL]])-ROW(T_EMPLOYEES[[#Headers],[EMPLOYEE LABEL]]))</f>
        <v/>
      </c>
      <c r="AB406">
        <f>IF(T_EMPLOYEES[[#This Row],[EMPLOYEE NUMBER]]="","",IF(COUNTIF(T_EMPLOYEES[EMPLOYEE NUMBER],T_EMPLOYEES[[#This Row],[EMPLOYEE NUMBER]])&gt;1,1,0))</f>
        <v/>
      </c>
      <c r="AC406">
        <f>IF(T_EMPLOYEES[[#This Row],[EMPLOYEE NUMBER]]="","",IF(AND(T_EMPLOYEES[[#This Row],[DATE OF BIRTH]]&gt;0,T_EMPLOYEES[[#This Row],[DATE OF BIRTH]]&lt;TODAY()),0,1))</f>
        <v/>
      </c>
      <c r="AD406">
        <f>IF(T_EMPLOYEES[[#This Row],[EMPLOYEE NUMBER]]="","",IF(AND(T_EMPLOYEES[[#This Row],[START DATE]]&gt;0,T_EMPLOYEES[[#This Row],[START DATE]]&lt;TODAY()+60),0,1))</f>
        <v/>
      </c>
      <c r="AE406">
        <f>IF(T_EMPLOYEES[[#This Row],[EMPLOYEE NUMBER]]="","",MATCH(T_EMPLOYEES[[#This Row],[GENDER]],L_GENDER,0))</f>
        <v/>
      </c>
      <c r="AF406">
        <f>IF(T_EMPLOYEES[[#This Row],[EMPLOYEE NUMBER]]="","",MATCH(T_EMPLOYEES[[#This Row],[HIRE SOURCE]],L_HIRESOURCE,0))</f>
        <v/>
      </c>
      <c r="AG406">
        <f>IF(T_EMPLOYEES[[#This Row],[EMPLOYEE NUMBER]]="","",MATCH(T_EMPLOYEES[[#This Row],[ETHNICITY]],L_ETHNICITY,0))</f>
        <v/>
      </c>
      <c r="AH406">
        <f>IF(T_EMPLOYEES[[#This Row],[EMPLOYEE NUMBER]]="","",MATCH(T_EMPLOYEES[[#This Row],[LOCATION]],L_LOCATION,0))</f>
        <v/>
      </c>
      <c r="AI406">
        <f>IF(T_EMPLOYEES[[#This Row],[EMPLOYEE NUMBER]]="","",MATCH(T_EMPLOYEES[[#This Row],[DEPARTMENT]],L_DEPARTMENT,0))</f>
        <v/>
      </c>
      <c r="AJ406">
        <f>IF(T_EMPLOYEES[[#This Row],[EMPLOYEE NUMBER]]="","",MATCH(T_EMPLOYEES[[#This Row],[JOB TYPE]],L_JOBTYPE,0))</f>
        <v/>
      </c>
      <c r="AK406">
        <f>IF(T_EMPLOYEES[[#This Row],[EMPLOYEE NUMBER]]="","",MATCH(T_EMPLOYEES[[#This Row],[JOB CATEGORY]],L_JOBCATEGORY,0))</f>
        <v/>
      </c>
      <c r="AL406">
        <f>IF(T_EMPLOYEES[[#This Row],[EMPLOYEE NUMBER]]="","",MATCH(T_EMPLOYEES[[#This Row],[JOB LEVEL]],L_JOBLEVEL,0))</f>
        <v/>
      </c>
      <c r="AM406">
        <f>IF(T_EMPLOYEES[[#This Row],[EMPLOYEE NUMBER]]="","",MATCH(T_EMPLOYEES[[#This Row],[JOB TITLE]],L_JOBTITLE,0))</f>
        <v/>
      </c>
      <c r="AN406">
        <f>IF(T_EMPLOYEES[[#This Row],[EMPLOYEE NUMBER]]="","",MATCH(T_EMPLOYEES[[#This Row],[MANAGER]],L_EMPLABELS,0))</f>
        <v/>
      </c>
      <c r="AO406">
        <f>IF(T_EMPLOYEES[[#This Row],[EMPLOYEE NUMBER]]="","",IF(T_EMPLOYEES[[#This Row],[ERROR]]="",0,1))</f>
        <v/>
      </c>
      <c r="AP40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7">
      <c r="A407" t="inlineStr">
        <is>
          <t>Amrutha</t>
        </is>
      </c>
      <c r="B407" t="inlineStr">
        <is>
          <t>Sindhu H B</t>
        </is>
      </c>
      <c r="C407" t="n">
        <v>1026546</v>
      </c>
      <c r="D407" t="inlineStr">
        <is>
          <t>Amrutha.Sindhu@infinite.com</t>
        </is>
      </c>
      <c r="E407" s="26" t="n">
        <v>36113</v>
      </c>
      <c r="F407" s="26" t="n">
        <v>44463</v>
      </c>
      <c r="H407" t="inlineStr">
        <is>
          <t>Female</t>
        </is>
      </c>
      <c r="I407" t="inlineStr">
        <is>
          <t>Asian</t>
        </is>
      </c>
      <c r="J407" t="inlineStr">
        <is>
          <t>WEBSITE</t>
        </is>
      </c>
      <c r="K407" t="inlineStr">
        <is>
          <t>Bangalore</t>
        </is>
      </c>
      <c r="L407" s="27" t="inlineStr">
        <is>
          <t>IT</t>
        </is>
      </c>
      <c r="M407" t="inlineStr">
        <is>
          <t>Full-Time</t>
        </is>
      </c>
      <c r="N407" t="inlineStr">
        <is>
          <t>Software Test Engineer</t>
        </is>
      </c>
      <c r="O407" t="inlineStr">
        <is>
          <t>E2</t>
        </is>
      </c>
      <c r="P407" t="inlineStr">
        <is>
          <t>Software Test Engineer</t>
        </is>
      </c>
      <c r="Q407" t="inlineStr">
        <is>
          <t>J S S  Vardhan (1020135)</t>
        </is>
      </c>
      <c r="R407" t="n">
        <v>4</v>
      </c>
      <c r="S407" s="1" t="n">
        <v>250000</v>
      </c>
      <c r="T407" s="1">
        <f>ROUND(T_EMPLOYEES[[#This Row],[EMP_CTC1]]/12, 0)</f>
        <v/>
      </c>
      <c r="U407" s="1" t="n">
        <v>150000</v>
      </c>
      <c r="V407" s="1" t="inlineStr">
        <is>
          <t>AK</t>
        </is>
      </c>
      <c r="W407" s="1" t="inlineStr">
        <is>
          <t>AK</t>
        </is>
      </c>
      <c r="X40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7" t="n">
        <v>120000</v>
      </c>
      <c r="Z407" s="29">
        <f>(S407 - U407)/S407 * 100</f>
        <v/>
      </c>
      <c r="AA407">
        <f>IF(T_EMPLOYEES[[#This Row],[EMPLOYEE NUMBER]]="","",ROW(T_EMPLOYEES[[#This Row],[EMPLOYEE LABEL]])-ROW(T_EMPLOYEES[[#Headers],[EMPLOYEE LABEL]]))</f>
        <v/>
      </c>
      <c r="AB407">
        <f>IF(T_EMPLOYEES[[#This Row],[EMPLOYEE NUMBER]]="","",IF(COUNTIF(T_EMPLOYEES[EMPLOYEE NUMBER],T_EMPLOYEES[[#This Row],[EMPLOYEE NUMBER]])&gt;1,1,0))</f>
        <v/>
      </c>
      <c r="AC407">
        <f>IF(T_EMPLOYEES[[#This Row],[EMPLOYEE NUMBER]]="","",IF(AND(T_EMPLOYEES[[#This Row],[DATE OF BIRTH]]&gt;0,T_EMPLOYEES[[#This Row],[DATE OF BIRTH]]&lt;TODAY()),0,1))</f>
        <v/>
      </c>
      <c r="AD407">
        <f>IF(T_EMPLOYEES[[#This Row],[EMPLOYEE NUMBER]]="","",IF(AND(T_EMPLOYEES[[#This Row],[START DATE]]&gt;0,T_EMPLOYEES[[#This Row],[START DATE]]&lt;TODAY()+60),0,1))</f>
        <v/>
      </c>
      <c r="AE407">
        <f>IF(T_EMPLOYEES[[#This Row],[EMPLOYEE NUMBER]]="","",MATCH(T_EMPLOYEES[[#This Row],[GENDER]],L_GENDER,0))</f>
        <v/>
      </c>
      <c r="AF407">
        <f>IF(T_EMPLOYEES[[#This Row],[EMPLOYEE NUMBER]]="","",MATCH(T_EMPLOYEES[[#This Row],[HIRE SOURCE]],L_HIRESOURCE,0))</f>
        <v/>
      </c>
      <c r="AG407">
        <f>IF(T_EMPLOYEES[[#This Row],[EMPLOYEE NUMBER]]="","",MATCH(T_EMPLOYEES[[#This Row],[ETHNICITY]],L_ETHNICITY,0))</f>
        <v/>
      </c>
      <c r="AH407">
        <f>IF(T_EMPLOYEES[[#This Row],[EMPLOYEE NUMBER]]="","",MATCH(T_EMPLOYEES[[#This Row],[LOCATION]],L_LOCATION,0))</f>
        <v/>
      </c>
      <c r="AI407">
        <f>IF(T_EMPLOYEES[[#This Row],[EMPLOYEE NUMBER]]="","",MATCH(T_EMPLOYEES[[#This Row],[DEPARTMENT]],L_DEPARTMENT,0))</f>
        <v/>
      </c>
      <c r="AJ407">
        <f>IF(T_EMPLOYEES[[#This Row],[EMPLOYEE NUMBER]]="","",MATCH(T_EMPLOYEES[[#This Row],[JOB TYPE]],L_JOBTYPE,0))</f>
        <v/>
      </c>
      <c r="AK407">
        <f>IF(T_EMPLOYEES[[#This Row],[EMPLOYEE NUMBER]]="","",MATCH(T_EMPLOYEES[[#This Row],[JOB CATEGORY]],L_JOBCATEGORY,0))</f>
        <v/>
      </c>
      <c r="AL407">
        <f>IF(T_EMPLOYEES[[#This Row],[EMPLOYEE NUMBER]]="","",MATCH(T_EMPLOYEES[[#This Row],[JOB LEVEL]],L_JOBLEVEL,0))</f>
        <v/>
      </c>
      <c r="AM407">
        <f>IF(T_EMPLOYEES[[#This Row],[EMPLOYEE NUMBER]]="","",MATCH(T_EMPLOYEES[[#This Row],[JOB TITLE]],L_JOBTITLE,0))</f>
        <v/>
      </c>
      <c r="AN407">
        <f>IF(T_EMPLOYEES[[#This Row],[EMPLOYEE NUMBER]]="","",MATCH(T_EMPLOYEES[[#This Row],[MANAGER]],L_EMPLABELS,0))</f>
        <v/>
      </c>
      <c r="AO407">
        <f>IF(T_EMPLOYEES[[#This Row],[EMPLOYEE NUMBER]]="","",IF(T_EMPLOYEES[[#This Row],[ERROR]]="",0,1))</f>
        <v/>
      </c>
      <c r="AP40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08">
      <c r="A408" t="inlineStr">
        <is>
          <t>Meghashyam</t>
        </is>
      </c>
      <c r="B408" t="inlineStr">
        <is>
          <t xml:space="preserve"> Vutukuri</t>
        </is>
      </c>
      <c r="C408" t="n">
        <v>1024962</v>
      </c>
      <c r="D408" t="inlineStr">
        <is>
          <t>Meghashyam.Vutukuri@infinite.com</t>
        </is>
      </c>
      <c r="E408" s="26" t="n">
        <v>36114</v>
      </c>
      <c r="F408" s="26" t="n">
        <v>44291</v>
      </c>
      <c r="H408" t="inlineStr">
        <is>
          <t>Male</t>
        </is>
      </c>
      <c r="I408" t="inlineStr">
        <is>
          <t>Asian</t>
        </is>
      </c>
      <c r="J408" t="inlineStr">
        <is>
          <t>WEBSITE</t>
        </is>
      </c>
      <c r="K408" t="inlineStr">
        <is>
          <t>Hyderabad</t>
        </is>
      </c>
      <c r="L408" s="27" t="inlineStr">
        <is>
          <t>IT</t>
        </is>
      </c>
      <c r="M408" t="inlineStr">
        <is>
          <t>Full-Time</t>
        </is>
      </c>
      <c r="N408" t="inlineStr">
        <is>
          <t>Software Engineer</t>
        </is>
      </c>
      <c r="O408" t="inlineStr">
        <is>
          <t>E2</t>
        </is>
      </c>
      <c r="P408" t="inlineStr">
        <is>
          <t>Software Engineer</t>
        </is>
      </c>
      <c r="Q408" t="inlineStr">
        <is>
          <t>Santhosh B K (1025129)</t>
        </is>
      </c>
      <c r="R408" s="27" t="n">
        <v>4</v>
      </c>
      <c r="S408" s="1" t="n">
        <v>250000</v>
      </c>
      <c r="T408" s="1">
        <f>ROUND(T_EMPLOYEES[[#This Row],[EMP_CTC1]]/12, 0)</f>
        <v/>
      </c>
      <c r="U408" s="1" t="n">
        <v>150000</v>
      </c>
      <c r="V408" s="1" t="inlineStr">
        <is>
          <t>AK</t>
        </is>
      </c>
      <c r="W408" s="1" t="inlineStr">
        <is>
          <t>AK</t>
        </is>
      </c>
      <c r="X40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8" t="n">
        <v>120000</v>
      </c>
      <c r="Z408" s="29">
        <f>(S408 - U408)/S408 * 100</f>
        <v/>
      </c>
      <c r="AA408">
        <f>IF(T_EMPLOYEES[[#This Row],[EMPLOYEE NUMBER]]="","",ROW(T_EMPLOYEES[[#This Row],[EMPLOYEE LABEL]])-ROW(T_EMPLOYEES[[#Headers],[EMPLOYEE LABEL]]))</f>
        <v/>
      </c>
      <c r="AB408">
        <f>IF(T_EMPLOYEES[[#This Row],[EMPLOYEE NUMBER]]="","",IF(COUNTIF(T_EMPLOYEES[EMPLOYEE NUMBER],T_EMPLOYEES[[#This Row],[EMPLOYEE NUMBER]])&gt;1,1,0))</f>
        <v/>
      </c>
      <c r="AC408">
        <f>IF(T_EMPLOYEES[[#This Row],[EMPLOYEE NUMBER]]="","",IF(AND(T_EMPLOYEES[[#This Row],[DATE OF BIRTH]]&gt;0,T_EMPLOYEES[[#This Row],[DATE OF BIRTH]]&lt;TODAY()),0,1))</f>
        <v/>
      </c>
      <c r="AD408">
        <f>IF(T_EMPLOYEES[[#This Row],[EMPLOYEE NUMBER]]="","",IF(AND(T_EMPLOYEES[[#This Row],[START DATE]]&gt;0,T_EMPLOYEES[[#This Row],[START DATE]]&lt;TODAY()+60),0,1))</f>
        <v/>
      </c>
      <c r="AE408">
        <f>IF(T_EMPLOYEES[[#This Row],[EMPLOYEE NUMBER]]="","",MATCH(T_EMPLOYEES[[#This Row],[GENDER]],L_GENDER,0))</f>
        <v/>
      </c>
      <c r="AF408">
        <f>IF(T_EMPLOYEES[[#This Row],[EMPLOYEE NUMBER]]="","",MATCH(T_EMPLOYEES[[#This Row],[HIRE SOURCE]],L_HIRESOURCE,0))</f>
        <v/>
      </c>
      <c r="AG408">
        <f>IF(T_EMPLOYEES[[#This Row],[EMPLOYEE NUMBER]]="","",MATCH(T_EMPLOYEES[[#This Row],[ETHNICITY]],L_ETHNICITY,0))</f>
        <v/>
      </c>
      <c r="AH408">
        <f>IF(T_EMPLOYEES[[#This Row],[EMPLOYEE NUMBER]]="","",MATCH(T_EMPLOYEES[[#This Row],[LOCATION]],L_LOCATION,0))</f>
        <v/>
      </c>
      <c r="AI408">
        <f>IF(T_EMPLOYEES[[#This Row],[EMPLOYEE NUMBER]]="","",MATCH(T_EMPLOYEES[[#This Row],[DEPARTMENT]],L_DEPARTMENT,0))</f>
        <v/>
      </c>
      <c r="AJ408">
        <f>IF(T_EMPLOYEES[[#This Row],[EMPLOYEE NUMBER]]="","",MATCH(T_EMPLOYEES[[#This Row],[JOB TYPE]],L_JOBTYPE,0))</f>
        <v/>
      </c>
      <c r="AK408">
        <f>IF(T_EMPLOYEES[[#This Row],[EMPLOYEE NUMBER]]="","",MATCH(T_EMPLOYEES[[#This Row],[JOB CATEGORY]],L_JOBCATEGORY,0))</f>
        <v/>
      </c>
      <c r="AL408">
        <f>IF(T_EMPLOYEES[[#This Row],[EMPLOYEE NUMBER]]="","",MATCH(T_EMPLOYEES[[#This Row],[JOB LEVEL]],L_JOBLEVEL,0))</f>
        <v/>
      </c>
      <c r="AM408">
        <f>IF(T_EMPLOYEES[[#This Row],[EMPLOYEE NUMBER]]="","",MATCH(T_EMPLOYEES[[#This Row],[JOB TITLE]],L_JOBTITLE,0))</f>
        <v/>
      </c>
      <c r="AN408">
        <f>IF(T_EMPLOYEES[[#This Row],[EMPLOYEE NUMBER]]="","",MATCH(T_EMPLOYEES[[#This Row],[MANAGER]],L_EMPLABELS,0))</f>
        <v/>
      </c>
      <c r="AO408">
        <f>IF(T_EMPLOYEES[[#This Row],[EMPLOYEE NUMBER]]="","",IF(T_EMPLOYEES[[#This Row],[ERROR]]="",0,1))</f>
        <v/>
      </c>
      <c r="AP40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08" t="inlineStr">
        <is>
          <t>Claims</t>
        </is>
      </c>
    </row>
    <row r="409">
      <c r="A409" t="inlineStr">
        <is>
          <t>Apoorvaditya</t>
        </is>
      </c>
      <c r="B409" t="inlineStr">
        <is>
          <t>Singh</t>
        </is>
      </c>
      <c r="C409" t="n">
        <v>1026152</v>
      </c>
      <c r="D409" t="inlineStr">
        <is>
          <t>Apoorvaditya.Singh@infinite.com</t>
        </is>
      </c>
      <c r="E409" s="26" t="n">
        <v>36115</v>
      </c>
      <c r="F409" s="26" t="n">
        <v>44425</v>
      </c>
      <c r="H409" t="inlineStr">
        <is>
          <t>Male</t>
        </is>
      </c>
      <c r="I409" t="inlineStr">
        <is>
          <t>Asian</t>
        </is>
      </c>
      <c r="J409" t="inlineStr">
        <is>
          <t>WEBSITE</t>
        </is>
      </c>
      <c r="K409" t="inlineStr">
        <is>
          <t>Hyderabad</t>
        </is>
      </c>
      <c r="L409" s="27" t="inlineStr">
        <is>
          <t>IT</t>
        </is>
      </c>
      <c r="M409" t="inlineStr">
        <is>
          <t>Full-Time</t>
        </is>
      </c>
      <c r="N409" t="inlineStr">
        <is>
          <t>Software Engineer</t>
        </is>
      </c>
      <c r="O409" t="inlineStr">
        <is>
          <t>E2</t>
        </is>
      </c>
      <c r="P409" t="inlineStr">
        <is>
          <t>Software Engineer</t>
        </is>
      </c>
      <c r="Q409" t="inlineStr">
        <is>
          <t>P Vinoth  Kumar (1023066)</t>
        </is>
      </c>
      <c r="R409" t="n">
        <v>4</v>
      </c>
      <c r="S409" s="1" t="n">
        <v>250000</v>
      </c>
      <c r="T409" s="1">
        <f>ROUND(T_EMPLOYEES[[#This Row],[EMP_CTC1]]/12, 0)</f>
        <v/>
      </c>
      <c r="U409" s="1" t="n">
        <v>150000</v>
      </c>
      <c r="V409" s="1" t="inlineStr">
        <is>
          <t>AK</t>
        </is>
      </c>
      <c r="W409" s="1" t="inlineStr">
        <is>
          <t>AK</t>
        </is>
      </c>
      <c r="X40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09" t="n">
        <v>120000</v>
      </c>
      <c r="Z409" s="29">
        <f>(S409 - U409)/S409 * 100</f>
        <v/>
      </c>
      <c r="AA409">
        <f>IF(T_EMPLOYEES[[#This Row],[EMPLOYEE NUMBER]]="","",ROW(T_EMPLOYEES[[#This Row],[EMPLOYEE LABEL]])-ROW(T_EMPLOYEES[[#Headers],[EMPLOYEE LABEL]]))</f>
        <v/>
      </c>
      <c r="AB409">
        <f>IF(T_EMPLOYEES[[#This Row],[EMPLOYEE NUMBER]]="","",IF(COUNTIF(T_EMPLOYEES[EMPLOYEE NUMBER],T_EMPLOYEES[[#This Row],[EMPLOYEE NUMBER]])&gt;1,1,0))</f>
        <v/>
      </c>
      <c r="AC409">
        <f>IF(T_EMPLOYEES[[#This Row],[EMPLOYEE NUMBER]]="","",IF(AND(T_EMPLOYEES[[#This Row],[DATE OF BIRTH]]&gt;0,T_EMPLOYEES[[#This Row],[DATE OF BIRTH]]&lt;TODAY()),0,1))</f>
        <v/>
      </c>
      <c r="AD409">
        <f>IF(T_EMPLOYEES[[#This Row],[EMPLOYEE NUMBER]]="","",IF(AND(T_EMPLOYEES[[#This Row],[START DATE]]&gt;0,T_EMPLOYEES[[#This Row],[START DATE]]&lt;TODAY()+60),0,1))</f>
        <v/>
      </c>
      <c r="AE409">
        <f>IF(T_EMPLOYEES[[#This Row],[EMPLOYEE NUMBER]]="","",MATCH(T_EMPLOYEES[[#This Row],[GENDER]],L_GENDER,0))</f>
        <v/>
      </c>
      <c r="AF409">
        <f>IF(T_EMPLOYEES[[#This Row],[EMPLOYEE NUMBER]]="","",MATCH(T_EMPLOYEES[[#This Row],[HIRE SOURCE]],L_HIRESOURCE,0))</f>
        <v/>
      </c>
      <c r="AG409">
        <f>IF(T_EMPLOYEES[[#This Row],[EMPLOYEE NUMBER]]="","",MATCH(T_EMPLOYEES[[#This Row],[ETHNICITY]],L_ETHNICITY,0))</f>
        <v/>
      </c>
      <c r="AH409">
        <f>IF(T_EMPLOYEES[[#This Row],[EMPLOYEE NUMBER]]="","",MATCH(T_EMPLOYEES[[#This Row],[LOCATION]],L_LOCATION,0))</f>
        <v/>
      </c>
      <c r="AI409">
        <f>IF(T_EMPLOYEES[[#This Row],[EMPLOYEE NUMBER]]="","",MATCH(T_EMPLOYEES[[#This Row],[DEPARTMENT]],L_DEPARTMENT,0))</f>
        <v/>
      </c>
      <c r="AJ409">
        <f>IF(T_EMPLOYEES[[#This Row],[EMPLOYEE NUMBER]]="","",MATCH(T_EMPLOYEES[[#This Row],[JOB TYPE]],L_JOBTYPE,0))</f>
        <v/>
      </c>
      <c r="AK409">
        <f>IF(T_EMPLOYEES[[#This Row],[EMPLOYEE NUMBER]]="","",MATCH(T_EMPLOYEES[[#This Row],[JOB CATEGORY]],L_JOBCATEGORY,0))</f>
        <v/>
      </c>
      <c r="AL409">
        <f>IF(T_EMPLOYEES[[#This Row],[EMPLOYEE NUMBER]]="","",MATCH(T_EMPLOYEES[[#This Row],[JOB LEVEL]],L_JOBLEVEL,0))</f>
        <v/>
      </c>
      <c r="AM409">
        <f>IF(T_EMPLOYEES[[#This Row],[EMPLOYEE NUMBER]]="","",MATCH(T_EMPLOYEES[[#This Row],[JOB TITLE]],L_JOBTITLE,0))</f>
        <v/>
      </c>
      <c r="AN409">
        <f>IF(T_EMPLOYEES[[#This Row],[EMPLOYEE NUMBER]]="","",MATCH(T_EMPLOYEES[[#This Row],[MANAGER]],L_EMPLABELS,0))</f>
        <v/>
      </c>
      <c r="AO409">
        <f>IF(T_EMPLOYEES[[#This Row],[EMPLOYEE NUMBER]]="","",IF(T_EMPLOYEES[[#This Row],[ERROR]]="",0,1))</f>
        <v/>
      </c>
      <c r="AP40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0">
      <c r="A410" t="inlineStr">
        <is>
          <t>K</t>
        </is>
      </c>
      <c r="B410" t="inlineStr">
        <is>
          <t>Vidya</t>
        </is>
      </c>
      <c r="C410" t="n">
        <v>1033203</v>
      </c>
      <c r="D410" t="inlineStr">
        <is>
          <t>Vidya.Kalluru@infinite.com</t>
        </is>
      </c>
      <c r="E410" s="26" t="n">
        <v>36115</v>
      </c>
      <c r="F410" s="26" t="n">
        <v>45154</v>
      </c>
      <c r="H410" t="inlineStr">
        <is>
          <t>Female</t>
        </is>
      </c>
      <c r="I410" t="inlineStr">
        <is>
          <t>Asian</t>
        </is>
      </c>
      <c r="J410" t="inlineStr">
        <is>
          <t>WEBSITE</t>
        </is>
      </c>
      <c r="K410" t="inlineStr">
        <is>
          <t>Bangalore</t>
        </is>
      </c>
      <c r="L410" s="27" t="inlineStr">
        <is>
          <t>IT</t>
        </is>
      </c>
      <c r="M410" t="inlineStr">
        <is>
          <t>Full-Time</t>
        </is>
      </c>
      <c r="N410" t="inlineStr">
        <is>
          <t>Software Engineer</t>
        </is>
      </c>
      <c r="O410" t="inlineStr">
        <is>
          <t>E2</t>
        </is>
      </c>
      <c r="P410" t="inlineStr">
        <is>
          <t>Software Engineer</t>
        </is>
      </c>
      <c r="Q410" t="inlineStr">
        <is>
          <t>Korivolla Umamahesh (1032896)</t>
        </is>
      </c>
      <c r="R410" s="27" t="n">
        <v>4</v>
      </c>
      <c r="S410" s="1" t="n">
        <v>250000</v>
      </c>
      <c r="T410" s="1">
        <f>ROUND(T_EMPLOYEES[[#This Row],[EMP_CTC1]]/12, 0)</f>
        <v/>
      </c>
      <c r="U410" s="1" t="n">
        <v>150000</v>
      </c>
      <c r="V410" s="1" t="inlineStr">
        <is>
          <t>AK</t>
        </is>
      </c>
      <c r="W410" s="1" t="inlineStr">
        <is>
          <t>AK</t>
        </is>
      </c>
      <c r="X41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0" t="n">
        <v>120000</v>
      </c>
      <c r="Z410" s="29">
        <f>(S410 - U410)/S410 * 100</f>
        <v/>
      </c>
      <c r="AA410">
        <f>IF(T_EMPLOYEES[[#This Row],[EMPLOYEE NUMBER]]="","",ROW(T_EMPLOYEES[[#This Row],[EMPLOYEE LABEL]])-ROW(T_EMPLOYEES[[#Headers],[EMPLOYEE LABEL]]))</f>
        <v/>
      </c>
      <c r="AB410">
        <f>IF(T_EMPLOYEES[[#This Row],[EMPLOYEE NUMBER]]="","",IF(COUNTIF(T_EMPLOYEES[EMPLOYEE NUMBER],T_EMPLOYEES[[#This Row],[EMPLOYEE NUMBER]])&gt;1,1,0))</f>
        <v/>
      </c>
      <c r="AC410">
        <f>IF(T_EMPLOYEES[[#This Row],[EMPLOYEE NUMBER]]="","",IF(AND(T_EMPLOYEES[[#This Row],[DATE OF BIRTH]]&gt;0,T_EMPLOYEES[[#This Row],[DATE OF BIRTH]]&lt;TODAY()),0,1))</f>
        <v/>
      </c>
      <c r="AD410">
        <f>IF(T_EMPLOYEES[[#This Row],[EMPLOYEE NUMBER]]="","",IF(AND(T_EMPLOYEES[[#This Row],[START DATE]]&gt;0,T_EMPLOYEES[[#This Row],[START DATE]]&lt;TODAY()+60),0,1))</f>
        <v/>
      </c>
      <c r="AE410">
        <f>IF(T_EMPLOYEES[[#This Row],[EMPLOYEE NUMBER]]="","",MATCH(T_EMPLOYEES[[#This Row],[GENDER]],L_GENDER,0))</f>
        <v/>
      </c>
      <c r="AF410">
        <f>IF(T_EMPLOYEES[[#This Row],[EMPLOYEE NUMBER]]="","",MATCH(T_EMPLOYEES[[#This Row],[HIRE SOURCE]],L_HIRESOURCE,0))</f>
        <v/>
      </c>
      <c r="AG410">
        <f>IF(T_EMPLOYEES[[#This Row],[EMPLOYEE NUMBER]]="","",MATCH(T_EMPLOYEES[[#This Row],[ETHNICITY]],L_ETHNICITY,0))</f>
        <v/>
      </c>
      <c r="AH410">
        <f>IF(T_EMPLOYEES[[#This Row],[EMPLOYEE NUMBER]]="","",MATCH(T_EMPLOYEES[[#This Row],[LOCATION]],L_LOCATION,0))</f>
        <v/>
      </c>
      <c r="AI410">
        <f>IF(T_EMPLOYEES[[#This Row],[EMPLOYEE NUMBER]]="","",MATCH(T_EMPLOYEES[[#This Row],[DEPARTMENT]],L_DEPARTMENT,0))</f>
        <v/>
      </c>
      <c r="AJ410">
        <f>IF(T_EMPLOYEES[[#This Row],[EMPLOYEE NUMBER]]="","",MATCH(T_EMPLOYEES[[#This Row],[JOB TYPE]],L_JOBTYPE,0))</f>
        <v/>
      </c>
      <c r="AK410">
        <f>IF(T_EMPLOYEES[[#This Row],[EMPLOYEE NUMBER]]="","",MATCH(T_EMPLOYEES[[#This Row],[JOB CATEGORY]],L_JOBCATEGORY,0))</f>
        <v/>
      </c>
      <c r="AL410">
        <f>IF(T_EMPLOYEES[[#This Row],[EMPLOYEE NUMBER]]="","",MATCH(T_EMPLOYEES[[#This Row],[JOB LEVEL]],L_JOBLEVEL,0))</f>
        <v/>
      </c>
      <c r="AM410">
        <f>IF(T_EMPLOYEES[[#This Row],[EMPLOYEE NUMBER]]="","",MATCH(T_EMPLOYEES[[#This Row],[JOB TITLE]],L_JOBTITLE,0))</f>
        <v/>
      </c>
      <c r="AN410">
        <f>IF(T_EMPLOYEES[[#This Row],[EMPLOYEE NUMBER]]="","",MATCH(T_EMPLOYEES[[#This Row],[MANAGER]],L_EMPLABELS,0))</f>
        <v/>
      </c>
      <c r="AO410">
        <f>IF(T_EMPLOYEES[[#This Row],[EMPLOYEE NUMBER]]="","",IF(T_EMPLOYEES[[#This Row],[ERROR]]="",0,1))</f>
        <v/>
      </c>
      <c r="AP41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1">
      <c r="A411" t="inlineStr">
        <is>
          <t>Ambika</t>
        </is>
      </c>
      <c r="B411" t="inlineStr">
        <is>
          <t>G Prabhu</t>
        </is>
      </c>
      <c r="C411" t="n">
        <v>1027414</v>
      </c>
      <c r="D411" t="inlineStr">
        <is>
          <t>Ambika.Prabhu@infinite.com</t>
        </is>
      </c>
      <c r="E411" s="26" t="n">
        <v>36124</v>
      </c>
      <c r="F411" s="26" t="n">
        <v>44531</v>
      </c>
      <c r="H411" t="inlineStr">
        <is>
          <t>Female</t>
        </is>
      </c>
      <c r="I411" t="inlineStr">
        <is>
          <t>Asian</t>
        </is>
      </c>
      <c r="J411" t="inlineStr">
        <is>
          <t>WEBSITE</t>
        </is>
      </c>
      <c r="K411" t="inlineStr">
        <is>
          <t>Hyderabad</t>
        </is>
      </c>
      <c r="L411" s="27" t="inlineStr">
        <is>
          <t>Core</t>
        </is>
      </c>
      <c r="M411" t="inlineStr">
        <is>
          <t>Full-Time</t>
        </is>
      </c>
      <c r="N411" t="inlineStr">
        <is>
          <t>Associate Software Engineer</t>
        </is>
      </c>
      <c r="O411" t="inlineStr">
        <is>
          <t>E1</t>
        </is>
      </c>
      <c r="P411" t="inlineStr">
        <is>
          <t>Associate Software Engineer</t>
        </is>
      </c>
      <c r="Q411" t="inlineStr">
        <is>
          <t>Kishore Kumar N (1019765)</t>
        </is>
      </c>
      <c r="R411" t="n">
        <v>0</v>
      </c>
      <c r="S411" s="1" t="n">
        <v>250000</v>
      </c>
      <c r="T411" s="1">
        <f>ROUND(T_EMPLOYEES[[#This Row],[EMP_CTC1]]/12, 0)</f>
        <v/>
      </c>
      <c r="U411" s="1" t="n">
        <v>150000</v>
      </c>
      <c r="V411" s="1" t="inlineStr">
        <is>
          <t>AK</t>
        </is>
      </c>
      <c r="W411" s="1" t="inlineStr">
        <is>
          <t>AK</t>
        </is>
      </c>
      <c r="X41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1" t="n">
        <v>120000</v>
      </c>
      <c r="Z411" s="29">
        <f>(S411 - U411)/S411 * 100</f>
        <v/>
      </c>
      <c r="AA411">
        <f>IF(T_EMPLOYEES[[#This Row],[EMPLOYEE NUMBER]]="","",ROW(T_EMPLOYEES[[#This Row],[EMPLOYEE LABEL]])-ROW(T_EMPLOYEES[[#Headers],[EMPLOYEE LABEL]]))</f>
        <v/>
      </c>
      <c r="AB411">
        <f>IF(T_EMPLOYEES[[#This Row],[EMPLOYEE NUMBER]]="","",IF(COUNTIF(T_EMPLOYEES[EMPLOYEE NUMBER],T_EMPLOYEES[[#This Row],[EMPLOYEE NUMBER]])&gt;1,1,0))</f>
        <v/>
      </c>
      <c r="AC411">
        <f>IF(T_EMPLOYEES[[#This Row],[EMPLOYEE NUMBER]]="","",IF(AND(T_EMPLOYEES[[#This Row],[DATE OF BIRTH]]&gt;0,T_EMPLOYEES[[#This Row],[DATE OF BIRTH]]&lt;TODAY()),0,1))</f>
        <v/>
      </c>
      <c r="AD411">
        <f>IF(T_EMPLOYEES[[#This Row],[EMPLOYEE NUMBER]]="","",IF(AND(T_EMPLOYEES[[#This Row],[START DATE]]&gt;0,T_EMPLOYEES[[#This Row],[START DATE]]&lt;TODAY()+60),0,1))</f>
        <v/>
      </c>
      <c r="AE411">
        <f>IF(T_EMPLOYEES[[#This Row],[EMPLOYEE NUMBER]]="","",MATCH(T_EMPLOYEES[[#This Row],[GENDER]],L_GENDER,0))</f>
        <v/>
      </c>
      <c r="AF411">
        <f>IF(T_EMPLOYEES[[#This Row],[EMPLOYEE NUMBER]]="","",MATCH(T_EMPLOYEES[[#This Row],[HIRE SOURCE]],L_HIRESOURCE,0))</f>
        <v/>
      </c>
      <c r="AG411">
        <f>IF(T_EMPLOYEES[[#This Row],[EMPLOYEE NUMBER]]="","",MATCH(T_EMPLOYEES[[#This Row],[ETHNICITY]],L_ETHNICITY,0))</f>
        <v/>
      </c>
      <c r="AH411">
        <f>IF(T_EMPLOYEES[[#This Row],[EMPLOYEE NUMBER]]="","",MATCH(T_EMPLOYEES[[#This Row],[LOCATION]],L_LOCATION,0))</f>
        <v/>
      </c>
      <c r="AI411">
        <f>IF(T_EMPLOYEES[[#This Row],[EMPLOYEE NUMBER]]="","",MATCH(T_EMPLOYEES[[#This Row],[DEPARTMENT]],L_DEPARTMENT,0))</f>
        <v/>
      </c>
      <c r="AJ411">
        <f>IF(T_EMPLOYEES[[#This Row],[EMPLOYEE NUMBER]]="","",MATCH(T_EMPLOYEES[[#This Row],[JOB TYPE]],L_JOBTYPE,0))</f>
        <v/>
      </c>
      <c r="AK411">
        <f>IF(T_EMPLOYEES[[#This Row],[EMPLOYEE NUMBER]]="","",MATCH(T_EMPLOYEES[[#This Row],[JOB CATEGORY]],L_JOBCATEGORY,0))</f>
        <v/>
      </c>
      <c r="AL411">
        <f>IF(T_EMPLOYEES[[#This Row],[EMPLOYEE NUMBER]]="","",MATCH(T_EMPLOYEES[[#This Row],[JOB LEVEL]],L_JOBLEVEL,0))</f>
        <v/>
      </c>
      <c r="AM411">
        <f>IF(T_EMPLOYEES[[#This Row],[EMPLOYEE NUMBER]]="","",MATCH(T_EMPLOYEES[[#This Row],[JOB TITLE]],L_JOBTITLE,0))</f>
        <v/>
      </c>
      <c r="AN411">
        <f>IF(T_EMPLOYEES[[#This Row],[EMPLOYEE NUMBER]]="","",MATCH(T_EMPLOYEES[[#This Row],[MANAGER]],L_EMPLABELS,0))</f>
        <v/>
      </c>
      <c r="AO411">
        <f>IF(T_EMPLOYEES[[#This Row],[EMPLOYEE NUMBER]]="","",IF(T_EMPLOYEES[[#This Row],[ERROR]]="",0,1))</f>
        <v/>
      </c>
      <c r="AP41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2">
      <c r="A412" t="inlineStr">
        <is>
          <t>Sujay</t>
        </is>
      </c>
      <c r="B412" t="inlineStr">
        <is>
          <t>Anant Zope</t>
        </is>
      </c>
      <c r="C412" t="n">
        <v>1031052</v>
      </c>
      <c r="D412" t="inlineStr">
        <is>
          <t>Sujay.Zope@infinite.com</t>
        </is>
      </c>
      <c r="E412" s="26" t="n">
        <v>36128</v>
      </c>
      <c r="F412" s="26" t="n">
        <v>44889</v>
      </c>
      <c r="H412" t="inlineStr">
        <is>
          <t>Male</t>
        </is>
      </c>
      <c r="I412" t="inlineStr">
        <is>
          <t>Asian</t>
        </is>
      </c>
      <c r="J412" t="inlineStr">
        <is>
          <t>WEBSITE</t>
        </is>
      </c>
      <c r="K412" t="inlineStr">
        <is>
          <t>Bangalore</t>
        </is>
      </c>
      <c r="L412" s="27" t="inlineStr">
        <is>
          <t>IT</t>
        </is>
      </c>
      <c r="M412" t="inlineStr">
        <is>
          <t>Full-Time</t>
        </is>
      </c>
      <c r="N412" t="inlineStr">
        <is>
          <t>Associate Software Engineer</t>
        </is>
      </c>
      <c r="O412" t="inlineStr">
        <is>
          <t>E1</t>
        </is>
      </c>
      <c r="P412" t="inlineStr">
        <is>
          <t>Associate Software Engineer</t>
        </is>
      </c>
      <c r="Q412" t="inlineStr">
        <is>
          <t>Siddharth Kumar (1027551)</t>
        </is>
      </c>
      <c r="R412" s="27" t="n">
        <v>0</v>
      </c>
      <c r="S412" s="1" t="n">
        <v>250000</v>
      </c>
      <c r="T412" s="1">
        <f>ROUND(T_EMPLOYEES[[#This Row],[EMP_CTC1]]/12, 0)</f>
        <v/>
      </c>
      <c r="U412" s="1" t="n">
        <v>150000</v>
      </c>
      <c r="V412" s="1" t="inlineStr">
        <is>
          <t>AK</t>
        </is>
      </c>
      <c r="W412" s="1" t="inlineStr">
        <is>
          <t>AK</t>
        </is>
      </c>
      <c r="X41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2" t="n">
        <v>120000</v>
      </c>
      <c r="Z412" s="29">
        <f>(S412 - U412)/S412 * 100</f>
        <v/>
      </c>
      <c r="AA412">
        <f>IF(T_EMPLOYEES[[#This Row],[EMPLOYEE NUMBER]]="","",ROW(T_EMPLOYEES[[#This Row],[EMPLOYEE LABEL]])-ROW(T_EMPLOYEES[[#Headers],[EMPLOYEE LABEL]]))</f>
        <v/>
      </c>
      <c r="AB412">
        <f>IF(T_EMPLOYEES[[#This Row],[EMPLOYEE NUMBER]]="","",IF(COUNTIF(T_EMPLOYEES[EMPLOYEE NUMBER],T_EMPLOYEES[[#This Row],[EMPLOYEE NUMBER]])&gt;1,1,0))</f>
        <v/>
      </c>
      <c r="AC412">
        <f>IF(T_EMPLOYEES[[#This Row],[EMPLOYEE NUMBER]]="","",IF(AND(T_EMPLOYEES[[#This Row],[DATE OF BIRTH]]&gt;0,T_EMPLOYEES[[#This Row],[DATE OF BIRTH]]&lt;TODAY()),0,1))</f>
        <v/>
      </c>
      <c r="AD412">
        <f>IF(T_EMPLOYEES[[#This Row],[EMPLOYEE NUMBER]]="","",IF(AND(T_EMPLOYEES[[#This Row],[START DATE]]&gt;0,T_EMPLOYEES[[#This Row],[START DATE]]&lt;TODAY()+60),0,1))</f>
        <v/>
      </c>
      <c r="AE412">
        <f>IF(T_EMPLOYEES[[#This Row],[EMPLOYEE NUMBER]]="","",MATCH(T_EMPLOYEES[[#This Row],[GENDER]],L_GENDER,0))</f>
        <v/>
      </c>
      <c r="AF412">
        <f>IF(T_EMPLOYEES[[#This Row],[EMPLOYEE NUMBER]]="","",MATCH(T_EMPLOYEES[[#This Row],[HIRE SOURCE]],L_HIRESOURCE,0))</f>
        <v/>
      </c>
      <c r="AG412">
        <f>IF(T_EMPLOYEES[[#This Row],[EMPLOYEE NUMBER]]="","",MATCH(T_EMPLOYEES[[#This Row],[ETHNICITY]],L_ETHNICITY,0))</f>
        <v/>
      </c>
      <c r="AH412">
        <f>IF(T_EMPLOYEES[[#This Row],[EMPLOYEE NUMBER]]="","",MATCH(T_EMPLOYEES[[#This Row],[LOCATION]],L_LOCATION,0))</f>
        <v/>
      </c>
      <c r="AI412">
        <f>IF(T_EMPLOYEES[[#This Row],[EMPLOYEE NUMBER]]="","",MATCH(T_EMPLOYEES[[#This Row],[DEPARTMENT]],L_DEPARTMENT,0))</f>
        <v/>
      </c>
      <c r="AJ412">
        <f>IF(T_EMPLOYEES[[#This Row],[EMPLOYEE NUMBER]]="","",MATCH(T_EMPLOYEES[[#This Row],[JOB TYPE]],L_JOBTYPE,0))</f>
        <v/>
      </c>
      <c r="AK412">
        <f>IF(T_EMPLOYEES[[#This Row],[EMPLOYEE NUMBER]]="","",MATCH(T_EMPLOYEES[[#This Row],[JOB CATEGORY]],L_JOBCATEGORY,0))</f>
        <v/>
      </c>
      <c r="AL412">
        <f>IF(T_EMPLOYEES[[#This Row],[EMPLOYEE NUMBER]]="","",MATCH(T_EMPLOYEES[[#This Row],[JOB LEVEL]],L_JOBLEVEL,0))</f>
        <v/>
      </c>
      <c r="AM412">
        <f>IF(T_EMPLOYEES[[#This Row],[EMPLOYEE NUMBER]]="","",MATCH(T_EMPLOYEES[[#This Row],[JOB TITLE]],L_JOBTITLE,0))</f>
        <v/>
      </c>
      <c r="AN412">
        <f>IF(T_EMPLOYEES[[#This Row],[EMPLOYEE NUMBER]]="","",MATCH(T_EMPLOYEES[[#This Row],[MANAGER]],L_EMPLABELS,0))</f>
        <v/>
      </c>
      <c r="AO412">
        <f>IF(T_EMPLOYEES[[#This Row],[EMPLOYEE NUMBER]]="","",IF(T_EMPLOYEES[[#This Row],[ERROR]]="",0,1))</f>
        <v/>
      </c>
      <c r="AP41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12" t="inlineStr">
        <is>
          <t>Member</t>
        </is>
      </c>
    </row>
    <row r="413">
      <c r="A413" t="inlineStr">
        <is>
          <t>Varshitha</t>
        </is>
      </c>
      <c r="B413" t="inlineStr">
        <is>
          <t>B V</t>
        </is>
      </c>
      <c r="C413" t="n">
        <v>1030691</v>
      </c>
      <c r="D413" t="inlineStr">
        <is>
          <t>Varshitha.Vinayakamurthy@infinite.com</t>
        </is>
      </c>
      <c r="E413" s="26" t="n">
        <v>36131</v>
      </c>
      <c r="F413" s="26" t="n">
        <v>44855</v>
      </c>
      <c r="H413" t="inlineStr">
        <is>
          <t>Female</t>
        </is>
      </c>
      <c r="I413" t="inlineStr">
        <is>
          <t>Asian</t>
        </is>
      </c>
      <c r="J413" t="inlineStr">
        <is>
          <t>WEBSITE</t>
        </is>
      </c>
      <c r="K413" t="inlineStr">
        <is>
          <t>Bangalore</t>
        </is>
      </c>
      <c r="L413" s="27" t="inlineStr">
        <is>
          <t>Core</t>
        </is>
      </c>
      <c r="M413" t="inlineStr">
        <is>
          <t>Full-Time</t>
        </is>
      </c>
      <c r="N413" t="inlineStr">
        <is>
          <t>Associate Support Engineer</t>
        </is>
      </c>
      <c r="O413" t="inlineStr">
        <is>
          <t>E1</t>
        </is>
      </c>
      <c r="P413" t="inlineStr">
        <is>
          <t>Associate Support Engineer</t>
        </is>
      </c>
      <c r="Q413" t="inlineStr">
        <is>
          <t>Kishore Kumar N (1019765)</t>
        </is>
      </c>
      <c r="R413" t="n">
        <v>0</v>
      </c>
      <c r="S413" s="1" t="n">
        <v>250000</v>
      </c>
      <c r="T413" s="1">
        <f>ROUND(T_EMPLOYEES[[#This Row],[EMP_CTC1]]/12, 0)</f>
        <v/>
      </c>
      <c r="U413" s="1" t="n">
        <v>150000</v>
      </c>
      <c r="V413" s="1" t="inlineStr">
        <is>
          <t>AK</t>
        </is>
      </c>
      <c r="W413" s="1" t="inlineStr">
        <is>
          <t>AK</t>
        </is>
      </c>
      <c r="X41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3" t="n">
        <v>120000</v>
      </c>
      <c r="Z413" s="29">
        <f>(S413 - U413)/S413 * 100</f>
        <v/>
      </c>
      <c r="AA413">
        <f>IF(T_EMPLOYEES[[#This Row],[EMPLOYEE NUMBER]]="","",ROW(T_EMPLOYEES[[#This Row],[EMPLOYEE LABEL]])-ROW(T_EMPLOYEES[[#Headers],[EMPLOYEE LABEL]]))</f>
        <v/>
      </c>
      <c r="AB413">
        <f>IF(T_EMPLOYEES[[#This Row],[EMPLOYEE NUMBER]]="","",IF(COUNTIF(T_EMPLOYEES[EMPLOYEE NUMBER],T_EMPLOYEES[[#This Row],[EMPLOYEE NUMBER]])&gt;1,1,0))</f>
        <v/>
      </c>
      <c r="AC413">
        <f>IF(T_EMPLOYEES[[#This Row],[EMPLOYEE NUMBER]]="","",IF(AND(T_EMPLOYEES[[#This Row],[DATE OF BIRTH]]&gt;0,T_EMPLOYEES[[#This Row],[DATE OF BIRTH]]&lt;TODAY()),0,1))</f>
        <v/>
      </c>
      <c r="AD413">
        <f>IF(T_EMPLOYEES[[#This Row],[EMPLOYEE NUMBER]]="","",IF(AND(T_EMPLOYEES[[#This Row],[START DATE]]&gt;0,T_EMPLOYEES[[#This Row],[START DATE]]&lt;TODAY()+60),0,1))</f>
        <v/>
      </c>
      <c r="AE413">
        <f>IF(T_EMPLOYEES[[#This Row],[EMPLOYEE NUMBER]]="","",MATCH(T_EMPLOYEES[[#This Row],[GENDER]],L_GENDER,0))</f>
        <v/>
      </c>
      <c r="AF413">
        <f>IF(T_EMPLOYEES[[#This Row],[EMPLOYEE NUMBER]]="","",MATCH(T_EMPLOYEES[[#This Row],[HIRE SOURCE]],L_HIRESOURCE,0))</f>
        <v/>
      </c>
      <c r="AG413">
        <f>IF(T_EMPLOYEES[[#This Row],[EMPLOYEE NUMBER]]="","",MATCH(T_EMPLOYEES[[#This Row],[ETHNICITY]],L_ETHNICITY,0))</f>
        <v/>
      </c>
      <c r="AH413">
        <f>IF(T_EMPLOYEES[[#This Row],[EMPLOYEE NUMBER]]="","",MATCH(T_EMPLOYEES[[#This Row],[LOCATION]],L_LOCATION,0))</f>
        <v/>
      </c>
      <c r="AI413">
        <f>IF(T_EMPLOYEES[[#This Row],[EMPLOYEE NUMBER]]="","",MATCH(T_EMPLOYEES[[#This Row],[DEPARTMENT]],L_DEPARTMENT,0))</f>
        <v/>
      </c>
      <c r="AJ413">
        <f>IF(T_EMPLOYEES[[#This Row],[EMPLOYEE NUMBER]]="","",MATCH(T_EMPLOYEES[[#This Row],[JOB TYPE]],L_JOBTYPE,0))</f>
        <v/>
      </c>
      <c r="AK413">
        <f>IF(T_EMPLOYEES[[#This Row],[EMPLOYEE NUMBER]]="","",MATCH(T_EMPLOYEES[[#This Row],[JOB CATEGORY]],L_JOBCATEGORY,0))</f>
        <v/>
      </c>
      <c r="AL413">
        <f>IF(T_EMPLOYEES[[#This Row],[EMPLOYEE NUMBER]]="","",MATCH(T_EMPLOYEES[[#This Row],[JOB LEVEL]],L_JOBLEVEL,0))</f>
        <v/>
      </c>
      <c r="AM413">
        <f>IF(T_EMPLOYEES[[#This Row],[EMPLOYEE NUMBER]]="","",MATCH(T_EMPLOYEES[[#This Row],[JOB TITLE]],L_JOBTITLE,0))</f>
        <v/>
      </c>
      <c r="AN413">
        <f>IF(T_EMPLOYEES[[#This Row],[EMPLOYEE NUMBER]]="","",MATCH(T_EMPLOYEES[[#This Row],[MANAGER]],L_EMPLABELS,0))</f>
        <v/>
      </c>
      <c r="AO413">
        <f>IF(T_EMPLOYEES[[#This Row],[EMPLOYEE NUMBER]]="","",IF(T_EMPLOYEES[[#This Row],[ERROR]]="",0,1))</f>
        <v/>
      </c>
      <c r="AP41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4">
      <c r="A414" t="inlineStr">
        <is>
          <t>Sabbani</t>
        </is>
      </c>
      <c r="B414" t="inlineStr">
        <is>
          <t xml:space="preserve"> Ashwin</t>
        </is>
      </c>
      <c r="C414" t="n">
        <v>1032905</v>
      </c>
      <c r="D414" t="inlineStr">
        <is>
          <t>Ashwin.Sabbani@infinite.com</t>
        </is>
      </c>
      <c r="E414" s="26" t="n">
        <v>36134</v>
      </c>
      <c r="F414" s="26" t="n">
        <v>45084</v>
      </c>
      <c r="H414" t="inlineStr">
        <is>
          <t>Male</t>
        </is>
      </c>
      <c r="I414" t="inlineStr">
        <is>
          <t>Asian</t>
        </is>
      </c>
      <c r="J414" t="inlineStr">
        <is>
          <t>WEBSITE</t>
        </is>
      </c>
      <c r="K414" t="inlineStr">
        <is>
          <t>Bangalore</t>
        </is>
      </c>
      <c r="L414" s="27" t="inlineStr">
        <is>
          <t>IT</t>
        </is>
      </c>
      <c r="M414" t="inlineStr">
        <is>
          <t>Full-Time</t>
        </is>
      </c>
      <c r="N414" t="inlineStr">
        <is>
          <t>Support Engineer</t>
        </is>
      </c>
      <c r="O414" t="inlineStr">
        <is>
          <t>E2</t>
        </is>
      </c>
      <c r="P414" t="inlineStr">
        <is>
          <t>Support Engineer</t>
        </is>
      </c>
      <c r="Q414" t="inlineStr">
        <is>
          <t>Santosh Kumar B (1033071)</t>
        </is>
      </c>
      <c r="R414" s="27" t="n">
        <v>4</v>
      </c>
      <c r="S414" s="1" t="n">
        <v>250000</v>
      </c>
      <c r="T414" s="1">
        <f>ROUND(T_EMPLOYEES[[#This Row],[EMP_CTC1]]/12, 0)</f>
        <v/>
      </c>
      <c r="U414" s="1" t="n">
        <v>150000</v>
      </c>
      <c r="V414" s="1" t="inlineStr">
        <is>
          <t>AK</t>
        </is>
      </c>
      <c r="W414" s="1" t="inlineStr">
        <is>
          <t>AK</t>
        </is>
      </c>
      <c r="X41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4" t="n">
        <v>120000</v>
      </c>
      <c r="Z414" s="29">
        <f>(S414 - U414)/S414 * 100</f>
        <v/>
      </c>
      <c r="AA414">
        <f>IF(T_EMPLOYEES[[#This Row],[EMPLOYEE NUMBER]]="","",ROW(T_EMPLOYEES[[#This Row],[EMPLOYEE LABEL]])-ROW(T_EMPLOYEES[[#Headers],[EMPLOYEE LABEL]]))</f>
        <v/>
      </c>
      <c r="AB414">
        <f>IF(T_EMPLOYEES[[#This Row],[EMPLOYEE NUMBER]]="","",IF(COUNTIF(T_EMPLOYEES[EMPLOYEE NUMBER],T_EMPLOYEES[[#This Row],[EMPLOYEE NUMBER]])&gt;1,1,0))</f>
        <v/>
      </c>
      <c r="AC414">
        <f>IF(T_EMPLOYEES[[#This Row],[EMPLOYEE NUMBER]]="","",IF(AND(T_EMPLOYEES[[#This Row],[DATE OF BIRTH]]&gt;0,T_EMPLOYEES[[#This Row],[DATE OF BIRTH]]&lt;TODAY()),0,1))</f>
        <v/>
      </c>
      <c r="AD414">
        <f>IF(T_EMPLOYEES[[#This Row],[EMPLOYEE NUMBER]]="","",IF(AND(T_EMPLOYEES[[#This Row],[START DATE]]&gt;0,T_EMPLOYEES[[#This Row],[START DATE]]&lt;TODAY()+60),0,1))</f>
        <v/>
      </c>
      <c r="AE414">
        <f>IF(T_EMPLOYEES[[#This Row],[EMPLOYEE NUMBER]]="","",MATCH(T_EMPLOYEES[[#This Row],[GENDER]],L_GENDER,0))</f>
        <v/>
      </c>
      <c r="AF414">
        <f>IF(T_EMPLOYEES[[#This Row],[EMPLOYEE NUMBER]]="","",MATCH(T_EMPLOYEES[[#This Row],[HIRE SOURCE]],L_HIRESOURCE,0))</f>
        <v/>
      </c>
      <c r="AG414">
        <f>IF(T_EMPLOYEES[[#This Row],[EMPLOYEE NUMBER]]="","",MATCH(T_EMPLOYEES[[#This Row],[ETHNICITY]],L_ETHNICITY,0))</f>
        <v/>
      </c>
      <c r="AH414">
        <f>IF(T_EMPLOYEES[[#This Row],[EMPLOYEE NUMBER]]="","",MATCH(T_EMPLOYEES[[#This Row],[LOCATION]],L_LOCATION,0))</f>
        <v/>
      </c>
      <c r="AI414">
        <f>IF(T_EMPLOYEES[[#This Row],[EMPLOYEE NUMBER]]="","",MATCH(T_EMPLOYEES[[#This Row],[DEPARTMENT]],L_DEPARTMENT,0))</f>
        <v/>
      </c>
      <c r="AJ414">
        <f>IF(T_EMPLOYEES[[#This Row],[EMPLOYEE NUMBER]]="","",MATCH(T_EMPLOYEES[[#This Row],[JOB TYPE]],L_JOBTYPE,0))</f>
        <v/>
      </c>
      <c r="AK414">
        <f>IF(T_EMPLOYEES[[#This Row],[EMPLOYEE NUMBER]]="","",MATCH(T_EMPLOYEES[[#This Row],[JOB CATEGORY]],L_JOBCATEGORY,0))</f>
        <v/>
      </c>
      <c r="AL414">
        <f>IF(T_EMPLOYEES[[#This Row],[EMPLOYEE NUMBER]]="","",MATCH(T_EMPLOYEES[[#This Row],[JOB LEVEL]],L_JOBLEVEL,0))</f>
        <v/>
      </c>
      <c r="AM414">
        <f>IF(T_EMPLOYEES[[#This Row],[EMPLOYEE NUMBER]]="","",MATCH(T_EMPLOYEES[[#This Row],[JOB TITLE]],L_JOBTITLE,0))</f>
        <v/>
      </c>
      <c r="AN414">
        <f>IF(T_EMPLOYEES[[#This Row],[EMPLOYEE NUMBER]]="","",MATCH(T_EMPLOYEES[[#This Row],[MANAGER]],L_EMPLABELS,0))</f>
        <v/>
      </c>
      <c r="AO414">
        <f>IF(T_EMPLOYEES[[#This Row],[EMPLOYEE NUMBER]]="","",IF(T_EMPLOYEES[[#This Row],[ERROR]]="",0,1))</f>
        <v/>
      </c>
      <c r="AP41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5">
      <c r="A415" t="inlineStr">
        <is>
          <t>Sanket</t>
        </is>
      </c>
      <c r="B415" t="inlineStr">
        <is>
          <t>Gajanan Velhal</t>
        </is>
      </c>
      <c r="C415" t="n">
        <v>1031060</v>
      </c>
      <c r="D415" t="inlineStr">
        <is>
          <t>Sanket.Velhal@infinite.com</t>
        </is>
      </c>
      <c r="E415" s="26" t="n">
        <v>36136</v>
      </c>
      <c r="F415" s="26" t="n">
        <v>44889</v>
      </c>
      <c r="H415" t="inlineStr">
        <is>
          <t>Male</t>
        </is>
      </c>
      <c r="I415" t="inlineStr">
        <is>
          <t>Asian</t>
        </is>
      </c>
      <c r="J415" t="inlineStr">
        <is>
          <t>WEBSITE</t>
        </is>
      </c>
      <c r="K415" t="inlineStr">
        <is>
          <t>Bangalore</t>
        </is>
      </c>
      <c r="L415" s="27" t="inlineStr">
        <is>
          <t>IT</t>
        </is>
      </c>
      <c r="M415" t="inlineStr">
        <is>
          <t>Full-Time</t>
        </is>
      </c>
      <c r="N415" t="inlineStr">
        <is>
          <t>Associate Software Engineer</t>
        </is>
      </c>
      <c r="O415" t="inlineStr">
        <is>
          <t>E1</t>
        </is>
      </c>
      <c r="P415" t="inlineStr">
        <is>
          <t>Associate Software Engineer</t>
        </is>
      </c>
      <c r="Q415" t="inlineStr">
        <is>
          <t>Shaik Jabeer Basha (1027017)</t>
        </is>
      </c>
      <c r="R415" t="n">
        <v>0</v>
      </c>
      <c r="S415" s="1" t="n">
        <v>250000</v>
      </c>
      <c r="T415" s="1">
        <f>ROUND(T_EMPLOYEES[[#This Row],[EMP_CTC1]]/12, 0)</f>
        <v/>
      </c>
      <c r="U415" s="1" t="n">
        <v>150000</v>
      </c>
      <c r="V415" s="1" t="inlineStr">
        <is>
          <t>AK</t>
        </is>
      </c>
      <c r="W415" s="1" t="inlineStr">
        <is>
          <t>AK</t>
        </is>
      </c>
      <c r="X41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5" t="n">
        <v>120000</v>
      </c>
      <c r="Z415" s="29">
        <f>(S415 - U415)/S415 * 100</f>
        <v/>
      </c>
      <c r="AA415">
        <f>IF(T_EMPLOYEES[[#This Row],[EMPLOYEE NUMBER]]="","",ROW(T_EMPLOYEES[[#This Row],[EMPLOYEE LABEL]])-ROW(T_EMPLOYEES[[#Headers],[EMPLOYEE LABEL]]))</f>
        <v/>
      </c>
      <c r="AB415">
        <f>IF(T_EMPLOYEES[[#This Row],[EMPLOYEE NUMBER]]="","",IF(COUNTIF(T_EMPLOYEES[EMPLOYEE NUMBER],T_EMPLOYEES[[#This Row],[EMPLOYEE NUMBER]])&gt;1,1,0))</f>
        <v/>
      </c>
      <c r="AC415">
        <f>IF(T_EMPLOYEES[[#This Row],[EMPLOYEE NUMBER]]="","",IF(AND(T_EMPLOYEES[[#This Row],[DATE OF BIRTH]]&gt;0,T_EMPLOYEES[[#This Row],[DATE OF BIRTH]]&lt;TODAY()),0,1))</f>
        <v/>
      </c>
      <c r="AD415">
        <f>IF(T_EMPLOYEES[[#This Row],[EMPLOYEE NUMBER]]="","",IF(AND(T_EMPLOYEES[[#This Row],[START DATE]]&gt;0,T_EMPLOYEES[[#This Row],[START DATE]]&lt;TODAY()+60),0,1))</f>
        <v/>
      </c>
      <c r="AE415">
        <f>IF(T_EMPLOYEES[[#This Row],[EMPLOYEE NUMBER]]="","",MATCH(T_EMPLOYEES[[#This Row],[GENDER]],L_GENDER,0))</f>
        <v/>
      </c>
      <c r="AF415">
        <f>IF(T_EMPLOYEES[[#This Row],[EMPLOYEE NUMBER]]="","",MATCH(T_EMPLOYEES[[#This Row],[HIRE SOURCE]],L_HIRESOURCE,0))</f>
        <v/>
      </c>
      <c r="AG415">
        <f>IF(T_EMPLOYEES[[#This Row],[EMPLOYEE NUMBER]]="","",MATCH(T_EMPLOYEES[[#This Row],[ETHNICITY]],L_ETHNICITY,0))</f>
        <v/>
      </c>
      <c r="AH415">
        <f>IF(T_EMPLOYEES[[#This Row],[EMPLOYEE NUMBER]]="","",MATCH(T_EMPLOYEES[[#This Row],[LOCATION]],L_LOCATION,0))</f>
        <v/>
      </c>
      <c r="AI415">
        <f>IF(T_EMPLOYEES[[#This Row],[EMPLOYEE NUMBER]]="","",MATCH(T_EMPLOYEES[[#This Row],[DEPARTMENT]],L_DEPARTMENT,0))</f>
        <v/>
      </c>
      <c r="AJ415">
        <f>IF(T_EMPLOYEES[[#This Row],[EMPLOYEE NUMBER]]="","",MATCH(T_EMPLOYEES[[#This Row],[JOB TYPE]],L_JOBTYPE,0))</f>
        <v/>
      </c>
      <c r="AK415">
        <f>IF(T_EMPLOYEES[[#This Row],[EMPLOYEE NUMBER]]="","",MATCH(T_EMPLOYEES[[#This Row],[JOB CATEGORY]],L_JOBCATEGORY,0))</f>
        <v/>
      </c>
      <c r="AL415">
        <f>IF(T_EMPLOYEES[[#This Row],[EMPLOYEE NUMBER]]="","",MATCH(T_EMPLOYEES[[#This Row],[JOB LEVEL]],L_JOBLEVEL,0))</f>
        <v/>
      </c>
      <c r="AM415">
        <f>IF(T_EMPLOYEES[[#This Row],[EMPLOYEE NUMBER]]="","",MATCH(T_EMPLOYEES[[#This Row],[JOB TITLE]],L_JOBTITLE,0))</f>
        <v/>
      </c>
      <c r="AN415">
        <f>IF(T_EMPLOYEES[[#This Row],[EMPLOYEE NUMBER]]="","",MATCH(T_EMPLOYEES[[#This Row],[MANAGER]],L_EMPLABELS,0))</f>
        <v/>
      </c>
      <c r="AO415">
        <f>IF(T_EMPLOYEES[[#This Row],[EMPLOYEE NUMBER]]="","",IF(T_EMPLOYEES[[#This Row],[ERROR]]="",0,1))</f>
        <v/>
      </c>
      <c r="AP41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6">
      <c r="A416" t="inlineStr">
        <is>
          <t>Yokesh</t>
        </is>
      </c>
      <c r="B416" t="inlineStr">
        <is>
          <t>Nagaraj</t>
        </is>
      </c>
      <c r="C416" t="n">
        <v>1026937</v>
      </c>
      <c r="D416" t="inlineStr">
        <is>
          <t>Yokesh.Nagaraj@infinite.com</t>
        </is>
      </c>
      <c r="E416" s="26" t="n">
        <v>36148</v>
      </c>
      <c r="F416" s="26" t="n">
        <v>44491</v>
      </c>
      <c r="H416" t="inlineStr">
        <is>
          <t>Male</t>
        </is>
      </c>
      <c r="I416" t="inlineStr">
        <is>
          <t>Asian</t>
        </is>
      </c>
      <c r="J416" t="inlineStr">
        <is>
          <t>WEBSITE</t>
        </is>
      </c>
      <c r="K416" t="inlineStr">
        <is>
          <t>Bangalore</t>
        </is>
      </c>
      <c r="L416" s="27" t="inlineStr">
        <is>
          <t>QA</t>
        </is>
      </c>
      <c r="M416" t="inlineStr">
        <is>
          <t>Full-Time</t>
        </is>
      </c>
      <c r="N416" t="inlineStr">
        <is>
          <t>Software Test Engineer</t>
        </is>
      </c>
      <c r="O416" t="inlineStr">
        <is>
          <t>E2</t>
        </is>
      </c>
      <c r="P416" t="inlineStr">
        <is>
          <t>Software Test Engineer</t>
        </is>
      </c>
      <c r="Q416" t="inlineStr">
        <is>
          <t>Siva Kumar  Shada (1000177)</t>
        </is>
      </c>
      <c r="R416" s="27" t="n">
        <v>4</v>
      </c>
      <c r="S416" s="1" t="n">
        <v>250000</v>
      </c>
      <c r="T416" s="1">
        <f>ROUND(T_EMPLOYEES[[#This Row],[EMP_CTC1]]/12, 0)</f>
        <v/>
      </c>
      <c r="U416" s="1" t="n">
        <v>150000</v>
      </c>
      <c r="V416" s="1" t="inlineStr">
        <is>
          <t>AK</t>
        </is>
      </c>
      <c r="W416" s="1" t="inlineStr">
        <is>
          <t>AK</t>
        </is>
      </c>
      <c r="X41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6" t="n">
        <v>120000</v>
      </c>
      <c r="Z416" s="29">
        <f>(S416 - U416)/S416 * 100</f>
        <v/>
      </c>
      <c r="AA416">
        <f>IF(T_EMPLOYEES[[#This Row],[EMPLOYEE NUMBER]]="","",ROW(T_EMPLOYEES[[#This Row],[EMPLOYEE LABEL]])-ROW(T_EMPLOYEES[[#Headers],[EMPLOYEE LABEL]]))</f>
        <v/>
      </c>
      <c r="AB416">
        <f>IF(T_EMPLOYEES[[#This Row],[EMPLOYEE NUMBER]]="","",IF(COUNTIF(T_EMPLOYEES[EMPLOYEE NUMBER],T_EMPLOYEES[[#This Row],[EMPLOYEE NUMBER]])&gt;1,1,0))</f>
        <v/>
      </c>
      <c r="AC416">
        <f>IF(T_EMPLOYEES[[#This Row],[EMPLOYEE NUMBER]]="","",IF(AND(T_EMPLOYEES[[#This Row],[DATE OF BIRTH]]&gt;0,T_EMPLOYEES[[#This Row],[DATE OF BIRTH]]&lt;TODAY()),0,1))</f>
        <v/>
      </c>
      <c r="AD416">
        <f>IF(T_EMPLOYEES[[#This Row],[EMPLOYEE NUMBER]]="","",IF(AND(T_EMPLOYEES[[#This Row],[START DATE]]&gt;0,T_EMPLOYEES[[#This Row],[START DATE]]&lt;TODAY()+60),0,1))</f>
        <v/>
      </c>
      <c r="AE416">
        <f>IF(T_EMPLOYEES[[#This Row],[EMPLOYEE NUMBER]]="","",MATCH(T_EMPLOYEES[[#This Row],[GENDER]],L_GENDER,0))</f>
        <v/>
      </c>
      <c r="AF416">
        <f>IF(T_EMPLOYEES[[#This Row],[EMPLOYEE NUMBER]]="","",MATCH(T_EMPLOYEES[[#This Row],[HIRE SOURCE]],L_HIRESOURCE,0))</f>
        <v/>
      </c>
      <c r="AG416">
        <f>IF(T_EMPLOYEES[[#This Row],[EMPLOYEE NUMBER]]="","",MATCH(T_EMPLOYEES[[#This Row],[ETHNICITY]],L_ETHNICITY,0))</f>
        <v/>
      </c>
      <c r="AH416">
        <f>IF(T_EMPLOYEES[[#This Row],[EMPLOYEE NUMBER]]="","",MATCH(T_EMPLOYEES[[#This Row],[LOCATION]],L_LOCATION,0))</f>
        <v/>
      </c>
      <c r="AI416">
        <f>IF(T_EMPLOYEES[[#This Row],[EMPLOYEE NUMBER]]="","",MATCH(T_EMPLOYEES[[#This Row],[DEPARTMENT]],L_DEPARTMENT,0))</f>
        <v/>
      </c>
      <c r="AJ416">
        <f>IF(T_EMPLOYEES[[#This Row],[EMPLOYEE NUMBER]]="","",MATCH(T_EMPLOYEES[[#This Row],[JOB TYPE]],L_JOBTYPE,0))</f>
        <v/>
      </c>
      <c r="AK416">
        <f>IF(T_EMPLOYEES[[#This Row],[EMPLOYEE NUMBER]]="","",MATCH(T_EMPLOYEES[[#This Row],[JOB CATEGORY]],L_JOBCATEGORY,0))</f>
        <v/>
      </c>
      <c r="AL416">
        <f>IF(T_EMPLOYEES[[#This Row],[EMPLOYEE NUMBER]]="","",MATCH(T_EMPLOYEES[[#This Row],[JOB LEVEL]],L_JOBLEVEL,0))</f>
        <v/>
      </c>
      <c r="AM416">
        <f>IF(T_EMPLOYEES[[#This Row],[EMPLOYEE NUMBER]]="","",MATCH(T_EMPLOYEES[[#This Row],[JOB TITLE]],L_JOBTITLE,0))</f>
        <v/>
      </c>
      <c r="AN416">
        <f>IF(T_EMPLOYEES[[#This Row],[EMPLOYEE NUMBER]]="","",MATCH(T_EMPLOYEES[[#This Row],[MANAGER]],L_EMPLABELS,0))</f>
        <v/>
      </c>
      <c r="AO416">
        <f>IF(T_EMPLOYEES[[#This Row],[EMPLOYEE NUMBER]]="","",IF(T_EMPLOYEES[[#This Row],[ERROR]]="",0,1))</f>
        <v/>
      </c>
      <c r="AP41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7">
      <c r="A417" t="inlineStr">
        <is>
          <t>Prachi</t>
        </is>
      </c>
      <c r="B417" t="inlineStr">
        <is>
          <t>Sinha</t>
        </is>
      </c>
      <c r="C417" t="n">
        <v>1026164</v>
      </c>
      <c r="D417" t="inlineStr">
        <is>
          <t>Prachi.Sinha@infinite.com</t>
        </is>
      </c>
      <c r="E417" s="26" t="n">
        <v>36157</v>
      </c>
      <c r="F417" s="26" t="n">
        <v>44425</v>
      </c>
      <c r="H417" t="inlineStr">
        <is>
          <t>Female</t>
        </is>
      </c>
      <c r="I417" t="inlineStr">
        <is>
          <t>Asian</t>
        </is>
      </c>
      <c r="J417" t="inlineStr">
        <is>
          <t>WEBSITE</t>
        </is>
      </c>
      <c r="K417" t="inlineStr">
        <is>
          <t>Bangalore</t>
        </is>
      </c>
      <c r="L417" s="27" t="inlineStr">
        <is>
          <t>IT</t>
        </is>
      </c>
      <c r="M417" t="inlineStr">
        <is>
          <t>Full-Time</t>
        </is>
      </c>
      <c r="N417" t="inlineStr">
        <is>
          <t>Software Engineer</t>
        </is>
      </c>
      <c r="O417" t="inlineStr">
        <is>
          <t>E2</t>
        </is>
      </c>
      <c r="P417" t="inlineStr">
        <is>
          <t>Software Engineer</t>
        </is>
      </c>
      <c r="Q417" t="inlineStr">
        <is>
          <t>P Vinoth  Kumar (1023066)</t>
        </is>
      </c>
      <c r="R417" t="n">
        <v>4</v>
      </c>
      <c r="S417" s="1" t="n">
        <v>250000</v>
      </c>
      <c r="T417" s="1">
        <f>ROUND(T_EMPLOYEES[[#This Row],[EMP_CTC1]]/12, 0)</f>
        <v/>
      </c>
      <c r="U417" s="1" t="n">
        <v>150000</v>
      </c>
      <c r="V417" s="1" t="inlineStr">
        <is>
          <t>AK</t>
        </is>
      </c>
      <c r="W417" s="1" t="inlineStr">
        <is>
          <t>AK</t>
        </is>
      </c>
      <c r="X41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7" t="n">
        <v>120000</v>
      </c>
      <c r="Z417" s="29">
        <f>(S417 - U417)/S417 * 100</f>
        <v/>
      </c>
      <c r="AA417">
        <f>IF(T_EMPLOYEES[[#This Row],[EMPLOYEE NUMBER]]="","",ROW(T_EMPLOYEES[[#This Row],[EMPLOYEE LABEL]])-ROW(T_EMPLOYEES[[#Headers],[EMPLOYEE LABEL]]))</f>
        <v/>
      </c>
      <c r="AB417">
        <f>IF(T_EMPLOYEES[[#This Row],[EMPLOYEE NUMBER]]="","",IF(COUNTIF(T_EMPLOYEES[EMPLOYEE NUMBER],T_EMPLOYEES[[#This Row],[EMPLOYEE NUMBER]])&gt;1,1,0))</f>
        <v/>
      </c>
      <c r="AC417">
        <f>IF(T_EMPLOYEES[[#This Row],[EMPLOYEE NUMBER]]="","",IF(AND(T_EMPLOYEES[[#This Row],[DATE OF BIRTH]]&gt;0,T_EMPLOYEES[[#This Row],[DATE OF BIRTH]]&lt;TODAY()),0,1))</f>
        <v/>
      </c>
      <c r="AD417">
        <f>IF(T_EMPLOYEES[[#This Row],[EMPLOYEE NUMBER]]="","",IF(AND(T_EMPLOYEES[[#This Row],[START DATE]]&gt;0,T_EMPLOYEES[[#This Row],[START DATE]]&lt;TODAY()+60),0,1))</f>
        <v/>
      </c>
      <c r="AE417">
        <f>IF(T_EMPLOYEES[[#This Row],[EMPLOYEE NUMBER]]="","",MATCH(T_EMPLOYEES[[#This Row],[GENDER]],L_GENDER,0))</f>
        <v/>
      </c>
      <c r="AF417">
        <f>IF(T_EMPLOYEES[[#This Row],[EMPLOYEE NUMBER]]="","",MATCH(T_EMPLOYEES[[#This Row],[HIRE SOURCE]],L_HIRESOURCE,0))</f>
        <v/>
      </c>
      <c r="AG417">
        <f>IF(T_EMPLOYEES[[#This Row],[EMPLOYEE NUMBER]]="","",MATCH(T_EMPLOYEES[[#This Row],[ETHNICITY]],L_ETHNICITY,0))</f>
        <v/>
      </c>
      <c r="AH417">
        <f>IF(T_EMPLOYEES[[#This Row],[EMPLOYEE NUMBER]]="","",MATCH(T_EMPLOYEES[[#This Row],[LOCATION]],L_LOCATION,0))</f>
        <v/>
      </c>
      <c r="AI417">
        <f>IF(T_EMPLOYEES[[#This Row],[EMPLOYEE NUMBER]]="","",MATCH(T_EMPLOYEES[[#This Row],[DEPARTMENT]],L_DEPARTMENT,0))</f>
        <v/>
      </c>
      <c r="AJ417">
        <f>IF(T_EMPLOYEES[[#This Row],[EMPLOYEE NUMBER]]="","",MATCH(T_EMPLOYEES[[#This Row],[JOB TYPE]],L_JOBTYPE,0))</f>
        <v/>
      </c>
      <c r="AK417">
        <f>IF(T_EMPLOYEES[[#This Row],[EMPLOYEE NUMBER]]="","",MATCH(T_EMPLOYEES[[#This Row],[JOB CATEGORY]],L_JOBCATEGORY,0))</f>
        <v/>
      </c>
      <c r="AL417">
        <f>IF(T_EMPLOYEES[[#This Row],[EMPLOYEE NUMBER]]="","",MATCH(T_EMPLOYEES[[#This Row],[JOB LEVEL]],L_JOBLEVEL,0))</f>
        <v/>
      </c>
      <c r="AM417">
        <f>IF(T_EMPLOYEES[[#This Row],[EMPLOYEE NUMBER]]="","",MATCH(T_EMPLOYEES[[#This Row],[JOB TITLE]],L_JOBTITLE,0))</f>
        <v/>
      </c>
      <c r="AN417">
        <f>IF(T_EMPLOYEES[[#This Row],[EMPLOYEE NUMBER]]="","",MATCH(T_EMPLOYEES[[#This Row],[MANAGER]],L_EMPLABELS,0))</f>
        <v/>
      </c>
      <c r="AO417">
        <f>IF(T_EMPLOYEES[[#This Row],[EMPLOYEE NUMBER]]="","",IF(T_EMPLOYEES[[#This Row],[ERROR]]="",0,1))</f>
        <v/>
      </c>
      <c r="AP41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8">
      <c r="A418" t="inlineStr">
        <is>
          <t>Cheekoti</t>
        </is>
      </c>
      <c r="B418" t="inlineStr">
        <is>
          <t>Koushik Kumar</t>
        </is>
      </c>
      <c r="C418" t="n">
        <v>1024830</v>
      </c>
      <c r="D418" t="inlineStr">
        <is>
          <t>Koushik.Kumar@infinite.com</t>
        </is>
      </c>
      <c r="E418" s="26" t="n">
        <v>36161</v>
      </c>
      <c r="F418" s="26" t="n">
        <v>44274</v>
      </c>
      <c r="H418" t="inlineStr">
        <is>
          <t>Male</t>
        </is>
      </c>
      <c r="I418" t="inlineStr">
        <is>
          <t>Asian</t>
        </is>
      </c>
      <c r="J418" t="inlineStr">
        <is>
          <t>WEBSITE</t>
        </is>
      </c>
      <c r="K418" t="inlineStr">
        <is>
          <t>Bangalore</t>
        </is>
      </c>
      <c r="L418" s="27" t="inlineStr">
        <is>
          <t>IT</t>
        </is>
      </c>
      <c r="M418" t="inlineStr">
        <is>
          <t>Full-Time</t>
        </is>
      </c>
      <c r="N418" t="inlineStr">
        <is>
          <t>Software Test Engineer</t>
        </is>
      </c>
      <c r="O418" t="inlineStr">
        <is>
          <t>E2</t>
        </is>
      </c>
      <c r="P418" t="inlineStr">
        <is>
          <t>Software Test Engineer</t>
        </is>
      </c>
      <c r="Q418" t="inlineStr">
        <is>
          <t>Santhosh B K (1025129)</t>
        </is>
      </c>
      <c r="R418" s="27" t="n">
        <v>4</v>
      </c>
      <c r="S418" s="1" t="n">
        <v>250000</v>
      </c>
      <c r="T418" s="1">
        <f>ROUND(T_EMPLOYEES[[#This Row],[EMP_CTC1]]/12, 0)</f>
        <v/>
      </c>
      <c r="U418" s="1" t="n">
        <v>150000</v>
      </c>
      <c r="V418" s="1" t="inlineStr">
        <is>
          <t>AK</t>
        </is>
      </c>
      <c r="W418" s="1" t="inlineStr">
        <is>
          <t>AK</t>
        </is>
      </c>
      <c r="X41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8" t="n">
        <v>120000</v>
      </c>
      <c r="Z418" s="29">
        <f>(S418 - U418)/S418 * 100</f>
        <v/>
      </c>
      <c r="AA418">
        <f>IF(T_EMPLOYEES[[#This Row],[EMPLOYEE NUMBER]]="","",ROW(T_EMPLOYEES[[#This Row],[EMPLOYEE LABEL]])-ROW(T_EMPLOYEES[[#Headers],[EMPLOYEE LABEL]]))</f>
        <v/>
      </c>
      <c r="AB418">
        <f>IF(T_EMPLOYEES[[#This Row],[EMPLOYEE NUMBER]]="","",IF(COUNTIF(T_EMPLOYEES[EMPLOYEE NUMBER],T_EMPLOYEES[[#This Row],[EMPLOYEE NUMBER]])&gt;1,1,0))</f>
        <v/>
      </c>
      <c r="AC418">
        <f>IF(T_EMPLOYEES[[#This Row],[EMPLOYEE NUMBER]]="","",IF(AND(T_EMPLOYEES[[#This Row],[DATE OF BIRTH]]&gt;0,T_EMPLOYEES[[#This Row],[DATE OF BIRTH]]&lt;TODAY()),0,1))</f>
        <v/>
      </c>
      <c r="AD418">
        <f>IF(T_EMPLOYEES[[#This Row],[EMPLOYEE NUMBER]]="","",IF(AND(T_EMPLOYEES[[#This Row],[START DATE]]&gt;0,T_EMPLOYEES[[#This Row],[START DATE]]&lt;TODAY()+60),0,1))</f>
        <v/>
      </c>
      <c r="AE418">
        <f>IF(T_EMPLOYEES[[#This Row],[EMPLOYEE NUMBER]]="","",MATCH(T_EMPLOYEES[[#This Row],[GENDER]],L_GENDER,0))</f>
        <v/>
      </c>
      <c r="AF418">
        <f>IF(T_EMPLOYEES[[#This Row],[EMPLOYEE NUMBER]]="","",MATCH(T_EMPLOYEES[[#This Row],[HIRE SOURCE]],L_HIRESOURCE,0))</f>
        <v/>
      </c>
      <c r="AG418">
        <f>IF(T_EMPLOYEES[[#This Row],[EMPLOYEE NUMBER]]="","",MATCH(T_EMPLOYEES[[#This Row],[ETHNICITY]],L_ETHNICITY,0))</f>
        <v/>
      </c>
      <c r="AH418">
        <f>IF(T_EMPLOYEES[[#This Row],[EMPLOYEE NUMBER]]="","",MATCH(T_EMPLOYEES[[#This Row],[LOCATION]],L_LOCATION,0))</f>
        <v/>
      </c>
      <c r="AI418">
        <f>IF(T_EMPLOYEES[[#This Row],[EMPLOYEE NUMBER]]="","",MATCH(T_EMPLOYEES[[#This Row],[DEPARTMENT]],L_DEPARTMENT,0))</f>
        <v/>
      </c>
      <c r="AJ418">
        <f>IF(T_EMPLOYEES[[#This Row],[EMPLOYEE NUMBER]]="","",MATCH(T_EMPLOYEES[[#This Row],[JOB TYPE]],L_JOBTYPE,0))</f>
        <v/>
      </c>
      <c r="AK418">
        <f>IF(T_EMPLOYEES[[#This Row],[EMPLOYEE NUMBER]]="","",MATCH(T_EMPLOYEES[[#This Row],[JOB CATEGORY]],L_JOBCATEGORY,0))</f>
        <v/>
      </c>
      <c r="AL418">
        <f>IF(T_EMPLOYEES[[#This Row],[EMPLOYEE NUMBER]]="","",MATCH(T_EMPLOYEES[[#This Row],[JOB LEVEL]],L_JOBLEVEL,0))</f>
        <v/>
      </c>
      <c r="AM418">
        <f>IF(T_EMPLOYEES[[#This Row],[EMPLOYEE NUMBER]]="","",MATCH(T_EMPLOYEES[[#This Row],[JOB TITLE]],L_JOBTITLE,0))</f>
        <v/>
      </c>
      <c r="AN418">
        <f>IF(T_EMPLOYEES[[#This Row],[EMPLOYEE NUMBER]]="","",MATCH(T_EMPLOYEES[[#This Row],[MANAGER]],L_EMPLABELS,0))</f>
        <v/>
      </c>
      <c r="AO418">
        <f>IF(T_EMPLOYEES[[#This Row],[EMPLOYEE NUMBER]]="","",IF(T_EMPLOYEES[[#This Row],[ERROR]]="",0,1))</f>
        <v/>
      </c>
      <c r="AP41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19">
      <c r="A419" t="inlineStr">
        <is>
          <t>Sanjana</t>
        </is>
      </c>
      <c r="B419" t="inlineStr">
        <is>
          <t>Honnappa Nayak</t>
        </is>
      </c>
      <c r="C419" t="n">
        <v>1027021</v>
      </c>
      <c r="D419" t="inlineStr">
        <is>
          <t>Sanjana.Nayak@infinite.com</t>
        </is>
      </c>
      <c r="E419" s="26" t="n">
        <v>36174</v>
      </c>
      <c r="F419" s="26" t="n">
        <v>44498</v>
      </c>
      <c r="H419" t="inlineStr">
        <is>
          <t>Female</t>
        </is>
      </c>
      <c r="I419" t="inlineStr">
        <is>
          <t>Asian</t>
        </is>
      </c>
      <c r="J419" t="inlineStr">
        <is>
          <t>WEBSITE</t>
        </is>
      </c>
      <c r="K419" t="inlineStr">
        <is>
          <t>Bangalore</t>
        </is>
      </c>
      <c r="L419" s="27" t="inlineStr">
        <is>
          <t>IT</t>
        </is>
      </c>
      <c r="M419" t="inlineStr">
        <is>
          <t>Full-Time</t>
        </is>
      </c>
      <c r="N419" t="inlineStr">
        <is>
          <t>Software Test Engineer</t>
        </is>
      </c>
      <c r="O419" t="inlineStr">
        <is>
          <t>E2</t>
        </is>
      </c>
      <c r="P419" t="inlineStr">
        <is>
          <t>Software Test Engineer</t>
        </is>
      </c>
      <c r="Q419" t="inlineStr">
        <is>
          <t>Maddipati Mohan Chowdary (1025070)</t>
        </is>
      </c>
      <c r="R419" t="n">
        <v>4</v>
      </c>
      <c r="S419" s="1" t="n">
        <v>250000</v>
      </c>
      <c r="T419" s="1">
        <f>ROUND(T_EMPLOYEES[[#This Row],[EMP_CTC1]]/12, 0)</f>
        <v/>
      </c>
      <c r="U419" s="1" t="n">
        <v>150000</v>
      </c>
      <c r="V419" s="1" t="inlineStr">
        <is>
          <t>AK</t>
        </is>
      </c>
      <c r="W419" s="1" t="inlineStr">
        <is>
          <t>AK</t>
        </is>
      </c>
      <c r="X41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19" t="n">
        <v>120000</v>
      </c>
      <c r="Z419" s="29">
        <f>(S419 - U419)/S419 * 100</f>
        <v/>
      </c>
      <c r="AA419">
        <f>IF(T_EMPLOYEES[[#This Row],[EMPLOYEE NUMBER]]="","",ROW(T_EMPLOYEES[[#This Row],[EMPLOYEE LABEL]])-ROW(T_EMPLOYEES[[#Headers],[EMPLOYEE LABEL]]))</f>
        <v/>
      </c>
      <c r="AB419">
        <f>IF(T_EMPLOYEES[[#This Row],[EMPLOYEE NUMBER]]="","",IF(COUNTIF(T_EMPLOYEES[EMPLOYEE NUMBER],T_EMPLOYEES[[#This Row],[EMPLOYEE NUMBER]])&gt;1,1,0))</f>
        <v/>
      </c>
      <c r="AC419">
        <f>IF(T_EMPLOYEES[[#This Row],[EMPLOYEE NUMBER]]="","",IF(AND(T_EMPLOYEES[[#This Row],[DATE OF BIRTH]]&gt;0,T_EMPLOYEES[[#This Row],[DATE OF BIRTH]]&lt;TODAY()),0,1))</f>
        <v/>
      </c>
      <c r="AD419">
        <f>IF(T_EMPLOYEES[[#This Row],[EMPLOYEE NUMBER]]="","",IF(AND(T_EMPLOYEES[[#This Row],[START DATE]]&gt;0,T_EMPLOYEES[[#This Row],[START DATE]]&lt;TODAY()+60),0,1))</f>
        <v/>
      </c>
      <c r="AE419">
        <f>IF(T_EMPLOYEES[[#This Row],[EMPLOYEE NUMBER]]="","",MATCH(T_EMPLOYEES[[#This Row],[GENDER]],L_GENDER,0))</f>
        <v/>
      </c>
      <c r="AF419">
        <f>IF(T_EMPLOYEES[[#This Row],[EMPLOYEE NUMBER]]="","",MATCH(T_EMPLOYEES[[#This Row],[HIRE SOURCE]],L_HIRESOURCE,0))</f>
        <v/>
      </c>
      <c r="AG419">
        <f>IF(T_EMPLOYEES[[#This Row],[EMPLOYEE NUMBER]]="","",MATCH(T_EMPLOYEES[[#This Row],[ETHNICITY]],L_ETHNICITY,0))</f>
        <v/>
      </c>
      <c r="AH419">
        <f>IF(T_EMPLOYEES[[#This Row],[EMPLOYEE NUMBER]]="","",MATCH(T_EMPLOYEES[[#This Row],[LOCATION]],L_LOCATION,0))</f>
        <v/>
      </c>
      <c r="AI419">
        <f>IF(T_EMPLOYEES[[#This Row],[EMPLOYEE NUMBER]]="","",MATCH(T_EMPLOYEES[[#This Row],[DEPARTMENT]],L_DEPARTMENT,0))</f>
        <v/>
      </c>
      <c r="AJ419">
        <f>IF(T_EMPLOYEES[[#This Row],[EMPLOYEE NUMBER]]="","",MATCH(T_EMPLOYEES[[#This Row],[JOB TYPE]],L_JOBTYPE,0))</f>
        <v/>
      </c>
      <c r="AK419">
        <f>IF(T_EMPLOYEES[[#This Row],[EMPLOYEE NUMBER]]="","",MATCH(T_EMPLOYEES[[#This Row],[JOB CATEGORY]],L_JOBCATEGORY,0))</f>
        <v/>
      </c>
      <c r="AL419">
        <f>IF(T_EMPLOYEES[[#This Row],[EMPLOYEE NUMBER]]="","",MATCH(T_EMPLOYEES[[#This Row],[JOB LEVEL]],L_JOBLEVEL,0))</f>
        <v/>
      </c>
      <c r="AM419">
        <f>IF(T_EMPLOYEES[[#This Row],[EMPLOYEE NUMBER]]="","",MATCH(T_EMPLOYEES[[#This Row],[JOB TITLE]],L_JOBTITLE,0))</f>
        <v/>
      </c>
      <c r="AN419">
        <f>IF(T_EMPLOYEES[[#This Row],[EMPLOYEE NUMBER]]="","",MATCH(T_EMPLOYEES[[#This Row],[MANAGER]],L_EMPLABELS,0))</f>
        <v/>
      </c>
      <c r="AO419">
        <f>IF(T_EMPLOYEES[[#This Row],[EMPLOYEE NUMBER]]="","",IF(T_EMPLOYEES[[#This Row],[ERROR]]="",0,1))</f>
        <v/>
      </c>
      <c r="AP41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0">
      <c r="A420" t="inlineStr">
        <is>
          <t>Sumit</t>
        </is>
      </c>
      <c r="B420" t="inlineStr">
        <is>
          <t>Kumar</t>
        </is>
      </c>
      <c r="C420" t="n">
        <v>1028139</v>
      </c>
      <c r="D420" t="inlineStr">
        <is>
          <t>Sumit.Kumar3@infinite.com</t>
        </is>
      </c>
      <c r="E420" s="26" t="n">
        <v>36187</v>
      </c>
      <c r="F420" s="26" t="n">
        <v>44585</v>
      </c>
      <c r="H420" t="inlineStr">
        <is>
          <t>Male</t>
        </is>
      </c>
      <c r="I420" t="inlineStr">
        <is>
          <t>Asian</t>
        </is>
      </c>
      <c r="J420" t="inlineStr">
        <is>
          <t>WEBSITE</t>
        </is>
      </c>
      <c r="K420" t="inlineStr">
        <is>
          <t>Bangalore</t>
        </is>
      </c>
      <c r="L420" s="27" t="inlineStr">
        <is>
          <t>IT</t>
        </is>
      </c>
      <c r="M420" t="inlineStr">
        <is>
          <t>Full-Time</t>
        </is>
      </c>
      <c r="N420" t="inlineStr">
        <is>
          <t>Software Engineer</t>
        </is>
      </c>
      <c r="O420" t="inlineStr">
        <is>
          <t>E2</t>
        </is>
      </c>
      <c r="P420" t="inlineStr">
        <is>
          <t>Software Engineer</t>
        </is>
      </c>
      <c r="Q420" t="inlineStr">
        <is>
          <t>Sunduru Arun  Jayant (1031825)</t>
        </is>
      </c>
      <c r="R420" s="27" t="n">
        <v>4</v>
      </c>
      <c r="S420" s="1" t="n">
        <v>250000</v>
      </c>
      <c r="T420" s="1">
        <f>ROUND(T_EMPLOYEES[[#This Row],[EMP_CTC1]]/12, 0)</f>
        <v/>
      </c>
      <c r="U420" s="1" t="n">
        <v>150000</v>
      </c>
      <c r="V420" s="1" t="inlineStr">
        <is>
          <t>AK</t>
        </is>
      </c>
      <c r="W420" s="1" t="inlineStr">
        <is>
          <t>AK</t>
        </is>
      </c>
      <c r="X42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0" t="n">
        <v>120000</v>
      </c>
      <c r="Z420" s="29">
        <f>(S420 - U420)/S420 * 100</f>
        <v/>
      </c>
      <c r="AA420">
        <f>IF(T_EMPLOYEES[[#This Row],[EMPLOYEE NUMBER]]="","",ROW(T_EMPLOYEES[[#This Row],[EMPLOYEE LABEL]])-ROW(T_EMPLOYEES[[#Headers],[EMPLOYEE LABEL]]))</f>
        <v/>
      </c>
      <c r="AB420">
        <f>IF(T_EMPLOYEES[[#This Row],[EMPLOYEE NUMBER]]="","",IF(COUNTIF(T_EMPLOYEES[EMPLOYEE NUMBER],T_EMPLOYEES[[#This Row],[EMPLOYEE NUMBER]])&gt;1,1,0))</f>
        <v/>
      </c>
      <c r="AC420">
        <f>IF(T_EMPLOYEES[[#This Row],[EMPLOYEE NUMBER]]="","",IF(AND(T_EMPLOYEES[[#This Row],[DATE OF BIRTH]]&gt;0,T_EMPLOYEES[[#This Row],[DATE OF BIRTH]]&lt;TODAY()),0,1))</f>
        <v/>
      </c>
      <c r="AD420">
        <f>IF(T_EMPLOYEES[[#This Row],[EMPLOYEE NUMBER]]="","",IF(AND(T_EMPLOYEES[[#This Row],[START DATE]]&gt;0,T_EMPLOYEES[[#This Row],[START DATE]]&lt;TODAY()+60),0,1))</f>
        <v/>
      </c>
      <c r="AE420">
        <f>IF(T_EMPLOYEES[[#This Row],[EMPLOYEE NUMBER]]="","",MATCH(T_EMPLOYEES[[#This Row],[GENDER]],L_GENDER,0))</f>
        <v/>
      </c>
      <c r="AF420">
        <f>IF(T_EMPLOYEES[[#This Row],[EMPLOYEE NUMBER]]="","",MATCH(T_EMPLOYEES[[#This Row],[HIRE SOURCE]],L_HIRESOURCE,0))</f>
        <v/>
      </c>
      <c r="AG420">
        <f>IF(T_EMPLOYEES[[#This Row],[EMPLOYEE NUMBER]]="","",MATCH(T_EMPLOYEES[[#This Row],[ETHNICITY]],L_ETHNICITY,0))</f>
        <v/>
      </c>
      <c r="AH420">
        <f>IF(T_EMPLOYEES[[#This Row],[EMPLOYEE NUMBER]]="","",MATCH(T_EMPLOYEES[[#This Row],[LOCATION]],L_LOCATION,0))</f>
        <v/>
      </c>
      <c r="AI420">
        <f>IF(T_EMPLOYEES[[#This Row],[EMPLOYEE NUMBER]]="","",MATCH(T_EMPLOYEES[[#This Row],[DEPARTMENT]],L_DEPARTMENT,0))</f>
        <v/>
      </c>
      <c r="AJ420">
        <f>IF(T_EMPLOYEES[[#This Row],[EMPLOYEE NUMBER]]="","",MATCH(T_EMPLOYEES[[#This Row],[JOB TYPE]],L_JOBTYPE,0))</f>
        <v/>
      </c>
      <c r="AK420">
        <f>IF(T_EMPLOYEES[[#This Row],[EMPLOYEE NUMBER]]="","",MATCH(T_EMPLOYEES[[#This Row],[JOB CATEGORY]],L_JOBCATEGORY,0))</f>
        <v/>
      </c>
      <c r="AL420">
        <f>IF(T_EMPLOYEES[[#This Row],[EMPLOYEE NUMBER]]="","",MATCH(T_EMPLOYEES[[#This Row],[JOB LEVEL]],L_JOBLEVEL,0))</f>
        <v/>
      </c>
      <c r="AM420">
        <f>IF(T_EMPLOYEES[[#This Row],[EMPLOYEE NUMBER]]="","",MATCH(T_EMPLOYEES[[#This Row],[JOB TITLE]],L_JOBTITLE,0))</f>
        <v/>
      </c>
      <c r="AN420">
        <f>IF(T_EMPLOYEES[[#This Row],[EMPLOYEE NUMBER]]="","",MATCH(T_EMPLOYEES[[#This Row],[MANAGER]],L_EMPLABELS,0))</f>
        <v/>
      </c>
      <c r="AO420">
        <f>IF(T_EMPLOYEES[[#This Row],[EMPLOYEE NUMBER]]="","",IF(T_EMPLOYEES[[#This Row],[ERROR]]="",0,1))</f>
        <v/>
      </c>
      <c r="AP42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1">
      <c r="A421" t="inlineStr">
        <is>
          <t>Arjun</t>
        </is>
      </c>
      <c r="B421" t="inlineStr">
        <is>
          <t>Janardan Mulagoukar</t>
        </is>
      </c>
      <c r="C421" t="n">
        <v>1027112</v>
      </c>
      <c r="D421" t="inlineStr">
        <is>
          <t>Arjun.Mulagoukar@infinite.com</t>
        </is>
      </c>
      <c r="E421" s="26" t="n">
        <v>36193</v>
      </c>
      <c r="F421" s="26" t="n">
        <v>44508</v>
      </c>
      <c r="H421" t="inlineStr">
        <is>
          <t>Male</t>
        </is>
      </c>
      <c r="I421" t="inlineStr">
        <is>
          <t>Asian</t>
        </is>
      </c>
      <c r="J421" t="inlineStr">
        <is>
          <t>WEBSITE</t>
        </is>
      </c>
      <c r="K421" t="inlineStr">
        <is>
          <t>Bangalore</t>
        </is>
      </c>
      <c r="L421" s="27" t="inlineStr">
        <is>
          <t>IT</t>
        </is>
      </c>
      <c r="M421" t="inlineStr">
        <is>
          <t>Full-Time</t>
        </is>
      </c>
      <c r="N421" t="inlineStr">
        <is>
          <t>Software Test Engineer</t>
        </is>
      </c>
      <c r="O421" t="inlineStr">
        <is>
          <t>E2</t>
        </is>
      </c>
      <c r="P421" t="inlineStr">
        <is>
          <t>Software Test Engineer</t>
        </is>
      </c>
      <c r="Q421" t="inlineStr">
        <is>
          <t>Archana  Jaiswal (1024503)</t>
        </is>
      </c>
      <c r="R421" t="n">
        <v>4</v>
      </c>
      <c r="S421" s="1" t="n">
        <v>250000</v>
      </c>
      <c r="T421" s="1">
        <f>ROUND(T_EMPLOYEES[[#This Row],[EMP_CTC1]]/12, 0)</f>
        <v/>
      </c>
      <c r="U421" s="1" t="n">
        <v>150000</v>
      </c>
      <c r="V421" s="1" t="inlineStr">
        <is>
          <t>AK</t>
        </is>
      </c>
      <c r="W421" s="1" t="inlineStr">
        <is>
          <t>AK</t>
        </is>
      </c>
      <c r="X42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1" t="n">
        <v>120000</v>
      </c>
      <c r="Z421" s="29">
        <f>(S421 - U421)/S421 * 100</f>
        <v/>
      </c>
      <c r="AA421">
        <f>IF(T_EMPLOYEES[[#This Row],[EMPLOYEE NUMBER]]="","",ROW(T_EMPLOYEES[[#This Row],[EMPLOYEE LABEL]])-ROW(T_EMPLOYEES[[#Headers],[EMPLOYEE LABEL]]))</f>
        <v/>
      </c>
      <c r="AB421">
        <f>IF(T_EMPLOYEES[[#This Row],[EMPLOYEE NUMBER]]="","",IF(COUNTIF(T_EMPLOYEES[EMPLOYEE NUMBER],T_EMPLOYEES[[#This Row],[EMPLOYEE NUMBER]])&gt;1,1,0))</f>
        <v/>
      </c>
      <c r="AC421">
        <f>IF(T_EMPLOYEES[[#This Row],[EMPLOYEE NUMBER]]="","",IF(AND(T_EMPLOYEES[[#This Row],[DATE OF BIRTH]]&gt;0,T_EMPLOYEES[[#This Row],[DATE OF BIRTH]]&lt;TODAY()),0,1))</f>
        <v/>
      </c>
      <c r="AD421">
        <f>IF(T_EMPLOYEES[[#This Row],[EMPLOYEE NUMBER]]="","",IF(AND(T_EMPLOYEES[[#This Row],[START DATE]]&gt;0,T_EMPLOYEES[[#This Row],[START DATE]]&lt;TODAY()+60),0,1))</f>
        <v/>
      </c>
      <c r="AE421">
        <f>IF(T_EMPLOYEES[[#This Row],[EMPLOYEE NUMBER]]="","",MATCH(T_EMPLOYEES[[#This Row],[GENDER]],L_GENDER,0))</f>
        <v/>
      </c>
      <c r="AF421">
        <f>IF(T_EMPLOYEES[[#This Row],[EMPLOYEE NUMBER]]="","",MATCH(T_EMPLOYEES[[#This Row],[HIRE SOURCE]],L_HIRESOURCE,0))</f>
        <v/>
      </c>
      <c r="AG421">
        <f>IF(T_EMPLOYEES[[#This Row],[EMPLOYEE NUMBER]]="","",MATCH(T_EMPLOYEES[[#This Row],[ETHNICITY]],L_ETHNICITY,0))</f>
        <v/>
      </c>
      <c r="AH421">
        <f>IF(T_EMPLOYEES[[#This Row],[EMPLOYEE NUMBER]]="","",MATCH(T_EMPLOYEES[[#This Row],[LOCATION]],L_LOCATION,0))</f>
        <v/>
      </c>
      <c r="AI421">
        <f>IF(T_EMPLOYEES[[#This Row],[EMPLOYEE NUMBER]]="","",MATCH(T_EMPLOYEES[[#This Row],[DEPARTMENT]],L_DEPARTMENT,0))</f>
        <v/>
      </c>
      <c r="AJ421">
        <f>IF(T_EMPLOYEES[[#This Row],[EMPLOYEE NUMBER]]="","",MATCH(T_EMPLOYEES[[#This Row],[JOB TYPE]],L_JOBTYPE,0))</f>
        <v/>
      </c>
      <c r="AK421">
        <f>IF(T_EMPLOYEES[[#This Row],[EMPLOYEE NUMBER]]="","",MATCH(T_EMPLOYEES[[#This Row],[JOB CATEGORY]],L_JOBCATEGORY,0))</f>
        <v/>
      </c>
      <c r="AL421">
        <f>IF(T_EMPLOYEES[[#This Row],[EMPLOYEE NUMBER]]="","",MATCH(T_EMPLOYEES[[#This Row],[JOB LEVEL]],L_JOBLEVEL,0))</f>
        <v/>
      </c>
      <c r="AM421">
        <f>IF(T_EMPLOYEES[[#This Row],[EMPLOYEE NUMBER]]="","",MATCH(T_EMPLOYEES[[#This Row],[JOB TITLE]],L_JOBTITLE,0))</f>
        <v/>
      </c>
      <c r="AN421">
        <f>IF(T_EMPLOYEES[[#This Row],[EMPLOYEE NUMBER]]="","",MATCH(T_EMPLOYEES[[#This Row],[MANAGER]],L_EMPLABELS,0))</f>
        <v/>
      </c>
      <c r="AO421">
        <f>IF(T_EMPLOYEES[[#This Row],[EMPLOYEE NUMBER]]="","",IF(T_EMPLOYEES[[#This Row],[ERROR]]="",0,1))</f>
        <v/>
      </c>
      <c r="AP42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2">
      <c r="A422" t="inlineStr">
        <is>
          <t>Darshini</t>
        </is>
      </c>
      <c r="B422" t="inlineStr">
        <is>
          <t>A K</t>
        </is>
      </c>
      <c r="C422" t="n">
        <v>1026361</v>
      </c>
      <c r="D422" t="inlineStr">
        <is>
          <t>Darshini.Kariappa@infinite.com</t>
        </is>
      </c>
      <c r="E422" s="26" t="n">
        <v>36204</v>
      </c>
      <c r="F422" s="26" t="n">
        <v>44446</v>
      </c>
      <c r="H422" t="inlineStr">
        <is>
          <t>Female</t>
        </is>
      </c>
      <c r="I422" t="inlineStr">
        <is>
          <t>Asian</t>
        </is>
      </c>
      <c r="J422" t="inlineStr">
        <is>
          <t>WEBSITE</t>
        </is>
      </c>
      <c r="K422" t="inlineStr">
        <is>
          <t>Bangalore</t>
        </is>
      </c>
      <c r="L422" s="27" t="inlineStr">
        <is>
          <t>QA</t>
        </is>
      </c>
      <c r="M422" t="inlineStr">
        <is>
          <t>Full-Time</t>
        </is>
      </c>
      <c r="N422" t="inlineStr">
        <is>
          <t>Software Test Engineer</t>
        </is>
      </c>
      <c r="O422" t="inlineStr">
        <is>
          <t>E2</t>
        </is>
      </c>
      <c r="P422" t="inlineStr">
        <is>
          <t>Software Test Engineer</t>
        </is>
      </c>
      <c r="Q422" t="inlineStr">
        <is>
          <t>Vinayak  Tatuskar (1023387)</t>
        </is>
      </c>
      <c r="R422" s="27" t="n">
        <v>4</v>
      </c>
      <c r="S422" s="1" t="n">
        <v>250000</v>
      </c>
      <c r="T422" s="1">
        <f>ROUND(T_EMPLOYEES[[#This Row],[EMP_CTC1]]/12, 0)</f>
        <v/>
      </c>
      <c r="U422" s="1" t="n">
        <v>150000</v>
      </c>
      <c r="V422" s="1" t="inlineStr">
        <is>
          <t>AK</t>
        </is>
      </c>
      <c r="W422" s="1" t="inlineStr">
        <is>
          <t>AK</t>
        </is>
      </c>
      <c r="X42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2" t="n">
        <v>120000</v>
      </c>
      <c r="Z422" s="29">
        <f>(S422 - U422)/S422 * 100</f>
        <v/>
      </c>
      <c r="AA422">
        <f>IF(T_EMPLOYEES[[#This Row],[EMPLOYEE NUMBER]]="","",ROW(T_EMPLOYEES[[#This Row],[EMPLOYEE LABEL]])-ROW(T_EMPLOYEES[[#Headers],[EMPLOYEE LABEL]]))</f>
        <v/>
      </c>
      <c r="AB422">
        <f>IF(T_EMPLOYEES[[#This Row],[EMPLOYEE NUMBER]]="","",IF(COUNTIF(T_EMPLOYEES[EMPLOYEE NUMBER],T_EMPLOYEES[[#This Row],[EMPLOYEE NUMBER]])&gt;1,1,0))</f>
        <v/>
      </c>
      <c r="AC422">
        <f>IF(T_EMPLOYEES[[#This Row],[EMPLOYEE NUMBER]]="","",IF(AND(T_EMPLOYEES[[#This Row],[DATE OF BIRTH]]&gt;0,T_EMPLOYEES[[#This Row],[DATE OF BIRTH]]&lt;TODAY()),0,1))</f>
        <v/>
      </c>
      <c r="AD422">
        <f>IF(T_EMPLOYEES[[#This Row],[EMPLOYEE NUMBER]]="","",IF(AND(T_EMPLOYEES[[#This Row],[START DATE]]&gt;0,T_EMPLOYEES[[#This Row],[START DATE]]&lt;TODAY()+60),0,1))</f>
        <v/>
      </c>
      <c r="AE422">
        <f>IF(T_EMPLOYEES[[#This Row],[EMPLOYEE NUMBER]]="","",MATCH(T_EMPLOYEES[[#This Row],[GENDER]],L_GENDER,0))</f>
        <v/>
      </c>
      <c r="AF422">
        <f>IF(T_EMPLOYEES[[#This Row],[EMPLOYEE NUMBER]]="","",MATCH(T_EMPLOYEES[[#This Row],[HIRE SOURCE]],L_HIRESOURCE,0))</f>
        <v/>
      </c>
      <c r="AG422">
        <f>IF(T_EMPLOYEES[[#This Row],[EMPLOYEE NUMBER]]="","",MATCH(T_EMPLOYEES[[#This Row],[ETHNICITY]],L_ETHNICITY,0))</f>
        <v/>
      </c>
      <c r="AH422">
        <f>IF(T_EMPLOYEES[[#This Row],[EMPLOYEE NUMBER]]="","",MATCH(T_EMPLOYEES[[#This Row],[LOCATION]],L_LOCATION,0))</f>
        <v/>
      </c>
      <c r="AI422">
        <f>IF(T_EMPLOYEES[[#This Row],[EMPLOYEE NUMBER]]="","",MATCH(T_EMPLOYEES[[#This Row],[DEPARTMENT]],L_DEPARTMENT,0))</f>
        <v/>
      </c>
      <c r="AJ422">
        <f>IF(T_EMPLOYEES[[#This Row],[EMPLOYEE NUMBER]]="","",MATCH(T_EMPLOYEES[[#This Row],[JOB TYPE]],L_JOBTYPE,0))</f>
        <v/>
      </c>
      <c r="AK422">
        <f>IF(T_EMPLOYEES[[#This Row],[EMPLOYEE NUMBER]]="","",MATCH(T_EMPLOYEES[[#This Row],[JOB CATEGORY]],L_JOBCATEGORY,0))</f>
        <v/>
      </c>
      <c r="AL422">
        <f>IF(T_EMPLOYEES[[#This Row],[EMPLOYEE NUMBER]]="","",MATCH(T_EMPLOYEES[[#This Row],[JOB LEVEL]],L_JOBLEVEL,0))</f>
        <v/>
      </c>
      <c r="AM422">
        <f>IF(T_EMPLOYEES[[#This Row],[EMPLOYEE NUMBER]]="","",MATCH(T_EMPLOYEES[[#This Row],[JOB TITLE]],L_JOBTITLE,0))</f>
        <v/>
      </c>
      <c r="AN422">
        <f>IF(T_EMPLOYEES[[#This Row],[EMPLOYEE NUMBER]]="","",MATCH(T_EMPLOYEES[[#This Row],[MANAGER]],L_EMPLABELS,0))</f>
        <v/>
      </c>
      <c r="AO422">
        <f>IF(T_EMPLOYEES[[#This Row],[EMPLOYEE NUMBER]]="","",IF(T_EMPLOYEES[[#This Row],[ERROR]]="",0,1))</f>
        <v/>
      </c>
      <c r="AP42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3">
      <c r="A423" t="inlineStr">
        <is>
          <t>Mannepula</t>
        </is>
      </c>
      <c r="B423" t="inlineStr">
        <is>
          <t>Kavya</t>
        </is>
      </c>
      <c r="C423" t="n">
        <v>1027973</v>
      </c>
      <c r="D423" t="inlineStr">
        <is>
          <t>Mannepula.Kavya@infinite.com</t>
        </is>
      </c>
      <c r="E423" s="26" t="n">
        <v>36244</v>
      </c>
      <c r="F423" s="26" t="n">
        <v>44571</v>
      </c>
      <c r="H423" t="inlineStr">
        <is>
          <t>Female</t>
        </is>
      </c>
      <c r="I423" t="inlineStr">
        <is>
          <t>Asian</t>
        </is>
      </c>
      <c r="J423" t="inlineStr">
        <is>
          <t>WEBSITE</t>
        </is>
      </c>
      <c r="K423" t="inlineStr">
        <is>
          <t>Bangalore</t>
        </is>
      </c>
      <c r="L423" s="27" t="inlineStr">
        <is>
          <t>IT</t>
        </is>
      </c>
      <c r="M423" t="inlineStr">
        <is>
          <t>Full-Time</t>
        </is>
      </c>
      <c r="N423" t="inlineStr">
        <is>
          <t>Software Test Engineer</t>
        </is>
      </c>
      <c r="O423" t="inlineStr">
        <is>
          <t>E2</t>
        </is>
      </c>
      <c r="P423" t="inlineStr">
        <is>
          <t>Software Test Engineer</t>
        </is>
      </c>
      <c r="Q423" t="inlineStr">
        <is>
          <t>Sreekanth  Pulumati (1022868)</t>
        </is>
      </c>
      <c r="R423" t="n">
        <v>4</v>
      </c>
      <c r="S423" s="1" t="n">
        <v>250000</v>
      </c>
      <c r="T423" s="1">
        <f>ROUND(T_EMPLOYEES[[#This Row],[EMP_CTC1]]/12, 0)</f>
        <v/>
      </c>
      <c r="U423" s="1" t="n">
        <v>150000</v>
      </c>
      <c r="V423" s="1" t="inlineStr">
        <is>
          <t>AK</t>
        </is>
      </c>
      <c r="W423" s="1" t="inlineStr">
        <is>
          <t>AK</t>
        </is>
      </c>
      <c r="X42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3" t="n">
        <v>120000</v>
      </c>
      <c r="Z423" s="29">
        <f>(S423 - U423)/S423 * 100</f>
        <v/>
      </c>
      <c r="AA423">
        <f>IF(T_EMPLOYEES[[#This Row],[EMPLOYEE NUMBER]]="","",ROW(T_EMPLOYEES[[#This Row],[EMPLOYEE LABEL]])-ROW(T_EMPLOYEES[[#Headers],[EMPLOYEE LABEL]]))</f>
        <v/>
      </c>
      <c r="AB423">
        <f>IF(T_EMPLOYEES[[#This Row],[EMPLOYEE NUMBER]]="","",IF(COUNTIF(T_EMPLOYEES[EMPLOYEE NUMBER],T_EMPLOYEES[[#This Row],[EMPLOYEE NUMBER]])&gt;1,1,0))</f>
        <v/>
      </c>
      <c r="AC423">
        <f>IF(T_EMPLOYEES[[#This Row],[EMPLOYEE NUMBER]]="","",IF(AND(T_EMPLOYEES[[#This Row],[DATE OF BIRTH]]&gt;0,T_EMPLOYEES[[#This Row],[DATE OF BIRTH]]&lt;TODAY()),0,1))</f>
        <v/>
      </c>
      <c r="AD423">
        <f>IF(T_EMPLOYEES[[#This Row],[EMPLOYEE NUMBER]]="","",IF(AND(T_EMPLOYEES[[#This Row],[START DATE]]&gt;0,T_EMPLOYEES[[#This Row],[START DATE]]&lt;TODAY()+60),0,1))</f>
        <v/>
      </c>
      <c r="AE423">
        <f>IF(T_EMPLOYEES[[#This Row],[EMPLOYEE NUMBER]]="","",MATCH(T_EMPLOYEES[[#This Row],[GENDER]],L_GENDER,0))</f>
        <v/>
      </c>
      <c r="AF423">
        <f>IF(T_EMPLOYEES[[#This Row],[EMPLOYEE NUMBER]]="","",MATCH(T_EMPLOYEES[[#This Row],[HIRE SOURCE]],L_HIRESOURCE,0))</f>
        <v/>
      </c>
      <c r="AG423">
        <f>IF(T_EMPLOYEES[[#This Row],[EMPLOYEE NUMBER]]="","",MATCH(T_EMPLOYEES[[#This Row],[ETHNICITY]],L_ETHNICITY,0))</f>
        <v/>
      </c>
      <c r="AH423">
        <f>IF(T_EMPLOYEES[[#This Row],[EMPLOYEE NUMBER]]="","",MATCH(T_EMPLOYEES[[#This Row],[LOCATION]],L_LOCATION,0))</f>
        <v/>
      </c>
      <c r="AI423">
        <f>IF(T_EMPLOYEES[[#This Row],[EMPLOYEE NUMBER]]="","",MATCH(T_EMPLOYEES[[#This Row],[DEPARTMENT]],L_DEPARTMENT,0))</f>
        <v/>
      </c>
      <c r="AJ423">
        <f>IF(T_EMPLOYEES[[#This Row],[EMPLOYEE NUMBER]]="","",MATCH(T_EMPLOYEES[[#This Row],[JOB TYPE]],L_JOBTYPE,0))</f>
        <v/>
      </c>
      <c r="AK423">
        <f>IF(T_EMPLOYEES[[#This Row],[EMPLOYEE NUMBER]]="","",MATCH(T_EMPLOYEES[[#This Row],[JOB CATEGORY]],L_JOBCATEGORY,0))</f>
        <v/>
      </c>
      <c r="AL423">
        <f>IF(T_EMPLOYEES[[#This Row],[EMPLOYEE NUMBER]]="","",MATCH(T_EMPLOYEES[[#This Row],[JOB LEVEL]],L_JOBLEVEL,0))</f>
        <v/>
      </c>
      <c r="AM423">
        <f>IF(T_EMPLOYEES[[#This Row],[EMPLOYEE NUMBER]]="","",MATCH(T_EMPLOYEES[[#This Row],[JOB TITLE]],L_JOBTITLE,0))</f>
        <v/>
      </c>
      <c r="AN423">
        <f>IF(T_EMPLOYEES[[#This Row],[EMPLOYEE NUMBER]]="","",MATCH(T_EMPLOYEES[[#This Row],[MANAGER]],L_EMPLABELS,0))</f>
        <v/>
      </c>
      <c r="AO423">
        <f>IF(T_EMPLOYEES[[#This Row],[EMPLOYEE NUMBER]]="","",IF(T_EMPLOYEES[[#This Row],[ERROR]]="",0,1))</f>
        <v/>
      </c>
      <c r="AP42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4">
      <c r="A424" t="inlineStr">
        <is>
          <t>Aman</t>
        </is>
      </c>
      <c r="B424" t="inlineStr">
        <is>
          <t>Singh</t>
        </is>
      </c>
      <c r="C424" t="n">
        <v>1026244</v>
      </c>
      <c r="D424" t="inlineStr">
        <is>
          <t>Aman.Singh2@infinite.com</t>
        </is>
      </c>
      <c r="E424" s="26" t="n">
        <v>36246</v>
      </c>
      <c r="F424" s="26" t="n">
        <v>44433</v>
      </c>
      <c r="H424" t="inlineStr">
        <is>
          <t>Male</t>
        </is>
      </c>
      <c r="I424" t="inlineStr">
        <is>
          <t>Asian</t>
        </is>
      </c>
      <c r="J424" t="inlineStr">
        <is>
          <t>WEBSITE</t>
        </is>
      </c>
      <c r="K424" t="inlineStr">
        <is>
          <t>Bangalore</t>
        </is>
      </c>
      <c r="L424" s="27" t="inlineStr">
        <is>
          <t>IT</t>
        </is>
      </c>
      <c r="M424" t="inlineStr">
        <is>
          <t>Full-Time</t>
        </is>
      </c>
      <c r="N424" t="inlineStr">
        <is>
          <t>Software Engineer</t>
        </is>
      </c>
      <c r="O424" t="inlineStr">
        <is>
          <t>E2</t>
        </is>
      </c>
      <c r="P424" t="inlineStr">
        <is>
          <t>Software Engineer</t>
        </is>
      </c>
      <c r="Q424" t="inlineStr">
        <is>
          <t>Kalyana Raju C S (1003859)</t>
        </is>
      </c>
      <c r="R424" s="27" t="n">
        <v>4</v>
      </c>
      <c r="S424" s="1" t="n">
        <v>1250000</v>
      </c>
      <c r="T424" s="1">
        <f>ROUND(T_EMPLOYEES[[#This Row],[EMP_CTC1]]/12, 0)</f>
        <v/>
      </c>
      <c r="U424" s="1" t="n">
        <v>1054000</v>
      </c>
      <c r="V424" s="1" t="inlineStr">
        <is>
          <t>AK</t>
        </is>
      </c>
      <c r="W424" s="1" t="inlineStr">
        <is>
          <t>AK</t>
        </is>
      </c>
      <c r="X42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4" t="n">
        <v>120000</v>
      </c>
      <c r="Z424" s="29">
        <f>(S424 - U424)/S424 * 100</f>
        <v/>
      </c>
      <c r="AA424">
        <f>IF(T_EMPLOYEES[[#This Row],[EMPLOYEE NUMBER]]="","",ROW(T_EMPLOYEES[[#This Row],[EMPLOYEE LABEL]])-ROW(T_EMPLOYEES[[#Headers],[EMPLOYEE LABEL]]))</f>
        <v/>
      </c>
      <c r="AB424">
        <f>IF(T_EMPLOYEES[[#This Row],[EMPLOYEE NUMBER]]="","",IF(COUNTIF(T_EMPLOYEES[EMPLOYEE NUMBER],T_EMPLOYEES[[#This Row],[EMPLOYEE NUMBER]])&gt;1,1,0))</f>
        <v/>
      </c>
      <c r="AC424">
        <f>IF(T_EMPLOYEES[[#This Row],[EMPLOYEE NUMBER]]="","",IF(AND(T_EMPLOYEES[[#This Row],[DATE OF BIRTH]]&gt;0,T_EMPLOYEES[[#This Row],[DATE OF BIRTH]]&lt;TODAY()),0,1))</f>
        <v/>
      </c>
      <c r="AD424">
        <f>IF(T_EMPLOYEES[[#This Row],[EMPLOYEE NUMBER]]="","",IF(AND(T_EMPLOYEES[[#This Row],[START DATE]]&gt;0,T_EMPLOYEES[[#This Row],[START DATE]]&lt;TODAY()+60),0,1))</f>
        <v/>
      </c>
      <c r="AE424">
        <f>IF(T_EMPLOYEES[[#This Row],[EMPLOYEE NUMBER]]="","",MATCH(T_EMPLOYEES[[#This Row],[GENDER]],L_GENDER,0))</f>
        <v/>
      </c>
      <c r="AF424">
        <f>IF(T_EMPLOYEES[[#This Row],[EMPLOYEE NUMBER]]="","",MATCH(T_EMPLOYEES[[#This Row],[HIRE SOURCE]],L_HIRESOURCE,0))</f>
        <v/>
      </c>
      <c r="AG424">
        <f>IF(T_EMPLOYEES[[#This Row],[EMPLOYEE NUMBER]]="","",MATCH(T_EMPLOYEES[[#This Row],[ETHNICITY]],L_ETHNICITY,0))</f>
        <v/>
      </c>
      <c r="AH424">
        <f>IF(T_EMPLOYEES[[#This Row],[EMPLOYEE NUMBER]]="","",MATCH(T_EMPLOYEES[[#This Row],[LOCATION]],L_LOCATION,0))</f>
        <v/>
      </c>
      <c r="AI424">
        <f>IF(T_EMPLOYEES[[#This Row],[EMPLOYEE NUMBER]]="","",MATCH(T_EMPLOYEES[[#This Row],[DEPARTMENT]],L_DEPARTMENT,0))</f>
        <v/>
      </c>
      <c r="AJ424">
        <f>IF(T_EMPLOYEES[[#This Row],[EMPLOYEE NUMBER]]="","",MATCH(T_EMPLOYEES[[#This Row],[JOB TYPE]],L_JOBTYPE,0))</f>
        <v/>
      </c>
      <c r="AK424">
        <f>IF(T_EMPLOYEES[[#This Row],[EMPLOYEE NUMBER]]="","",MATCH(T_EMPLOYEES[[#This Row],[JOB CATEGORY]],L_JOBCATEGORY,0))</f>
        <v/>
      </c>
      <c r="AL424">
        <f>IF(T_EMPLOYEES[[#This Row],[EMPLOYEE NUMBER]]="","",MATCH(T_EMPLOYEES[[#This Row],[JOB LEVEL]],L_JOBLEVEL,0))</f>
        <v/>
      </c>
      <c r="AM424">
        <f>IF(T_EMPLOYEES[[#This Row],[EMPLOYEE NUMBER]]="","",MATCH(T_EMPLOYEES[[#This Row],[JOB TITLE]],L_JOBTITLE,0))</f>
        <v/>
      </c>
      <c r="AN424">
        <f>IF(T_EMPLOYEES[[#This Row],[EMPLOYEE NUMBER]]="","",MATCH(T_EMPLOYEES[[#This Row],[MANAGER]],L_EMPLABELS,0))</f>
        <v/>
      </c>
      <c r="AO424">
        <f>IF(T_EMPLOYEES[[#This Row],[EMPLOYEE NUMBER]]="","",IF(T_EMPLOYEES[[#This Row],[ERROR]]="",0,1))</f>
        <v/>
      </c>
      <c r="AP42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5">
      <c r="A425" t="inlineStr">
        <is>
          <t>Ismayeel</t>
        </is>
      </c>
      <c r="B425" t="inlineStr">
        <is>
          <t>S</t>
        </is>
      </c>
      <c r="C425" t="n">
        <v>1027109</v>
      </c>
      <c r="D425" t="inlineStr">
        <is>
          <t>Ismayeel.Saira@infinite.com</t>
        </is>
      </c>
      <c r="E425" s="26" t="n">
        <v>36248</v>
      </c>
      <c r="F425" s="26" t="n">
        <v>44508</v>
      </c>
      <c r="H425" t="inlineStr">
        <is>
          <t>Male</t>
        </is>
      </c>
      <c r="I425" t="inlineStr">
        <is>
          <t>Asian</t>
        </is>
      </c>
      <c r="J425" t="inlineStr">
        <is>
          <t>WEBSITE</t>
        </is>
      </c>
      <c r="K425" t="inlineStr">
        <is>
          <t>Bangalore</t>
        </is>
      </c>
      <c r="L425" s="27" t="inlineStr">
        <is>
          <t>QA</t>
        </is>
      </c>
      <c r="M425" t="inlineStr">
        <is>
          <t>Full-Time</t>
        </is>
      </c>
      <c r="N425" t="inlineStr">
        <is>
          <t>Software Test Engineer</t>
        </is>
      </c>
      <c r="O425" t="inlineStr">
        <is>
          <t>E2</t>
        </is>
      </c>
      <c r="P425" t="inlineStr">
        <is>
          <t>Software Test Engineer</t>
        </is>
      </c>
      <c r="Q425" t="inlineStr">
        <is>
          <t>Vinayak  Tatuskar (1023387)</t>
        </is>
      </c>
      <c r="R425" t="n">
        <v>4</v>
      </c>
      <c r="S425" s="1" t="n">
        <v>250000</v>
      </c>
      <c r="T425" s="1">
        <f>ROUND(T_EMPLOYEES[[#This Row],[EMP_CTC1]]/12, 0)</f>
        <v/>
      </c>
      <c r="U425" s="1" t="n">
        <v>150000</v>
      </c>
      <c r="V425" s="1" t="inlineStr">
        <is>
          <t>AK</t>
        </is>
      </c>
      <c r="W425" s="1" t="inlineStr">
        <is>
          <t>AK</t>
        </is>
      </c>
      <c r="X42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5" t="n">
        <v>120000</v>
      </c>
      <c r="Z425" s="29">
        <f>(S425 - U425)/S425 * 100</f>
        <v/>
      </c>
      <c r="AA425">
        <f>IF(T_EMPLOYEES[[#This Row],[EMPLOYEE NUMBER]]="","",ROW(T_EMPLOYEES[[#This Row],[EMPLOYEE LABEL]])-ROW(T_EMPLOYEES[[#Headers],[EMPLOYEE LABEL]]))</f>
        <v/>
      </c>
      <c r="AB425">
        <f>IF(T_EMPLOYEES[[#This Row],[EMPLOYEE NUMBER]]="","",IF(COUNTIF(T_EMPLOYEES[EMPLOYEE NUMBER],T_EMPLOYEES[[#This Row],[EMPLOYEE NUMBER]])&gt;1,1,0))</f>
        <v/>
      </c>
      <c r="AC425">
        <f>IF(T_EMPLOYEES[[#This Row],[EMPLOYEE NUMBER]]="","",IF(AND(T_EMPLOYEES[[#This Row],[DATE OF BIRTH]]&gt;0,T_EMPLOYEES[[#This Row],[DATE OF BIRTH]]&lt;TODAY()),0,1))</f>
        <v/>
      </c>
      <c r="AD425">
        <f>IF(T_EMPLOYEES[[#This Row],[EMPLOYEE NUMBER]]="","",IF(AND(T_EMPLOYEES[[#This Row],[START DATE]]&gt;0,T_EMPLOYEES[[#This Row],[START DATE]]&lt;TODAY()+60),0,1))</f>
        <v/>
      </c>
      <c r="AE425">
        <f>IF(T_EMPLOYEES[[#This Row],[EMPLOYEE NUMBER]]="","",MATCH(T_EMPLOYEES[[#This Row],[GENDER]],L_GENDER,0))</f>
        <v/>
      </c>
      <c r="AF425">
        <f>IF(T_EMPLOYEES[[#This Row],[EMPLOYEE NUMBER]]="","",MATCH(T_EMPLOYEES[[#This Row],[HIRE SOURCE]],L_HIRESOURCE,0))</f>
        <v/>
      </c>
      <c r="AG425">
        <f>IF(T_EMPLOYEES[[#This Row],[EMPLOYEE NUMBER]]="","",MATCH(T_EMPLOYEES[[#This Row],[ETHNICITY]],L_ETHNICITY,0))</f>
        <v/>
      </c>
      <c r="AH425">
        <f>IF(T_EMPLOYEES[[#This Row],[EMPLOYEE NUMBER]]="","",MATCH(T_EMPLOYEES[[#This Row],[LOCATION]],L_LOCATION,0))</f>
        <v/>
      </c>
      <c r="AI425">
        <f>IF(T_EMPLOYEES[[#This Row],[EMPLOYEE NUMBER]]="","",MATCH(T_EMPLOYEES[[#This Row],[DEPARTMENT]],L_DEPARTMENT,0))</f>
        <v/>
      </c>
      <c r="AJ425">
        <f>IF(T_EMPLOYEES[[#This Row],[EMPLOYEE NUMBER]]="","",MATCH(T_EMPLOYEES[[#This Row],[JOB TYPE]],L_JOBTYPE,0))</f>
        <v/>
      </c>
      <c r="AK425">
        <f>IF(T_EMPLOYEES[[#This Row],[EMPLOYEE NUMBER]]="","",MATCH(T_EMPLOYEES[[#This Row],[JOB CATEGORY]],L_JOBCATEGORY,0))</f>
        <v/>
      </c>
      <c r="AL425">
        <f>IF(T_EMPLOYEES[[#This Row],[EMPLOYEE NUMBER]]="","",MATCH(T_EMPLOYEES[[#This Row],[JOB LEVEL]],L_JOBLEVEL,0))</f>
        <v/>
      </c>
      <c r="AM425">
        <f>IF(T_EMPLOYEES[[#This Row],[EMPLOYEE NUMBER]]="","",MATCH(T_EMPLOYEES[[#This Row],[JOB TITLE]],L_JOBTITLE,0))</f>
        <v/>
      </c>
      <c r="AN425">
        <f>IF(T_EMPLOYEES[[#This Row],[EMPLOYEE NUMBER]]="","",MATCH(T_EMPLOYEES[[#This Row],[MANAGER]],L_EMPLABELS,0))</f>
        <v/>
      </c>
      <c r="AO425">
        <f>IF(T_EMPLOYEES[[#This Row],[EMPLOYEE NUMBER]]="","",IF(T_EMPLOYEES[[#This Row],[ERROR]]="",0,1))</f>
        <v/>
      </c>
      <c r="AP42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6">
      <c r="A426" t="inlineStr">
        <is>
          <t>T</t>
        </is>
      </c>
      <c r="B426" t="inlineStr">
        <is>
          <t xml:space="preserve"> Pavan</t>
        </is>
      </c>
      <c r="C426" t="n">
        <v>1027416</v>
      </c>
      <c r="D426" t="inlineStr">
        <is>
          <t>Pavan.Talla@infinite.com</t>
        </is>
      </c>
      <c r="E426" s="26" t="n">
        <v>36250</v>
      </c>
      <c r="F426" s="26" t="n">
        <v>44531</v>
      </c>
      <c r="H426" t="inlineStr">
        <is>
          <t>Male</t>
        </is>
      </c>
      <c r="I426" t="inlineStr">
        <is>
          <t>Asian</t>
        </is>
      </c>
      <c r="J426" t="inlineStr">
        <is>
          <t>WEBSITE</t>
        </is>
      </c>
      <c r="K426" t="inlineStr">
        <is>
          <t>Bangalore</t>
        </is>
      </c>
      <c r="L426" s="27" t="inlineStr">
        <is>
          <t>Core</t>
        </is>
      </c>
      <c r="M426" t="inlineStr">
        <is>
          <t>Full-Time</t>
        </is>
      </c>
      <c r="N426" t="inlineStr">
        <is>
          <t>Software Engineer</t>
        </is>
      </c>
      <c r="O426" t="inlineStr">
        <is>
          <t>E2</t>
        </is>
      </c>
      <c r="P426" t="inlineStr">
        <is>
          <t>Software Engineer</t>
        </is>
      </c>
      <c r="Q426" t="inlineStr">
        <is>
          <t>Dipakbhai Motibhai Tandel (1027230)</t>
        </is>
      </c>
      <c r="R426" s="27" t="n">
        <v>4</v>
      </c>
      <c r="S426" s="1" t="n">
        <v>250000</v>
      </c>
      <c r="T426" s="1">
        <f>ROUND(T_EMPLOYEES[[#This Row],[EMP_CTC1]]/12, 0)</f>
        <v/>
      </c>
      <c r="U426" s="1" t="n">
        <v>150000</v>
      </c>
      <c r="V426" s="1" t="inlineStr">
        <is>
          <t>AK</t>
        </is>
      </c>
      <c r="W426" s="1" t="inlineStr">
        <is>
          <t>AK</t>
        </is>
      </c>
      <c r="X42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6" t="n">
        <v>120000</v>
      </c>
      <c r="Z426" s="29">
        <f>(S426 - U426)/S426 * 100</f>
        <v/>
      </c>
      <c r="AA426">
        <f>IF(T_EMPLOYEES[[#This Row],[EMPLOYEE NUMBER]]="","",ROW(T_EMPLOYEES[[#This Row],[EMPLOYEE LABEL]])-ROW(T_EMPLOYEES[[#Headers],[EMPLOYEE LABEL]]))</f>
        <v/>
      </c>
      <c r="AB426">
        <f>IF(T_EMPLOYEES[[#This Row],[EMPLOYEE NUMBER]]="","",IF(COUNTIF(T_EMPLOYEES[EMPLOYEE NUMBER],T_EMPLOYEES[[#This Row],[EMPLOYEE NUMBER]])&gt;1,1,0))</f>
        <v/>
      </c>
      <c r="AC426">
        <f>IF(T_EMPLOYEES[[#This Row],[EMPLOYEE NUMBER]]="","",IF(AND(T_EMPLOYEES[[#This Row],[DATE OF BIRTH]]&gt;0,T_EMPLOYEES[[#This Row],[DATE OF BIRTH]]&lt;TODAY()),0,1))</f>
        <v/>
      </c>
      <c r="AD426">
        <f>IF(T_EMPLOYEES[[#This Row],[EMPLOYEE NUMBER]]="","",IF(AND(T_EMPLOYEES[[#This Row],[START DATE]]&gt;0,T_EMPLOYEES[[#This Row],[START DATE]]&lt;TODAY()+60),0,1))</f>
        <v/>
      </c>
      <c r="AE426">
        <f>IF(T_EMPLOYEES[[#This Row],[EMPLOYEE NUMBER]]="","",MATCH(T_EMPLOYEES[[#This Row],[GENDER]],L_GENDER,0))</f>
        <v/>
      </c>
      <c r="AF426">
        <f>IF(T_EMPLOYEES[[#This Row],[EMPLOYEE NUMBER]]="","",MATCH(T_EMPLOYEES[[#This Row],[HIRE SOURCE]],L_HIRESOURCE,0))</f>
        <v/>
      </c>
      <c r="AG426">
        <f>IF(T_EMPLOYEES[[#This Row],[EMPLOYEE NUMBER]]="","",MATCH(T_EMPLOYEES[[#This Row],[ETHNICITY]],L_ETHNICITY,0))</f>
        <v/>
      </c>
      <c r="AH426">
        <f>IF(T_EMPLOYEES[[#This Row],[EMPLOYEE NUMBER]]="","",MATCH(T_EMPLOYEES[[#This Row],[LOCATION]],L_LOCATION,0))</f>
        <v/>
      </c>
      <c r="AI426">
        <f>IF(T_EMPLOYEES[[#This Row],[EMPLOYEE NUMBER]]="","",MATCH(T_EMPLOYEES[[#This Row],[DEPARTMENT]],L_DEPARTMENT,0))</f>
        <v/>
      </c>
      <c r="AJ426">
        <f>IF(T_EMPLOYEES[[#This Row],[EMPLOYEE NUMBER]]="","",MATCH(T_EMPLOYEES[[#This Row],[JOB TYPE]],L_JOBTYPE,0))</f>
        <v/>
      </c>
      <c r="AK426">
        <f>IF(T_EMPLOYEES[[#This Row],[EMPLOYEE NUMBER]]="","",MATCH(T_EMPLOYEES[[#This Row],[JOB CATEGORY]],L_JOBCATEGORY,0))</f>
        <v/>
      </c>
      <c r="AL426">
        <f>IF(T_EMPLOYEES[[#This Row],[EMPLOYEE NUMBER]]="","",MATCH(T_EMPLOYEES[[#This Row],[JOB LEVEL]],L_JOBLEVEL,0))</f>
        <v/>
      </c>
      <c r="AM426">
        <f>IF(T_EMPLOYEES[[#This Row],[EMPLOYEE NUMBER]]="","",MATCH(T_EMPLOYEES[[#This Row],[JOB TITLE]],L_JOBTITLE,0))</f>
        <v/>
      </c>
      <c r="AN426">
        <f>IF(T_EMPLOYEES[[#This Row],[EMPLOYEE NUMBER]]="","",MATCH(T_EMPLOYEES[[#This Row],[MANAGER]],L_EMPLABELS,0))</f>
        <v/>
      </c>
      <c r="AO426">
        <f>IF(T_EMPLOYEES[[#This Row],[EMPLOYEE NUMBER]]="","",IF(T_EMPLOYEES[[#This Row],[ERROR]]="",0,1))</f>
        <v/>
      </c>
      <c r="AP42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26" t="inlineStr">
        <is>
          <t>Claims</t>
        </is>
      </c>
    </row>
    <row r="427">
      <c r="A427" t="inlineStr">
        <is>
          <t>Ibrahim</t>
        </is>
      </c>
      <c r="B427" t="inlineStr">
        <is>
          <t>Zahik</t>
        </is>
      </c>
      <c r="C427" t="n">
        <v>1026162</v>
      </c>
      <c r="D427" t="inlineStr">
        <is>
          <t>Ibrahim.Zahik@infinite.com</t>
        </is>
      </c>
      <c r="E427" s="26" t="n">
        <v>36251</v>
      </c>
      <c r="F427" s="26" t="n">
        <v>44425</v>
      </c>
      <c r="H427" t="inlineStr">
        <is>
          <t>Male</t>
        </is>
      </c>
      <c r="I427" t="inlineStr">
        <is>
          <t>Asian</t>
        </is>
      </c>
      <c r="J427" t="inlineStr">
        <is>
          <t>WEBSITE</t>
        </is>
      </c>
      <c r="K427" t="inlineStr">
        <is>
          <t>Bangalore</t>
        </is>
      </c>
      <c r="L427" s="27" t="inlineStr">
        <is>
          <t>IT</t>
        </is>
      </c>
      <c r="M427" t="inlineStr">
        <is>
          <t>Full-Time</t>
        </is>
      </c>
      <c r="N427" t="inlineStr">
        <is>
          <t>Software Engineer</t>
        </is>
      </c>
      <c r="O427" t="inlineStr">
        <is>
          <t>E2</t>
        </is>
      </c>
      <c r="P427" t="inlineStr">
        <is>
          <t>Software Engineer</t>
        </is>
      </c>
      <c r="Q427" t="inlineStr">
        <is>
          <t>Rashmi  Manchanda (1023573)</t>
        </is>
      </c>
      <c r="R427" t="n">
        <v>4</v>
      </c>
      <c r="S427" s="1" t="n">
        <v>250000</v>
      </c>
      <c r="T427" s="1">
        <f>ROUND(T_EMPLOYEES[[#This Row],[EMP_CTC1]]/12, 0)</f>
        <v/>
      </c>
      <c r="U427" s="1" t="n">
        <v>150000</v>
      </c>
      <c r="V427" s="1" t="inlineStr">
        <is>
          <t>AK</t>
        </is>
      </c>
      <c r="W427" s="1" t="inlineStr">
        <is>
          <t>AK</t>
        </is>
      </c>
      <c r="X42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7" t="n">
        <v>120000</v>
      </c>
      <c r="Z427" s="29">
        <f>(S427 - U427)/S427 * 100</f>
        <v/>
      </c>
      <c r="AA427">
        <f>IF(T_EMPLOYEES[[#This Row],[EMPLOYEE NUMBER]]="","",ROW(T_EMPLOYEES[[#This Row],[EMPLOYEE LABEL]])-ROW(T_EMPLOYEES[[#Headers],[EMPLOYEE LABEL]]))</f>
        <v/>
      </c>
      <c r="AB427">
        <f>IF(T_EMPLOYEES[[#This Row],[EMPLOYEE NUMBER]]="","",IF(COUNTIF(T_EMPLOYEES[EMPLOYEE NUMBER],T_EMPLOYEES[[#This Row],[EMPLOYEE NUMBER]])&gt;1,1,0))</f>
        <v/>
      </c>
      <c r="AC427">
        <f>IF(T_EMPLOYEES[[#This Row],[EMPLOYEE NUMBER]]="","",IF(AND(T_EMPLOYEES[[#This Row],[DATE OF BIRTH]]&gt;0,T_EMPLOYEES[[#This Row],[DATE OF BIRTH]]&lt;TODAY()),0,1))</f>
        <v/>
      </c>
      <c r="AD427">
        <f>IF(T_EMPLOYEES[[#This Row],[EMPLOYEE NUMBER]]="","",IF(AND(T_EMPLOYEES[[#This Row],[START DATE]]&gt;0,T_EMPLOYEES[[#This Row],[START DATE]]&lt;TODAY()+60),0,1))</f>
        <v/>
      </c>
      <c r="AE427">
        <f>IF(T_EMPLOYEES[[#This Row],[EMPLOYEE NUMBER]]="","",MATCH(T_EMPLOYEES[[#This Row],[GENDER]],L_GENDER,0))</f>
        <v/>
      </c>
      <c r="AF427">
        <f>IF(T_EMPLOYEES[[#This Row],[EMPLOYEE NUMBER]]="","",MATCH(T_EMPLOYEES[[#This Row],[HIRE SOURCE]],L_HIRESOURCE,0))</f>
        <v/>
      </c>
      <c r="AG427">
        <f>IF(T_EMPLOYEES[[#This Row],[EMPLOYEE NUMBER]]="","",MATCH(T_EMPLOYEES[[#This Row],[ETHNICITY]],L_ETHNICITY,0))</f>
        <v/>
      </c>
      <c r="AH427">
        <f>IF(T_EMPLOYEES[[#This Row],[EMPLOYEE NUMBER]]="","",MATCH(T_EMPLOYEES[[#This Row],[LOCATION]],L_LOCATION,0))</f>
        <v/>
      </c>
      <c r="AI427">
        <f>IF(T_EMPLOYEES[[#This Row],[EMPLOYEE NUMBER]]="","",MATCH(T_EMPLOYEES[[#This Row],[DEPARTMENT]],L_DEPARTMENT,0))</f>
        <v/>
      </c>
      <c r="AJ427">
        <f>IF(T_EMPLOYEES[[#This Row],[EMPLOYEE NUMBER]]="","",MATCH(T_EMPLOYEES[[#This Row],[JOB TYPE]],L_JOBTYPE,0))</f>
        <v/>
      </c>
      <c r="AK427">
        <f>IF(T_EMPLOYEES[[#This Row],[EMPLOYEE NUMBER]]="","",MATCH(T_EMPLOYEES[[#This Row],[JOB CATEGORY]],L_JOBCATEGORY,0))</f>
        <v/>
      </c>
      <c r="AL427">
        <f>IF(T_EMPLOYEES[[#This Row],[EMPLOYEE NUMBER]]="","",MATCH(T_EMPLOYEES[[#This Row],[JOB LEVEL]],L_JOBLEVEL,0))</f>
        <v/>
      </c>
      <c r="AM427">
        <f>IF(T_EMPLOYEES[[#This Row],[EMPLOYEE NUMBER]]="","",MATCH(T_EMPLOYEES[[#This Row],[JOB TITLE]],L_JOBTITLE,0))</f>
        <v/>
      </c>
      <c r="AN427">
        <f>IF(T_EMPLOYEES[[#This Row],[EMPLOYEE NUMBER]]="","",MATCH(T_EMPLOYEES[[#This Row],[MANAGER]],L_EMPLABELS,0))</f>
        <v/>
      </c>
      <c r="AO427">
        <f>IF(T_EMPLOYEES[[#This Row],[EMPLOYEE NUMBER]]="","",IF(T_EMPLOYEES[[#This Row],[ERROR]]="",0,1))</f>
        <v/>
      </c>
      <c r="AP42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27" t="inlineStr">
        <is>
          <t>Claims</t>
        </is>
      </c>
    </row>
    <row r="428">
      <c r="A428" t="inlineStr">
        <is>
          <t>R</t>
        </is>
      </c>
      <c r="B428" t="inlineStr">
        <is>
          <t>R Madhupreethaa</t>
        </is>
      </c>
      <c r="C428" t="n">
        <v>1025156</v>
      </c>
      <c r="D428" t="inlineStr">
        <is>
          <t>Madhupreethaa.Rajkumar@infinite.com</t>
        </is>
      </c>
      <c r="E428" s="26" t="n">
        <v>36255</v>
      </c>
      <c r="F428" s="26" t="n">
        <v>44316</v>
      </c>
      <c r="H428" t="inlineStr">
        <is>
          <t>Female</t>
        </is>
      </c>
      <c r="I428" t="inlineStr">
        <is>
          <t>Asian</t>
        </is>
      </c>
      <c r="J428" t="inlineStr">
        <is>
          <t>WEBSITE</t>
        </is>
      </c>
      <c r="K428" t="inlineStr">
        <is>
          <t>Hyderabad</t>
        </is>
      </c>
      <c r="L428" s="27" t="inlineStr">
        <is>
          <t>IT</t>
        </is>
      </c>
      <c r="M428" t="inlineStr">
        <is>
          <t>Full-Time</t>
        </is>
      </c>
      <c r="N428" t="inlineStr">
        <is>
          <t>Software Test Engineer</t>
        </is>
      </c>
      <c r="O428" t="inlineStr">
        <is>
          <t>E2</t>
        </is>
      </c>
      <c r="P428" t="inlineStr">
        <is>
          <t>Software Test Engineer</t>
        </is>
      </c>
      <c r="Q428" t="inlineStr">
        <is>
          <t>Shrihari S Butti (1029760)</t>
        </is>
      </c>
      <c r="R428" s="27" t="n">
        <v>4</v>
      </c>
      <c r="S428" s="1" t="n">
        <v>250000</v>
      </c>
      <c r="T428" s="1">
        <f>ROUND(T_EMPLOYEES[[#This Row],[EMP_CTC1]]/12, 0)</f>
        <v/>
      </c>
      <c r="U428" s="1" t="n">
        <v>150000</v>
      </c>
      <c r="V428" s="1" t="inlineStr">
        <is>
          <t>AK</t>
        </is>
      </c>
      <c r="W428" s="1" t="inlineStr">
        <is>
          <t>AK</t>
        </is>
      </c>
      <c r="X42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8" t="n">
        <v>120000</v>
      </c>
      <c r="Z428" s="29">
        <f>(S428 - U428)/S428 * 100</f>
        <v/>
      </c>
      <c r="AA428">
        <f>IF(T_EMPLOYEES[[#This Row],[EMPLOYEE NUMBER]]="","",ROW(T_EMPLOYEES[[#This Row],[EMPLOYEE LABEL]])-ROW(T_EMPLOYEES[[#Headers],[EMPLOYEE LABEL]]))</f>
        <v/>
      </c>
      <c r="AB428">
        <f>IF(T_EMPLOYEES[[#This Row],[EMPLOYEE NUMBER]]="","",IF(COUNTIF(T_EMPLOYEES[EMPLOYEE NUMBER],T_EMPLOYEES[[#This Row],[EMPLOYEE NUMBER]])&gt;1,1,0))</f>
        <v/>
      </c>
      <c r="AC428">
        <f>IF(T_EMPLOYEES[[#This Row],[EMPLOYEE NUMBER]]="","",IF(AND(T_EMPLOYEES[[#This Row],[DATE OF BIRTH]]&gt;0,T_EMPLOYEES[[#This Row],[DATE OF BIRTH]]&lt;TODAY()),0,1))</f>
        <v/>
      </c>
      <c r="AD428">
        <f>IF(T_EMPLOYEES[[#This Row],[EMPLOYEE NUMBER]]="","",IF(AND(T_EMPLOYEES[[#This Row],[START DATE]]&gt;0,T_EMPLOYEES[[#This Row],[START DATE]]&lt;TODAY()+60),0,1))</f>
        <v/>
      </c>
      <c r="AE428">
        <f>IF(T_EMPLOYEES[[#This Row],[EMPLOYEE NUMBER]]="","",MATCH(T_EMPLOYEES[[#This Row],[GENDER]],L_GENDER,0))</f>
        <v/>
      </c>
      <c r="AF428">
        <f>IF(T_EMPLOYEES[[#This Row],[EMPLOYEE NUMBER]]="","",MATCH(T_EMPLOYEES[[#This Row],[HIRE SOURCE]],L_HIRESOURCE,0))</f>
        <v/>
      </c>
      <c r="AG428">
        <f>IF(T_EMPLOYEES[[#This Row],[EMPLOYEE NUMBER]]="","",MATCH(T_EMPLOYEES[[#This Row],[ETHNICITY]],L_ETHNICITY,0))</f>
        <v/>
      </c>
      <c r="AH428">
        <f>IF(T_EMPLOYEES[[#This Row],[EMPLOYEE NUMBER]]="","",MATCH(T_EMPLOYEES[[#This Row],[LOCATION]],L_LOCATION,0))</f>
        <v/>
      </c>
      <c r="AI428">
        <f>IF(T_EMPLOYEES[[#This Row],[EMPLOYEE NUMBER]]="","",MATCH(T_EMPLOYEES[[#This Row],[DEPARTMENT]],L_DEPARTMENT,0))</f>
        <v/>
      </c>
      <c r="AJ428">
        <f>IF(T_EMPLOYEES[[#This Row],[EMPLOYEE NUMBER]]="","",MATCH(T_EMPLOYEES[[#This Row],[JOB TYPE]],L_JOBTYPE,0))</f>
        <v/>
      </c>
      <c r="AK428">
        <f>IF(T_EMPLOYEES[[#This Row],[EMPLOYEE NUMBER]]="","",MATCH(T_EMPLOYEES[[#This Row],[JOB CATEGORY]],L_JOBCATEGORY,0))</f>
        <v/>
      </c>
      <c r="AL428">
        <f>IF(T_EMPLOYEES[[#This Row],[EMPLOYEE NUMBER]]="","",MATCH(T_EMPLOYEES[[#This Row],[JOB LEVEL]],L_JOBLEVEL,0))</f>
        <v/>
      </c>
      <c r="AM428">
        <f>IF(T_EMPLOYEES[[#This Row],[EMPLOYEE NUMBER]]="","",MATCH(T_EMPLOYEES[[#This Row],[JOB TITLE]],L_JOBTITLE,0))</f>
        <v/>
      </c>
      <c r="AN428">
        <f>IF(T_EMPLOYEES[[#This Row],[EMPLOYEE NUMBER]]="","",MATCH(T_EMPLOYEES[[#This Row],[MANAGER]],L_EMPLABELS,0))</f>
        <v/>
      </c>
      <c r="AO428">
        <f>IF(T_EMPLOYEES[[#This Row],[EMPLOYEE NUMBER]]="","",IF(T_EMPLOYEES[[#This Row],[ERROR]]="",0,1))</f>
        <v/>
      </c>
      <c r="AP42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29">
      <c r="A429" t="inlineStr">
        <is>
          <t>Mohamed</t>
        </is>
      </c>
      <c r="B429" t="inlineStr">
        <is>
          <t>Wasim</t>
        </is>
      </c>
      <c r="C429" t="n">
        <v>1033661</v>
      </c>
      <c r="D429" t="inlineStr">
        <is>
          <t>Mohamed.Wasim@infinite.com</t>
        </is>
      </c>
      <c r="E429" s="26" t="n">
        <v>36260</v>
      </c>
      <c r="F429" s="26" t="n">
        <v>45203</v>
      </c>
      <c r="H429" t="inlineStr">
        <is>
          <t>Male</t>
        </is>
      </c>
      <c r="I429" t="inlineStr">
        <is>
          <t>Asian</t>
        </is>
      </c>
      <c r="J429" t="inlineStr">
        <is>
          <t>WEBSITE</t>
        </is>
      </c>
      <c r="K429" t="inlineStr">
        <is>
          <t>Hyderabad</t>
        </is>
      </c>
      <c r="L429" s="27" t="inlineStr">
        <is>
          <t>IT</t>
        </is>
      </c>
      <c r="M429" t="inlineStr">
        <is>
          <t>Full-Time</t>
        </is>
      </c>
      <c r="N429" t="inlineStr">
        <is>
          <t>Associate Software Engineer</t>
        </is>
      </c>
      <c r="O429" t="inlineStr">
        <is>
          <t>E1</t>
        </is>
      </c>
      <c r="P429" t="inlineStr">
        <is>
          <t>Associate Software Engineer</t>
        </is>
      </c>
      <c r="Q429" t="inlineStr">
        <is>
          <t>Unnikrishnan Chellappan C (1025919)</t>
        </is>
      </c>
      <c r="R429" t="n">
        <v>0</v>
      </c>
      <c r="S429" s="1" t="n">
        <v>250000</v>
      </c>
      <c r="T429" s="1">
        <f>ROUND(T_EMPLOYEES[[#This Row],[EMP_CTC1]]/12, 0)</f>
        <v/>
      </c>
      <c r="U429" s="1" t="n">
        <v>150000</v>
      </c>
      <c r="V429" s="1" t="inlineStr">
        <is>
          <t>AK</t>
        </is>
      </c>
      <c r="W429" s="1" t="inlineStr">
        <is>
          <t>AK</t>
        </is>
      </c>
      <c r="X42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29" t="n">
        <v>120000</v>
      </c>
      <c r="Z429" s="29">
        <f>(S429 - U429)/S429 * 100</f>
        <v/>
      </c>
      <c r="AA429">
        <f>IF(T_EMPLOYEES[[#This Row],[EMPLOYEE NUMBER]]="","",ROW(T_EMPLOYEES[[#This Row],[EMPLOYEE LABEL]])-ROW(T_EMPLOYEES[[#Headers],[EMPLOYEE LABEL]]))</f>
        <v/>
      </c>
      <c r="AB429">
        <f>IF(T_EMPLOYEES[[#This Row],[EMPLOYEE NUMBER]]="","",IF(COUNTIF(T_EMPLOYEES[EMPLOYEE NUMBER],T_EMPLOYEES[[#This Row],[EMPLOYEE NUMBER]])&gt;1,1,0))</f>
        <v/>
      </c>
      <c r="AC429">
        <f>IF(T_EMPLOYEES[[#This Row],[EMPLOYEE NUMBER]]="","",IF(AND(T_EMPLOYEES[[#This Row],[DATE OF BIRTH]]&gt;0,T_EMPLOYEES[[#This Row],[DATE OF BIRTH]]&lt;TODAY()),0,1))</f>
        <v/>
      </c>
      <c r="AD429">
        <f>IF(T_EMPLOYEES[[#This Row],[EMPLOYEE NUMBER]]="","",IF(AND(T_EMPLOYEES[[#This Row],[START DATE]]&gt;0,T_EMPLOYEES[[#This Row],[START DATE]]&lt;TODAY()+60),0,1))</f>
        <v/>
      </c>
      <c r="AE429">
        <f>IF(T_EMPLOYEES[[#This Row],[EMPLOYEE NUMBER]]="","",MATCH(T_EMPLOYEES[[#This Row],[GENDER]],L_GENDER,0))</f>
        <v/>
      </c>
      <c r="AF429">
        <f>IF(T_EMPLOYEES[[#This Row],[EMPLOYEE NUMBER]]="","",MATCH(T_EMPLOYEES[[#This Row],[HIRE SOURCE]],L_HIRESOURCE,0))</f>
        <v/>
      </c>
      <c r="AG429">
        <f>IF(T_EMPLOYEES[[#This Row],[EMPLOYEE NUMBER]]="","",MATCH(T_EMPLOYEES[[#This Row],[ETHNICITY]],L_ETHNICITY,0))</f>
        <v/>
      </c>
      <c r="AH429">
        <f>IF(T_EMPLOYEES[[#This Row],[EMPLOYEE NUMBER]]="","",MATCH(T_EMPLOYEES[[#This Row],[LOCATION]],L_LOCATION,0))</f>
        <v/>
      </c>
      <c r="AI429">
        <f>IF(T_EMPLOYEES[[#This Row],[EMPLOYEE NUMBER]]="","",MATCH(T_EMPLOYEES[[#This Row],[DEPARTMENT]],L_DEPARTMENT,0))</f>
        <v/>
      </c>
      <c r="AJ429">
        <f>IF(T_EMPLOYEES[[#This Row],[EMPLOYEE NUMBER]]="","",MATCH(T_EMPLOYEES[[#This Row],[JOB TYPE]],L_JOBTYPE,0))</f>
        <v/>
      </c>
      <c r="AK429">
        <f>IF(T_EMPLOYEES[[#This Row],[EMPLOYEE NUMBER]]="","",MATCH(T_EMPLOYEES[[#This Row],[JOB CATEGORY]],L_JOBCATEGORY,0))</f>
        <v/>
      </c>
      <c r="AL429">
        <f>IF(T_EMPLOYEES[[#This Row],[EMPLOYEE NUMBER]]="","",MATCH(T_EMPLOYEES[[#This Row],[JOB LEVEL]],L_JOBLEVEL,0))</f>
        <v/>
      </c>
      <c r="AM429">
        <f>IF(T_EMPLOYEES[[#This Row],[EMPLOYEE NUMBER]]="","",MATCH(T_EMPLOYEES[[#This Row],[JOB TITLE]],L_JOBTITLE,0))</f>
        <v/>
      </c>
      <c r="AN429">
        <f>IF(T_EMPLOYEES[[#This Row],[EMPLOYEE NUMBER]]="","",MATCH(T_EMPLOYEES[[#This Row],[MANAGER]],L_EMPLABELS,0))</f>
        <v/>
      </c>
      <c r="AO429">
        <f>IF(T_EMPLOYEES[[#This Row],[EMPLOYEE NUMBER]]="","",IF(T_EMPLOYEES[[#This Row],[ERROR]]="",0,1))</f>
        <v/>
      </c>
      <c r="AP42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0">
      <c r="A430" t="inlineStr">
        <is>
          <t>Aishwarya</t>
        </is>
      </c>
      <c r="B430" t="inlineStr">
        <is>
          <t>Sahu</t>
        </is>
      </c>
      <c r="C430" t="n">
        <v>1026159</v>
      </c>
      <c r="D430" t="inlineStr">
        <is>
          <t>Aishwarya.Sahu@infinite.com</t>
        </is>
      </c>
      <c r="E430" s="26" t="n">
        <v>36266</v>
      </c>
      <c r="F430" s="26" t="n">
        <v>44425</v>
      </c>
      <c r="H430" t="inlineStr">
        <is>
          <t>Female</t>
        </is>
      </c>
      <c r="I430" t="inlineStr">
        <is>
          <t>Asian</t>
        </is>
      </c>
      <c r="J430" t="inlineStr">
        <is>
          <t>WEBSITE</t>
        </is>
      </c>
      <c r="K430" t="inlineStr">
        <is>
          <t>Bangalore</t>
        </is>
      </c>
      <c r="L430" s="27" t="inlineStr">
        <is>
          <t>IT</t>
        </is>
      </c>
      <c r="M430" t="inlineStr">
        <is>
          <t>Full-Time</t>
        </is>
      </c>
      <c r="N430" t="inlineStr">
        <is>
          <t>Software Engineer</t>
        </is>
      </c>
      <c r="O430" t="inlineStr">
        <is>
          <t>E2</t>
        </is>
      </c>
      <c r="P430" t="inlineStr">
        <is>
          <t>Software Engineer</t>
        </is>
      </c>
      <c r="Q430" t="inlineStr">
        <is>
          <t>Rashmi  Manchanda (1023573)</t>
        </is>
      </c>
      <c r="R430" s="27" t="n">
        <v>4</v>
      </c>
      <c r="S430" s="1" t="n">
        <v>250000</v>
      </c>
      <c r="T430" s="1">
        <f>ROUND(T_EMPLOYEES[[#This Row],[EMP_CTC1]]/12, 0)</f>
        <v/>
      </c>
      <c r="U430" s="1" t="n">
        <v>150000</v>
      </c>
      <c r="V430" s="1" t="inlineStr">
        <is>
          <t>AK</t>
        </is>
      </c>
      <c r="W430" s="1" t="inlineStr">
        <is>
          <t>AK</t>
        </is>
      </c>
      <c r="X43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0" t="n">
        <v>120000</v>
      </c>
      <c r="Z430" s="29">
        <f>(S430 - U430)/S430 * 100</f>
        <v/>
      </c>
      <c r="AA430">
        <f>IF(T_EMPLOYEES[[#This Row],[EMPLOYEE NUMBER]]="","",ROW(T_EMPLOYEES[[#This Row],[EMPLOYEE LABEL]])-ROW(T_EMPLOYEES[[#Headers],[EMPLOYEE LABEL]]))</f>
        <v/>
      </c>
      <c r="AB430">
        <f>IF(T_EMPLOYEES[[#This Row],[EMPLOYEE NUMBER]]="","",IF(COUNTIF(T_EMPLOYEES[EMPLOYEE NUMBER],T_EMPLOYEES[[#This Row],[EMPLOYEE NUMBER]])&gt;1,1,0))</f>
        <v/>
      </c>
      <c r="AC430">
        <f>IF(T_EMPLOYEES[[#This Row],[EMPLOYEE NUMBER]]="","",IF(AND(T_EMPLOYEES[[#This Row],[DATE OF BIRTH]]&gt;0,T_EMPLOYEES[[#This Row],[DATE OF BIRTH]]&lt;TODAY()),0,1))</f>
        <v/>
      </c>
      <c r="AD430">
        <f>IF(T_EMPLOYEES[[#This Row],[EMPLOYEE NUMBER]]="","",IF(AND(T_EMPLOYEES[[#This Row],[START DATE]]&gt;0,T_EMPLOYEES[[#This Row],[START DATE]]&lt;TODAY()+60),0,1))</f>
        <v/>
      </c>
      <c r="AE430">
        <f>IF(T_EMPLOYEES[[#This Row],[EMPLOYEE NUMBER]]="","",MATCH(T_EMPLOYEES[[#This Row],[GENDER]],L_GENDER,0))</f>
        <v/>
      </c>
      <c r="AF430">
        <f>IF(T_EMPLOYEES[[#This Row],[EMPLOYEE NUMBER]]="","",MATCH(T_EMPLOYEES[[#This Row],[HIRE SOURCE]],L_HIRESOURCE,0))</f>
        <v/>
      </c>
      <c r="AG430">
        <f>IF(T_EMPLOYEES[[#This Row],[EMPLOYEE NUMBER]]="","",MATCH(T_EMPLOYEES[[#This Row],[ETHNICITY]],L_ETHNICITY,0))</f>
        <v/>
      </c>
      <c r="AH430">
        <f>IF(T_EMPLOYEES[[#This Row],[EMPLOYEE NUMBER]]="","",MATCH(T_EMPLOYEES[[#This Row],[LOCATION]],L_LOCATION,0))</f>
        <v/>
      </c>
      <c r="AI430">
        <f>IF(T_EMPLOYEES[[#This Row],[EMPLOYEE NUMBER]]="","",MATCH(T_EMPLOYEES[[#This Row],[DEPARTMENT]],L_DEPARTMENT,0))</f>
        <v/>
      </c>
      <c r="AJ430">
        <f>IF(T_EMPLOYEES[[#This Row],[EMPLOYEE NUMBER]]="","",MATCH(T_EMPLOYEES[[#This Row],[JOB TYPE]],L_JOBTYPE,0))</f>
        <v/>
      </c>
      <c r="AK430">
        <f>IF(T_EMPLOYEES[[#This Row],[EMPLOYEE NUMBER]]="","",MATCH(T_EMPLOYEES[[#This Row],[JOB CATEGORY]],L_JOBCATEGORY,0))</f>
        <v/>
      </c>
      <c r="AL430">
        <f>IF(T_EMPLOYEES[[#This Row],[EMPLOYEE NUMBER]]="","",MATCH(T_EMPLOYEES[[#This Row],[JOB LEVEL]],L_JOBLEVEL,0))</f>
        <v/>
      </c>
      <c r="AM430">
        <f>IF(T_EMPLOYEES[[#This Row],[EMPLOYEE NUMBER]]="","",MATCH(T_EMPLOYEES[[#This Row],[JOB TITLE]],L_JOBTITLE,0))</f>
        <v/>
      </c>
      <c r="AN430">
        <f>IF(T_EMPLOYEES[[#This Row],[EMPLOYEE NUMBER]]="","",MATCH(T_EMPLOYEES[[#This Row],[MANAGER]],L_EMPLABELS,0))</f>
        <v/>
      </c>
      <c r="AO430">
        <f>IF(T_EMPLOYEES[[#This Row],[EMPLOYEE NUMBER]]="","",IF(T_EMPLOYEES[[#This Row],[ERROR]]="",0,1))</f>
        <v/>
      </c>
      <c r="AP43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1">
      <c r="A431" t="inlineStr">
        <is>
          <t>Balchandan</t>
        </is>
      </c>
      <c r="B431" t="inlineStr">
        <is>
          <t>T V</t>
        </is>
      </c>
      <c r="C431" t="n">
        <v>1027222</v>
      </c>
      <c r="D431" t="inlineStr">
        <is>
          <t>Balchandan.Vijay@infinite.com</t>
        </is>
      </c>
      <c r="E431" s="26" t="n">
        <v>36285</v>
      </c>
      <c r="F431" s="26" t="n">
        <v>44517</v>
      </c>
      <c r="H431" t="inlineStr">
        <is>
          <t>Male</t>
        </is>
      </c>
      <c r="I431" t="inlineStr">
        <is>
          <t>Asian</t>
        </is>
      </c>
      <c r="J431" t="inlineStr">
        <is>
          <t>WEBSITE</t>
        </is>
      </c>
      <c r="K431" t="inlineStr">
        <is>
          <t>Bangalore</t>
        </is>
      </c>
      <c r="L431" s="27" t="inlineStr">
        <is>
          <t>IT</t>
        </is>
      </c>
      <c r="M431" t="inlineStr">
        <is>
          <t>Full-Time</t>
        </is>
      </c>
      <c r="N431" t="inlineStr">
        <is>
          <t>Software Test Engineer</t>
        </is>
      </c>
      <c r="O431" t="inlineStr">
        <is>
          <t>E2</t>
        </is>
      </c>
      <c r="P431" t="inlineStr">
        <is>
          <t>Software Test Engineer</t>
        </is>
      </c>
      <c r="Q431" t="inlineStr">
        <is>
          <t>Sreekanth  Pulumati (1022868)</t>
        </is>
      </c>
      <c r="R431" t="n">
        <v>4</v>
      </c>
      <c r="S431" s="1" t="n">
        <v>250000</v>
      </c>
      <c r="T431" s="1">
        <f>ROUND(T_EMPLOYEES[[#This Row],[EMP_CTC1]]/12, 0)</f>
        <v/>
      </c>
      <c r="U431" s="1" t="n">
        <v>150000</v>
      </c>
      <c r="V431" s="1" t="inlineStr">
        <is>
          <t>AK</t>
        </is>
      </c>
      <c r="W431" s="1" t="inlineStr">
        <is>
          <t>AK</t>
        </is>
      </c>
      <c r="X43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1" t="n">
        <v>120000</v>
      </c>
      <c r="Z431" s="29">
        <f>(S431 - U431)/S431 * 100</f>
        <v/>
      </c>
      <c r="AA431">
        <f>IF(T_EMPLOYEES[[#This Row],[EMPLOYEE NUMBER]]="","",ROW(T_EMPLOYEES[[#This Row],[EMPLOYEE LABEL]])-ROW(T_EMPLOYEES[[#Headers],[EMPLOYEE LABEL]]))</f>
        <v/>
      </c>
      <c r="AB431">
        <f>IF(T_EMPLOYEES[[#This Row],[EMPLOYEE NUMBER]]="","",IF(COUNTIF(T_EMPLOYEES[EMPLOYEE NUMBER],T_EMPLOYEES[[#This Row],[EMPLOYEE NUMBER]])&gt;1,1,0))</f>
        <v/>
      </c>
      <c r="AC431">
        <f>IF(T_EMPLOYEES[[#This Row],[EMPLOYEE NUMBER]]="","",IF(AND(T_EMPLOYEES[[#This Row],[DATE OF BIRTH]]&gt;0,T_EMPLOYEES[[#This Row],[DATE OF BIRTH]]&lt;TODAY()),0,1))</f>
        <v/>
      </c>
      <c r="AD431">
        <f>IF(T_EMPLOYEES[[#This Row],[EMPLOYEE NUMBER]]="","",IF(AND(T_EMPLOYEES[[#This Row],[START DATE]]&gt;0,T_EMPLOYEES[[#This Row],[START DATE]]&lt;TODAY()+60),0,1))</f>
        <v/>
      </c>
      <c r="AE431">
        <f>IF(T_EMPLOYEES[[#This Row],[EMPLOYEE NUMBER]]="","",MATCH(T_EMPLOYEES[[#This Row],[GENDER]],L_GENDER,0))</f>
        <v/>
      </c>
      <c r="AF431">
        <f>IF(T_EMPLOYEES[[#This Row],[EMPLOYEE NUMBER]]="","",MATCH(T_EMPLOYEES[[#This Row],[HIRE SOURCE]],L_HIRESOURCE,0))</f>
        <v/>
      </c>
      <c r="AG431">
        <f>IF(T_EMPLOYEES[[#This Row],[EMPLOYEE NUMBER]]="","",MATCH(T_EMPLOYEES[[#This Row],[ETHNICITY]],L_ETHNICITY,0))</f>
        <v/>
      </c>
      <c r="AH431">
        <f>IF(T_EMPLOYEES[[#This Row],[EMPLOYEE NUMBER]]="","",MATCH(T_EMPLOYEES[[#This Row],[LOCATION]],L_LOCATION,0))</f>
        <v/>
      </c>
      <c r="AI431">
        <f>IF(T_EMPLOYEES[[#This Row],[EMPLOYEE NUMBER]]="","",MATCH(T_EMPLOYEES[[#This Row],[DEPARTMENT]],L_DEPARTMENT,0))</f>
        <v/>
      </c>
      <c r="AJ431">
        <f>IF(T_EMPLOYEES[[#This Row],[EMPLOYEE NUMBER]]="","",MATCH(T_EMPLOYEES[[#This Row],[JOB TYPE]],L_JOBTYPE,0))</f>
        <v/>
      </c>
      <c r="AK431">
        <f>IF(T_EMPLOYEES[[#This Row],[EMPLOYEE NUMBER]]="","",MATCH(T_EMPLOYEES[[#This Row],[JOB CATEGORY]],L_JOBCATEGORY,0))</f>
        <v/>
      </c>
      <c r="AL431">
        <f>IF(T_EMPLOYEES[[#This Row],[EMPLOYEE NUMBER]]="","",MATCH(T_EMPLOYEES[[#This Row],[JOB LEVEL]],L_JOBLEVEL,0))</f>
        <v/>
      </c>
      <c r="AM431">
        <f>IF(T_EMPLOYEES[[#This Row],[EMPLOYEE NUMBER]]="","",MATCH(T_EMPLOYEES[[#This Row],[JOB TITLE]],L_JOBTITLE,0))</f>
        <v/>
      </c>
      <c r="AN431">
        <f>IF(T_EMPLOYEES[[#This Row],[EMPLOYEE NUMBER]]="","",MATCH(T_EMPLOYEES[[#This Row],[MANAGER]],L_EMPLABELS,0))</f>
        <v/>
      </c>
      <c r="AO431">
        <f>IF(T_EMPLOYEES[[#This Row],[EMPLOYEE NUMBER]]="","",IF(T_EMPLOYEES[[#This Row],[ERROR]]="",0,1))</f>
        <v/>
      </c>
      <c r="AP43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2">
      <c r="A432" t="inlineStr">
        <is>
          <t>Karthik</t>
        </is>
      </c>
      <c r="B432" t="inlineStr">
        <is>
          <t>Thimmappa Mestha</t>
        </is>
      </c>
      <c r="C432" t="n">
        <v>1027407</v>
      </c>
      <c r="D432" t="inlineStr">
        <is>
          <t>Karthik.Mestha@infinite.com</t>
        </is>
      </c>
      <c r="E432" s="26" t="n">
        <v>36288</v>
      </c>
      <c r="F432" s="26" t="n">
        <v>44531</v>
      </c>
      <c r="H432" t="inlineStr">
        <is>
          <t>Male</t>
        </is>
      </c>
      <c r="I432" t="inlineStr">
        <is>
          <t>Asian</t>
        </is>
      </c>
      <c r="J432" t="inlineStr">
        <is>
          <t>WEBSITE</t>
        </is>
      </c>
      <c r="K432" t="inlineStr">
        <is>
          <t>Bangalore</t>
        </is>
      </c>
      <c r="L432" s="27" t="inlineStr">
        <is>
          <t>IT</t>
        </is>
      </c>
      <c r="M432" t="inlineStr">
        <is>
          <t>Full-Time</t>
        </is>
      </c>
      <c r="N432" t="inlineStr">
        <is>
          <t>Software Engineer</t>
        </is>
      </c>
      <c r="O432" t="inlineStr">
        <is>
          <t>E2</t>
        </is>
      </c>
      <c r="P432" t="inlineStr">
        <is>
          <t>Software Engineer</t>
        </is>
      </c>
      <c r="Q432" t="inlineStr">
        <is>
          <t>Kiran Kumar Uppara (1020047)</t>
        </is>
      </c>
      <c r="R432" s="27" t="n">
        <v>4</v>
      </c>
      <c r="S432" s="1" t="n">
        <v>250000</v>
      </c>
      <c r="T432" s="1">
        <f>ROUND(T_EMPLOYEES[[#This Row],[EMP_CTC1]]/12, 0)</f>
        <v/>
      </c>
      <c r="U432" s="1" t="n">
        <v>150000</v>
      </c>
      <c r="V432" s="1" t="inlineStr">
        <is>
          <t>AK</t>
        </is>
      </c>
      <c r="W432" s="1" t="inlineStr">
        <is>
          <t>AK</t>
        </is>
      </c>
      <c r="X43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2" t="n">
        <v>120000</v>
      </c>
      <c r="Z432" s="29">
        <f>(S432 - U432)/S432 * 100</f>
        <v/>
      </c>
      <c r="AA432">
        <f>IF(T_EMPLOYEES[[#This Row],[EMPLOYEE NUMBER]]="","",ROW(T_EMPLOYEES[[#This Row],[EMPLOYEE LABEL]])-ROW(T_EMPLOYEES[[#Headers],[EMPLOYEE LABEL]]))</f>
        <v/>
      </c>
      <c r="AB432">
        <f>IF(T_EMPLOYEES[[#This Row],[EMPLOYEE NUMBER]]="","",IF(COUNTIF(T_EMPLOYEES[EMPLOYEE NUMBER],T_EMPLOYEES[[#This Row],[EMPLOYEE NUMBER]])&gt;1,1,0))</f>
        <v/>
      </c>
      <c r="AC432">
        <f>IF(T_EMPLOYEES[[#This Row],[EMPLOYEE NUMBER]]="","",IF(AND(T_EMPLOYEES[[#This Row],[DATE OF BIRTH]]&gt;0,T_EMPLOYEES[[#This Row],[DATE OF BIRTH]]&lt;TODAY()),0,1))</f>
        <v/>
      </c>
      <c r="AD432">
        <f>IF(T_EMPLOYEES[[#This Row],[EMPLOYEE NUMBER]]="","",IF(AND(T_EMPLOYEES[[#This Row],[START DATE]]&gt;0,T_EMPLOYEES[[#This Row],[START DATE]]&lt;TODAY()+60),0,1))</f>
        <v/>
      </c>
      <c r="AE432">
        <f>IF(T_EMPLOYEES[[#This Row],[EMPLOYEE NUMBER]]="","",MATCH(T_EMPLOYEES[[#This Row],[GENDER]],L_GENDER,0))</f>
        <v/>
      </c>
      <c r="AF432">
        <f>IF(T_EMPLOYEES[[#This Row],[EMPLOYEE NUMBER]]="","",MATCH(T_EMPLOYEES[[#This Row],[HIRE SOURCE]],L_HIRESOURCE,0))</f>
        <v/>
      </c>
      <c r="AG432">
        <f>IF(T_EMPLOYEES[[#This Row],[EMPLOYEE NUMBER]]="","",MATCH(T_EMPLOYEES[[#This Row],[ETHNICITY]],L_ETHNICITY,0))</f>
        <v/>
      </c>
      <c r="AH432">
        <f>IF(T_EMPLOYEES[[#This Row],[EMPLOYEE NUMBER]]="","",MATCH(T_EMPLOYEES[[#This Row],[LOCATION]],L_LOCATION,0))</f>
        <v/>
      </c>
      <c r="AI432">
        <f>IF(T_EMPLOYEES[[#This Row],[EMPLOYEE NUMBER]]="","",MATCH(T_EMPLOYEES[[#This Row],[DEPARTMENT]],L_DEPARTMENT,0))</f>
        <v/>
      </c>
      <c r="AJ432">
        <f>IF(T_EMPLOYEES[[#This Row],[EMPLOYEE NUMBER]]="","",MATCH(T_EMPLOYEES[[#This Row],[JOB TYPE]],L_JOBTYPE,0))</f>
        <v/>
      </c>
      <c r="AK432">
        <f>IF(T_EMPLOYEES[[#This Row],[EMPLOYEE NUMBER]]="","",MATCH(T_EMPLOYEES[[#This Row],[JOB CATEGORY]],L_JOBCATEGORY,0))</f>
        <v/>
      </c>
      <c r="AL432">
        <f>IF(T_EMPLOYEES[[#This Row],[EMPLOYEE NUMBER]]="","",MATCH(T_EMPLOYEES[[#This Row],[JOB LEVEL]],L_JOBLEVEL,0))</f>
        <v/>
      </c>
      <c r="AM432">
        <f>IF(T_EMPLOYEES[[#This Row],[EMPLOYEE NUMBER]]="","",MATCH(T_EMPLOYEES[[#This Row],[JOB TITLE]],L_JOBTITLE,0))</f>
        <v/>
      </c>
      <c r="AN432">
        <f>IF(T_EMPLOYEES[[#This Row],[EMPLOYEE NUMBER]]="","",MATCH(T_EMPLOYEES[[#This Row],[MANAGER]],L_EMPLABELS,0))</f>
        <v/>
      </c>
      <c r="AO432">
        <f>IF(T_EMPLOYEES[[#This Row],[EMPLOYEE NUMBER]]="","",IF(T_EMPLOYEES[[#This Row],[ERROR]]="",0,1))</f>
        <v/>
      </c>
      <c r="AP43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3">
      <c r="A433" t="inlineStr">
        <is>
          <t>Divyani</t>
        </is>
      </c>
      <c r="B433" t="inlineStr">
        <is>
          <t>Deepak Solanke</t>
        </is>
      </c>
      <c r="C433" t="n">
        <v>1029530</v>
      </c>
      <c r="D433" t="inlineStr">
        <is>
          <t>Divyani.Solanke@infinite.com</t>
        </is>
      </c>
      <c r="E433" s="26" t="n">
        <v>36288</v>
      </c>
      <c r="F433" s="26" t="n">
        <v>44757</v>
      </c>
      <c r="H433" t="inlineStr">
        <is>
          <t>Female</t>
        </is>
      </c>
      <c r="I433" t="inlineStr">
        <is>
          <t>Asian</t>
        </is>
      </c>
      <c r="J433" t="inlineStr">
        <is>
          <t>WEBSITE</t>
        </is>
      </c>
      <c r="K433" t="inlineStr">
        <is>
          <t>Bangalore</t>
        </is>
      </c>
      <c r="L433" s="27" t="inlineStr">
        <is>
          <t>Core</t>
        </is>
      </c>
      <c r="M433" t="inlineStr">
        <is>
          <t>Full-Time</t>
        </is>
      </c>
      <c r="N433" t="inlineStr">
        <is>
          <t>Associate Software Engineer</t>
        </is>
      </c>
      <c r="O433" t="inlineStr">
        <is>
          <t>E1</t>
        </is>
      </c>
      <c r="P433" t="inlineStr">
        <is>
          <t>Associate Software Engineer</t>
        </is>
      </c>
      <c r="Q433" t="inlineStr">
        <is>
          <t>Anil Kumar Khamari (1013201)</t>
        </is>
      </c>
      <c r="R433" t="n">
        <v>0</v>
      </c>
      <c r="S433" s="1" t="n">
        <v>250000</v>
      </c>
      <c r="T433" s="1">
        <f>ROUND(T_EMPLOYEES[[#This Row],[EMP_CTC1]]/12, 0)</f>
        <v/>
      </c>
      <c r="U433" s="1" t="n">
        <v>150000</v>
      </c>
      <c r="V433" s="1" t="inlineStr">
        <is>
          <t>AK</t>
        </is>
      </c>
      <c r="W433" s="1" t="inlineStr">
        <is>
          <t>AK</t>
        </is>
      </c>
      <c r="X43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3" t="n">
        <v>120000</v>
      </c>
      <c r="Z433" s="29">
        <f>(S433 - U433)/S433 * 100</f>
        <v/>
      </c>
      <c r="AA433">
        <f>IF(T_EMPLOYEES[[#This Row],[EMPLOYEE NUMBER]]="","",ROW(T_EMPLOYEES[[#This Row],[EMPLOYEE LABEL]])-ROW(T_EMPLOYEES[[#Headers],[EMPLOYEE LABEL]]))</f>
        <v/>
      </c>
      <c r="AB433">
        <f>IF(T_EMPLOYEES[[#This Row],[EMPLOYEE NUMBER]]="","",IF(COUNTIF(T_EMPLOYEES[EMPLOYEE NUMBER],T_EMPLOYEES[[#This Row],[EMPLOYEE NUMBER]])&gt;1,1,0))</f>
        <v/>
      </c>
      <c r="AC433">
        <f>IF(T_EMPLOYEES[[#This Row],[EMPLOYEE NUMBER]]="","",IF(AND(T_EMPLOYEES[[#This Row],[DATE OF BIRTH]]&gt;0,T_EMPLOYEES[[#This Row],[DATE OF BIRTH]]&lt;TODAY()),0,1))</f>
        <v/>
      </c>
      <c r="AD433">
        <f>IF(T_EMPLOYEES[[#This Row],[EMPLOYEE NUMBER]]="","",IF(AND(T_EMPLOYEES[[#This Row],[START DATE]]&gt;0,T_EMPLOYEES[[#This Row],[START DATE]]&lt;TODAY()+60),0,1))</f>
        <v/>
      </c>
      <c r="AE433">
        <f>IF(T_EMPLOYEES[[#This Row],[EMPLOYEE NUMBER]]="","",MATCH(T_EMPLOYEES[[#This Row],[GENDER]],L_GENDER,0))</f>
        <v/>
      </c>
      <c r="AF433">
        <f>IF(T_EMPLOYEES[[#This Row],[EMPLOYEE NUMBER]]="","",MATCH(T_EMPLOYEES[[#This Row],[HIRE SOURCE]],L_HIRESOURCE,0))</f>
        <v/>
      </c>
      <c r="AG433">
        <f>IF(T_EMPLOYEES[[#This Row],[EMPLOYEE NUMBER]]="","",MATCH(T_EMPLOYEES[[#This Row],[ETHNICITY]],L_ETHNICITY,0))</f>
        <v/>
      </c>
      <c r="AH433">
        <f>IF(T_EMPLOYEES[[#This Row],[EMPLOYEE NUMBER]]="","",MATCH(T_EMPLOYEES[[#This Row],[LOCATION]],L_LOCATION,0))</f>
        <v/>
      </c>
      <c r="AI433">
        <f>IF(T_EMPLOYEES[[#This Row],[EMPLOYEE NUMBER]]="","",MATCH(T_EMPLOYEES[[#This Row],[DEPARTMENT]],L_DEPARTMENT,0))</f>
        <v/>
      </c>
      <c r="AJ433">
        <f>IF(T_EMPLOYEES[[#This Row],[EMPLOYEE NUMBER]]="","",MATCH(T_EMPLOYEES[[#This Row],[JOB TYPE]],L_JOBTYPE,0))</f>
        <v/>
      </c>
      <c r="AK433">
        <f>IF(T_EMPLOYEES[[#This Row],[EMPLOYEE NUMBER]]="","",MATCH(T_EMPLOYEES[[#This Row],[JOB CATEGORY]],L_JOBCATEGORY,0))</f>
        <v/>
      </c>
      <c r="AL433">
        <f>IF(T_EMPLOYEES[[#This Row],[EMPLOYEE NUMBER]]="","",MATCH(T_EMPLOYEES[[#This Row],[JOB LEVEL]],L_JOBLEVEL,0))</f>
        <v/>
      </c>
      <c r="AM433">
        <f>IF(T_EMPLOYEES[[#This Row],[EMPLOYEE NUMBER]]="","",MATCH(T_EMPLOYEES[[#This Row],[JOB TITLE]],L_JOBTITLE,0))</f>
        <v/>
      </c>
      <c r="AN433">
        <f>IF(T_EMPLOYEES[[#This Row],[EMPLOYEE NUMBER]]="","",MATCH(T_EMPLOYEES[[#This Row],[MANAGER]],L_EMPLABELS,0))</f>
        <v/>
      </c>
      <c r="AO433">
        <f>IF(T_EMPLOYEES[[#This Row],[EMPLOYEE NUMBER]]="","",IF(T_EMPLOYEES[[#This Row],[ERROR]]="",0,1))</f>
        <v/>
      </c>
      <c r="AP43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4">
      <c r="A434" t="inlineStr">
        <is>
          <t>Dhanyashree</t>
        </is>
      </c>
      <c r="B434" t="inlineStr">
        <is>
          <t>R Prasad</t>
        </is>
      </c>
      <c r="C434" t="n">
        <v>1026933</v>
      </c>
      <c r="D434" t="inlineStr">
        <is>
          <t>Dhanyashree.Prasad2@infinite.com</t>
        </is>
      </c>
      <c r="E434" s="26" t="n">
        <v>36292</v>
      </c>
      <c r="F434" s="26" t="n">
        <v>44491</v>
      </c>
      <c r="H434" t="inlineStr">
        <is>
          <t>Female</t>
        </is>
      </c>
      <c r="I434" t="inlineStr">
        <is>
          <t>Asian</t>
        </is>
      </c>
      <c r="J434" t="inlineStr">
        <is>
          <t>WEBSITE</t>
        </is>
      </c>
      <c r="K434" t="inlineStr">
        <is>
          <t>Hyderabad</t>
        </is>
      </c>
      <c r="L434" s="27" t="inlineStr">
        <is>
          <t>IT</t>
        </is>
      </c>
      <c r="M434" t="inlineStr">
        <is>
          <t>Full-Time</t>
        </is>
      </c>
      <c r="N434" t="inlineStr">
        <is>
          <t>IT Analyst</t>
        </is>
      </c>
      <c r="O434" t="inlineStr">
        <is>
          <t>E2</t>
        </is>
      </c>
      <c r="P434" t="inlineStr">
        <is>
          <t>IT Analyst</t>
        </is>
      </c>
      <c r="Q434" t="inlineStr">
        <is>
          <t>Arnav  Chattopadhyay (1025126)</t>
        </is>
      </c>
      <c r="R434" s="27" t="n">
        <v>4</v>
      </c>
      <c r="S434" s="1" t="n">
        <v>250000</v>
      </c>
      <c r="T434" s="1">
        <f>ROUND(T_EMPLOYEES[[#This Row],[EMP_CTC1]]/12, 0)</f>
        <v/>
      </c>
      <c r="U434" s="1" t="n">
        <v>150000</v>
      </c>
      <c r="V434" s="1" t="inlineStr">
        <is>
          <t>AK</t>
        </is>
      </c>
      <c r="W434" s="1" t="inlineStr">
        <is>
          <t>AK</t>
        </is>
      </c>
      <c r="X43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4" t="n">
        <v>120000</v>
      </c>
      <c r="Z434" s="29">
        <f>(S434 - U434)/S434 * 100</f>
        <v/>
      </c>
      <c r="AA434">
        <f>IF(T_EMPLOYEES[[#This Row],[EMPLOYEE NUMBER]]="","",ROW(T_EMPLOYEES[[#This Row],[EMPLOYEE LABEL]])-ROW(T_EMPLOYEES[[#Headers],[EMPLOYEE LABEL]]))</f>
        <v/>
      </c>
      <c r="AB434">
        <f>IF(T_EMPLOYEES[[#This Row],[EMPLOYEE NUMBER]]="","",IF(COUNTIF(T_EMPLOYEES[EMPLOYEE NUMBER],T_EMPLOYEES[[#This Row],[EMPLOYEE NUMBER]])&gt;1,1,0))</f>
        <v/>
      </c>
      <c r="AC434">
        <f>IF(T_EMPLOYEES[[#This Row],[EMPLOYEE NUMBER]]="","",IF(AND(T_EMPLOYEES[[#This Row],[DATE OF BIRTH]]&gt;0,T_EMPLOYEES[[#This Row],[DATE OF BIRTH]]&lt;TODAY()),0,1))</f>
        <v/>
      </c>
      <c r="AD434">
        <f>IF(T_EMPLOYEES[[#This Row],[EMPLOYEE NUMBER]]="","",IF(AND(T_EMPLOYEES[[#This Row],[START DATE]]&gt;0,T_EMPLOYEES[[#This Row],[START DATE]]&lt;TODAY()+60),0,1))</f>
        <v/>
      </c>
      <c r="AE434">
        <f>IF(T_EMPLOYEES[[#This Row],[EMPLOYEE NUMBER]]="","",MATCH(T_EMPLOYEES[[#This Row],[GENDER]],L_GENDER,0))</f>
        <v/>
      </c>
      <c r="AF434">
        <f>IF(T_EMPLOYEES[[#This Row],[EMPLOYEE NUMBER]]="","",MATCH(T_EMPLOYEES[[#This Row],[HIRE SOURCE]],L_HIRESOURCE,0))</f>
        <v/>
      </c>
      <c r="AG434">
        <f>IF(T_EMPLOYEES[[#This Row],[EMPLOYEE NUMBER]]="","",MATCH(T_EMPLOYEES[[#This Row],[ETHNICITY]],L_ETHNICITY,0))</f>
        <v/>
      </c>
      <c r="AH434">
        <f>IF(T_EMPLOYEES[[#This Row],[EMPLOYEE NUMBER]]="","",MATCH(T_EMPLOYEES[[#This Row],[LOCATION]],L_LOCATION,0))</f>
        <v/>
      </c>
      <c r="AI434">
        <f>IF(T_EMPLOYEES[[#This Row],[EMPLOYEE NUMBER]]="","",MATCH(T_EMPLOYEES[[#This Row],[DEPARTMENT]],L_DEPARTMENT,0))</f>
        <v/>
      </c>
      <c r="AJ434">
        <f>IF(T_EMPLOYEES[[#This Row],[EMPLOYEE NUMBER]]="","",MATCH(T_EMPLOYEES[[#This Row],[JOB TYPE]],L_JOBTYPE,0))</f>
        <v/>
      </c>
      <c r="AK434">
        <f>IF(T_EMPLOYEES[[#This Row],[EMPLOYEE NUMBER]]="","",MATCH(T_EMPLOYEES[[#This Row],[JOB CATEGORY]],L_JOBCATEGORY,0))</f>
        <v/>
      </c>
      <c r="AL434">
        <f>IF(T_EMPLOYEES[[#This Row],[EMPLOYEE NUMBER]]="","",MATCH(T_EMPLOYEES[[#This Row],[JOB LEVEL]],L_JOBLEVEL,0))</f>
        <v/>
      </c>
      <c r="AM434">
        <f>IF(T_EMPLOYEES[[#This Row],[EMPLOYEE NUMBER]]="","",MATCH(T_EMPLOYEES[[#This Row],[JOB TITLE]],L_JOBTITLE,0))</f>
        <v/>
      </c>
      <c r="AN434">
        <f>IF(T_EMPLOYEES[[#This Row],[EMPLOYEE NUMBER]]="","",MATCH(T_EMPLOYEES[[#This Row],[MANAGER]],L_EMPLABELS,0))</f>
        <v/>
      </c>
      <c r="AO434">
        <f>IF(T_EMPLOYEES[[#This Row],[EMPLOYEE NUMBER]]="","",IF(T_EMPLOYEES[[#This Row],[ERROR]]="",0,1))</f>
        <v/>
      </c>
      <c r="AP43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5">
      <c r="A435" t="inlineStr">
        <is>
          <t>Saurabh</t>
        </is>
      </c>
      <c r="B435" t="inlineStr">
        <is>
          <t>Sharma</t>
        </is>
      </c>
      <c r="C435" t="n">
        <v>1031661</v>
      </c>
      <c r="D435" t="inlineStr">
        <is>
          <t>Saurabh.Sharma@infinite.com</t>
        </is>
      </c>
      <c r="E435" s="26" t="n">
        <v>36292</v>
      </c>
      <c r="F435" s="26" t="n">
        <v>44896</v>
      </c>
      <c r="H435" t="inlineStr">
        <is>
          <t>Male</t>
        </is>
      </c>
      <c r="I435" t="inlineStr">
        <is>
          <t>Asian</t>
        </is>
      </c>
      <c r="J435" t="inlineStr">
        <is>
          <t>WEBSITE</t>
        </is>
      </c>
      <c r="K435" t="inlineStr">
        <is>
          <t>Bangalore</t>
        </is>
      </c>
      <c r="L435" s="27" t="inlineStr">
        <is>
          <t>IT</t>
        </is>
      </c>
      <c r="M435" t="inlineStr">
        <is>
          <t>Full-Time</t>
        </is>
      </c>
      <c r="N435" t="inlineStr">
        <is>
          <t>Software Engineer</t>
        </is>
      </c>
      <c r="O435" t="inlineStr">
        <is>
          <t>E2</t>
        </is>
      </c>
      <c r="P435" t="inlineStr">
        <is>
          <t>Software Engineer</t>
        </is>
      </c>
      <c r="Q435" t="inlineStr">
        <is>
          <t>Sudhakar  Channegowda (1031110)</t>
        </is>
      </c>
      <c r="R435" t="n">
        <v>4</v>
      </c>
      <c r="S435" s="1" t="n">
        <v>250000</v>
      </c>
      <c r="T435" s="1">
        <f>ROUND(T_EMPLOYEES[[#This Row],[EMP_CTC1]]/12, 0)</f>
        <v/>
      </c>
      <c r="U435" s="1" t="n">
        <v>150000</v>
      </c>
      <c r="V435" s="1" t="inlineStr">
        <is>
          <t>AK</t>
        </is>
      </c>
      <c r="W435" s="1" t="inlineStr">
        <is>
          <t>AK</t>
        </is>
      </c>
      <c r="X43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5" t="n">
        <v>120000</v>
      </c>
      <c r="Z435" s="29">
        <f>(S435 - U435)/S435 * 100</f>
        <v/>
      </c>
      <c r="AA435">
        <f>IF(T_EMPLOYEES[[#This Row],[EMPLOYEE NUMBER]]="","",ROW(T_EMPLOYEES[[#This Row],[EMPLOYEE LABEL]])-ROW(T_EMPLOYEES[[#Headers],[EMPLOYEE LABEL]]))</f>
        <v/>
      </c>
      <c r="AB435">
        <f>IF(T_EMPLOYEES[[#This Row],[EMPLOYEE NUMBER]]="","",IF(COUNTIF(T_EMPLOYEES[EMPLOYEE NUMBER],T_EMPLOYEES[[#This Row],[EMPLOYEE NUMBER]])&gt;1,1,0))</f>
        <v/>
      </c>
      <c r="AC435">
        <f>IF(T_EMPLOYEES[[#This Row],[EMPLOYEE NUMBER]]="","",IF(AND(T_EMPLOYEES[[#This Row],[DATE OF BIRTH]]&gt;0,T_EMPLOYEES[[#This Row],[DATE OF BIRTH]]&lt;TODAY()),0,1))</f>
        <v/>
      </c>
      <c r="AD435">
        <f>IF(T_EMPLOYEES[[#This Row],[EMPLOYEE NUMBER]]="","",IF(AND(T_EMPLOYEES[[#This Row],[START DATE]]&gt;0,T_EMPLOYEES[[#This Row],[START DATE]]&lt;TODAY()+60),0,1))</f>
        <v/>
      </c>
      <c r="AE435">
        <f>IF(T_EMPLOYEES[[#This Row],[EMPLOYEE NUMBER]]="","",MATCH(T_EMPLOYEES[[#This Row],[GENDER]],L_GENDER,0))</f>
        <v/>
      </c>
      <c r="AF435">
        <f>IF(T_EMPLOYEES[[#This Row],[EMPLOYEE NUMBER]]="","",MATCH(T_EMPLOYEES[[#This Row],[HIRE SOURCE]],L_HIRESOURCE,0))</f>
        <v/>
      </c>
      <c r="AG435">
        <f>IF(T_EMPLOYEES[[#This Row],[EMPLOYEE NUMBER]]="","",MATCH(T_EMPLOYEES[[#This Row],[ETHNICITY]],L_ETHNICITY,0))</f>
        <v/>
      </c>
      <c r="AH435">
        <f>IF(T_EMPLOYEES[[#This Row],[EMPLOYEE NUMBER]]="","",MATCH(T_EMPLOYEES[[#This Row],[LOCATION]],L_LOCATION,0))</f>
        <v/>
      </c>
      <c r="AI435">
        <f>IF(T_EMPLOYEES[[#This Row],[EMPLOYEE NUMBER]]="","",MATCH(T_EMPLOYEES[[#This Row],[DEPARTMENT]],L_DEPARTMENT,0))</f>
        <v/>
      </c>
      <c r="AJ435">
        <f>IF(T_EMPLOYEES[[#This Row],[EMPLOYEE NUMBER]]="","",MATCH(T_EMPLOYEES[[#This Row],[JOB TYPE]],L_JOBTYPE,0))</f>
        <v/>
      </c>
      <c r="AK435">
        <f>IF(T_EMPLOYEES[[#This Row],[EMPLOYEE NUMBER]]="","",MATCH(T_EMPLOYEES[[#This Row],[JOB CATEGORY]],L_JOBCATEGORY,0))</f>
        <v/>
      </c>
      <c r="AL435">
        <f>IF(T_EMPLOYEES[[#This Row],[EMPLOYEE NUMBER]]="","",MATCH(T_EMPLOYEES[[#This Row],[JOB LEVEL]],L_JOBLEVEL,0))</f>
        <v/>
      </c>
      <c r="AM435">
        <f>IF(T_EMPLOYEES[[#This Row],[EMPLOYEE NUMBER]]="","",MATCH(T_EMPLOYEES[[#This Row],[JOB TITLE]],L_JOBTITLE,0))</f>
        <v/>
      </c>
      <c r="AN435">
        <f>IF(T_EMPLOYEES[[#This Row],[EMPLOYEE NUMBER]]="","",MATCH(T_EMPLOYEES[[#This Row],[MANAGER]],L_EMPLABELS,0))</f>
        <v/>
      </c>
      <c r="AO435">
        <f>IF(T_EMPLOYEES[[#This Row],[EMPLOYEE NUMBER]]="","",IF(T_EMPLOYEES[[#This Row],[ERROR]]="",0,1))</f>
        <v/>
      </c>
      <c r="AP43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6">
      <c r="A436" t="inlineStr">
        <is>
          <t>Sunil</t>
        </is>
      </c>
      <c r="B436" t="inlineStr">
        <is>
          <t>Kumar Gupta</t>
        </is>
      </c>
      <c r="C436" t="n">
        <v>1029521</v>
      </c>
      <c r="D436" t="inlineStr">
        <is>
          <t>Sunil.Gupta@infinite.com</t>
        </is>
      </c>
      <c r="E436" s="26" t="n">
        <v>36297</v>
      </c>
      <c r="F436" s="26" t="n">
        <v>44757</v>
      </c>
      <c r="H436" t="inlineStr">
        <is>
          <t>Male</t>
        </is>
      </c>
      <c r="I436" t="inlineStr">
        <is>
          <t>Asian</t>
        </is>
      </c>
      <c r="J436" t="inlineStr">
        <is>
          <t>WEBSITE</t>
        </is>
      </c>
      <c r="K436" t="inlineStr">
        <is>
          <t>Bangalore</t>
        </is>
      </c>
      <c r="L436" s="27" t="inlineStr">
        <is>
          <t>Core</t>
        </is>
      </c>
      <c r="M436" t="inlineStr">
        <is>
          <t>Full-Time</t>
        </is>
      </c>
      <c r="N436" t="inlineStr">
        <is>
          <t>Senior Software Engineer</t>
        </is>
      </c>
      <c r="O436" t="inlineStr">
        <is>
          <t>E3</t>
        </is>
      </c>
      <c r="P436" t="inlineStr">
        <is>
          <t>Senior Software Engineer</t>
        </is>
      </c>
      <c r="Q436" t="inlineStr">
        <is>
          <t>Kishore Kumar N (1019765)</t>
        </is>
      </c>
      <c r="R436" s="27" t="n">
        <v>4</v>
      </c>
      <c r="S436" s="1" t="n">
        <v>250000</v>
      </c>
      <c r="T436" s="1">
        <f>ROUND(T_EMPLOYEES[[#This Row],[EMP_CTC1]]/12, 0)</f>
        <v/>
      </c>
      <c r="U436" s="1" t="n">
        <v>150000</v>
      </c>
      <c r="V436" s="1" t="inlineStr">
        <is>
          <t>AK</t>
        </is>
      </c>
      <c r="W436" s="1" t="inlineStr">
        <is>
          <t>AK</t>
        </is>
      </c>
      <c r="X43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6" t="n">
        <v>120000</v>
      </c>
      <c r="Z436" s="29">
        <f>(S436 - U436)/S436 * 100</f>
        <v/>
      </c>
      <c r="AA436">
        <f>IF(T_EMPLOYEES[[#This Row],[EMPLOYEE NUMBER]]="","",ROW(T_EMPLOYEES[[#This Row],[EMPLOYEE LABEL]])-ROW(T_EMPLOYEES[[#Headers],[EMPLOYEE LABEL]]))</f>
        <v/>
      </c>
      <c r="AB436">
        <f>IF(T_EMPLOYEES[[#This Row],[EMPLOYEE NUMBER]]="","",IF(COUNTIF(T_EMPLOYEES[EMPLOYEE NUMBER],T_EMPLOYEES[[#This Row],[EMPLOYEE NUMBER]])&gt;1,1,0))</f>
        <v/>
      </c>
      <c r="AC436">
        <f>IF(T_EMPLOYEES[[#This Row],[EMPLOYEE NUMBER]]="","",IF(AND(T_EMPLOYEES[[#This Row],[DATE OF BIRTH]]&gt;0,T_EMPLOYEES[[#This Row],[DATE OF BIRTH]]&lt;TODAY()),0,1))</f>
        <v/>
      </c>
      <c r="AD436">
        <f>IF(T_EMPLOYEES[[#This Row],[EMPLOYEE NUMBER]]="","",IF(AND(T_EMPLOYEES[[#This Row],[START DATE]]&gt;0,T_EMPLOYEES[[#This Row],[START DATE]]&lt;TODAY()+60),0,1))</f>
        <v/>
      </c>
      <c r="AE436">
        <f>IF(T_EMPLOYEES[[#This Row],[EMPLOYEE NUMBER]]="","",MATCH(T_EMPLOYEES[[#This Row],[GENDER]],L_GENDER,0))</f>
        <v/>
      </c>
      <c r="AF436">
        <f>IF(T_EMPLOYEES[[#This Row],[EMPLOYEE NUMBER]]="","",MATCH(T_EMPLOYEES[[#This Row],[HIRE SOURCE]],L_HIRESOURCE,0))</f>
        <v/>
      </c>
      <c r="AG436">
        <f>IF(T_EMPLOYEES[[#This Row],[EMPLOYEE NUMBER]]="","",MATCH(T_EMPLOYEES[[#This Row],[ETHNICITY]],L_ETHNICITY,0))</f>
        <v/>
      </c>
      <c r="AH436">
        <f>IF(T_EMPLOYEES[[#This Row],[EMPLOYEE NUMBER]]="","",MATCH(T_EMPLOYEES[[#This Row],[LOCATION]],L_LOCATION,0))</f>
        <v/>
      </c>
      <c r="AI436">
        <f>IF(T_EMPLOYEES[[#This Row],[EMPLOYEE NUMBER]]="","",MATCH(T_EMPLOYEES[[#This Row],[DEPARTMENT]],L_DEPARTMENT,0))</f>
        <v/>
      </c>
      <c r="AJ436">
        <f>IF(T_EMPLOYEES[[#This Row],[EMPLOYEE NUMBER]]="","",MATCH(T_EMPLOYEES[[#This Row],[JOB TYPE]],L_JOBTYPE,0))</f>
        <v/>
      </c>
      <c r="AK436">
        <f>IF(T_EMPLOYEES[[#This Row],[EMPLOYEE NUMBER]]="","",MATCH(T_EMPLOYEES[[#This Row],[JOB CATEGORY]],L_JOBCATEGORY,0))</f>
        <v/>
      </c>
      <c r="AL436">
        <f>IF(T_EMPLOYEES[[#This Row],[EMPLOYEE NUMBER]]="","",MATCH(T_EMPLOYEES[[#This Row],[JOB LEVEL]],L_JOBLEVEL,0))</f>
        <v/>
      </c>
      <c r="AM436">
        <f>IF(T_EMPLOYEES[[#This Row],[EMPLOYEE NUMBER]]="","",MATCH(T_EMPLOYEES[[#This Row],[JOB TITLE]],L_JOBTITLE,0))</f>
        <v/>
      </c>
      <c r="AN436">
        <f>IF(T_EMPLOYEES[[#This Row],[EMPLOYEE NUMBER]]="","",MATCH(T_EMPLOYEES[[#This Row],[MANAGER]],L_EMPLABELS,0))</f>
        <v/>
      </c>
      <c r="AO436">
        <f>IF(T_EMPLOYEES[[#This Row],[EMPLOYEE NUMBER]]="","",IF(T_EMPLOYEES[[#This Row],[ERROR]]="",0,1))</f>
        <v/>
      </c>
      <c r="AP43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7">
      <c r="A437" t="inlineStr">
        <is>
          <t>Putta</t>
        </is>
      </c>
      <c r="B437" t="inlineStr">
        <is>
          <t>Sai Surya Manikanta</t>
        </is>
      </c>
      <c r="C437" t="n">
        <v>1028086</v>
      </c>
      <c r="D437" t="inlineStr">
        <is>
          <t>Saisurya.Putta@infinite.com</t>
        </is>
      </c>
      <c r="E437" s="26" t="n">
        <v>36304</v>
      </c>
      <c r="F437" s="26" t="n">
        <v>44580</v>
      </c>
      <c r="H437" t="inlineStr">
        <is>
          <t>Male</t>
        </is>
      </c>
      <c r="I437" t="inlineStr">
        <is>
          <t>Asian</t>
        </is>
      </c>
      <c r="J437" t="inlineStr">
        <is>
          <t>WEBSITE</t>
        </is>
      </c>
      <c r="K437" t="inlineStr">
        <is>
          <t>Hyderabad</t>
        </is>
      </c>
      <c r="L437" s="27" t="inlineStr">
        <is>
          <t>QA</t>
        </is>
      </c>
      <c r="M437" t="inlineStr">
        <is>
          <t>Full-Time</t>
        </is>
      </c>
      <c r="N437" t="inlineStr">
        <is>
          <t>Software Test Engineer</t>
        </is>
      </c>
      <c r="O437" t="inlineStr">
        <is>
          <t>E2</t>
        </is>
      </c>
      <c r="P437" t="inlineStr">
        <is>
          <t>Software Test Engineer</t>
        </is>
      </c>
      <c r="Q437" t="inlineStr">
        <is>
          <t>Vinayak  Tatuskar (1023387)</t>
        </is>
      </c>
      <c r="R437" t="n">
        <v>4</v>
      </c>
      <c r="S437" s="1" t="n">
        <v>250000</v>
      </c>
      <c r="T437" s="1">
        <f>ROUND(T_EMPLOYEES[[#This Row],[EMP_CTC1]]/12, 0)</f>
        <v/>
      </c>
      <c r="U437" s="1" t="n">
        <v>150000</v>
      </c>
      <c r="V437" s="1" t="inlineStr">
        <is>
          <t>AK</t>
        </is>
      </c>
      <c r="W437" s="1" t="inlineStr">
        <is>
          <t>AK</t>
        </is>
      </c>
      <c r="X43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7" t="n">
        <v>120000</v>
      </c>
      <c r="Z437" s="29">
        <f>(S437 - U437)/S437 * 100</f>
        <v/>
      </c>
      <c r="AA437">
        <f>IF(T_EMPLOYEES[[#This Row],[EMPLOYEE NUMBER]]="","",ROW(T_EMPLOYEES[[#This Row],[EMPLOYEE LABEL]])-ROW(T_EMPLOYEES[[#Headers],[EMPLOYEE LABEL]]))</f>
        <v/>
      </c>
      <c r="AB437">
        <f>IF(T_EMPLOYEES[[#This Row],[EMPLOYEE NUMBER]]="","",IF(COUNTIF(T_EMPLOYEES[EMPLOYEE NUMBER],T_EMPLOYEES[[#This Row],[EMPLOYEE NUMBER]])&gt;1,1,0))</f>
        <v/>
      </c>
      <c r="AC437">
        <f>IF(T_EMPLOYEES[[#This Row],[EMPLOYEE NUMBER]]="","",IF(AND(T_EMPLOYEES[[#This Row],[DATE OF BIRTH]]&gt;0,T_EMPLOYEES[[#This Row],[DATE OF BIRTH]]&lt;TODAY()),0,1))</f>
        <v/>
      </c>
      <c r="AD437">
        <f>IF(T_EMPLOYEES[[#This Row],[EMPLOYEE NUMBER]]="","",IF(AND(T_EMPLOYEES[[#This Row],[START DATE]]&gt;0,T_EMPLOYEES[[#This Row],[START DATE]]&lt;TODAY()+60),0,1))</f>
        <v/>
      </c>
      <c r="AE437">
        <f>IF(T_EMPLOYEES[[#This Row],[EMPLOYEE NUMBER]]="","",MATCH(T_EMPLOYEES[[#This Row],[GENDER]],L_GENDER,0))</f>
        <v/>
      </c>
      <c r="AF437">
        <f>IF(T_EMPLOYEES[[#This Row],[EMPLOYEE NUMBER]]="","",MATCH(T_EMPLOYEES[[#This Row],[HIRE SOURCE]],L_HIRESOURCE,0))</f>
        <v/>
      </c>
      <c r="AG437">
        <f>IF(T_EMPLOYEES[[#This Row],[EMPLOYEE NUMBER]]="","",MATCH(T_EMPLOYEES[[#This Row],[ETHNICITY]],L_ETHNICITY,0))</f>
        <v/>
      </c>
      <c r="AH437">
        <f>IF(T_EMPLOYEES[[#This Row],[EMPLOYEE NUMBER]]="","",MATCH(T_EMPLOYEES[[#This Row],[LOCATION]],L_LOCATION,0))</f>
        <v/>
      </c>
      <c r="AI437">
        <f>IF(T_EMPLOYEES[[#This Row],[EMPLOYEE NUMBER]]="","",MATCH(T_EMPLOYEES[[#This Row],[DEPARTMENT]],L_DEPARTMENT,0))</f>
        <v/>
      </c>
      <c r="AJ437">
        <f>IF(T_EMPLOYEES[[#This Row],[EMPLOYEE NUMBER]]="","",MATCH(T_EMPLOYEES[[#This Row],[JOB TYPE]],L_JOBTYPE,0))</f>
        <v/>
      </c>
      <c r="AK437">
        <f>IF(T_EMPLOYEES[[#This Row],[EMPLOYEE NUMBER]]="","",MATCH(T_EMPLOYEES[[#This Row],[JOB CATEGORY]],L_JOBCATEGORY,0))</f>
        <v/>
      </c>
      <c r="AL437">
        <f>IF(T_EMPLOYEES[[#This Row],[EMPLOYEE NUMBER]]="","",MATCH(T_EMPLOYEES[[#This Row],[JOB LEVEL]],L_JOBLEVEL,0))</f>
        <v/>
      </c>
      <c r="AM437">
        <f>IF(T_EMPLOYEES[[#This Row],[EMPLOYEE NUMBER]]="","",MATCH(T_EMPLOYEES[[#This Row],[JOB TITLE]],L_JOBTITLE,0))</f>
        <v/>
      </c>
      <c r="AN437">
        <f>IF(T_EMPLOYEES[[#This Row],[EMPLOYEE NUMBER]]="","",MATCH(T_EMPLOYEES[[#This Row],[MANAGER]],L_EMPLABELS,0))</f>
        <v/>
      </c>
      <c r="AO437">
        <f>IF(T_EMPLOYEES[[#This Row],[EMPLOYEE NUMBER]]="","",IF(T_EMPLOYEES[[#This Row],[ERROR]]="",0,1))</f>
        <v/>
      </c>
      <c r="AP43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8">
      <c r="A438" t="inlineStr">
        <is>
          <t>Muralikrishna</t>
        </is>
      </c>
      <c r="B438" t="inlineStr">
        <is>
          <t>Srinivas Putta</t>
        </is>
      </c>
      <c r="C438" t="n">
        <v>1026247</v>
      </c>
      <c r="D438" t="inlineStr">
        <is>
          <t>Muralikrishna.Putta@infinite.com</t>
        </is>
      </c>
      <c r="E438" s="26" t="n">
        <v>36312</v>
      </c>
      <c r="F438" s="26" t="n">
        <v>44433</v>
      </c>
      <c r="H438" t="inlineStr">
        <is>
          <t>Male</t>
        </is>
      </c>
      <c r="I438" t="inlineStr">
        <is>
          <t>Asian</t>
        </is>
      </c>
      <c r="J438" t="inlineStr">
        <is>
          <t>WEBSITE</t>
        </is>
      </c>
      <c r="K438" t="inlineStr">
        <is>
          <t>Hyderabad</t>
        </is>
      </c>
      <c r="L438" s="27" t="inlineStr">
        <is>
          <t>IT</t>
        </is>
      </c>
      <c r="M438" t="inlineStr">
        <is>
          <t>Full-Time</t>
        </is>
      </c>
      <c r="N438" t="inlineStr">
        <is>
          <t>Software Engineer</t>
        </is>
      </c>
      <c r="O438" t="inlineStr">
        <is>
          <t>E2</t>
        </is>
      </c>
      <c r="P438" t="inlineStr">
        <is>
          <t>Software Engineer</t>
        </is>
      </c>
      <c r="Q438" t="inlineStr">
        <is>
          <t>Arnav  Chattopadhyay (1025126)</t>
        </is>
      </c>
      <c r="R438" s="27" t="n">
        <v>4</v>
      </c>
      <c r="S438" s="1" t="n">
        <v>250000</v>
      </c>
      <c r="T438" s="1">
        <f>ROUND(T_EMPLOYEES[[#This Row],[EMP_CTC1]]/12, 0)</f>
        <v/>
      </c>
      <c r="U438" s="1" t="n">
        <v>150000</v>
      </c>
      <c r="V438" s="1" t="inlineStr">
        <is>
          <t>AK</t>
        </is>
      </c>
      <c r="W438" s="1" t="inlineStr">
        <is>
          <t>AK</t>
        </is>
      </c>
      <c r="X43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8" t="n">
        <v>120000</v>
      </c>
      <c r="Z438" s="29">
        <f>(S438 - U438)/S438 * 100</f>
        <v/>
      </c>
      <c r="AA438">
        <f>IF(T_EMPLOYEES[[#This Row],[EMPLOYEE NUMBER]]="","",ROW(T_EMPLOYEES[[#This Row],[EMPLOYEE LABEL]])-ROW(T_EMPLOYEES[[#Headers],[EMPLOYEE LABEL]]))</f>
        <v/>
      </c>
      <c r="AB438">
        <f>IF(T_EMPLOYEES[[#This Row],[EMPLOYEE NUMBER]]="","",IF(COUNTIF(T_EMPLOYEES[EMPLOYEE NUMBER],T_EMPLOYEES[[#This Row],[EMPLOYEE NUMBER]])&gt;1,1,0))</f>
        <v/>
      </c>
      <c r="AC438">
        <f>IF(T_EMPLOYEES[[#This Row],[EMPLOYEE NUMBER]]="","",IF(AND(T_EMPLOYEES[[#This Row],[DATE OF BIRTH]]&gt;0,T_EMPLOYEES[[#This Row],[DATE OF BIRTH]]&lt;TODAY()),0,1))</f>
        <v/>
      </c>
      <c r="AD438">
        <f>IF(T_EMPLOYEES[[#This Row],[EMPLOYEE NUMBER]]="","",IF(AND(T_EMPLOYEES[[#This Row],[START DATE]]&gt;0,T_EMPLOYEES[[#This Row],[START DATE]]&lt;TODAY()+60),0,1))</f>
        <v/>
      </c>
      <c r="AE438">
        <f>IF(T_EMPLOYEES[[#This Row],[EMPLOYEE NUMBER]]="","",MATCH(T_EMPLOYEES[[#This Row],[GENDER]],L_GENDER,0))</f>
        <v/>
      </c>
      <c r="AF438">
        <f>IF(T_EMPLOYEES[[#This Row],[EMPLOYEE NUMBER]]="","",MATCH(T_EMPLOYEES[[#This Row],[HIRE SOURCE]],L_HIRESOURCE,0))</f>
        <v/>
      </c>
      <c r="AG438">
        <f>IF(T_EMPLOYEES[[#This Row],[EMPLOYEE NUMBER]]="","",MATCH(T_EMPLOYEES[[#This Row],[ETHNICITY]],L_ETHNICITY,0))</f>
        <v/>
      </c>
      <c r="AH438">
        <f>IF(T_EMPLOYEES[[#This Row],[EMPLOYEE NUMBER]]="","",MATCH(T_EMPLOYEES[[#This Row],[LOCATION]],L_LOCATION,0))</f>
        <v/>
      </c>
      <c r="AI438">
        <f>IF(T_EMPLOYEES[[#This Row],[EMPLOYEE NUMBER]]="","",MATCH(T_EMPLOYEES[[#This Row],[DEPARTMENT]],L_DEPARTMENT,0))</f>
        <v/>
      </c>
      <c r="AJ438">
        <f>IF(T_EMPLOYEES[[#This Row],[EMPLOYEE NUMBER]]="","",MATCH(T_EMPLOYEES[[#This Row],[JOB TYPE]],L_JOBTYPE,0))</f>
        <v/>
      </c>
      <c r="AK438">
        <f>IF(T_EMPLOYEES[[#This Row],[EMPLOYEE NUMBER]]="","",MATCH(T_EMPLOYEES[[#This Row],[JOB CATEGORY]],L_JOBCATEGORY,0))</f>
        <v/>
      </c>
      <c r="AL438">
        <f>IF(T_EMPLOYEES[[#This Row],[EMPLOYEE NUMBER]]="","",MATCH(T_EMPLOYEES[[#This Row],[JOB LEVEL]],L_JOBLEVEL,0))</f>
        <v/>
      </c>
      <c r="AM438">
        <f>IF(T_EMPLOYEES[[#This Row],[EMPLOYEE NUMBER]]="","",MATCH(T_EMPLOYEES[[#This Row],[JOB TITLE]],L_JOBTITLE,0))</f>
        <v/>
      </c>
      <c r="AN438">
        <f>IF(T_EMPLOYEES[[#This Row],[EMPLOYEE NUMBER]]="","",MATCH(T_EMPLOYEES[[#This Row],[MANAGER]],L_EMPLABELS,0))</f>
        <v/>
      </c>
      <c r="AO438">
        <f>IF(T_EMPLOYEES[[#This Row],[EMPLOYEE NUMBER]]="","",IF(T_EMPLOYEES[[#This Row],[ERROR]]="",0,1))</f>
        <v/>
      </c>
      <c r="AP43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39">
      <c r="A439" t="inlineStr">
        <is>
          <t>Sarthak</t>
        </is>
      </c>
      <c r="B439" t="inlineStr">
        <is>
          <t>Chandu Lautawar</t>
        </is>
      </c>
      <c r="C439" t="n">
        <v>1031066</v>
      </c>
      <c r="D439" t="inlineStr">
        <is>
          <t>Sarthak.Lautawar@infinite.com</t>
        </is>
      </c>
      <c r="E439" s="26" t="n">
        <v>36322</v>
      </c>
      <c r="F439" s="26" t="n">
        <v>44889</v>
      </c>
      <c r="H439" t="inlineStr">
        <is>
          <t>Male</t>
        </is>
      </c>
      <c r="I439" t="inlineStr">
        <is>
          <t>Asian</t>
        </is>
      </c>
      <c r="J439" t="inlineStr">
        <is>
          <t>WEBSITE</t>
        </is>
      </c>
      <c r="K439" t="inlineStr">
        <is>
          <t>Bangalore</t>
        </is>
      </c>
      <c r="L439" s="27" t="inlineStr">
        <is>
          <t>Core</t>
        </is>
      </c>
      <c r="M439" t="inlineStr">
        <is>
          <t>Full-Time</t>
        </is>
      </c>
      <c r="N439" t="inlineStr">
        <is>
          <t>Associate Software Engineer</t>
        </is>
      </c>
      <c r="O439" t="inlineStr">
        <is>
          <t>E1</t>
        </is>
      </c>
      <c r="P439" t="inlineStr">
        <is>
          <t>Associate Software Engineer</t>
        </is>
      </c>
      <c r="Q439" t="inlineStr">
        <is>
          <t>Dipakbhai Motibhai Tandel (1027230)</t>
        </is>
      </c>
      <c r="R439" t="n">
        <v>0</v>
      </c>
      <c r="S439" s="1" t="n">
        <v>250000</v>
      </c>
      <c r="T439" s="1">
        <f>ROUND(T_EMPLOYEES[[#This Row],[EMP_CTC1]]/12, 0)</f>
        <v/>
      </c>
      <c r="U439" s="1" t="n">
        <v>150000</v>
      </c>
      <c r="V439" s="1" t="inlineStr">
        <is>
          <t>AK</t>
        </is>
      </c>
      <c r="W439" s="1" t="inlineStr">
        <is>
          <t>AK</t>
        </is>
      </c>
      <c r="X43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39" t="n">
        <v>120000</v>
      </c>
      <c r="Z439" s="29">
        <f>(S439 - U439)/S439 * 100</f>
        <v/>
      </c>
      <c r="AA439">
        <f>IF(T_EMPLOYEES[[#This Row],[EMPLOYEE NUMBER]]="","",ROW(T_EMPLOYEES[[#This Row],[EMPLOYEE LABEL]])-ROW(T_EMPLOYEES[[#Headers],[EMPLOYEE LABEL]]))</f>
        <v/>
      </c>
      <c r="AB439">
        <f>IF(T_EMPLOYEES[[#This Row],[EMPLOYEE NUMBER]]="","",IF(COUNTIF(T_EMPLOYEES[EMPLOYEE NUMBER],T_EMPLOYEES[[#This Row],[EMPLOYEE NUMBER]])&gt;1,1,0))</f>
        <v/>
      </c>
      <c r="AC439">
        <f>IF(T_EMPLOYEES[[#This Row],[EMPLOYEE NUMBER]]="","",IF(AND(T_EMPLOYEES[[#This Row],[DATE OF BIRTH]]&gt;0,T_EMPLOYEES[[#This Row],[DATE OF BIRTH]]&lt;TODAY()),0,1))</f>
        <v/>
      </c>
      <c r="AD439">
        <f>IF(T_EMPLOYEES[[#This Row],[EMPLOYEE NUMBER]]="","",IF(AND(T_EMPLOYEES[[#This Row],[START DATE]]&gt;0,T_EMPLOYEES[[#This Row],[START DATE]]&lt;TODAY()+60),0,1))</f>
        <v/>
      </c>
      <c r="AE439">
        <f>IF(T_EMPLOYEES[[#This Row],[EMPLOYEE NUMBER]]="","",MATCH(T_EMPLOYEES[[#This Row],[GENDER]],L_GENDER,0))</f>
        <v/>
      </c>
      <c r="AF439">
        <f>IF(T_EMPLOYEES[[#This Row],[EMPLOYEE NUMBER]]="","",MATCH(T_EMPLOYEES[[#This Row],[HIRE SOURCE]],L_HIRESOURCE,0))</f>
        <v/>
      </c>
      <c r="AG439">
        <f>IF(T_EMPLOYEES[[#This Row],[EMPLOYEE NUMBER]]="","",MATCH(T_EMPLOYEES[[#This Row],[ETHNICITY]],L_ETHNICITY,0))</f>
        <v/>
      </c>
      <c r="AH439">
        <f>IF(T_EMPLOYEES[[#This Row],[EMPLOYEE NUMBER]]="","",MATCH(T_EMPLOYEES[[#This Row],[LOCATION]],L_LOCATION,0))</f>
        <v/>
      </c>
      <c r="AI439">
        <f>IF(T_EMPLOYEES[[#This Row],[EMPLOYEE NUMBER]]="","",MATCH(T_EMPLOYEES[[#This Row],[DEPARTMENT]],L_DEPARTMENT,0))</f>
        <v/>
      </c>
      <c r="AJ439">
        <f>IF(T_EMPLOYEES[[#This Row],[EMPLOYEE NUMBER]]="","",MATCH(T_EMPLOYEES[[#This Row],[JOB TYPE]],L_JOBTYPE,0))</f>
        <v/>
      </c>
      <c r="AK439">
        <f>IF(T_EMPLOYEES[[#This Row],[EMPLOYEE NUMBER]]="","",MATCH(T_EMPLOYEES[[#This Row],[JOB CATEGORY]],L_JOBCATEGORY,0))</f>
        <v/>
      </c>
      <c r="AL439">
        <f>IF(T_EMPLOYEES[[#This Row],[EMPLOYEE NUMBER]]="","",MATCH(T_EMPLOYEES[[#This Row],[JOB LEVEL]],L_JOBLEVEL,0))</f>
        <v/>
      </c>
      <c r="AM439">
        <f>IF(T_EMPLOYEES[[#This Row],[EMPLOYEE NUMBER]]="","",MATCH(T_EMPLOYEES[[#This Row],[JOB TITLE]],L_JOBTITLE,0))</f>
        <v/>
      </c>
      <c r="AN439">
        <f>IF(T_EMPLOYEES[[#This Row],[EMPLOYEE NUMBER]]="","",MATCH(T_EMPLOYEES[[#This Row],[MANAGER]],L_EMPLABELS,0))</f>
        <v/>
      </c>
      <c r="AO439">
        <f>IF(T_EMPLOYEES[[#This Row],[EMPLOYEE NUMBER]]="","",IF(T_EMPLOYEES[[#This Row],[ERROR]]="",0,1))</f>
        <v/>
      </c>
      <c r="AP43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0">
      <c r="A440" t="inlineStr">
        <is>
          <t>Baratam</t>
        </is>
      </c>
      <c r="B440" t="inlineStr">
        <is>
          <t xml:space="preserve"> Ashish</t>
        </is>
      </c>
      <c r="C440" t="n">
        <v>1027410</v>
      </c>
      <c r="D440" t="inlineStr">
        <is>
          <t>Ashish.Baratam@infinite.com</t>
        </is>
      </c>
      <c r="E440" s="26" t="n">
        <v>36331</v>
      </c>
      <c r="F440" s="26" t="n">
        <v>44531</v>
      </c>
      <c r="H440" t="inlineStr">
        <is>
          <t>Male</t>
        </is>
      </c>
      <c r="I440" t="inlineStr">
        <is>
          <t>Asian</t>
        </is>
      </c>
      <c r="J440" t="inlineStr">
        <is>
          <t>WEBSITE</t>
        </is>
      </c>
      <c r="K440" t="inlineStr">
        <is>
          <t>Pune</t>
        </is>
      </c>
      <c r="L440" s="27" t="inlineStr">
        <is>
          <t>Core</t>
        </is>
      </c>
      <c r="M440" t="inlineStr">
        <is>
          <t>Full-Time</t>
        </is>
      </c>
      <c r="N440" t="inlineStr">
        <is>
          <t>Associate Software Engineer</t>
        </is>
      </c>
      <c r="O440" t="inlineStr">
        <is>
          <t>E1</t>
        </is>
      </c>
      <c r="P440" t="inlineStr">
        <is>
          <t>Associate Software Engineer</t>
        </is>
      </c>
      <c r="Q440" t="inlineStr">
        <is>
          <t>Kishore Kumar N (1019765)</t>
        </is>
      </c>
      <c r="R440" s="27" t="n">
        <v>0</v>
      </c>
      <c r="S440" s="1" t="n">
        <v>250000</v>
      </c>
      <c r="T440" s="1">
        <f>ROUND(T_EMPLOYEES[[#This Row],[EMP_CTC1]]/12, 0)</f>
        <v/>
      </c>
      <c r="U440" s="1" t="n">
        <v>150000</v>
      </c>
      <c r="V440" s="1" t="inlineStr">
        <is>
          <t>AK</t>
        </is>
      </c>
      <c r="W440" s="1" t="inlineStr">
        <is>
          <t>AK</t>
        </is>
      </c>
      <c r="X44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0" t="n">
        <v>120000</v>
      </c>
      <c r="Z440" s="29">
        <f>(S440 - U440)/S440 * 100</f>
        <v/>
      </c>
      <c r="AA440">
        <f>IF(T_EMPLOYEES[[#This Row],[EMPLOYEE NUMBER]]="","",ROW(T_EMPLOYEES[[#This Row],[EMPLOYEE LABEL]])-ROW(T_EMPLOYEES[[#Headers],[EMPLOYEE LABEL]]))</f>
        <v/>
      </c>
      <c r="AB440">
        <f>IF(T_EMPLOYEES[[#This Row],[EMPLOYEE NUMBER]]="","",IF(COUNTIF(T_EMPLOYEES[EMPLOYEE NUMBER],T_EMPLOYEES[[#This Row],[EMPLOYEE NUMBER]])&gt;1,1,0))</f>
        <v/>
      </c>
      <c r="AC440">
        <f>IF(T_EMPLOYEES[[#This Row],[EMPLOYEE NUMBER]]="","",IF(AND(T_EMPLOYEES[[#This Row],[DATE OF BIRTH]]&gt;0,T_EMPLOYEES[[#This Row],[DATE OF BIRTH]]&lt;TODAY()),0,1))</f>
        <v/>
      </c>
      <c r="AD440">
        <f>IF(T_EMPLOYEES[[#This Row],[EMPLOYEE NUMBER]]="","",IF(AND(T_EMPLOYEES[[#This Row],[START DATE]]&gt;0,T_EMPLOYEES[[#This Row],[START DATE]]&lt;TODAY()+60),0,1))</f>
        <v/>
      </c>
      <c r="AE440">
        <f>IF(T_EMPLOYEES[[#This Row],[EMPLOYEE NUMBER]]="","",MATCH(T_EMPLOYEES[[#This Row],[GENDER]],L_GENDER,0))</f>
        <v/>
      </c>
      <c r="AF440">
        <f>IF(T_EMPLOYEES[[#This Row],[EMPLOYEE NUMBER]]="","",MATCH(T_EMPLOYEES[[#This Row],[HIRE SOURCE]],L_HIRESOURCE,0))</f>
        <v/>
      </c>
      <c r="AG440">
        <f>IF(T_EMPLOYEES[[#This Row],[EMPLOYEE NUMBER]]="","",MATCH(T_EMPLOYEES[[#This Row],[ETHNICITY]],L_ETHNICITY,0))</f>
        <v/>
      </c>
      <c r="AH440">
        <f>IF(T_EMPLOYEES[[#This Row],[EMPLOYEE NUMBER]]="","",MATCH(T_EMPLOYEES[[#This Row],[LOCATION]],L_LOCATION,0))</f>
        <v/>
      </c>
      <c r="AI440">
        <f>IF(T_EMPLOYEES[[#This Row],[EMPLOYEE NUMBER]]="","",MATCH(T_EMPLOYEES[[#This Row],[DEPARTMENT]],L_DEPARTMENT,0))</f>
        <v/>
      </c>
      <c r="AJ440">
        <f>IF(T_EMPLOYEES[[#This Row],[EMPLOYEE NUMBER]]="","",MATCH(T_EMPLOYEES[[#This Row],[JOB TYPE]],L_JOBTYPE,0))</f>
        <v/>
      </c>
      <c r="AK440">
        <f>IF(T_EMPLOYEES[[#This Row],[EMPLOYEE NUMBER]]="","",MATCH(T_EMPLOYEES[[#This Row],[JOB CATEGORY]],L_JOBCATEGORY,0))</f>
        <v/>
      </c>
      <c r="AL440">
        <f>IF(T_EMPLOYEES[[#This Row],[EMPLOYEE NUMBER]]="","",MATCH(T_EMPLOYEES[[#This Row],[JOB LEVEL]],L_JOBLEVEL,0))</f>
        <v/>
      </c>
      <c r="AM440">
        <f>IF(T_EMPLOYEES[[#This Row],[EMPLOYEE NUMBER]]="","",MATCH(T_EMPLOYEES[[#This Row],[JOB TITLE]],L_JOBTITLE,0))</f>
        <v/>
      </c>
      <c r="AN440">
        <f>IF(T_EMPLOYEES[[#This Row],[EMPLOYEE NUMBER]]="","",MATCH(T_EMPLOYEES[[#This Row],[MANAGER]],L_EMPLABELS,0))</f>
        <v/>
      </c>
      <c r="AO440">
        <f>IF(T_EMPLOYEES[[#This Row],[EMPLOYEE NUMBER]]="","",IF(T_EMPLOYEES[[#This Row],[ERROR]]="",0,1))</f>
        <v/>
      </c>
      <c r="AP44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40" t="inlineStr">
        <is>
          <t>Claims</t>
        </is>
      </c>
    </row>
    <row r="441">
      <c r="A441" t="inlineStr">
        <is>
          <t>Santhosh</t>
        </is>
      </c>
      <c r="B441" t="inlineStr">
        <is>
          <t xml:space="preserve"> V</t>
        </is>
      </c>
      <c r="C441" t="n">
        <v>1024570</v>
      </c>
      <c r="D441" t="inlineStr">
        <is>
          <t>Vasantham.Santhosh@infinite.com</t>
        </is>
      </c>
      <c r="E441" s="26" t="n">
        <v>36333</v>
      </c>
      <c r="F441" s="26" t="n">
        <v>44246</v>
      </c>
      <c r="H441" t="inlineStr">
        <is>
          <t>Male</t>
        </is>
      </c>
      <c r="I441" t="inlineStr">
        <is>
          <t>Asian</t>
        </is>
      </c>
      <c r="J441" t="inlineStr">
        <is>
          <t>WEBSITE</t>
        </is>
      </c>
      <c r="K441" t="inlineStr">
        <is>
          <t>Bangalore</t>
        </is>
      </c>
      <c r="L441" s="27" t="inlineStr">
        <is>
          <t>QA</t>
        </is>
      </c>
      <c r="M441" t="inlineStr">
        <is>
          <t>Full-Time</t>
        </is>
      </c>
      <c r="N441" t="inlineStr">
        <is>
          <t>Software Test Engineer</t>
        </is>
      </c>
      <c r="O441" t="inlineStr">
        <is>
          <t>E2</t>
        </is>
      </c>
      <c r="P441" t="inlineStr">
        <is>
          <t>Software Test Engineer</t>
        </is>
      </c>
      <c r="Q441" t="inlineStr">
        <is>
          <t>Vinayak  Tatuskar (1023387)</t>
        </is>
      </c>
      <c r="R441" t="n">
        <v>4</v>
      </c>
      <c r="S441" s="1" t="n">
        <v>250000</v>
      </c>
      <c r="T441" s="1">
        <f>ROUND(T_EMPLOYEES[[#This Row],[EMP_CTC1]]/12, 0)</f>
        <v/>
      </c>
      <c r="U441" s="1" t="n">
        <v>150000</v>
      </c>
      <c r="V441" s="1" t="inlineStr">
        <is>
          <t>AK</t>
        </is>
      </c>
      <c r="W441" s="1" t="inlineStr">
        <is>
          <t>AK</t>
        </is>
      </c>
      <c r="X44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1" t="n">
        <v>120000</v>
      </c>
      <c r="Z441" s="29">
        <f>(S441 - U441)/S441 * 100</f>
        <v/>
      </c>
      <c r="AA441">
        <f>IF(T_EMPLOYEES[[#This Row],[EMPLOYEE NUMBER]]="","",ROW(T_EMPLOYEES[[#This Row],[EMPLOYEE LABEL]])-ROW(T_EMPLOYEES[[#Headers],[EMPLOYEE LABEL]]))</f>
        <v/>
      </c>
      <c r="AB441">
        <f>IF(T_EMPLOYEES[[#This Row],[EMPLOYEE NUMBER]]="","",IF(COUNTIF(T_EMPLOYEES[EMPLOYEE NUMBER],T_EMPLOYEES[[#This Row],[EMPLOYEE NUMBER]])&gt;1,1,0))</f>
        <v/>
      </c>
      <c r="AC441">
        <f>IF(T_EMPLOYEES[[#This Row],[EMPLOYEE NUMBER]]="","",IF(AND(T_EMPLOYEES[[#This Row],[DATE OF BIRTH]]&gt;0,T_EMPLOYEES[[#This Row],[DATE OF BIRTH]]&lt;TODAY()),0,1))</f>
        <v/>
      </c>
      <c r="AD441">
        <f>IF(T_EMPLOYEES[[#This Row],[EMPLOYEE NUMBER]]="","",IF(AND(T_EMPLOYEES[[#This Row],[START DATE]]&gt;0,T_EMPLOYEES[[#This Row],[START DATE]]&lt;TODAY()+60),0,1))</f>
        <v/>
      </c>
      <c r="AE441">
        <f>IF(T_EMPLOYEES[[#This Row],[EMPLOYEE NUMBER]]="","",MATCH(T_EMPLOYEES[[#This Row],[GENDER]],L_GENDER,0))</f>
        <v/>
      </c>
      <c r="AF441">
        <f>IF(T_EMPLOYEES[[#This Row],[EMPLOYEE NUMBER]]="","",MATCH(T_EMPLOYEES[[#This Row],[HIRE SOURCE]],L_HIRESOURCE,0))</f>
        <v/>
      </c>
      <c r="AG441">
        <f>IF(T_EMPLOYEES[[#This Row],[EMPLOYEE NUMBER]]="","",MATCH(T_EMPLOYEES[[#This Row],[ETHNICITY]],L_ETHNICITY,0))</f>
        <v/>
      </c>
      <c r="AH441">
        <f>IF(T_EMPLOYEES[[#This Row],[EMPLOYEE NUMBER]]="","",MATCH(T_EMPLOYEES[[#This Row],[LOCATION]],L_LOCATION,0))</f>
        <v/>
      </c>
      <c r="AI441">
        <f>IF(T_EMPLOYEES[[#This Row],[EMPLOYEE NUMBER]]="","",MATCH(T_EMPLOYEES[[#This Row],[DEPARTMENT]],L_DEPARTMENT,0))</f>
        <v/>
      </c>
      <c r="AJ441">
        <f>IF(T_EMPLOYEES[[#This Row],[EMPLOYEE NUMBER]]="","",MATCH(T_EMPLOYEES[[#This Row],[JOB TYPE]],L_JOBTYPE,0))</f>
        <v/>
      </c>
      <c r="AK441">
        <f>IF(T_EMPLOYEES[[#This Row],[EMPLOYEE NUMBER]]="","",MATCH(T_EMPLOYEES[[#This Row],[JOB CATEGORY]],L_JOBCATEGORY,0))</f>
        <v/>
      </c>
      <c r="AL441">
        <f>IF(T_EMPLOYEES[[#This Row],[EMPLOYEE NUMBER]]="","",MATCH(T_EMPLOYEES[[#This Row],[JOB LEVEL]],L_JOBLEVEL,0))</f>
        <v/>
      </c>
      <c r="AM441">
        <f>IF(T_EMPLOYEES[[#This Row],[EMPLOYEE NUMBER]]="","",MATCH(T_EMPLOYEES[[#This Row],[JOB TITLE]],L_JOBTITLE,0))</f>
        <v/>
      </c>
      <c r="AN441">
        <f>IF(T_EMPLOYEES[[#This Row],[EMPLOYEE NUMBER]]="","",MATCH(T_EMPLOYEES[[#This Row],[MANAGER]],L_EMPLABELS,0))</f>
        <v/>
      </c>
      <c r="AO441">
        <f>IF(T_EMPLOYEES[[#This Row],[EMPLOYEE NUMBER]]="","",IF(T_EMPLOYEES[[#This Row],[ERROR]]="",0,1))</f>
        <v/>
      </c>
      <c r="AP44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2">
      <c r="A442" t="inlineStr">
        <is>
          <t>Preetam</t>
        </is>
      </c>
      <c r="B442" t="inlineStr">
        <is>
          <t xml:space="preserve"> Patel</t>
        </is>
      </c>
      <c r="C442" t="n">
        <v>1024572</v>
      </c>
      <c r="D442" t="inlineStr">
        <is>
          <t>Preetam.Patel@infinite.com</t>
        </is>
      </c>
      <c r="E442" s="26" t="n">
        <v>36333</v>
      </c>
      <c r="F442" s="26" t="n">
        <v>44246</v>
      </c>
      <c r="H442" t="inlineStr">
        <is>
          <t>Male</t>
        </is>
      </c>
      <c r="I442" t="inlineStr">
        <is>
          <t>Asian</t>
        </is>
      </c>
      <c r="J442" t="inlineStr">
        <is>
          <t>WEBSITE</t>
        </is>
      </c>
      <c r="K442" t="inlineStr">
        <is>
          <t>Pune</t>
        </is>
      </c>
      <c r="L442" s="27" t="inlineStr">
        <is>
          <t>QA</t>
        </is>
      </c>
      <c r="M442" t="inlineStr">
        <is>
          <t>Full-Time</t>
        </is>
      </c>
      <c r="N442" t="inlineStr">
        <is>
          <t>Software Test Engineer</t>
        </is>
      </c>
      <c r="O442" t="inlineStr">
        <is>
          <t>E2</t>
        </is>
      </c>
      <c r="P442" t="inlineStr">
        <is>
          <t>Software Test Engineer</t>
        </is>
      </c>
      <c r="Q442" t="inlineStr">
        <is>
          <t>Siva Kumar  Shada (1000177)</t>
        </is>
      </c>
      <c r="R442" s="27" t="n">
        <v>4</v>
      </c>
      <c r="S442" s="1" t="n">
        <v>250000</v>
      </c>
      <c r="T442" s="1">
        <f>ROUND(T_EMPLOYEES[[#This Row],[EMP_CTC1]]/12, 0)</f>
        <v/>
      </c>
      <c r="U442" s="1" t="n">
        <v>150000</v>
      </c>
      <c r="V442" s="1" t="inlineStr">
        <is>
          <t>AK</t>
        </is>
      </c>
      <c r="W442" s="1" t="inlineStr">
        <is>
          <t>AK</t>
        </is>
      </c>
      <c r="X44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2" t="n">
        <v>120000</v>
      </c>
      <c r="Z442" s="29">
        <f>(S442 - U442)/S442 * 100</f>
        <v/>
      </c>
      <c r="AA442">
        <f>IF(T_EMPLOYEES[[#This Row],[EMPLOYEE NUMBER]]="","",ROW(T_EMPLOYEES[[#This Row],[EMPLOYEE LABEL]])-ROW(T_EMPLOYEES[[#Headers],[EMPLOYEE LABEL]]))</f>
        <v/>
      </c>
      <c r="AB442">
        <f>IF(T_EMPLOYEES[[#This Row],[EMPLOYEE NUMBER]]="","",IF(COUNTIF(T_EMPLOYEES[EMPLOYEE NUMBER],T_EMPLOYEES[[#This Row],[EMPLOYEE NUMBER]])&gt;1,1,0))</f>
        <v/>
      </c>
      <c r="AC442">
        <f>IF(T_EMPLOYEES[[#This Row],[EMPLOYEE NUMBER]]="","",IF(AND(T_EMPLOYEES[[#This Row],[DATE OF BIRTH]]&gt;0,T_EMPLOYEES[[#This Row],[DATE OF BIRTH]]&lt;TODAY()),0,1))</f>
        <v/>
      </c>
      <c r="AD442">
        <f>IF(T_EMPLOYEES[[#This Row],[EMPLOYEE NUMBER]]="","",IF(AND(T_EMPLOYEES[[#This Row],[START DATE]]&gt;0,T_EMPLOYEES[[#This Row],[START DATE]]&lt;TODAY()+60),0,1))</f>
        <v/>
      </c>
      <c r="AE442">
        <f>IF(T_EMPLOYEES[[#This Row],[EMPLOYEE NUMBER]]="","",MATCH(T_EMPLOYEES[[#This Row],[GENDER]],L_GENDER,0))</f>
        <v/>
      </c>
      <c r="AF442">
        <f>IF(T_EMPLOYEES[[#This Row],[EMPLOYEE NUMBER]]="","",MATCH(T_EMPLOYEES[[#This Row],[HIRE SOURCE]],L_HIRESOURCE,0))</f>
        <v/>
      </c>
      <c r="AG442">
        <f>IF(T_EMPLOYEES[[#This Row],[EMPLOYEE NUMBER]]="","",MATCH(T_EMPLOYEES[[#This Row],[ETHNICITY]],L_ETHNICITY,0))</f>
        <v/>
      </c>
      <c r="AH442">
        <f>IF(T_EMPLOYEES[[#This Row],[EMPLOYEE NUMBER]]="","",MATCH(T_EMPLOYEES[[#This Row],[LOCATION]],L_LOCATION,0))</f>
        <v/>
      </c>
      <c r="AI442">
        <f>IF(T_EMPLOYEES[[#This Row],[EMPLOYEE NUMBER]]="","",MATCH(T_EMPLOYEES[[#This Row],[DEPARTMENT]],L_DEPARTMENT,0))</f>
        <v/>
      </c>
      <c r="AJ442">
        <f>IF(T_EMPLOYEES[[#This Row],[EMPLOYEE NUMBER]]="","",MATCH(T_EMPLOYEES[[#This Row],[JOB TYPE]],L_JOBTYPE,0))</f>
        <v/>
      </c>
      <c r="AK442">
        <f>IF(T_EMPLOYEES[[#This Row],[EMPLOYEE NUMBER]]="","",MATCH(T_EMPLOYEES[[#This Row],[JOB CATEGORY]],L_JOBCATEGORY,0))</f>
        <v/>
      </c>
      <c r="AL442">
        <f>IF(T_EMPLOYEES[[#This Row],[EMPLOYEE NUMBER]]="","",MATCH(T_EMPLOYEES[[#This Row],[JOB LEVEL]],L_JOBLEVEL,0))</f>
        <v/>
      </c>
      <c r="AM442">
        <f>IF(T_EMPLOYEES[[#This Row],[EMPLOYEE NUMBER]]="","",MATCH(T_EMPLOYEES[[#This Row],[JOB TITLE]],L_JOBTITLE,0))</f>
        <v/>
      </c>
      <c r="AN442">
        <f>IF(T_EMPLOYEES[[#This Row],[EMPLOYEE NUMBER]]="","",MATCH(T_EMPLOYEES[[#This Row],[MANAGER]],L_EMPLABELS,0))</f>
        <v/>
      </c>
      <c r="AO442">
        <f>IF(T_EMPLOYEES[[#This Row],[EMPLOYEE NUMBER]]="","",IF(T_EMPLOYEES[[#This Row],[ERROR]]="",0,1))</f>
        <v/>
      </c>
      <c r="AP44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3">
      <c r="A443" t="inlineStr">
        <is>
          <t>Prithvi</t>
        </is>
      </c>
      <c r="B443" t="inlineStr">
        <is>
          <t>Raj C S</t>
        </is>
      </c>
      <c r="C443" t="n">
        <v>1026246</v>
      </c>
      <c r="D443" t="inlineStr">
        <is>
          <t>Prithviraj.Chandra@infinite.com</t>
        </is>
      </c>
      <c r="E443" s="26" t="n">
        <v>36333</v>
      </c>
      <c r="F443" s="26" t="n">
        <v>44433</v>
      </c>
      <c r="H443" t="inlineStr">
        <is>
          <t>Male</t>
        </is>
      </c>
      <c r="I443" t="inlineStr">
        <is>
          <t>Asian</t>
        </is>
      </c>
      <c r="J443" t="inlineStr">
        <is>
          <t>WEBSITE</t>
        </is>
      </c>
      <c r="K443" t="inlineStr">
        <is>
          <t>Bangalore</t>
        </is>
      </c>
      <c r="L443" s="27" t="inlineStr">
        <is>
          <t>IT</t>
        </is>
      </c>
      <c r="M443" t="inlineStr">
        <is>
          <t>Full-Time</t>
        </is>
      </c>
      <c r="N443" t="inlineStr">
        <is>
          <t>Software Engineer</t>
        </is>
      </c>
      <c r="O443" t="inlineStr">
        <is>
          <t>E2</t>
        </is>
      </c>
      <c r="P443" t="inlineStr">
        <is>
          <t>Software Engineer</t>
        </is>
      </c>
      <c r="Q443" t="inlineStr">
        <is>
          <t>Sunny Bhattacharjee (1025863)</t>
        </is>
      </c>
      <c r="R443" t="n">
        <v>4</v>
      </c>
      <c r="S443" s="1" t="n">
        <v>250000</v>
      </c>
      <c r="T443" s="1">
        <f>ROUND(T_EMPLOYEES[[#This Row],[EMP_CTC1]]/12, 0)</f>
        <v/>
      </c>
      <c r="U443" s="1" t="n">
        <v>150000</v>
      </c>
      <c r="V443" s="1" t="inlineStr">
        <is>
          <t>AK</t>
        </is>
      </c>
      <c r="W443" s="1" t="inlineStr">
        <is>
          <t>AK</t>
        </is>
      </c>
      <c r="X44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3" t="n">
        <v>120000</v>
      </c>
      <c r="Z443" s="29">
        <f>(S443 - U443)/S443 * 100</f>
        <v/>
      </c>
      <c r="AA443">
        <f>IF(T_EMPLOYEES[[#This Row],[EMPLOYEE NUMBER]]="","",ROW(T_EMPLOYEES[[#This Row],[EMPLOYEE LABEL]])-ROW(T_EMPLOYEES[[#Headers],[EMPLOYEE LABEL]]))</f>
        <v/>
      </c>
      <c r="AB443">
        <f>IF(T_EMPLOYEES[[#This Row],[EMPLOYEE NUMBER]]="","",IF(COUNTIF(T_EMPLOYEES[EMPLOYEE NUMBER],T_EMPLOYEES[[#This Row],[EMPLOYEE NUMBER]])&gt;1,1,0))</f>
        <v/>
      </c>
      <c r="AC443">
        <f>IF(T_EMPLOYEES[[#This Row],[EMPLOYEE NUMBER]]="","",IF(AND(T_EMPLOYEES[[#This Row],[DATE OF BIRTH]]&gt;0,T_EMPLOYEES[[#This Row],[DATE OF BIRTH]]&lt;TODAY()),0,1))</f>
        <v/>
      </c>
      <c r="AD443">
        <f>IF(T_EMPLOYEES[[#This Row],[EMPLOYEE NUMBER]]="","",IF(AND(T_EMPLOYEES[[#This Row],[START DATE]]&gt;0,T_EMPLOYEES[[#This Row],[START DATE]]&lt;TODAY()+60),0,1))</f>
        <v/>
      </c>
      <c r="AE443">
        <f>IF(T_EMPLOYEES[[#This Row],[EMPLOYEE NUMBER]]="","",MATCH(T_EMPLOYEES[[#This Row],[GENDER]],L_GENDER,0))</f>
        <v/>
      </c>
      <c r="AF443">
        <f>IF(T_EMPLOYEES[[#This Row],[EMPLOYEE NUMBER]]="","",MATCH(T_EMPLOYEES[[#This Row],[HIRE SOURCE]],L_HIRESOURCE,0))</f>
        <v/>
      </c>
      <c r="AG443">
        <f>IF(T_EMPLOYEES[[#This Row],[EMPLOYEE NUMBER]]="","",MATCH(T_EMPLOYEES[[#This Row],[ETHNICITY]],L_ETHNICITY,0))</f>
        <v/>
      </c>
      <c r="AH443">
        <f>IF(T_EMPLOYEES[[#This Row],[EMPLOYEE NUMBER]]="","",MATCH(T_EMPLOYEES[[#This Row],[LOCATION]],L_LOCATION,0))</f>
        <v/>
      </c>
      <c r="AI443">
        <f>IF(T_EMPLOYEES[[#This Row],[EMPLOYEE NUMBER]]="","",MATCH(T_EMPLOYEES[[#This Row],[DEPARTMENT]],L_DEPARTMENT,0))</f>
        <v/>
      </c>
      <c r="AJ443">
        <f>IF(T_EMPLOYEES[[#This Row],[EMPLOYEE NUMBER]]="","",MATCH(T_EMPLOYEES[[#This Row],[JOB TYPE]],L_JOBTYPE,0))</f>
        <v/>
      </c>
      <c r="AK443">
        <f>IF(T_EMPLOYEES[[#This Row],[EMPLOYEE NUMBER]]="","",MATCH(T_EMPLOYEES[[#This Row],[JOB CATEGORY]],L_JOBCATEGORY,0))</f>
        <v/>
      </c>
      <c r="AL443">
        <f>IF(T_EMPLOYEES[[#This Row],[EMPLOYEE NUMBER]]="","",MATCH(T_EMPLOYEES[[#This Row],[JOB LEVEL]],L_JOBLEVEL,0))</f>
        <v/>
      </c>
      <c r="AM443">
        <f>IF(T_EMPLOYEES[[#This Row],[EMPLOYEE NUMBER]]="","",MATCH(T_EMPLOYEES[[#This Row],[JOB TITLE]],L_JOBTITLE,0))</f>
        <v/>
      </c>
      <c r="AN443">
        <f>IF(T_EMPLOYEES[[#This Row],[EMPLOYEE NUMBER]]="","",MATCH(T_EMPLOYEES[[#This Row],[MANAGER]],L_EMPLABELS,0))</f>
        <v/>
      </c>
      <c r="AO443">
        <f>IF(T_EMPLOYEES[[#This Row],[EMPLOYEE NUMBER]]="","",IF(T_EMPLOYEES[[#This Row],[ERROR]]="",0,1))</f>
        <v/>
      </c>
      <c r="AP44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43" t="inlineStr">
        <is>
          <t>Member</t>
        </is>
      </c>
    </row>
    <row r="444">
      <c r="A444" t="inlineStr">
        <is>
          <t>Chitturi</t>
        </is>
      </c>
      <c r="B444" t="inlineStr">
        <is>
          <t>Sriramya</t>
        </is>
      </c>
      <c r="C444" t="n">
        <v>1028935</v>
      </c>
      <c r="D444" t="inlineStr">
        <is>
          <t>Chitturi.Sriramya@infinite.com</t>
        </is>
      </c>
      <c r="E444" s="26" t="n">
        <v>36333</v>
      </c>
      <c r="F444" s="26" t="n">
        <v>44677</v>
      </c>
      <c r="H444" t="inlineStr">
        <is>
          <t>Female</t>
        </is>
      </c>
      <c r="I444" t="inlineStr">
        <is>
          <t>Asian</t>
        </is>
      </c>
      <c r="J444" t="inlineStr">
        <is>
          <t>WEBSITE</t>
        </is>
      </c>
      <c r="K444" t="inlineStr">
        <is>
          <t>Pune</t>
        </is>
      </c>
      <c r="L444" s="27" t="inlineStr">
        <is>
          <t>QA</t>
        </is>
      </c>
      <c r="M444" t="inlineStr">
        <is>
          <t>Full-Time</t>
        </is>
      </c>
      <c r="N444" t="inlineStr">
        <is>
          <t>Software Test Engineer</t>
        </is>
      </c>
      <c r="O444" t="inlineStr">
        <is>
          <t>E2</t>
        </is>
      </c>
      <c r="P444" t="inlineStr">
        <is>
          <t>Software Test Engineer</t>
        </is>
      </c>
      <c r="Q444" t="inlineStr">
        <is>
          <t>Siva Kumar  Shada (1000177)</t>
        </is>
      </c>
      <c r="R444" s="27" t="n">
        <v>4</v>
      </c>
      <c r="S444" s="1" t="n">
        <v>250000</v>
      </c>
      <c r="T444" s="1">
        <f>ROUND(T_EMPLOYEES[[#This Row],[EMP_CTC1]]/12, 0)</f>
        <v/>
      </c>
      <c r="U444" s="1" t="n">
        <v>150000</v>
      </c>
      <c r="V444" s="1" t="inlineStr">
        <is>
          <t>AK</t>
        </is>
      </c>
      <c r="W444" s="1" t="inlineStr">
        <is>
          <t>AK</t>
        </is>
      </c>
      <c r="X44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4" t="n">
        <v>120000</v>
      </c>
      <c r="Z444" s="29">
        <f>(S444 - U444)/S444 * 100</f>
        <v/>
      </c>
      <c r="AA444">
        <f>IF(T_EMPLOYEES[[#This Row],[EMPLOYEE NUMBER]]="","",ROW(T_EMPLOYEES[[#This Row],[EMPLOYEE LABEL]])-ROW(T_EMPLOYEES[[#Headers],[EMPLOYEE LABEL]]))</f>
        <v/>
      </c>
      <c r="AB444">
        <f>IF(T_EMPLOYEES[[#This Row],[EMPLOYEE NUMBER]]="","",IF(COUNTIF(T_EMPLOYEES[EMPLOYEE NUMBER],T_EMPLOYEES[[#This Row],[EMPLOYEE NUMBER]])&gt;1,1,0))</f>
        <v/>
      </c>
      <c r="AC444">
        <f>IF(T_EMPLOYEES[[#This Row],[EMPLOYEE NUMBER]]="","",IF(AND(T_EMPLOYEES[[#This Row],[DATE OF BIRTH]]&gt;0,T_EMPLOYEES[[#This Row],[DATE OF BIRTH]]&lt;TODAY()),0,1))</f>
        <v/>
      </c>
      <c r="AD444">
        <f>IF(T_EMPLOYEES[[#This Row],[EMPLOYEE NUMBER]]="","",IF(AND(T_EMPLOYEES[[#This Row],[START DATE]]&gt;0,T_EMPLOYEES[[#This Row],[START DATE]]&lt;TODAY()+60),0,1))</f>
        <v/>
      </c>
      <c r="AE444">
        <f>IF(T_EMPLOYEES[[#This Row],[EMPLOYEE NUMBER]]="","",MATCH(T_EMPLOYEES[[#This Row],[GENDER]],L_GENDER,0))</f>
        <v/>
      </c>
      <c r="AF444">
        <f>IF(T_EMPLOYEES[[#This Row],[EMPLOYEE NUMBER]]="","",MATCH(T_EMPLOYEES[[#This Row],[HIRE SOURCE]],L_HIRESOURCE,0))</f>
        <v/>
      </c>
      <c r="AG444">
        <f>IF(T_EMPLOYEES[[#This Row],[EMPLOYEE NUMBER]]="","",MATCH(T_EMPLOYEES[[#This Row],[ETHNICITY]],L_ETHNICITY,0))</f>
        <v/>
      </c>
      <c r="AH444">
        <f>IF(T_EMPLOYEES[[#This Row],[EMPLOYEE NUMBER]]="","",MATCH(T_EMPLOYEES[[#This Row],[LOCATION]],L_LOCATION,0))</f>
        <v/>
      </c>
      <c r="AI444">
        <f>IF(T_EMPLOYEES[[#This Row],[EMPLOYEE NUMBER]]="","",MATCH(T_EMPLOYEES[[#This Row],[DEPARTMENT]],L_DEPARTMENT,0))</f>
        <v/>
      </c>
      <c r="AJ444">
        <f>IF(T_EMPLOYEES[[#This Row],[EMPLOYEE NUMBER]]="","",MATCH(T_EMPLOYEES[[#This Row],[JOB TYPE]],L_JOBTYPE,0))</f>
        <v/>
      </c>
      <c r="AK444">
        <f>IF(T_EMPLOYEES[[#This Row],[EMPLOYEE NUMBER]]="","",MATCH(T_EMPLOYEES[[#This Row],[JOB CATEGORY]],L_JOBCATEGORY,0))</f>
        <v/>
      </c>
      <c r="AL444">
        <f>IF(T_EMPLOYEES[[#This Row],[EMPLOYEE NUMBER]]="","",MATCH(T_EMPLOYEES[[#This Row],[JOB LEVEL]],L_JOBLEVEL,0))</f>
        <v/>
      </c>
      <c r="AM444">
        <f>IF(T_EMPLOYEES[[#This Row],[EMPLOYEE NUMBER]]="","",MATCH(T_EMPLOYEES[[#This Row],[JOB TITLE]],L_JOBTITLE,0))</f>
        <v/>
      </c>
      <c r="AN444">
        <f>IF(T_EMPLOYEES[[#This Row],[EMPLOYEE NUMBER]]="","",MATCH(T_EMPLOYEES[[#This Row],[MANAGER]],L_EMPLABELS,0))</f>
        <v/>
      </c>
      <c r="AO444">
        <f>IF(T_EMPLOYEES[[#This Row],[EMPLOYEE NUMBER]]="","",IF(T_EMPLOYEES[[#This Row],[ERROR]]="",0,1))</f>
        <v/>
      </c>
      <c r="AP44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5">
      <c r="A445" t="inlineStr">
        <is>
          <t>Bishal</t>
        </is>
      </c>
      <c r="B445" t="inlineStr">
        <is>
          <t xml:space="preserve"> Kalita</t>
        </is>
      </c>
      <c r="C445" t="n">
        <v>1027411</v>
      </c>
      <c r="D445" t="inlineStr">
        <is>
          <t>Bishal.Kalita@infinite.com</t>
        </is>
      </c>
      <c r="E445" s="26" t="n">
        <v>36334</v>
      </c>
      <c r="F445" s="26" t="n">
        <v>44531</v>
      </c>
      <c r="H445" t="inlineStr">
        <is>
          <t>Male</t>
        </is>
      </c>
      <c r="I445" t="inlineStr">
        <is>
          <t>Asian</t>
        </is>
      </c>
      <c r="J445" t="inlineStr">
        <is>
          <t>WEBSITE</t>
        </is>
      </c>
      <c r="K445" t="inlineStr">
        <is>
          <t>Bangalore</t>
        </is>
      </c>
      <c r="L445" s="27" t="inlineStr">
        <is>
          <t>IT</t>
        </is>
      </c>
      <c r="M445" t="inlineStr">
        <is>
          <t>Full-Time</t>
        </is>
      </c>
      <c r="N445" t="inlineStr">
        <is>
          <t>Software Test Engineer</t>
        </is>
      </c>
      <c r="O445" t="inlineStr">
        <is>
          <t>E2</t>
        </is>
      </c>
      <c r="P445" t="inlineStr">
        <is>
          <t>Software Test Engineer</t>
        </is>
      </c>
      <c r="Q445" t="inlineStr">
        <is>
          <t>Shrihari S Butti (1029760)</t>
        </is>
      </c>
      <c r="R445" t="n">
        <v>4</v>
      </c>
      <c r="S445" s="1" t="n">
        <v>250000</v>
      </c>
      <c r="T445" s="1">
        <f>ROUND(T_EMPLOYEES[[#This Row],[EMP_CTC1]]/12, 0)</f>
        <v/>
      </c>
      <c r="U445" s="1" t="n">
        <v>150000</v>
      </c>
      <c r="V445" s="1" t="inlineStr">
        <is>
          <t>AK</t>
        </is>
      </c>
      <c r="W445" s="1" t="inlineStr">
        <is>
          <t>AK</t>
        </is>
      </c>
      <c r="X44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5" t="n">
        <v>120000</v>
      </c>
      <c r="Z445" s="29">
        <f>(S445 - U445)/S445 * 100</f>
        <v/>
      </c>
      <c r="AA445">
        <f>IF(T_EMPLOYEES[[#This Row],[EMPLOYEE NUMBER]]="","",ROW(T_EMPLOYEES[[#This Row],[EMPLOYEE LABEL]])-ROW(T_EMPLOYEES[[#Headers],[EMPLOYEE LABEL]]))</f>
        <v/>
      </c>
      <c r="AB445">
        <f>IF(T_EMPLOYEES[[#This Row],[EMPLOYEE NUMBER]]="","",IF(COUNTIF(T_EMPLOYEES[EMPLOYEE NUMBER],T_EMPLOYEES[[#This Row],[EMPLOYEE NUMBER]])&gt;1,1,0))</f>
        <v/>
      </c>
      <c r="AC445">
        <f>IF(T_EMPLOYEES[[#This Row],[EMPLOYEE NUMBER]]="","",IF(AND(T_EMPLOYEES[[#This Row],[DATE OF BIRTH]]&gt;0,T_EMPLOYEES[[#This Row],[DATE OF BIRTH]]&lt;TODAY()),0,1))</f>
        <v/>
      </c>
      <c r="AD445">
        <f>IF(T_EMPLOYEES[[#This Row],[EMPLOYEE NUMBER]]="","",IF(AND(T_EMPLOYEES[[#This Row],[START DATE]]&gt;0,T_EMPLOYEES[[#This Row],[START DATE]]&lt;TODAY()+60),0,1))</f>
        <v/>
      </c>
      <c r="AE445">
        <f>IF(T_EMPLOYEES[[#This Row],[EMPLOYEE NUMBER]]="","",MATCH(T_EMPLOYEES[[#This Row],[GENDER]],L_GENDER,0))</f>
        <v/>
      </c>
      <c r="AF445">
        <f>IF(T_EMPLOYEES[[#This Row],[EMPLOYEE NUMBER]]="","",MATCH(T_EMPLOYEES[[#This Row],[HIRE SOURCE]],L_HIRESOURCE,0))</f>
        <v/>
      </c>
      <c r="AG445">
        <f>IF(T_EMPLOYEES[[#This Row],[EMPLOYEE NUMBER]]="","",MATCH(T_EMPLOYEES[[#This Row],[ETHNICITY]],L_ETHNICITY,0))</f>
        <v/>
      </c>
      <c r="AH445">
        <f>IF(T_EMPLOYEES[[#This Row],[EMPLOYEE NUMBER]]="","",MATCH(T_EMPLOYEES[[#This Row],[LOCATION]],L_LOCATION,0))</f>
        <v/>
      </c>
      <c r="AI445">
        <f>IF(T_EMPLOYEES[[#This Row],[EMPLOYEE NUMBER]]="","",MATCH(T_EMPLOYEES[[#This Row],[DEPARTMENT]],L_DEPARTMENT,0))</f>
        <v/>
      </c>
      <c r="AJ445">
        <f>IF(T_EMPLOYEES[[#This Row],[EMPLOYEE NUMBER]]="","",MATCH(T_EMPLOYEES[[#This Row],[JOB TYPE]],L_JOBTYPE,0))</f>
        <v/>
      </c>
      <c r="AK445">
        <f>IF(T_EMPLOYEES[[#This Row],[EMPLOYEE NUMBER]]="","",MATCH(T_EMPLOYEES[[#This Row],[JOB CATEGORY]],L_JOBCATEGORY,0))</f>
        <v/>
      </c>
      <c r="AL445">
        <f>IF(T_EMPLOYEES[[#This Row],[EMPLOYEE NUMBER]]="","",MATCH(T_EMPLOYEES[[#This Row],[JOB LEVEL]],L_JOBLEVEL,0))</f>
        <v/>
      </c>
      <c r="AM445">
        <f>IF(T_EMPLOYEES[[#This Row],[EMPLOYEE NUMBER]]="","",MATCH(T_EMPLOYEES[[#This Row],[JOB TITLE]],L_JOBTITLE,0))</f>
        <v/>
      </c>
      <c r="AN445">
        <f>IF(T_EMPLOYEES[[#This Row],[EMPLOYEE NUMBER]]="","",MATCH(T_EMPLOYEES[[#This Row],[MANAGER]],L_EMPLABELS,0))</f>
        <v/>
      </c>
      <c r="AO445">
        <f>IF(T_EMPLOYEES[[#This Row],[EMPLOYEE NUMBER]]="","",IF(T_EMPLOYEES[[#This Row],[ERROR]]="",0,1))</f>
        <v/>
      </c>
      <c r="AP44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6">
      <c r="A446" t="inlineStr">
        <is>
          <t>Pooja</t>
        </is>
      </c>
      <c r="B446" t="inlineStr">
        <is>
          <t xml:space="preserve"> Krishan</t>
        </is>
      </c>
      <c r="C446" t="n">
        <v>1033575</v>
      </c>
      <c r="D446" t="inlineStr">
        <is>
          <t>Pooja.Krishan@infinite.com</t>
        </is>
      </c>
      <c r="E446" s="26" t="n">
        <v>36347</v>
      </c>
      <c r="F446" s="26" t="n">
        <v>45189</v>
      </c>
      <c r="H446" t="inlineStr">
        <is>
          <t>Female</t>
        </is>
      </c>
      <c r="I446" t="inlineStr">
        <is>
          <t>Asian</t>
        </is>
      </c>
      <c r="J446" t="inlineStr">
        <is>
          <t>WEBSITE</t>
        </is>
      </c>
      <c r="K446" t="inlineStr">
        <is>
          <t>Bangalore</t>
        </is>
      </c>
      <c r="L446" s="27" t="inlineStr">
        <is>
          <t>IT</t>
        </is>
      </c>
      <c r="M446" t="inlineStr">
        <is>
          <t>Full-Time</t>
        </is>
      </c>
      <c r="N446" t="inlineStr">
        <is>
          <t>Software Engineer</t>
        </is>
      </c>
      <c r="O446" t="inlineStr">
        <is>
          <t>E2</t>
        </is>
      </c>
      <c r="P446" t="inlineStr">
        <is>
          <t>Software Engineer</t>
        </is>
      </c>
      <c r="Q446" t="inlineStr">
        <is>
          <t>Niranjan Reddy G (1032824)</t>
        </is>
      </c>
      <c r="R446" s="27" t="n">
        <v>4</v>
      </c>
      <c r="S446" s="1" t="n">
        <v>250000</v>
      </c>
      <c r="T446" s="1">
        <f>ROUND(T_EMPLOYEES[[#This Row],[EMP_CTC1]]/12, 0)</f>
        <v/>
      </c>
      <c r="U446" s="1" t="n">
        <v>150000</v>
      </c>
      <c r="V446" s="1" t="inlineStr">
        <is>
          <t>AK</t>
        </is>
      </c>
      <c r="W446" s="1" t="inlineStr">
        <is>
          <t>AK</t>
        </is>
      </c>
      <c r="X44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6" t="n">
        <v>120000</v>
      </c>
      <c r="Z446" s="29">
        <f>(S446 - U446)/S446 * 100</f>
        <v/>
      </c>
      <c r="AA446">
        <f>IF(T_EMPLOYEES[[#This Row],[EMPLOYEE NUMBER]]="","",ROW(T_EMPLOYEES[[#This Row],[EMPLOYEE LABEL]])-ROW(T_EMPLOYEES[[#Headers],[EMPLOYEE LABEL]]))</f>
        <v/>
      </c>
      <c r="AB446">
        <f>IF(T_EMPLOYEES[[#This Row],[EMPLOYEE NUMBER]]="","",IF(COUNTIF(T_EMPLOYEES[EMPLOYEE NUMBER],T_EMPLOYEES[[#This Row],[EMPLOYEE NUMBER]])&gt;1,1,0))</f>
        <v/>
      </c>
      <c r="AC446">
        <f>IF(T_EMPLOYEES[[#This Row],[EMPLOYEE NUMBER]]="","",IF(AND(T_EMPLOYEES[[#This Row],[DATE OF BIRTH]]&gt;0,T_EMPLOYEES[[#This Row],[DATE OF BIRTH]]&lt;TODAY()),0,1))</f>
        <v/>
      </c>
      <c r="AD446">
        <f>IF(T_EMPLOYEES[[#This Row],[EMPLOYEE NUMBER]]="","",IF(AND(T_EMPLOYEES[[#This Row],[START DATE]]&gt;0,T_EMPLOYEES[[#This Row],[START DATE]]&lt;TODAY()+60),0,1))</f>
        <v/>
      </c>
      <c r="AE446">
        <f>IF(T_EMPLOYEES[[#This Row],[EMPLOYEE NUMBER]]="","",MATCH(T_EMPLOYEES[[#This Row],[GENDER]],L_GENDER,0))</f>
        <v/>
      </c>
      <c r="AF446">
        <f>IF(T_EMPLOYEES[[#This Row],[EMPLOYEE NUMBER]]="","",MATCH(T_EMPLOYEES[[#This Row],[HIRE SOURCE]],L_HIRESOURCE,0))</f>
        <v/>
      </c>
      <c r="AG446">
        <f>IF(T_EMPLOYEES[[#This Row],[EMPLOYEE NUMBER]]="","",MATCH(T_EMPLOYEES[[#This Row],[ETHNICITY]],L_ETHNICITY,0))</f>
        <v/>
      </c>
      <c r="AH446">
        <f>IF(T_EMPLOYEES[[#This Row],[EMPLOYEE NUMBER]]="","",MATCH(T_EMPLOYEES[[#This Row],[LOCATION]],L_LOCATION,0))</f>
        <v/>
      </c>
      <c r="AI446">
        <f>IF(T_EMPLOYEES[[#This Row],[EMPLOYEE NUMBER]]="","",MATCH(T_EMPLOYEES[[#This Row],[DEPARTMENT]],L_DEPARTMENT,0))</f>
        <v/>
      </c>
      <c r="AJ446">
        <f>IF(T_EMPLOYEES[[#This Row],[EMPLOYEE NUMBER]]="","",MATCH(T_EMPLOYEES[[#This Row],[JOB TYPE]],L_JOBTYPE,0))</f>
        <v/>
      </c>
      <c r="AK446">
        <f>IF(T_EMPLOYEES[[#This Row],[EMPLOYEE NUMBER]]="","",MATCH(T_EMPLOYEES[[#This Row],[JOB CATEGORY]],L_JOBCATEGORY,0))</f>
        <v/>
      </c>
      <c r="AL446">
        <f>IF(T_EMPLOYEES[[#This Row],[EMPLOYEE NUMBER]]="","",MATCH(T_EMPLOYEES[[#This Row],[JOB LEVEL]],L_JOBLEVEL,0))</f>
        <v/>
      </c>
      <c r="AM446">
        <f>IF(T_EMPLOYEES[[#This Row],[EMPLOYEE NUMBER]]="","",MATCH(T_EMPLOYEES[[#This Row],[JOB TITLE]],L_JOBTITLE,0))</f>
        <v/>
      </c>
      <c r="AN446">
        <f>IF(T_EMPLOYEES[[#This Row],[EMPLOYEE NUMBER]]="","",MATCH(T_EMPLOYEES[[#This Row],[MANAGER]],L_EMPLABELS,0))</f>
        <v/>
      </c>
      <c r="AO446">
        <f>IF(T_EMPLOYEES[[#This Row],[EMPLOYEE NUMBER]]="","",IF(T_EMPLOYEES[[#This Row],[ERROR]]="",0,1))</f>
        <v/>
      </c>
      <c r="AP44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7">
      <c r="A447" t="inlineStr">
        <is>
          <t>Abhishek</t>
        </is>
      </c>
      <c r="B447" t="inlineStr">
        <is>
          <t>Raj</t>
        </is>
      </c>
      <c r="C447" t="n">
        <v>1030259</v>
      </c>
      <c r="D447" t="inlineStr">
        <is>
          <t>Abhishek.Raj@infinite.com</t>
        </is>
      </c>
      <c r="E447" s="26" t="n">
        <v>36351</v>
      </c>
      <c r="F447" s="26" t="n">
        <v>44819</v>
      </c>
      <c r="H447" t="inlineStr">
        <is>
          <t>Male</t>
        </is>
      </c>
      <c r="I447" t="inlineStr">
        <is>
          <t>Asian</t>
        </is>
      </c>
      <c r="J447" t="inlineStr">
        <is>
          <t>WEBSITE</t>
        </is>
      </c>
      <c r="K447" t="inlineStr">
        <is>
          <t>Bangalore</t>
        </is>
      </c>
      <c r="L447" s="27" t="inlineStr">
        <is>
          <t>Infra</t>
        </is>
      </c>
      <c r="M447" t="inlineStr">
        <is>
          <t>Full-Time</t>
        </is>
      </c>
      <c r="N447" t="inlineStr">
        <is>
          <t>Associate Software Engineer</t>
        </is>
      </c>
      <c r="O447" t="inlineStr">
        <is>
          <t>E1</t>
        </is>
      </c>
      <c r="P447" t="inlineStr">
        <is>
          <t>Associate Software Engineer</t>
        </is>
      </c>
      <c r="Q447" t="inlineStr">
        <is>
          <t>K  Saikumar (1026864)</t>
        </is>
      </c>
      <c r="R447" t="n">
        <v>0</v>
      </c>
      <c r="S447" s="1" t="n">
        <v>1200000</v>
      </c>
      <c r="T447" s="1">
        <f>ROUND(T_EMPLOYEES[[#This Row],[EMP_CTC1]]/12, 0)</f>
        <v/>
      </c>
      <c r="U447" s="1" t="n">
        <v>1000000</v>
      </c>
      <c r="V447" s="1" t="inlineStr">
        <is>
          <t>AK</t>
        </is>
      </c>
      <c r="W447" s="1" t="inlineStr">
        <is>
          <t>AK</t>
        </is>
      </c>
      <c r="X44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7" t="n">
        <v>120000</v>
      </c>
      <c r="Z447" s="29">
        <f>(S447 - U447)/S447 * 100</f>
        <v/>
      </c>
      <c r="AA447">
        <f>IF(T_EMPLOYEES[[#This Row],[EMPLOYEE NUMBER]]="","",ROW(T_EMPLOYEES[[#This Row],[EMPLOYEE LABEL]])-ROW(T_EMPLOYEES[[#Headers],[EMPLOYEE LABEL]]))</f>
        <v/>
      </c>
      <c r="AB447">
        <f>IF(T_EMPLOYEES[[#This Row],[EMPLOYEE NUMBER]]="","",IF(COUNTIF(T_EMPLOYEES[EMPLOYEE NUMBER],T_EMPLOYEES[[#This Row],[EMPLOYEE NUMBER]])&gt;1,1,0))</f>
        <v/>
      </c>
      <c r="AC447">
        <f>IF(T_EMPLOYEES[[#This Row],[EMPLOYEE NUMBER]]="","",IF(AND(T_EMPLOYEES[[#This Row],[DATE OF BIRTH]]&gt;0,T_EMPLOYEES[[#This Row],[DATE OF BIRTH]]&lt;TODAY()),0,1))</f>
        <v/>
      </c>
      <c r="AD447">
        <f>IF(T_EMPLOYEES[[#This Row],[EMPLOYEE NUMBER]]="","",IF(AND(T_EMPLOYEES[[#This Row],[START DATE]]&gt;0,T_EMPLOYEES[[#This Row],[START DATE]]&lt;TODAY()+60),0,1))</f>
        <v/>
      </c>
      <c r="AE447">
        <f>IF(T_EMPLOYEES[[#This Row],[EMPLOYEE NUMBER]]="","",MATCH(T_EMPLOYEES[[#This Row],[GENDER]],L_GENDER,0))</f>
        <v/>
      </c>
      <c r="AF447">
        <f>IF(T_EMPLOYEES[[#This Row],[EMPLOYEE NUMBER]]="","",MATCH(T_EMPLOYEES[[#This Row],[HIRE SOURCE]],L_HIRESOURCE,0))</f>
        <v/>
      </c>
      <c r="AG447">
        <f>IF(T_EMPLOYEES[[#This Row],[EMPLOYEE NUMBER]]="","",MATCH(T_EMPLOYEES[[#This Row],[ETHNICITY]],L_ETHNICITY,0))</f>
        <v/>
      </c>
      <c r="AH447">
        <f>IF(T_EMPLOYEES[[#This Row],[EMPLOYEE NUMBER]]="","",MATCH(T_EMPLOYEES[[#This Row],[LOCATION]],L_LOCATION,0))</f>
        <v/>
      </c>
      <c r="AI447">
        <f>IF(T_EMPLOYEES[[#This Row],[EMPLOYEE NUMBER]]="","",MATCH(T_EMPLOYEES[[#This Row],[DEPARTMENT]],L_DEPARTMENT,0))</f>
        <v/>
      </c>
      <c r="AJ447">
        <f>IF(T_EMPLOYEES[[#This Row],[EMPLOYEE NUMBER]]="","",MATCH(T_EMPLOYEES[[#This Row],[JOB TYPE]],L_JOBTYPE,0))</f>
        <v/>
      </c>
      <c r="AK447">
        <f>IF(T_EMPLOYEES[[#This Row],[EMPLOYEE NUMBER]]="","",MATCH(T_EMPLOYEES[[#This Row],[JOB CATEGORY]],L_JOBCATEGORY,0))</f>
        <v/>
      </c>
      <c r="AL447">
        <f>IF(T_EMPLOYEES[[#This Row],[EMPLOYEE NUMBER]]="","",MATCH(T_EMPLOYEES[[#This Row],[JOB LEVEL]],L_JOBLEVEL,0))</f>
        <v/>
      </c>
      <c r="AM447">
        <f>IF(T_EMPLOYEES[[#This Row],[EMPLOYEE NUMBER]]="","",MATCH(T_EMPLOYEES[[#This Row],[JOB TITLE]],L_JOBTITLE,0))</f>
        <v/>
      </c>
      <c r="AN447">
        <f>IF(T_EMPLOYEES[[#This Row],[EMPLOYEE NUMBER]]="","",MATCH(T_EMPLOYEES[[#This Row],[MANAGER]],L_EMPLABELS,0))</f>
        <v/>
      </c>
      <c r="AO447">
        <f>IF(T_EMPLOYEES[[#This Row],[EMPLOYEE NUMBER]]="","",IF(T_EMPLOYEES[[#This Row],[ERROR]]="",0,1))</f>
        <v/>
      </c>
      <c r="AP44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8">
      <c r="A448" t="inlineStr">
        <is>
          <t>Palemkota</t>
        </is>
      </c>
      <c r="B448" t="inlineStr">
        <is>
          <t>Naveen</t>
        </is>
      </c>
      <c r="C448" t="n">
        <v>1029890</v>
      </c>
      <c r="D448" t="inlineStr">
        <is>
          <t>Naveen.Palemkota@infinite.com</t>
        </is>
      </c>
      <c r="E448" s="26" t="n">
        <v>36353</v>
      </c>
      <c r="F448" s="26" t="n">
        <v>44791</v>
      </c>
      <c r="H448" t="inlineStr">
        <is>
          <t>Male</t>
        </is>
      </c>
      <c r="I448" t="inlineStr">
        <is>
          <t>Asian</t>
        </is>
      </c>
      <c r="J448" t="inlineStr">
        <is>
          <t>WEBSITE</t>
        </is>
      </c>
      <c r="K448" t="inlineStr">
        <is>
          <t>Bangalore</t>
        </is>
      </c>
      <c r="L448" s="27" t="inlineStr">
        <is>
          <t>IT</t>
        </is>
      </c>
      <c r="M448" t="inlineStr">
        <is>
          <t>Full-Time</t>
        </is>
      </c>
      <c r="N448" t="inlineStr">
        <is>
          <t>Associate Software Engineer</t>
        </is>
      </c>
      <c r="O448" t="inlineStr">
        <is>
          <t>E1</t>
        </is>
      </c>
      <c r="P448" t="inlineStr">
        <is>
          <t>Associate Software Engineer</t>
        </is>
      </c>
      <c r="Q448" t="inlineStr">
        <is>
          <t>Shaik Jabeer Basha (1027017)</t>
        </is>
      </c>
      <c r="R448" s="27" t="n">
        <v>0</v>
      </c>
      <c r="S448" s="1" t="n">
        <v>1200000</v>
      </c>
      <c r="T448" s="1">
        <f>ROUND(T_EMPLOYEES[[#This Row],[EMP_CTC1]]/12, 0)</f>
        <v/>
      </c>
      <c r="U448" s="1" t="n">
        <v>1000000</v>
      </c>
      <c r="V448" s="1" t="inlineStr">
        <is>
          <t>AK</t>
        </is>
      </c>
      <c r="W448" s="1" t="inlineStr">
        <is>
          <t>AK</t>
        </is>
      </c>
      <c r="X44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8" t="n">
        <v>120000</v>
      </c>
      <c r="Z448" s="29">
        <f>(S448 - U448)/S448 * 100</f>
        <v/>
      </c>
      <c r="AA448">
        <f>IF(T_EMPLOYEES[[#This Row],[EMPLOYEE NUMBER]]="","",ROW(T_EMPLOYEES[[#This Row],[EMPLOYEE LABEL]])-ROW(T_EMPLOYEES[[#Headers],[EMPLOYEE LABEL]]))</f>
        <v/>
      </c>
      <c r="AB448">
        <f>IF(T_EMPLOYEES[[#This Row],[EMPLOYEE NUMBER]]="","",IF(COUNTIF(T_EMPLOYEES[EMPLOYEE NUMBER],T_EMPLOYEES[[#This Row],[EMPLOYEE NUMBER]])&gt;1,1,0))</f>
        <v/>
      </c>
      <c r="AC448">
        <f>IF(T_EMPLOYEES[[#This Row],[EMPLOYEE NUMBER]]="","",IF(AND(T_EMPLOYEES[[#This Row],[DATE OF BIRTH]]&gt;0,T_EMPLOYEES[[#This Row],[DATE OF BIRTH]]&lt;TODAY()),0,1))</f>
        <v/>
      </c>
      <c r="AD448">
        <f>IF(T_EMPLOYEES[[#This Row],[EMPLOYEE NUMBER]]="","",IF(AND(T_EMPLOYEES[[#This Row],[START DATE]]&gt;0,T_EMPLOYEES[[#This Row],[START DATE]]&lt;TODAY()+60),0,1))</f>
        <v/>
      </c>
      <c r="AE448">
        <f>IF(T_EMPLOYEES[[#This Row],[EMPLOYEE NUMBER]]="","",MATCH(T_EMPLOYEES[[#This Row],[GENDER]],L_GENDER,0))</f>
        <v/>
      </c>
      <c r="AF448">
        <f>IF(T_EMPLOYEES[[#This Row],[EMPLOYEE NUMBER]]="","",MATCH(T_EMPLOYEES[[#This Row],[HIRE SOURCE]],L_HIRESOURCE,0))</f>
        <v/>
      </c>
      <c r="AG448">
        <f>IF(T_EMPLOYEES[[#This Row],[EMPLOYEE NUMBER]]="","",MATCH(T_EMPLOYEES[[#This Row],[ETHNICITY]],L_ETHNICITY,0))</f>
        <v/>
      </c>
      <c r="AH448">
        <f>IF(T_EMPLOYEES[[#This Row],[EMPLOYEE NUMBER]]="","",MATCH(T_EMPLOYEES[[#This Row],[LOCATION]],L_LOCATION,0))</f>
        <v/>
      </c>
      <c r="AI448">
        <f>IF(T_EMPLOYEES[[#This Row],[EMPLOYEE NUMBER]]="","",MATCH(T_EMPLOYEES[[#This Row],[DEPARTMENT]],L_DEPARTMENT,0))</f>
        <v/>
      </c>
      <c r="AJ448">
        <f>IF(T_EMPLOYEES[[#This Row],[EMPLOYEE NUMBER]]="","",MATCH(T_EMPLOYEES[[#This Row],[JOB TYPE]],L_JOBTYPE,0))</f>
        <v/>
      </c>
      <c r="AK448">
        <f>IF(T_EMPLOYEES[[#This Row],[EMPLOYEE NUMBER]]="","",MATCH(T_EMPLOYEES[[#This Row],[JOB CATEGORY]],L_JOBCATEGORY,0))</f>
        <v/>
      </c>
      <c r="AL448">
        <f>IF(T_EMPLOYEES[[#This Row],[EMPLOYEE NUMBER]]="","",MATCH(T_EMPLOYEES[[#This Row],[JOB LEVEL]],L_JOBLEVEL,0))</f>
        <v/>
      </c>
      <c r="AM448">
        <f>IF(T_EMPLOYEES[[#This Row],[EMPLOYEE NUMBER]]="","",MATCH(T_EMPLOYEES[[#This Row],[JOB TITLE]],L_JOBTITLE,0))</f>
        <v/>
      </c>
      <c r="AN448">
        <f>IF(T_EMPLOYEES[[#This Row],[EMPLOYEE NUMBER]]="","",MATCH(T_EMPLOYEES[[#This Row],[MANAGER]],L_EMPLABELS,0))</f>
        <v/>
      </c>
      <c r="AO448">
        <f>IF(T_EMPLOYEES[[#This Row],[EMPLOYEE NUMBER]]="","",IF(T_EMPLOYEES[[#This Row],[ERROR]]="",0,1))</f>
        <v/>
      </c>
      <c r="AP44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49">
      <c r="A449" t="inlineStr">
        <is>
          <t>Nakkanabone</t>
        </is>
      </c>
      <c r="B449" t="inlineStr">
        <is>
          <t xml:space="preserve">Sunil </t>
        </is>
      </c>
      <c r="C449" t="n">
        <v>1030909</v>
      </c>
      <c r="D449" t="inlineStr">
        <is>
          <t>Sunil.Nakkanabone@infinite.com</t>
        </is>
      </c>
      <c r="E449" s="26" t="n">
        <v>36356</v>
      </c>
      <c r="F449" s="26" t="n">
        <v>44876</v>
      </c>
      <c r="H449" t="inlineStr">
        <is>
          <t>Male</t>
        </is>
      </c>
      <c r="I449" t="inlineStr">
        <is>
          <t>Asian</t>
        </is>
      </c>
      <c r="J449" t="inlineStr">
        <is>
          <t>WEBSITE</t>
        </is>
      </c>
      <c r="K449" t="inlineStr">
        <is>
          <t>Bangalore</t>
        </is>
      </c>
      <c r="L449" t="inlineStr">
        <is>
          <t>Infra</t>
        </is>
      </c>
      <c r="M449" t="inlineStr">
        <is>
          <t>Full-Time</t>
        </is>
      </c>
      <c r="N449" t="inlineStr">
        <is>
          <t>Associate Software Engineer</t>
        </is>
      </c>
      <c r="O449" t="inlineStr">
        <is>
          <t>E1</t>
        </is>
      </c>
      <c r="P449" t="inlineStr">
        <is>
          <t>Associate Software Engineer</t>
        </is>
      </c>
      <c r="Q449" t="inlineStr">
        <is>
          <t>K  Saikumar (1026864)</t>
        </is>
      </c>
      <c r="R449" t="n">
        <v>0</v>
      </c>
      <c r="S449" s="1" t="n">
        <v>1200000</v>
      </c>
      <c r="T449" s="1">
        <f>ROUND(T_EMPLOYEES[[#This Row],[EMP_CTC1]]/12, 0)</f>
        <v/>
      </c>
      <c r="U449" s="1" t="n">
        <v>1000000</v>
      </c>
      <c r="V449" s="1" t="inlineStr">
        <is>
          <t>AK</t>
        </is>
      </c>
      <c r="W449" s="1" t="inlineStr">
        <is>
          <t>AK</t>
        </is>
      </c>
      <c r="X44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49" t="n">
        <v>120000</v>
      </c>
      <c r="Z449" s="29">
        <f>(S449 - U449)/S449 * 100</f>
        <v/>
      </c>
      <c r="AA449">
        <f>IF(T_EMPLOYEES[[#This Row],[EMPLOYEE NUMBER]]="","",ROW(T_EMPLOYEES[[#This Row],[EMPLOYEE LABEL]])-ROW(T_EMPLOYEES[[#Headers],[EMPLOYEE LABEL]]))</f>
        <v/>
      </c>
      <c r="AB449">
        <f>IF(T_EMPLOYEES[[#This Row],[EMPLOYEE NUMBER]]="","",IF(COUNTIF(T_EMPLOYEES[EMPLOYEE NUMBER],T_EMPLOYEES[[#This Row],[EMPLOYEE NUMBER]])&gt;1,1,0))</f>
        <v/>
      </c>
      <c r="AC449">
        <f>IF(T_EMPLOYEES[[#This Row],[EMPLOYEE NUMBER]]="","",IF(AND(T_EMPLOYEES[[#This Row],[DATE OF BIRTH]]&gt;0,T_EMPLOYEES[[#This Row],[DATE OF BIRTH]]&lt;TODAY()),0,1))</f>
        <v/>
      </c>
      <c r="AD449">
        <f>IF(T_EMPLOYEES[[#This Row],[EMPLOYEE NUMBER]]="","",IF(AND(T_EMPLOYEES[[#This Row],[START DATE]]&gt;0,T_EMPLOYEES[[#This Row],[START DATE]]&lt;TODAY()+60),0,1))</f>
        <v/>
      </c>
      <c r="AE449">
        <f>IF(T_EMPLOYEES[[#This Row],[EMPLOYEE NUMBER]]="","",MATCH(T_EMPLOYEES[[#This Row],[GENDER]],L_GENDER,0))</f>
        <v/>
      </c>
      <c r="AF449">
        <f>IF(T_EMPLOYEES[[#This Row],[EMPLOYEE NUMBER]]="","",MATCH(T_EMPLOYEES[[#This Row],[HIRE SOURCE]],L_HIRESOURCE,0))</f>
        <v/>
      </c>
      <c r="AG449">
        <f>IF(T_EMPLOYEES[[#This Row],[EMPLOYEE NUMBER]]="","",MATCH(T_EMPLOYEES[[#This Row],[ETHNICITY]],L_ETHNICITY,0))</f>
        <v/>
      </c>
      <c r="AH449">
        <f>IF(T_EMPLOYEES[[#This Row],[EMPLOYEE NUMBER]]="","",MATCH(T_EMPLOYEES[[#This Row],[LOCATION]],L_LOCATION,0))</f>
        <v/>
      </c>
      <c r="AI449">
        <f>IF(T_EMPLOYEES[[#This Row],[EMPLOYEE NUMBER]]="","",MATCH(T_EMPLOYEES[[#This Row],[DEPARTMENT]],L_DEPARTMENT,0))</f>
        <v/>
      </c>
      <c r="AJ449">
        <f>IF(T_EMPLOYEES[[#This Row],[EMPLOYEE NUMBER]]="","",MATCH(T_EMPLOYEES[[#This Row],[JOB TYPE]],L_JOBTYPE,0))</f>
        <v/>
      </c>
      <c r="AK449">
        <f>IF(T_EMPLOYEES[[#This Row],[EMPLOYEE NUMBER]]="","",MATCH(T_EMPLOYEES[[#This Row],[JOB CATEGORY]],L_JOBCATEGORY,0))</f>
        <v/>
      </c>
      <c r="AL449">
        <f>IF(T_EMPLOYEES[[#This Row],[EMPLOYEE NUMBER]]="","",MATCH(T_EMPLOYEES[[#This Row],[JOB LEVEL]],L_JOBLEVEL,0))</f>
        <v/>
      </c>
      <c r="AM449">
        <f>IF(T_EMPLOYEES[[#This Row],[EMPLOYEE NUMBER]]="","",MATCH(T_EMPLOYEES[[#This Row],[JOB TITLE]],L_JOBTITLE,0))</f>
        <v/>
      </c>
      <c r="AN449">
        <f>IF(T_EMPLOYEES[[#This Row],[EMPLOYEE NUMBER]]="","",MATCH(T_EMPLOYEES[[#This Row],[MANAGER]],L_EMPLABELS,0))</f>
        <v/>
      </c>
      <c r="AO449">
        <f>IF(T_EMPLOYEES[[#This Row],[EMPLOYEE NUMBER]]="","",IF(T_EMPLOYEES[[#This Row],[ERROR]]="",0,1))</f>
        <v/>
      </c>
      <c r="AP44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0">
      <c r="A450" t="inlineStr">
        <is>
          <t>John</t>
        </is>
      </c>
      <c r="B450" t="inlineStr">
        <is>
          <t>Alsten Tauro</t>
        </is>
      </c>
      <c r="C450" t="n">
        <v>1027409</v>
      </c>
      <c r="D450" t="inlineStr">
        <is>
          <t>John.Tauro@infinite.com</t>
        </is>
      </c>
      <c r="E450" s="26" t="n">
        <v>36360</v>
      </c>
      <c r="F450" s="26" t="n">
        <v>44531</v>
      </c>
      <c r="H450" t="inlineStr">
        <is>
          <t>Male</t>
        </is>
      </c>
      <c r="I450" t="inlineStr">
        <is>
          <t>Asian</t>
        </is>
      </c>
      <c r="J450" t="inlineStr">
        <is>
          <t>WEBSITE</t>
        </is>
      </c>
      <c r="K450" t="inlineStr">
        <is>
          <t>Bangalore</t>
        </is>
      </c>
      <c r="L450" s="27" t="inlineStr">
        <is>
          <t>Core</t>
        </is>
      </c>
      <c r="M450" t="inlineStr">
        <is>
          <t>Full-Time</t>
        </is>
      </c>
      <c r="N450" t="inlineStr">
        <is>
          <t>Software Engineer</t>
        </is>
      </c>
      <c r="O450" t="inlineStr">
        <is>
          <t>E2</t>
        </is>
      </c>
      <c r="P450" t="inlineStr">
        <is>
          <t>Software Engineer</t>
        </is>
      </c>
      <c r="Q450" t="inlineStr">
        <is>
          <t>Anil Kumar Khamari (1013201)</t>
        </is>
      </c>
      <c r="R450" s="27" t="n">
        <v>4</v>
      </c>
      <c r="S450" s="1" t="n">
        <v>1200000</v>
      </c>
      <c r="T450" s="1">
        <f>ROUND(T_EMPLOYEES[[#This Row],[EMP_CTC1]]/12, 0)</f>
        <v/>
      </c>
      <c r="U450" s="1" t="n">
        <v>1000000</v>
      </c>
      <c r="V450" s="1" t="inlineStr">
        <is>
          <t>AK</t>
        </is>
      </c>
      <c r="W450" s="1" t="inlineStr">
        <is>
          <t>AK</t>
        </is>
      </c>
      <c r="X45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0" t="n">
        <v>120000</v>
      </c>
      <c r="Z450" s="29">
        <f>(S450 - U450)/S450 * 100</f>
        <v/>
      </c>
      <c r="AA450">
        <f>IF(T_EMPLOYEES[[#This Row],[EMPLOYEE NUMBER]]="","",ROW(T_EMPLOYEES[[#This Row],[EMPLOYEE LABEL]])-ROW(T_EMPLOYEES[[#Headers],[EMPLOYEE LABEL]]))</f>
        <v/>
      </c>
      <c r="AB450">
        <f>IF(T_EMPLOYEES[[#This Row],[EMPLOYEE NUMBER]]="","",IF(COUNTIF(T_EMPLOYEES[EMPLOYEE NUMBER],T_EMPLOYEES[[#This Row],[EMPLOYEE NUMBER]])&gt;1,1,0))</f>
        <v/>
      </c>
      <c r="AC450">
        <f>IF(T_EMPLOYEES[[#This Row],[EMPLOYEE NUMBER]]="","",IF(AND(T_EMPLOYEES[[#This Row],[DATE OF BIRTH]]&gt;0,T_EMPLOYEES[[#This Row],[DATE OF BIRTH]]&lt;TODAY()),0,1))</f>
        <v/>
      </c>
      <c r="AD450">
        <f>IF(T_EMPLOYEES[[#This Row],[EMPLOYEE NUMBER]]="","",IF(AND(T_EMPLOYEES[[#This Row],[START DATE]]&gt;0,T_EMPLOYEES[[#This Row],[START DATE]]&lt;TODAY()+60),0,1))</f>
        <v/>
      </c>
      <c r="AE450">
        <f>IF(T_EMPLOYEES[[#This Row],[EMPLOYEE NUMBER]]="","",MATCH(T_EMPLOYEES[[#This Row],[GENDER]],L_GENDER,0))</f>
        <v/>
      </c>
      <c r="AF450">
        <f>IF(T_EMPLOYEES[[#This Row],[EMPLOYEE NUMBER]]="","",MATCH(T_EMPLOYEES[[#This Row],[HIRE SOURCE]],L_HIRESOURCE,0))</f>
        <v/>
      </c>
      <c r="AG450">
        <f>IF(T_EMPLOYEES[[#This Row],[EMPLOYEE NUMBER]]="","",MATCH(T_EMPLOYEES[[#This Row],[ETHNICITY]],L_ETHNICITY,0))</f>
        <v/>
      </c>
      <c r="AH450">
        <f>IF(T_EMPLOYEES[[#This Row],[EMPLOYEE NUMBER]]="","",MATCH(T_EMPLOYEES[[#This Row],[LOCATION]],L_LOCATION,0))</f>
        <v/>
      </c>
      <c r="AI450">
        <f>IF(T_EMPLOYEES[[#This Row],[EMPLOYEE NUMBER]]="","",MATCH(T_EMPLOYEES[[#This Row],[DEPARTMENT]],L_DEPARTMENT,0))</f>
        <v/>
      </c>
      <c r="AJ450">
        <f>IF(T_EMPLOYEES[[#This Row],[EMPLOYEE NUMBER]]="","",MATCH(T_EMPLOYEES[[#This Row],[JOB TYPE]],L_JOBTYPE,0))</f>
        <v/>
      </c>
      <c r="AK450">
        <f>IF(T_EMPLOYEES[[#This Row],[EMPLOYEE NUMBER]]="","",MATCH(T_EMPLOYEES[[#This Row],[JOB CATEGORY]],L_JOBCATEGORY,0))</f>
        <v/>
      </c>
      <c r="AL450">
        <f>IF(T_EMPLOYEES[[#This Row],[EMPLOYEE NUMBER]]="","",MATCH(T_EMPLOYEES[[#This Row],[JOB LEVEL]],L_JOBLEVEL,0))</f>
        <v/>
      </c>
      <c r="AM450">
        <f>IF(T_EMPLOYEES[[#This Row],[EMPLOYEE NUMBER]]="","",MATCH(T_EMPLOYEES[[#This Row],[JOB TITLE]],L_JOBTITLE,0))</f>
        <v/>
      </c>
      <c r="AN450">
        <f>IF(T_EMPLOYEES[[#This Row],[EMPLOYEE NUMBER]]="","",MATCH(T_EMPLOYEES[[#This Row],[MANAGER]],L_EMPLABELS,0))</f>
        <v/>
      </c>
      <c r="AO450">
        <f>IF(T_EMPLOYEES[[#This Row],[EMPLOYEE NUMBER]]="","",IF(T_EMPLOYEES[[#This Row],[ERROR]]="",0,1))</f>
        <v/>
      </c>
      <c r="AP45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1">
      <c r="A451" t="inlineStr">
        <is>
          <t>Soundarya</t>
        </is>
      </c>
      <c r="B451" t="inlineStr">
        <is>
          <t>Ramachandr Kamble</t>
        </is>
      </c>
      <c r="C451" t="n">
        <v>1026967</v>
      </c>
      <c r="D451" t="inlineStr">
        <is>
          <t>Soundarya.Kamble@infinite.com</t>
        </is>
      </c>
      <c r="E451" s="26" t="n">
        <v>36372</v>
      </c>
      <c r="F451" s="26" t="n">
        <v>44494</v>
      </c>
      <c r="H451" t="inlineStr">
        <is>
          <t>Female</t>
        </is>
      </c>
      <c r="I451" t="inlineStr">
        <is>
          <t>Asian</t>
        </is>
      </c>
      <c r="J451" t="inlineStr">
        <is>
          <t>WEBSITE</t>
        </is>
      </c>
      <c r="K451" t="inlineStr">
        <is>
          <t>Bangalore</t>
        </is>
      </c>
      <c r="L451" s="27" t="inlineStr">
        <is>
          <t>IT</t>
        </is>
      </c>
      <c r="M451" t="inlineStr">
        <is>
          <t>Full-Time</t>
        </is>
      </c>
      <c r="N451" t="inlineStr">
        <is>
          <t>Software Test Engineer</t>
        </is>
      </c>
      <c r="O451" t="inlineStr">
        <is>
          <t>E2</t>
        </is>
      </c>
      <c r="P451" t="inlineStr">
        <is>
          <t>Software Test Engineer</t>
        </is>
      </c>
      <c r="Q451" t="inlineStr">
        <is>
          <t>Maddipati Mohan Chowdary (1025070)</t>
        </is>
      </c>
      <c r="R451" t="n">
        <v>4</v>
      </c>
      <c r="S451" s="1" t="n">
        <v>1200000</v>
      </c>
      <c r="T451" s="1">
        <f>ROUND(T_EMPLOYEES[[#This Row],[EMP_CTC1]]/12, 0)</f>
        <v/>
      </c>
      <c r="U451" s="1" t="n">
        <v>1000000</v>
      </c>
      <c r="V451" s="1" t="inlineStr">
        <is>
          <t>AK</t>
        </is>
      </c>
      <c r="W451" s="1" t="inlineStr">
        <is>
          <t>AK</t>
        </is>
      </c>
      <c r="X45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1" t="n">
        <v>120000</v>
      </c>
      <c r="Z451" s="29">
        <f>(S451 - U451)/S451 * 100</f>
        <v/>
      </c>
      <c r="AA451">
        <f>IF(T_EMPLOYEES[[#This Row],[EMPLOYEE NUMBER]]="","",ROW(T_EMPLOYEES[[#This Row],[EMPLOYEE LABEL]])-ROW(T_EMPLOYEES[[#Headers],[EMPLOYEE LABEL]]))</f>
        <v/>
      </c>
      <c r="AB451">
        <f>IF(T_EMPLOYEES[[#This Row],[EMPLOYEE NUMBER]]="","",IF(COUNTIF(T_EMPLOYEES[EMPLOYEE NUMBER],T_EMPLOYEES[[#This Row],[EMPLOYEE NUMBER]])&gt;1,1,0))</f>
        <v/>
      </c>
      <c r="AC451">
        <f>IF(T_EMPLOYEES[[#This Row],[EMPLOYEE NUMBER]]="","",IF(AND(T_EMPLOYEES[[#This Row],[DATE OF BIRTH]]&gt;0,T_EMPLOYEES[[#This Row],[DATE OF BIRTH]]&lt;TODAY()),0,1))</f>
        <v/>
      </c>
      <c r="AD451">
        <f>IF(T_EMPLOYEES[[#This Row],[EMPLOYEE NUMBER]]="","",IF(AND(T_EMPLOYEES[[#This Row],[START DATE]]&gt;0,T_EMPLOYEES[[#This Row],[START DATE]]&lt;TODAY()+60),0,1))</f>
        <v/>
      </c>
      <c r="AE451">
        <f>IF(T_EMPLOYEES[[#This Row],[EMPLOYEE NUMBER]]="","",MATCH(T_EMPLOYEES[[#This Row],[GENDER]],L_GENDER,0))</f>
        <v/>
      </c>
      <c r="AF451">
        <f>IF(T_EMPLOYEES[[#This Row],[EMPLOYEE NUMBER]]="","",MATCH(T_EMPLOYEES[[#This Row],[HIRE SOURCE]],L_HIRESOURCE,0))</f>
        <v/>
      </c>
      <c r="AG451">
        <f>IF(T_EMPLOYEES[[#This Row],[EMPLOYEE NUMBER]]="","",MATCH(T_EMPLOYEES[[#This Row],[ETHNICITY]],L_ETHNICITY,0))</f>
        <v/>
      </c>
      <c r="AH451">
        <f>IF(T_EMPLOYEES[[#This Row],[EMPLOYEE NUMBER]]="","",MATCH(T_EMPLOYEES[[#This Row],[LOCATION]],L_LOCATION,0))</f>
        <v/>
      </c>
      <c r="AI451">
        <f>IF(T_EMPLOYEES[[#This Row],[EMPLOYEE NUMBER]]="","",MATCH(T_EMPLOYEES[[#This Row],[DEPARTMENT]],L_DEPARTMENT,0))</f>
        <v/>
      </c>
      <c r="AJ451">
        <f>IF(T_EMPLOYEES[[#This Row],[EMPLOYEE NUMBER]]="","",MATCH(T_EMPLOYEES[[#This Row],[JOB TYPE]],L_JOBTYPE,0))</f>
        <v/>
      </c>
      <c r="AK451">
        <f>IF(T_EMPLOYEES[[#This Row],[EMPLOYEE NUMBER]]="","",MATCH(T_EMPLOYEES[[#This Row],[JOB CATEGORY]],L_JOBCATEGORY,0))</f>
        <v/>
      </c>
      <c r="AL451">
        <f>IF(T_EMPLOYEES[[#This Row],[EMPLOYEE NUMBER]]="","",MATCH(T_EMPLOYEES[[#This Row],[JOB LEVEL]],L_JOBLEVEL,0))</f>
        <v/>
      </c>
      <c r="AM451">
        <f>IF(T_EMPLOYEES[[#This Row],[EMPLOYEE NUMBER]]="","",MATCH(T_EMPLOYEES[[#This Row],[JOB TITLE]],L_JOBTITLE,0))</f>
        <v/>
      </c>
      <c r="AN451">
        <f>IF(T_EMPLOYEES[[#This Row],[EMPLOYEE NUMBER]]="","",MATCH(T_EMPLOYEES[[#This Row],[MANAGER]],L_EMPLABELS,0))</f>
        <v/>
      </c>
      <c r="AO451">
        <f>IF(T_EMPLOYEES[[#This Row],[EMPLOYEE NUMBER]]="","",IF(T_EMPLOYEES[[#This Row],[ERROR]]="",0,1))</f>
        <v/>
      </c>
      <c r="AP45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2">
      <c r="A452" t="inlineStr">
        <is>
          <t>Kummari</t>
        </is>
      </c>
      <c r="B452" t="inlineStr">
        <is>
          <t>Yeshwanth</t>
        </is>
      </c>
      <c r="C452" t="n">
        <v>1029885</v>
      </c>
      <c r="D452" t="inlineStr">
        <is>
          <t>Kummari.Yeshwanth@infinite.com</t>
        </is>
      </c>
      <c r="E452" s="26" t="n">
        <v>36373</v>
      </c>
      <c r="F452" s="26" t="n">
        <v>44791</v>
      </c>
      <c r="H452" t="inlineStr">
        <is>
          <t>Male</t>
        </is>
      </c>
      <c r="I452" t="inlineStr">
        <is>
          <t>Asian</t>
        </is>
      </c>
      <c r="J452" t="inlineStr">
        <is>
          <t>WEBSITE</t>
        </is>
      </c>
      <c r="K452" t="inlineStr">
        <is>
          <t>Bangalore</t>
        </is>
      </c>
      <c r="L452" s="27" t="inlineStr">
        <is>
          <t>Core</t>
        </is>
      </c>
      <c r="M452" t="inlineStr">
        <is>
          <t>Full-Time</t>
        </is>
      </c>
      <c r="N452" t="inlineStr">
        <is>
          <t>Associate Software Engineer</t>
        </is>
      </c>
      <c r="O452" t="inlineStr">
        <is>
          <t>E1</t>
        </is>
      </c>
      <c r="P452" t="inlineStr">
        <is>
          <t>Associate Software Engineer</t>
        </is>
      </c>
      <c r="Q452" t="inlineStr">
        <is>
          <t>Kishore Kumar N (1019765)</t>
        </is>
      </c>
      <c r="R452" s="27" t="n">
        <v>0</v>
      </c>
      <c r="S452" s="1" t="n">
        <v>1200000</v>
      </c>
      <c r="T452" s="1">
        <f>ROUND(T_EMPLOYEES[[#This Row],[EMP_CTC1]]/12, 0)</f>
        <v/>
      </c>
      <c r="U452" s="1" t="n">
        <v>1000000</v>
      </c>
      <c r="V452" s="1" t="inlineStr">
        <is>
          <t>AK</t>
        </is>
      </c>
      <c r="W452" s="1" t="inlineStr">
        <is>
          <t>AK</t>
        </is>
      </c>
      <c r="X45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2" t="n">
        <v>120000</v>
      </c>
      <c r="Z452" s="29">
        <f>(S452 - U452)/S452 * 100</f>
        <v/>
      </c>
      <c r="AA452">
        <f>IF(T_EMPLOYEES[[#This Row],[EMPLOYEE NUMBER]]="","",ROW(T_EMPLOYEES[[#This Row],[EMPLOYEE LABEL]])-ROW(T_EMPLOYEES[[#Headers],[EMPLOYEE LABEL]]))</f>
        <v/>
      </c>
      <c r="AB452">
        <f>IF(T_EMPLOYEES[[#This Row],[EMPLOYEE NUMBER]]="","",IF(COUNTIF(T_EMPLOYEES[EMPLOYEE NUMBER],T_EMPLOYEES[[#This Row],[EMPLOYEE NUMBER]])&gt;1,1,0))</f>
        <v/>
      </c>
      <c r="AC452">
        <f>IF(T_EMPLOYEES[[#This Row],[EMPLOYEE NUMBER]]="","",IF(AND(T_EMPLOYEES[[#This Row],[DATE OF BIRTH]]&gt;0,T_EMPLOYEES[[#This Row],[DATE OF BIRTH]]&lt;TODAY()),0,1))</f>
        <v/>
      </c>
      <c r="AD452">
        <f>IF(T_EMPLOYEES[[#This Row],[EMPLOYEE NUMBER]]="","",IF(AND(T_EMPLOYEES[[#This Row],[START DATE]]&gt;0,T_EMPLOYEES[[#This Row],[START DATE]]&lt;TODAY()+60),0,1))</f>
        <v/>
      </c>
      <c r="AE452">
        <f>IF(T_EMPLOYEES[[#This Row],[EMPLOYEE NUMBER]]="","",MATCH(T_EMPLOYEES[[#This Row],[GENDER]],L_GENDER,0))</f>
        <v/>
      </c>
      <c r="AF452">
        <f>IF(T_EMPLOYEES[[#This Row],[EMPLOYEE NUMBER]]="","",MATCH(T_EMPLOYEES[[#This Row],[HIRE SOURCE]],L_HIRESOURCE,0))</f>
        <v/>
      </c>
      <c r="AG452">
        <f>IF(T_EMPLOYEES[[#This Row],[EMPLOYEE NUMBER]]="","",MATCH(T_EMPLOYEES[[#This Row],[ETHNICITY]],L_ETHNICITY,0))</f>
        <v/>
      </c>
      <c r="AH452">
        <f>IF(T_EMPLOYEES[[#This Row],[EMPLOYEE NUMBER]]="","",MATCH(T_EMPLOYEES[[#This Row],[LOCATION]],L_LOCATION,0))</f>
        <v/>
      </c>
      <c r="AI452">
        <f>IF(T_EMPLOYEES[[#This Row],[EMPLOYEE NUMBER]]="","",MATCH(T_EMPLOYEES[[#This Row],[DEPARTMENT]],L_DEPARTMENT,0))</f>
        <v/>
      </c>
      <c r="AJ452">
        <f>IF(T_EMPLOYEES[[#This Row],[EMPLOYEE NUMBER]]="","",MATCH(T_EMPLOYEES[[#This Row],[JOB TYPE]],L_JOBTYPE,0))</f>
        <v/>
      </c>
      <c r="AK452">
        <f>IF(T_EMPLOYEES[[#This Row],[EMPLOYEE NUMBER]]="","",MATCH(T_EMPLOYEES[[#This Row],[JOB CATEGORY]],L_JOBCATEGORY,0))</f>
        <v/>
      </c>
      <c r="AL452">
        <f>IF(T_EMPLOYEES[[#This Row],[EMPLOYEE NUMBER]]="","",MATCH(T_EMPLOYEES[[#This Row],[JOB LEVEL]],L_JOBLEVEL,0))</f>
        <v/>
      </c>
      <c r="AM452">
        <f>IF(T_EMPLOYEES[[#This Row],[EMPLOYEE NUMBER]]="","",MATCH(T_EMPLOYEES[[#This Row],[JOB TITLE]],L_JOBTITLE,0))</f>
        <v/>
      </c>
      <c r="AN452">
        <f>IF(T_EMPLOYEES[[#This Row],[EMPLOYEE NUMBER]]="","",MATCH(T_EMPLOYEES[[#This Row],[MANAGER]],L_EMPLABELS,0))</f>
        <v/>
      </c>
      <c r="AO452">
        <f>IF(T_EMPLOYEES[[#This Row],[EMPLOYEE NUMBER]]="","",IF(T_EMPLOYEES[[#This Row],[ERROR]]="",0,1))</f>
        <v/>
      </c>
      <c r="AP45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3">
      <c r="A453" t="inlineStr">
        <is>
          <t>Kakara</t>
        </is>
      </c>
      <c r="B453" t="inlineStr">
        <is>
          <t xml:space="preserve"> Deepthi</t>
        </is>
      </c>
      <c r="C453" t="n">
        <v>1027424</v>
      </c>
      <c r="D453" t="inlineStr">
        <is>
          <t>Kakara.Deepthi@infinite.com</t>
        </is>
      </c>
      <c r="E453" s="26" t="n">
        <v>36378</v>
      </c>
      <c r="F453" s="26" t="n">
        <v>44531</v>
      </c>
      <c r="H453" t="inlineStr">
        <is>
          <t>Female</t>
        </is>
      </c>
      <c r="I453" t="inlineStr">
        <is>
          <t>Asian</t>
        </is>
      </c>
      <c r="J453" t="inlineStr">
        <is>
          <t>WEBSITE</t>
        </is>
      </c>
      <c r="K453" t="inlineStr">
        <is>
          <t>Bangalore</t>
        </is>
      </c>
      <c r="L453" s="27" t="inlineStr">
        <is>
          <t>Core</t>
        </is>
      </c>
      <c r="M453" t="inlineStr">
        <is>
          <t>Full-Time</t>
        </is>
      </c>
      <c r="N453" t="inlineStr">
        <is>
          <t>Software Engineer</t>
        </is>
      </c>
      <c r="O453" t="inlineStr">
        <is>
          <t>E2</t>
        </is>
      </c>
      <c r="P453" t="inlineStr">
        <is>
          <t>Software Engineer</t>
        </is>
      </c>
      <c r="Q453" t="inlineStr">
        <is>
          <t>Dipakbhai Motibhai Tandel (1027230)</t>
        </is>
      </c>
      <c r="R453" t="n">
        <v>4</v>
      </c>
      <c r="S453" s="1" t="n">
        <v>1200000</v>
      </c>
      <c r="T453" s="1">
        <f>ROUND(T_EMPLOYEES[[#This Row],[EMP_CTC1]]/12, 0)</f>
        <v/>
      </c>
      <c r="U453" s="1" t="n">
        <v>1000000</v>
      </c>
      <c r="V453" s="1" t="inlineStr">
        <is>
          <t>AK</t>
        </is>
      </c>
      <c r="W453" s="1" t="inlineStr">
        <is>
          <t>AK</t>
        </is>
      </c>
      <c r="X45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3" t="n">
        <v>120000</v>
      </c>
      <c r="Z453" s="29">
        <f>(S453 - U453)/S453 * 100</f>
        <v/>
      </c>
      <c r="AA453">
        <f>IF(T_EMPLOYEES[[#This Row],[EMPLOYEE NUMBER]]="","",ROW(T_EMPLOYEES[[#This Row],[EMPLOYEE LABEL]])-ROW(T_EMPLOYEES[[#Headers],[EMPLOYEE LABEL]]))</f>
        <v/>
      </c>
      <c r="AB453">
        <f>IF(T_EMPLOYEES[[#This Row],[EMPLOYEE NUMBER]]="","",IF(COUNTIF(T_EMPLOYEES[EMPLOYEE NUMBER],T_EMPLOYEES[[#This Row],[EMPLOYEE NUMBER]])&gt;1,1,0))</f>
        <v/>
      </c>
      <c r="AC453">
        <f>IF(T_EMPLOYEES[[#This Row],[EMPLOYEE NUMBER]]="","",IF(AND(T_EMPLOYEES[[#This Row],[DATE OF BIRTH]]&gt;0,T_EMPLOYEES[[#This Row],[DATE OF BIRTH]]&lt;TODAY()),0,1))</f>
        <v/>
      </c>
      <c r="AD453">
        <f>IF(T_EMPLOYEES[[#This Row],[EMPLOYEE NUMBER]]="","",IF(AND(T_EMPLOYEES[[#This Row],[START DATE]]&gt;0,T_EMPLOYEES[[#This Row],[START DATE]]&lt;TODAY()+60),0,1))</f>
        <v/>
      </c>
      <c r="AE453">
        <f>IF(T_EMPLOYEES[[#This Row],[EMPLOYEE NUMBER]]="","",MATCH(T_EMPLOYEES[[#This Row],[GENDER]],L_GENDER,0))</f>
        <v/>
      </c>
      <c r="AF453">
        <f>IF(T_EMPLOYEES[[#This Row],[EMPLOYEE NUMBER]]="","",MATCH(T_EMPLOYEES[[#This Row],[HIRE SOURCE]],L_HIRESOURCE,0))</f>
        <v/>
      </c>
      <c r="AG453">
        <f>IF(T_EMPLOYEES[[#This Row],[EMPLOYEE NUMBER]]="","",MATCH(T_EMPLOYEES[[#This Row],[ETHNICITY]],L_ETHNICITY,0))</f>
        <v/>
      </c>
      <c r="AH453">
        <f>IF(T_EMPLOYEES[[#This Row],[EMPLOYEE NUMBER]]="","",MATCH(T_EMPLOYEES[[#This Row],[LOCATION]],L_LOCATION,0))</f>
        <v/>
      </c>
      <c r="AI453">
        <f>IF(T_EMPLOYEES[[#This Row],[EMPLOYEE NUMBER]]="","",MATCH(T_EMPLOYEES[[#This Row],[DEPARTMENT]],L_DEPARTMENT,0))</f>
        <v/>
      </c>
      <c r="AJ453">
        <f>IF(T_EMPLOYEES[[#This Row],[EMPLOYEE NUMBER]]="","",MATCH(T_EMPLOYEES[[#This Row],[JOB TYPE]],L_JOBTYPE,0))</f>
        <v/>
      </c>
      <c r="AK453">
        <f>IF(T_EMPLOYEES[[#This Row],[EMPLOYEE NUMBER]]="","",MATCH(T_EMPLOYEES[[#This Row],[JOB CATEGORY]],L_JOBCATEGORY,0))</f>
        <v/>
      </c>
      <c r="AL453">
        <f>IF(T_EMPLOYEES[[#This Row],[EMPLOYEE NUMBER]]="","",MATCH(T_EMPLOYEES[[#This Row],[JOB LEVEL]],L_JOBLEVEL,0))</f>
        <v/>
      </c>
      <c r="AM453">
        <f>IF(T_EMPLOYEES[[#This Row],[EMPLOYEE NUMBER]]="","",MATCH(T_EMPLOYEES[[#This Row],[JOB TITLE]],L_JOBTITLE,0))</f>
        <v/>
      </c>
      <c r="AN453">
        <f>IF(T_EMPLOYEES[[#This Row],[EMPLOYEE NUMBER]]="","",MATCH(T_EMPLOYEES[[#This Row],[MANAGER]],L_EMPLABELS,0))</f>
        <v/>
      </c>
      <c r="AO453">
        <f>IF(T_EMPLOYEES[[#This Row],[EMPLOYEE NUMBER]]="","",IF(T_EMPLOYEES[[#This Row],[ERROR]]="",0,1))</f>
        <v/>
      </c>
      <c r="AP45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4">
      <c r="A454" t="inlineStr">
        <is>
          <t>Abhishek</t>
        </is>
      </c>
      <c r="B454" t="inlineStr">
        <is>
          <t>Dansena</t>
        </is>
      </c>
      <c r="C454" t="n">
        <v>1030922</v>
      </c>
      <c r="D454" t="inlineStr">
        <is>
          <t>Abhishek.Dansena@infinite.com</t>
        </is>
      </c>
      <c r="E454" s="26" t="n">
        <v>36389</v>
      </c>
      <c r="F454" s="26" t="n">
        <v>44876</v>
      </c>
      <c r="H454" t="inlineStr">
        <is>
          <t>Male</t>
        </is>
      </c>
      <c r="I454" t="inlineStr">
        <is>
          <t>Asian</t>
        </is>
      </c>
      <c r="J454" t="inlineStr">
        <is>
          <t>WEBSITE</t>
        </is>
      </c>
      <c r="K454" t="inlineStr">
        <is>
          <t>Bangalore</t>
        </is>
      </c>
      <c r="L454" s="27" t="inlineStr">
        <is>
          <t>Core</t>
        </is>
      </c>
      <c r="M454" t="inlineStr">
        <is>
          <t>Full-Time</t>
        </is>
      </c>
      <c r="N454" t="inlineStr">
        <is>
          <t>Associate Software Engineer</t>
        </is>
      </c>
      <c r="O454" t="inlineStr">
        <is>
          <t>E1</t>
        </is>
      </c>
      <c r="P454" t="inlineStr">
        <is>
          <t>Associate Software Engineer</t>
        </is>
      </c>
      <c r="Q454" t="inlineStr">
        <is>
          <t>Dipakbhai Motibhai Tandel (1027230)</t>
        </is>
      </c>
      <c r="R454" s="27" t="n">
        <v>0</v>
      </c>
      <c r="S454" s="1" t="n">
        <v>1200000</v>
      </c>
      <c r="T454" s="1">
        <f>ROUND(T_EMPLOYEES[[#This Row],[EMP_CTC1]]/12, 0)</f>
        <v/>
      </c>
      <c r="U454" s="1" t="n">
        <v>1000000</v>
      </c>
      <c r="V454" s="1" t="inlineStr">
        <is>
          <t>AK</t>
        </is>
      </c>
      <c r="W454" s="1" t="inlineStr">
        <is>
          <t>AK</t>
        </is>
      </c>
      <c r="X45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4" t="n">
        <v>120000</v>
      </c>
      <c r="Z454" s="29">
        <f>(S454 - U454)/S454 * 100</f>
        <v/>
      </c>
      <c r="AA454">
        <f>IF(T_EMPLOYEES[[#This Row],[EMPLOYEE NUMBER]]="","",ROW(T_EMPLOYEES[[#This Row],[EMPLOYEE LABEL]])-ROW(T_EMPLOYEES[[#Headers],[EMPLOYEE LABEL]]))</f>
        <v/>
      </c>
      <c r="AB454">
        <f>IF(T_EMPLOYEES[[#This Row],[EMPLOYEE NUMBER]]="","",IF(COUNTIF(T_EMPLOYEES[EMPLOYEE NUMBER],T_EMPLOYEES[[#This Row],[EMPLOYEE NUMBER]])&gt;1,1,0))</f>
        <v/>
      </c>
      <c r="AC454">
        <f>IF(T_EMPLOYEES[[#This Row],[EMPLOYEE NUMBER]]="","",IF(AND(T_EMPLOYEES[[#This Row],[DATE OF BIRTH]]&gt;0,T_EMPLOYEES[[#This Row],[DATE OF BIRTH]]&lt;TODAY()),0,1))</f>
        <v/>
      </c>
      <c r="AD454">
        <f>IF(T_EMPLOYEES[[#This Row],[EMPLOYEE NUMBER]]="","",IF(AND(T_EMPLOYEES[[#This Row],[START DATE]]&gt;0,T_EMPLOYEES[[#This Row],[START DATE]]&lt;TODAY()+60),0,1))</f>
        <v/>
      </c>
      <c r="AE454">
        <f>IF(T_EMPLOYEES[[#This Row],[EMPLOYEE NUMBER]]="","",MATCH(T_EMPLOYEES[[#This Row],[GENDER]],L_GENDER,0))</f>
        <v/>
      </c>
      <c r="AF454">
        <f>IF(T_EMPLOYEES[[#This Row],[EMPLOYEE NUMBER]]="","",MATCH(T_EMPLOYEES[[#This Row],[HIRE SOURCE]],L_HIRESOURCE,0))</f>
        <v/>
      </c>
      <c r="AG454">
        <f>IF(T_EMPLOYEES[[#This Row],[EMPLOYEE NUMBER]]="","",MATCH(T_EMPLOYEES[[#This Row],[ETHNICITY]],L_ETHNICITY,0))</f>
        <v/>
      </c>
      <c r="AH454">
        <f>IF(T_EMPLOYEES[[#This Row],[EMPLOYEE NUMBER]]="","",MATCH(T_EMPLOYEES[[#This Row],[LOCATION]],L_LOCATION,0))</f>
        <v/>
      </c>
      <c r="AI454">
        <f>IF(T_EMPLOYEES[[#This Row],[EMPLOYEE NUMBER]]="","",MATCH(T_EMPLOYEES[[#This Row],[DEPARTMENT]],L_DEPARTMENT,0))</f>
        <v/>
      </c>
      <c r="AJ454">
        <f>IF(T_EMPLOYEES[[#This Row],[EMPLOYEE NUMBER]]="","",MATCH(T_EMPLOYEES[[#This Row],[JOB TYPE]],L_JOBTYPE,0))</f>
        <v/>
      </c>
      <c r="AK454">
        <f>IF(T_EMPLOYEES[[#This Row],[EMPLOYEE NUMBER]]="","",MATCH(T_EMPLOYEES[[#This Row],[JOB CATEGORY]],L_JOBCATEGORY,0))</f>
        <v/>
      </c>
      <c r="AL454">
        <f>IF(T_EMPLOYEES[[#This Row],[EMPLOYEE NUMBER]]="","",MATCH(T_EMPLOYEES[[#This Row],[JOB LEVEL]],L_JOBLEVEL,0))</f>
        <v/>
      </c>
      <c r="AM454">
        <f>IF(T_EMPLOYEES[[#This Row],[EMPLOYEE NUMBER]]="","",MATCH(T_EMPLOYEES[[#This Row],[JOB TITLE]],L_JOBTITLE,0))</f>
        <v/>
      </c>
      <c r="AN454">
        <f>IF(T_EMPLOYEES[[#This Row],[EMPLOYEE NUMBER]]="","",MATCH(T_EMPLOYEES[[#This Row],[MANAGER]],L_EMPLABELS,0))</f>
        <v/>
      </c>
      <c r="AO454">
        <f>IF(T_EMPLOYEES[[#This Row],[EMPLOYEE NUMBER]]="","",IF(T_EMPLOYEES[[#This Row],[ERROR]]="",0,1))</f>
        <v/>
      </c>
      <c r="AP45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5">
      <c r="A455" t="inlineStr">
        <is>
          <t>Gaurav</t>
        </is>
      </c>
      <c r="B455" t="inlineStr">
        <is>
          <t>Jha</t>
        </is>
      </c>
      <c r="C455" t="n">
        <v>1030908</v>
      </c>
      <c r="D455" t="inlineStr">
        <is>
          <t>Gaurav.Jha@infinite.com</t>
        </is>
      </c>
      <c r="E455" s="26" t="n">
        <v>36397</v>
      </c>
      <c r="F455" s="26" t="n">
        <v>44876</v>
      </c>
      <c r="H455" t="inlineStr">
        <is>
          <t>Male</t>
        </is>
      </c>
      <c r="I455" t="inlineStr">
        <is>
          <t>Asian</t>
        </is>
      </c>
      <c r="J455" t="inlineStr">
        <is>
          <t>WEBSITE</t>
        </is>
      </c>
      <c r="K455" t="inlineStr">
        <is>
          <t>Bangalore</t>
        </is>
      </c>
      <c r="L455" s="27" t="inlineStr">
        <is>
          <t>Core</t>
        </is>
      </c>
      <c r="M455" t="inlineStr">
        <is>
          <t>Full-Time</t>
        </is>
      </c>
      <c r="N455" t="inlineStr">
        <is>
          <t>Associate Software Engineer</t>
        </is>
      </c>
      <c r="O455" t="inlineStr">
        <is>
          <t>E1</t>
        </is>
      </c>
      <c r="P455" t="inlineStr">
        <is>
          <t>Associate Software Engineer</t>
        </is>
      </c>
      <c r="Q455" t="inlineStr">
        <is>
          <t>Kishore Kumar N (1019765)</t>
        </is>
      </c>
      <c r="R455" t="n">
        <v>0</v>
      </c>
      <c r="S455" s="1" t="n">
        <v>1200000</v>
      </c>
      <c r="T455" s="1">
        <f>ROUND(T_EMPLOYEES[[#This Row],[EMP_CTC1]]/12, 0)</f>
        <v/>
      </c>
      <c r="U455" s="1" t="n">
        <v>1000000</v>
      </c>
      <c r="V455" s="1" t="inlineStr">
        <is>
          <t>AK</t>
        </is>
      </c>
      <c r="W455" s="1" t="inlineStr">
        <is>
          <t>AK</t>
        </is>
      </c>
      <c r="X45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5" t="n">
        <v>120000</v>
      </c>
      <c r="Z455" s="29">
        <f>(S455 - U455)/S455 * 100</f>
        <v/>
      </c>
      <c r="AA455">
        <f>IF(T_EMPLOYEES[[#This Row],[EMPLOYEE NUMBER]]="","",ROW(T_EMPLOYEES[[#This Row],[EMPLOYEE LABEL]])-ROW(T_EMPLOYEES[[#Headers],[EMPLOYEE LABEL]]))</f>
        <v/>
      </c>
      <c r="AB455">
        <f>IF(T_EMPLOYEES[[#This Row],[EMPLOYEE NUMBER]]="","",IF(COUNTIF(T_EMPLOYEES[EMPLOYEE NUMBER],T_EMPLOYEES[[#This Row],[EMPLOYEE NUMBER]])&gt;1,1,0))</f>
        <v/>
      </c>
      <c r="AC455">
        <f>IF(T_EMPLOYEES[[#This Row],[EMPLOYEE NUMBER]]="","",IF(AND(T_EMPLOYEES[[#This Row],[DATE OF BIRTH]]&gt;0,T_EMPLOYEES[[#This Row],[DATE OF BIRTH]]&lt;TODAY()),0,1))</f>
        <v/>
      </c>
      <c r="AD455">
        <f>IF(T_EMPLOYEES[[#This Row],[EMPLOYEE NUMBER]]="","",IF(AND(T_EMPLOYEES[[#This Row],[START DATE]]&gt;0,T_EMPLOYEES[[#This Row],[START DATE]]&lt;TODAY()+60),0,1))</f>
        <v/>
      </c>
      <c r="AE455">
        <f>IF(T_EMPLOYEES[[#This Row],[EMPLOYEE NUMBER]]="","",MATCH(T_EMPLOYEES[[#This Row],[GENDER]],L_GENDER,0))</f>
        <v/>
      </c>
      <c r="AF455">
        <f>IF(T_EMPLOYEES[[#This Row],[EMPLOYEE NUMBER]]="","",MATCH(T_EMPLOYEES[[#This Row],[HIRE SOURCE]],L_HIRESOURCE,0))</f>
        <v/>
      </c>
      <c r="AG455">
        <f>IF(T_EMPLOYEES[[#This Row],[EMPLOYEE NUMBER]]="","",MATCH(T_EMPLOYEES[[#This Row],[ETHNICITY]],L_ETHNICITY,0))</f>
        <v/>
      </c>
      <c r="AH455">
        <f>IF(T_EMPLOYEES[[#This Row],[EMPLOYEE NUMBER]]="","",MATCH(T_EMPLOYEES[[#This Row],[LOCATION]],L_LOCATION,0))</f>
        <v/>
      </c>
      <c r="AI455">
        <f>IF(T_EMPLOYEES[[#This Row],[EMPLOYEE NUMBER]]="","",MATCH(T_EMPLOYEES[[#This Row],[DEPARTMENT]],L_DEPARTMENT,0))</f>
        <v/>
      </c>
      <c r="AJ455">
        <f>IF(T_EMPLOYEES[[#This Row],[EMPLOYEE NUMBER]]="","",MATCH(T_EMPLOYEES[[#This Row],[JOB TYPE]],L_JOBTYPE,0))</f>
        <v/>
      </c>
      <c r="AK455">
        <f>IF(T_EMPLOYEES[[#This Row],[EMPLOYEE NUMBER]]="","",MATCH(T_EMPLOYEES[[#This Row],[JOB CATEGORY]],L_JOBCATEGORY,0))</f>
        <v/>
      </c>
      <c r="AL455">
        <f>IF(T_EMPLOYEES[[#This Row],[EMPLOYEE NUMBER]]="","",MATCH(T_EMPLOYEES[[#This Row],[JOB LEVEL]],L_JOBLEVEL,0))</f>
        <v/>
      </c>
      <c r="AM455">
        <f>IF(T_EMPLOYEES[[#This Row],[EMPLOYEE NUMBER]]="","",MATCH(T_EMPLOYEES[[#This Row],[JOB TITLE]],L_JOBTITLE,0))</f>
        <v/>
      </c>
      <c r="AN455">
        <f>IF(T_EMPLOYEES[[#This Row],[EMPLOYEE NUMBER]]="","",MATCH(T_EMPLOYEES[[#This Row],[MANAGER]],L_EMPLABELS,0))</f>
        <v/>
      </c>
      <c r="AO455">
        <f>IF(T_EMPLOYEES[[#This Row],[EMPLOYEE NUMBER]]="","",IF(T_EMPLOYEES[[#This Row],[ERROR]]="",0,1))</f>
        <v/>
      </c>
      <c r="AP45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55" t="inlineStr">
        <is>
          <t>Claims</t>
        </is>
      </c>
    </row>
    <row r="456">
      <c r="A456" t="inlineStr">
        <is>
          <t>Ranju</t>
        </is>
      </c>
      <c r="B456" t="inlineStr">
        <is>
          <t>Hansda</t>
        </is>
      </c>
      <c r="C456" t="n">
        <v>1033268</v>
      </c>
      <c r="D456" t="inlineStr">
        <is>
          <t>Ranju.Hansda@infinite.com</t>
        </is>
      </c>
      <c r="E456" s="26" t="n">
        <v>36397</v>
      </c>
      <c r="F456" s="26" t="n">
        <v>45155</v>
      </c>
      <c r="H456" t="inlineStr">
        <is>
          <t>Male</t>
        </is>
      </c>
      <c r="I456" t="inlineStr">
        <is>
          <t>Asian</t>
        </is>
      </c>
      <c r="J456" t="inlineStr">
        <is>
          <t>WEBSITE</t>
        </is>
      </c>
      <c r="K456" t="inlineStr">
        <is>
          <t>Bangalore</t>
        </is>
      </c>
      <c r="L456" s="27" t="inlineStr">
        <is>
          <t>IT</t>
        </is>
      </c>
      <c r="M456" t="inlineStr">
        <is>
          <t>Full-Time</t>
        </is>
      </c>
      <c r="N456" t="inlineStr">
        <is>
          <t>Associate Software Engineer</t>
        </is>
      </c>
      <c r="O456" t="inlineStr">
        <is>
          <t>E1</t>
        </is>
      </c>
      <c r="P456" t="inlineStr">
        <is>
          <t>Associate Software Engineer</t>
        </is>
      </c>
      <c r="Q456" t="inlineStr">
        <is>
          <t>Talluri  Mangarao (1004641)</t>
        </is>
      </c>
      <c r="R456" s="27" t="n">
        <v>0</v>
      </c>
      <c r="S456" s="1" t="n">
        <v>1200000</v>
      </c>
      <c r="T456" s="1">
        <f>ROUND(T_EMPLOYEES[[#This Row],[EMP_CTC1]]/12, 0)</f>
        <v/>
      </c>
      <c r="U456" s="1" t="n">
        <v>1000000</v>
      </c>
      <c r="V456" s="1" t="inlineStr">
        <is>
          <t>AK</t>
        </is>
      </c>
      <c r="W456" s="1" t="inlineStr">
        <is>
          <t>AK</t>
        </is>
      </c>
      <c r="X45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6" t="n">
        <v>120000</v>
      </c>
      <c r="Z456" s="29">
        <f>(S456 - U456)/S456 * 100</f>
        <v/>
      </c>
      <c r="AA456">
        <f>IF(T_EMPLOYEES[[#This Row],[EMPLOYEE NUMBER]]="","",ROW(T_EMPLOYEES[[#This Row],[EMPLOYEE LABEL]])-ROW(T_EMPLOYEES[[#Headers],[EMPLOYEE LABEL]]))</f>
        <v/>
      </c>
      <c r="AB456">
        <f>IF(T_EMPLOYEES[[#This Row],[EMPLOYEE NUMBER]]="","",IF(COUNTIF(T_EMPLOYEES[EMPLOYEE NUMBER],T_EMPLOYEES[[#This Row],[EMPLOYEE NUMBER]])&gt;1,1,0))</f>
        <v/>
      </c>
      <c r="AC456">
        <f>IF(T_EMPLOYEES[[#This Row],[EMPLOYEE NUMBER]]="","",IF(AND(T_EMPLOYEES[[#This Row],[DATE OF BIRTH]]&gt;0,T_EMPLOYEES[[#This Row],[DATE OF BIRTH]]&lt;TODAY()),0,1))</f>
        <v/>
      </c>
      <c r="AD456">
        <f>IF(T_EMPLOYEES[[#This Row],[EMPLOYEE NUMBER]]="","",IF(AND(T_EMPLOYEES[[#This Row],[START DATE]]&gt;0,T_EMPLOYEES[[#This Row],[START DATE]]&lt;TODAY()+60),0,1))</f>
        <v/>
      </c>
      <c r="AE456">
        <f>IF(T_EMPLOYEES[[#This Row],[EMPLOYEE NUMBER]]="","",MATCH(T_EMPLOYEES[[#This Row],[GENDER]],L_GENDER,0))</f>
        <v/>
      </c>
      <c r="AF456">
        <f>IF(T_EMPLOYEES[[#This Row],[EMPLOYEE NUMBER]]="","",MATCH(T_EMPLOYEES[[#This Row],[HIRE SOURCE]],L_HIRESOURCE,0))</f>
        <v/>
      </c>
      <c r="AG456">
        <f>IF(T_EMPLOYEES[[#This Row],[EMPLOYEE NUMBER]]="","",MATCH(T_EMPLOYEES[[#This Row],[ETHNICITY]],L_ETHNICITY,0))</f>
        <v/>
      </c>
      <c r="AH456">
        <f>IF(T_EMPLOYEES[[#This Row],[EMPLOYEE NUMBER]]="","",MATCH(T_EMPLOYEES[[#This Row],[LOCATION]],L_LOCATION,0))</f>
        <v/>
      </c>
      <c r="AI456">
        <f>IF(T_EMPLOYEES[[#This Row],[EMPLOYEE NUMBER]]="","",MATCH(T_EMPLOYEES[[#This Row],[DEPARTMENT]],L_DEPARTMENT,0))</f>
        <v/>
      </c>
      <c r="AJ456">
        <f>IF(T_EMPLOYEES[[#This Row],[EMPLOYEE NUMBER]]="","",MATCH(T_EMPLOYEES[[#This Row],[JOB TYPE]],L_JOBTYPE,0))</f>
        <v/>
      </c>
      <c r="AK456">
        <f>IF(T_EMPLOYEES[[#This Row],[EMPLOYEE NUMBER]]="","",MATCH(T_EMPLOYEES[[#This Row],[JOB CATEGORY]],L_JOBCATEGORY,0))</f>
        <v/>
      </c>
      <c r="AL456">
        <f>IF(T_EMPLOYEES[[#This Row],[EMPLOYEE NUMBER]]="","",MATCH(T_EMPLOYEES[[#This Row],[JOB LEVEL]],L_JOBLEVEL,0))</f>
        <v/>
      </c>
      <c r="AM456">
        <f>IF(T_EMPLOYEES[[#This Row],[EMPLOYEE NUMBER]]="","",MATCH(T_EMPLOYEES[[#This Row],[JOB TITLE]],L_JOBTITLE,0))</f>
        <v/>
      </c>
      <c r="AN456">
        <f>IF(T_EMPLOYEES[[#This Row],[EMPLOYEE NUMBER]]="","",MATCH(T_EMPLOYEES[[#This Row],[MANAGER]],L_EMPLABELS,0))</f>
        <v/>
      </c>
      <c r="AO456">
        <f>IF(T_EMPLOYEES[[#This Row],[EMPLOYEE NUMBER]]="","",IF(T_EMPLOYEES[[#This Row],[ERROR]]="",0,1))</f>
        <v/>
      </c>
      <c r="AP45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7">
      <c r="A457" t="inlineStr">
        <is>
          <t>Lohit</t>
        </is>
      </c>
      <c r="B457" t="inlineStr">
        <is>
          <t>Narayan Bhasme</t>
        </is>
      </c>
      <c r="C457" t="n">
        <v>1027026</v>
      </c>
      <c r="D457" t="inlineStr">
        <is>
          <t>Lohit.Bhasme@infinite.com</t>
        </is>
      </c>
      <c r="E457" s="26" t="n">
        <v>36404</v>
      </c>
      <c r="F457" s="26" t="n">
        <v>44498</v>
      </c>
      <c r="H457" t="inlineStr">
        <is>
          <t>Male</t>
        </is>
      </c>
      <c r="I457" t="inlineStr">
        <is>
          <t>Asian</t>
        </is>
      </c>
      <c r="J457" t="inlineStr">
        <is>
          <t>WEBSITE</t>
        </is>
      </c>
      <c r="K457" t="inlineStr">
        <is>
          <t>Hyderabad</t>
        </is>
      </c>
      <c r="L457" s="27" t="inlineStr">
        <is>
          <t>QA</t>
        </is>
      </c>
      <c r="M457" t="inlineStr">
        <is>
          <t>Full-Time</t>
        </is>
      </c>
      <c r="N457" t="inlineStr">
        <is>
          <t>Software Test Engineer</t>
        </is>
      </c>
      <c r="O457" t="inlineStr">
        <is>
          <t>E2</t>
        </is>
      </c>
      <c r="P457" t="inlineStr">
        <is>
          <t>Software Test Engineer</t>
        </is>
      </c>
      <c r="Q457" t="inlineStr">
        <is>
          <t>Vinayak  Tatuskar (1023387)</t>
        </is>
      </c>
      <c r="R457" t="n">
        <v>4</v>
      </c>
      <c r="S457" s="1" t="n">
        <v>1200000</v>
      </c>
      <c r="T457" s="1">
        <f>ROUND(T_EMPLOYEES[[#This Row],[EMP_CTC1]]/12, 0)</f>
        <v/>
      </c>
      <c r="U457" s="1" t="n">
        <v>1000000</v>
      </c>
      <c r="V457" s="1" t="inlineStr">
        <is>
          <t>AK</t>
        </is>
      </c>
      <c r="W457" s="1" t="inlineStr">
        <is>
          <t>AK</t>
        </is>
      </c>
      <c r="X45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7" t="n">
        <v>120000</v>
      </c>
      <c r="Z457" s="29">
        <f>(S457 - U457)/S457 * 100</f>
        <v/>
      </c>
      <c r="AA457">
        <f>IF(T_EMPLOYEES[[#This Row],[EMPLOYEE NUMBER]]="","",ROW(T_EMPLOYEES[[#This Row],[EMPLOYEE LABEL]])-ROW(T_EMPLOYEES[[#Headers],[EMPLOYEE LABEL]]))</f>
        <v/>
      </c>
      <c r="AB457">
        <f>IF(T_EMPLOYEES[[#This Row],[EMPLOYEE NUMBER]]="","",IF(COUNTIF(T_EMPLOYEES[EMPLOYEE NUMBER],T_EMPLOYEES[[#This Row],[EMPLOYEE NUMBER]])&gt;1,1,0))</f>
        <v/>
      </c>
      <c r="AC457">
        <f>IF(T_EMPLOYEES[[#This Row],[EMPLOYEE NUMBER]]="","",IF(AND(T_EMPLOYEES[[#This Row],[DATE OF BIRTH]]&gt;0,T_EMPLOYEES[[#This Row],[DATE OF BIRTH]]&lt;TODAY()),0,1))</f>
        <v/>
      </c>
      <c r="AD457">
        <f>IF(T_EMPLOYEES[[#This Row],[EMPLOYEE NUMBER]]="","",IF(AND(T_EMPLOYEES[[#This Row],[START DATE]]&gt;0,T_EMPLOYEES[[#This Row],[START DATE]]&lt;TODAY()+60),0,1))</f>
        <v/>
      </c>
      <c r="AE457">
        <f>IF(T_EMPLOYEES[[#This Row],[EMPLOYEE NUMBER]]="","",MATCH(T_EMPLOYEES[[#This Row],[GENDER]],L_GENDER,0))</f>
        <v/>
      </c>
      <c r="AF457">
        <f>IF(T_EMPLOYEES[[#This Row],[EMPLOYEE NUMBER]]="","",MATCH(T_EMPLOYEES[[#This Row],[HIRE SOURCE]],L_HIRESOURCE,0))</f>
        <v/>
      </c>
      <c r="AG457">
        <f>IF(T_EMPLOYEES[[#This Row],[EMPLOYEE NUMBER]]="","",MATCH(T_EMPLOYEES[[#This Row],[ETHNICITY]],L_ETHNICITY,0))</f>
        <v/>
      </c>
      <c r="AH457">
        <f>IF(T_EMPLOYEES[[#This Row],[EMPLOYEE NUMBER]]="","",MATCH(T_EMPLOYEES[[#This Row],[LOCATION]],L_LOCATION,0))</f>
        <v/>
      </c>
      <c r="AI457">
        <f>IF(T_EMPLOYEES[[#This Row],[EMPLOYEE NUMBER]]="","",MATCH(T_EMPLOYEES[[#This Row],[DEPARTMENT]],L_DEPARTMENT,0))</f>
        <v/>
      </c>
      <c r="AJ457">
        <f>IF(T_EMPLOYEES[[#This Row],[EMPLOYEE NUMBER]]="","",MATCH(T_EMPLOYEES[[#This Row],[JOB TYPE]],L_JOBTYPE,0))</f>
        <v/>
      </c>
      <c r="AK457">
        <f>IF(T_EMPLOYEES[[#This Row],[EMPLOYEE NUMBER]]="","",MATCH(T_EMPLOYEES[[#This Row],[JOB CATEGORY]],L_JOBCATEGORY,0))</f>
        <v/>
      </c>
      <c r="AL457">
        <f>IF(T_EMPLOYEES[[#This Row],[EMPLOYEE NUMBER]]="","",MATCH(T_EMPLOYEES[[#This Row],[JOB LEVEL]],L_JOBLEVEL,0))</f>
        <v/>
      </c>
      <c r="AM457">
        <f>IF(T_EMPLOYEES[[#This Row],[EMPLOYEE NUMBER]]="","",MATCH(T_EMPLOYEES[[#This Row],[JOB TITLE]],L_JOBTITLE,0))</f>
        <v/>
      </c>
      <c r="AN457">
        <f>IF(T_EMPLOYEES[[#This Row],[EMPLOYEE NUMBER]]="","",MATCH(T_EMPLOYEES[[#This Row],[MANAGER]],L_EMPLABELS,0))</f>
        <v/>
      </c>
      <c r="AO457">
        <f>IF(T_EMPLOYEES[[#This Row],[EMPLOYEE NUMBER]]="","",IF(T_EMPLOYEES[[#This Row],[ERROR]]="",0,1))</f>
        <v/>
      </c>
      <c r="AP45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8">
      <c r="A458" t="inlineStr">
        <is>
          <t>Sai</t>
        </is>
      </c>
      <c r="B458" t="inlineStr">
        <is>
          <t>Praveen Ippili</t>
        </is>
      </c>
      <c r="C458" t="n">
        <v>1029526</v>
      </c>
      <c r="D458" t="inlineStr">
        <is>
          <t>Ippili.Praveen@infinite.com</t>
        </is>
      </c>
      <c r="E458" s="26" t="n">
        <v>36412</v>
      </c>
      <c r="F458" s="26" t="n">
        <v>44757</v>
      </c>
      <c r="H458" t="inlineStr">
        <is>
          <t>Male</t>
        </is>
      </c>
      <c r="I458" t="inlineStr">
        <is>
          <t>Asian</t>
        </is>
      </c>
      <c r="J458" t="inlineStr">
        <is>
          <t>WEBSITE</t>
        </is>
      </c>
      <c r="K458" t="inlineStr">
        <is>
          <t>Bangalore</t>
        </is>
      </c>
      <c r="L458" s="27" t="inlineStr">
        <is>
          <t>IT</t>
        </is>
      </c>
      <c r="M458" t="inlineStr">
        <is>
          <t>Full-Time</t>
        </is>
      </c>
      <c r="N458" t="inlineStr">
        <is>
          <t>Associate Software Engineer</t>
        </is>
      </c>
      <c r="O458" t="inlineStr">
        <is>
          <t>E1</t>
        </is>
      </c>
      <c r="P458" t="inlineStr">
        <is>
          <t>Associate Software Engineer</t>
        </is>
      </c>
      <c r="Q458" t="inlineStr">
        <is>
          <t>Joel Clifton Dsouza (1012233)</t>
        </is>
      </c>
      <c r="R458" s="27" t="n">
        <v>0</v>
      </c>
      <c r="S458" s="1" t="n">
        <v>1200000</v>
      </c>
      <c r="T458" s="1">
        <f>ROUND(T_EMPLOYEES[[#This Row],[EMP_CTC1]]/12, 0)</f>
        <v/>
      </c>
      <c r="U458" s="1" t="n">
        <v>1000000</v>
      </c>
      <c r="V458" s="1" t="inlineStr">
        <is>
          <t>AK</t>
        </is>
      </c>
      <c r="W458" s="1" t="inlineStr">
        <is>
          <t>AK</t>
        </is>
      </c>
      <c r="X45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8" t="n">
        <v>120000</v>
      </c>
      <c r="Z458" s="29">
        <f>(S458 - U458)/S458 * 100</f>
        <v/>
      </c>
      <c r="AA458">
        <f>IF(T_EMPLOYEES[[#This Row],[EMPLOYEE NUMBER]]="","",ROW(T_EMPLOYEES[[#This Row],[EMPLOYEE LABEL]])-ROW(T_EMPLOYEES[[#Headers],[EMPLOYEE LABEL]]))</f>
        <v/>
      </c>
      <c r="AB458">
        <f>IF(T_EMPLOYEES[[#This Row],[EMPLOYEE NUMBER]]="","",IF(COUNTIF(T_EMPLOYEES[EMPLOYEE NUMBER],T_EMPLOYEES[[#This Row],[EMPLOYEE NUMBER]])&gt;1,1,0))</f>
        <v/>
      </c>
      <c r="AC458">
        <f>IF(T_EMPLOYEES[[#This Row],[EMPLOYEE NUMBER]]="","",IF(AND(T_EMPLOYEES[[#This Row],[DATE OF BIRTH]]&gt;0,T_EMPLOYEES[[#This Row],[DATE OF BIRTH]]&lt;TODAY()),0,1))</f>
        <v/>
      </c>
      <c r="AD458">
        <f>IF(T_EMPLOYEES[[#This Row],[EMPLOYEE NUMBER]]="","",IF(AND(T_EMPLOYEES[[#This Row],[START DATE]]&gt;0,T_EMPLOYEES[[#This Row],[START DATE]]&lt;TODAY()+60),0,1))</f>
        <v/>
      </c>
      <c r="AE458">
        <f>IF(T_EMPLOYEES[[#This Row],[EMPLOYEE NUMBER]]="","",MATCH(T_EMPLOYEES[[#This Row],[GENDER]],L_GENDER,0))</f>
        <v/>
      </c>
      <c r="AF458">
        <f>IF(T_EMPLOYEES[[#This Row],[EMPLOYEE NUMBER]]="","",MATCH(T_EMPLOYEES[[#This Row],[HIRE SOURCE]],L_HIRESOURCE,0))</f>
        <v/>
      </c>
      <c r="AG458">
        <f>IF(T_EMPLOYEES[[#This Row],[EMPLOYEE NUMBER]]="","",MATCH(T_EMPLOYEES[[#This Row],[ETHNICITY]],L_ETHNICITY,0))</f>
        <v/>
      </c>
      <c r="AH458">
        <f>IF(T_EMPLOYEES[[#This Row],[EMPLOYEE NUMBER]]="","",MATCH(T_EMPLOYEES[[#This Row],[LOCATION]],L_LOCATION,0))</f>
        <v/>
      </c>
      <c r="AI458">
        <f>IF(T_EMPLOYEES[[#This Row],[EMPLOYEE NUMBER]]="","",MATCH(T_EMPLOYEES[[#This Row],[DEPARTMENT]],L_DEPARTMENT,0))</f>
        <v/>
      </c>
      <c r="AJ458">
        <f>IF(T_EMPLOYEES[[#This Row],[EMPLOYEE NUMBER]]="","",MATCH(T_EMPLOYEES[[#This Row],[JOB TYPE]],L_JOBTYPE,0))</f>
        <v/>
      </c>
      <c r="AK458">
        <f>IF(T_EMPLOYEES[[#This Row],[EMPLOYEE NUMBER]]="","",MATCH(T_EMPLOYEES[[#This Row],[JOB CATEGORY]],L_JOBCATEGORY,0))</f>
        <v/>
      </c>
      <c r="AL458">
        <f>IF(T_EMPLOYEES[[#This Row],[EMPLOYEE NUMBER]]="","",MATCH(T_EMPLOYEES[[#This Row],[JOB LEVEL]],L_JOBLEVEL,0))</f>
        <v/>
      </c>
      <c r="AM458">
        <f>IF(T_EMPLOYEES[[#This Row],[EMPLOYEE NUMBER]]="","",MATCH(T_EMPLOYEES[[#This Row],[JOB TITLE]],L_JOBTITLE,0))</f>
        <v/>
      </c>
      <c r="AN458">
        <f>IF(T_EMPLOYEES[[#This Row],[EMPLOYEE NUMBER]]="","",MATCH(T_EMPLOYEES[[#This Row],[MANAGER]],L_EMPLABELS,0))</f>
        <v/>
      </c>
      <c r="AO458">
        <f>IF(T_EMPLOYEES[[#This Row],[EMPLOYEE NUMBER]]="","",IF(T_EMPLOYEES[[#This Row],[ERROR]]="",0,1))</f>
        <v/>
      </c>
      <c r="AP45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59">
      <c r="A459" t="inlineStr">
        <is>
          <t>Makrand</t>
        </is>
      </c>
      <c r="B459" t="inlineStr">
        <is>
          <t>Eknath Gangurde</t>
        </is>
      </c>
      <c r="C459" t="n">
        <v>1031094</v>
      </c>
      <c r="D459" t="inlineStr">
        <is>
          <t>Makrand.Gangurde@infinite.com</t>
        </is>
      </c>
      <c r="E459" s="26" t="n">
        <v>36412</v>
      </c>
      <c r="F459" s="26" t="n">
        <v>44889</v>
      </c>
      <c r="H459" t="inlineStr">
        <is>
          <t>Male</t>
        </is>
      </c>
      <c r="I459" t="inlineStr">
        <is>
          <t>Asian</t>
        </is>
      </c>
      <c r="J459" t="inlineStr">
        <is>
          <t>WEBSITE</t>
        </is>
      </c>
      <c r="K459" t="inlineStr">
        <is>
          <t>Bangalore</t>
        </is>
      </c>
      <c r="L459" s="27" t="inlineStr">
        <is>
          <t>Core</t>
        </is>
      </c>
      <c r="M459" t="inlineStr">
        <is>
          <t>Full-Time</t>
        </is>
      </c>
      <c r="N459" t="inlineStr">
        <is>
          <t>Associate Software Engineer</t>
        </is>
      </c>
      <c r="O459" t="inlineStr">
        <is>
          <t>E1</t>
        </is>
      </c>
      <c r="P459" t="inlineStr">
        <is>
          <t>Associate Software Engineer</t>
        </is>
      </c>
      <c r="Q459" t="inlineStr">
        <is>
          <t>Dipakbhai Motibhai Tandel (1027230)</t>
        </is>
      </c>
      <c r="R459" t="n">
        <v>0</v>
      </c>
      <c r="S459" s="1" t="n">
        <v>1200000</v>
      </c>
      <c r="T459" s="1">
        <f>ROUND(T_EMPLOYEES[[#This Row],[EMP_CTC1]]/12, 0)</f>
        <v/>
      </c>
      <c r="U459" s="1" t="n">
        <v>1000000</v>
      </c>
      <c r="V459" s="1" t="inlineStr">
        <is>
          <t>AK</t>
        </is>
      </c>
      <c r="W459" s="1" t="inlineStr">
        <is>
          <t>AK</t>
        </is>
      </c>
      <c r="X45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59" t="n">
        <v>120000</v>
      </c>
      <c r="Z459" s="29">
        <f>(S459 - U459)/S459 * 100</f>
        <v/>
      </c>
      <c r="AA459">
        <f>IF(T_EMPLOYEES[[#This Row],[EMPLOYEE NUMBER]]="","",ROW(T_EMPLOYEES[[#This Row],[EMPLOYEE LABEL]])-ROW(T_EMPLOYEES[[#Headers],[EMPLOYEE LABEL]]))</f>
        <v/>
      </c>
      <c r="AB459">
        <f>IF(T_EMPLOYEES[[#This Row],[EMPLOYEE NUMBER]]="","",IF(COUNTIF(T_EMPLOYEES[EMPLOYEE NUMBER],T_EMPLOYEES[[#This Row],[EMPLOYEE NUMBER]])&gt;1,1,0))</f>
        <v/>
      </c>
      <c r="AC459">
        <f>IF(T_EMPLOYEES[[#This Row],[EMPLOYEE NUMBER]]="","",IF(AND(T_EMPLOYEES[[#This Row],[DATE OF BIRTH]]&gt;0,T_EMPLOYEES[[#This Row],[DATE OF BIRTH]]&lt;TODAY()),0,1))</f>
        <v/>
      </c>
      <c r="AD459">
        <f>IF(T_EMPLOYEES[[#This Row],[EMPLOYEE NUMBER]]="","",IF(AND(T_EMPLOYEES[[#This Row],[START DATE]]&gt;0,T_EMPLOYEES[[#This Row],[START DATE]]&lt;TODAY()+60),0,1))</f>
        <v/>
      </c>
      <c r="AE459">
        <f>IF(T_EMPLOYEES[[#This Row],[EMPLOYEE NUMBER]]="","",MATCH(T_EMPLOYEES[[#This Row],[GENDER]],L_GENDER,0))</f>
        <v/>
      </c>
      <c r="AF459">
        <f>IF(T_EMPLOYEES[[#This Row],[EMPLOYEE NUMBER]]="","",MATCH(T_EMPLOYEES[[#This Row],[HIRE SOURCE]],L_HIRESOURCE,0))</f>
        <v/>
      </c>
      <c r="AG459">
        <f>IF(T_EMPLOYEES[[#This Row],[EMPLOYEE NUMBER]]="","",MATCH(T_EMPLOYEES[[#This Row],[ETHNICITY]],L_ETHNICITY,0))</f>
        <v/>
      </c>
      <c r="AH459">
        <f>IF(T_EMPLOYEES[[#This Row],[EMPLOYEE NUMBER]]="","",MATCH(T_EMPLOYEES[[#This Row],[LOCATION]],L_LOCATION,0))</f>
        <v/>
      </c>
      <c r="AI459">
        <f>IF(T_EMPLOYEES[[#This Row],[EMPLOYEE NUMBER]]="","",MATCH(T_EMPLOYEES[[#This Row],[DEPARTMENT]],L_DEPARTMENT,0))</f>
        <v/>
      </c>
      <c r="AJ459">
        <f>IF(T_EMPLOYEES[[#This Row],[EMPLOYEE NUMBER]]="","",MATCH(T_EMPLOYEES[[#This Row],[JOB TYPE]],L_JOBTYPE,0))</f>
        <v/>
      </c>
      <c r="AK459">
        <f>IF(T_EMPLOYEES[[#This Row],[EMPLOYEE NUMBER]]="","",MATCH(T_EMPLOYEES[[#This Row],[JOB CATEGORY]],L_JOBCATEGORY,0))</f>
        <v/>
      </c>
      <c r="AL459">
        <f>IF(T_EMPLOYEES[[#This Row],[EMPLOYEE NUMBER]]="","",MATCH(T_EMPLOYEES[[#This Row],[JOB LEVEL]],L_JOBLEVEL,0))</f>
        <v/>
      </c>
      <c r="AM459">
        <f>IF(T_EMPLOYEES[[#This Row],[EMPLOYEE NUMBER]]="","",MATCH(T_EMPLOYEES[[#This Row],[JOB TITLE]],L_JOBTITLE,0))</f>
        <v/>
      </c>
      <c r="AN459">
        <f>IF(T_EMPLOYEES[[#This Row],[EMPLOYEE NUMBER]]="","",MATCH(T_EMPLOYEES[[#This Row],[MANAGER]],L_EMPLABELS,0))</f>
        <v/>
      </c>
      <c r="AO459">
        <f>IF(T_EMPLOYEES[[#This Row],[EMPLOYEE NUMBER]]="","",IF(T_EMPLOYEES[[#This Row],[ERROR]]="",0,1))</f>
        <v/>
      </c>
      <c r="AP45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59" t="inlineStr">
        <is>
          <t>Claims</t>
        </is>
      </c>
    </row>
    <row r="460">
      <c r="A460" t="inlineStr">
        <is>
          <t>Naragani</t>
        </is>
      </c>
      <c r="B460" t="inlineStr">
        <is>
          <t>Lakshmi Durga Sravani</t>
        </is>
      </c>
      <c r="C460" t="n">
        <v>1029908</v>
      </c>
      <c r="D460" t="inlineStr">
        <is>
          <t>Sravani.Naragani@infinite.com</t>
        </is>
      </c>
      <c r="E460" s="26" t="n">
        <v>36426</v>
      </c>
      <c r="F460" s="26" t="n">
        <v>44791</v>
      </c>
      <c r="H460" t="inlineStr">
        <is>
          <t>Female</t>
        </is>
      </c>
      <c r="I460" t="inlineStr">
        <is>
          <t>Asian</t>
        </is>
      </c>
      <c r="J460" t="inlineStr">
        <is>
          <t>WEBSITE</t>
        </is>
      </c>
      <c r="K460" t="inlineStr">
        <is>
          <t>Bangalore</t>
        </is>
      </c>
      <c r="L460" s="27" t="inlineStr">
        <is>
          <t>Core</t>
        </is>
      </c>
      <c r="M460" t="inlineStr">
        <is>
          <t>Full-Time</t>
        </is>
      </c>
      <c r="N460" t="inlineStr">
        <is>
          <t>Associate Software Engineer</t>
        </is>
      </c>
      <c r="O460" t="inlineStr">
        <is>
          <t>E1</t>
        </is>
      </c>
      <c r="P460" t="inlineStr">
        <is>
          <t>Associate Software Engineer</t>
        </is>
      </c>
      <c r="Q460" t="inlineStr">
        <is>
          <t>Dipakbhai Motibhai Tandel (1027230)</t>
        </is>
      </c>
      <c r="R460" s="27" t="n">
        <v>0</v>
      </c>
      <c r="S460" s="1" t="n">
        <v>1200000</v>
      </c>
      <c r="T460" s="1">
        <f>ROUND(T_EMPLOYEES[[#This Row],[EMP_CTC1]]/12, 0)</f>
        <v/>
      </c>
      <c r="U460" s="1" t="n">
        <v>1000000</v>
      </c>
      <c r="V460" s="1" t="inlineStr">
        <is>
          <t>AK</t>
        </is>
      </c>
      <c r="W460" s="1" t="inlineStr">
        <is>
          <t>AK</t>
        </is>
      </c>
      <c r="X46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0" t="n">
        <v>120000</v>
      </c>
      <c r="Z460" s="29">
        <f>(S460 - U460)/S460 * 100</f>
        <v/>
      </c>
      <c r="AA460">
        <f>IF(T_EMPLOYEES[[#This Row],[EMPLOYEE NUMBER]]="","",ROW(T_EMPLOYEES[[#This Row],[EMPLOYEE LABEL]])-ROW(T_EMPLOYEES[[#Headers],[EMPLOYEE LABEL]]))</f>
        <v/>
      </c>
      <c r="AB460">
        <f>IF(T_EMPLOYEES[[#This Row],[EMPLOYEE NUMBER]]="","",IF(COUNTIF(T_EMPLOYEES[EMPLOYEE NUMBER],T_EMPLOYEES[[#This Row],[EMPLOYEE NUMBER]])&gt;1,1,0))</f>
        <v/>
      </c>
      <c r="AC460">
        <f>IF(T_EMPLOYEES[[#This Row],[EMPLOYEE NUMBER]]="","",IF(AND(T_EMPLOYEES[[#This Row],[DATE OF BIRTH]]&gt;0,T_EMPLOYEES[[#This Row],[DATE OF BIRTH]]&lt;TODAY()),0,1))</f>
        <v/>
      </c>
      <c r="AD460">
        <f>IF(T_EMPLOYEES[[#This Row],[EMPLOYEE NUMBER]]="","",IF(AND(T_EMPLOYEES[[#This Row],[START DATE]]&gt;0,T_EMPLOYEES[[#This Row],[START DATE]]&lt;TODAY()+60),0,1))</f>
        <v/>
      </c>
      <c r="AE460">
        <f>IF(T_EMPLOYEES[[#This Row],[EMPLOYEE NUMBER]]="","",MATCH(T_EMPLOYEES[[#This Row],[GENDER]],L_GENDER,0))</f>
        <v/>
      </c>
      <c r="AF460">
        <f>IF(T_EMPLOYEES[[#This Row],[EMPLOYEE NUMBER]]="","",MATCH(T_EMPLOYEES[[#This Row],[HIRE SOURCE]],L_HIRESOURCE,0))</f>
        <v/>
      </c>
      <c r="AG460">
        <f>IF(T_EMPLOYEES[[#This Row],[EMPLOYEE NUMBER]]="","",MATCH(T_EMPLOYEES[[#This Row],[ETHNICITY]],L_ETHNICITY,0))</f>
        <v/>
      </c>
      <c r="AH460">
        <f>IF(T_EMPLOYEES[[#This Row],[EMPLOYEE NUMBER]]="","",MATCH(T_EMPLOYEES[[#This Row],[LOCATION]],L_LOCATION,0))</f>
        <v/>
      </c>
      <c r="AI460">
        <f>IF(T_EMPLOYEES[[#This Row],[EMPLOYEE NUMBER]]="","",MATCH(T_EMPLOYEES[[#This Row],[DEPARTMENT]],L_DEPARTMENT,0))</f>
        <v/>
      </c>
      <c r="AJ460">
        <f>IF(T_EMPLOYEES[[#This Row],[EMPLOYEE NUMBER]]="","",MATCH(T_EMPLOYEES[[#This Row],[JOB TYPE]],L_JOBTYPE,0))</f>
        <v/>
      </c>
      <c r="AK460">
        <f>IF(T_EMPLOYEES[[#This Row],[EMPLOYEE NUMBER]]="","",MATCH(T_EMPLOYEES[[#This Row],[JOB CATEGORY]],L_JOBCATEGORY,0))</f>
        <v/>
      </c>
      <c r="AL460">
        <f>IF(T_EMPLOYEES[[#This Row],[EMPLOYEE NUMBER]]="","",MATCH(T_EMPLOYEES[[#This Row],[JOB LEVEL]],L_JOBLEVEL,0))</f>
        <v/>
      </c>
      <c r="AM460">
        <f>IF(T_EMPLOYEES[[#This Row],[EMPLOYEE NUMBER]]="","",MATCH(T_EMPLOYEES[[#This Row],[JOB TITLE]],L_JOBTITLE,0))</f>
        <v/>
      </c>
      <c r="AN460">
        <f>IF(T_EMPLOYEES[[#This Row],[EMPLOYEE NUMBER]]="","",MATCH(T_EMPLOYEES[[#This Row],[MANAGER]],L_EMPLABELS,0))</f>
        <v/>
      </c>
      <c r="AO460">
        <f>IF(T_EMPLOYEES[[#This Row],[EMPLOYEE NUMBER]]="","",IF(T_EMPLOYEES[[#This Row],[ERROR]]="",0,1))</f>
        <v/>
      </c>
      <c r="AP46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1">
      <c r="A461" t="inlineStr">
        <is>
          <t>Deeti</t>
        </is>
      </c>
      <c r="B461" t="inlineStr">
        <is>
          <t xml:space="preserve">Chandu </t>
        </is>
      </c>
      <c r="C461" t="n">
        <v>1030946</v>
      </c>
      <c r="D461" t="inlineStr">
        <is>
          <t>Chandu.Deeti@infinite.com</t>
        </is>
      </c>
      <c r="E461" s="26" t="n">
        <v>36429</v>
      </c>
      <c r="F461" s="26" t="n">
        <v>44876</v>
      </c>
      <c r="H461" t="inlineStr">
        <is>
          <t>Male</t>
        </is>
      </c>
      <c r="I461" t="inlineStr">
        <is>
          <t>Asian</t>
        </is>
      </c>
      <c r="J461" t="inlineStr">
        <is>
          <t>WEBSITE</t>
        </is>
      </c>
      <c r="K461" t="inlineStr">
        <is>
          <t>Hyderabad</t>
        </is>
      </c>
      <c r="L461" s="27" t="inlineStr">
        <is>
          <t>IT</t>
        </is>
      </c>
      <c r="M461" t="inlineStr">
        <is>
          <t>Full-Time</t>
        </is>
      </c>
      <c r="N461" t="inlineStr">
        <is>
          <t>Associate Software Engineer</t>
        </is>
      </c>
      <c r="O461" t="inlineStr">
        <is>
          <t>E1</t>
        </is>
      </c>
      <c r="P461" t="inlineStr">
        <is>
          <t>Associate Software Engineer</t>
        </is>
      </c>
      <c r="Q461" t="inlineStr">
        <is>
          <t>Siddharth Kumar (1027551)</t>
        </is>
      </c>
      <c r="R461" t="n">
        <v>0</v>
      </c>
      <c r="S461" s="1" t="n">
        <v>1200000</v>
      </c>
      <c r="T461" s="1">
        <f>ROUND(T_EMPLOYEES[[#This Row],[EMP_CTC1]]/12, 0)</f>
        <v/>
      </c>
      <c r="U461" s="1" t="n">
        <v>1000000</v>
      </c>
      <c r="V461" s="1" t="inlineStr">
        <is>
          <t>AK</t>
        </is>
      </c>
      <c r="W461" s="1" t="inlineStr">
        <is>
          <t>AK</t>
        </is>
      </c>
      <c r="X46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1" t="n">
        <v>120000</v>
      </c>
      <c r="Z461" s="29">
        <f>(S461 - U461)/S461 * 100</f>
        <v/>
      </c>
      <c r="AA461">
        <f>IF(T_EMPLOYEES[[#This Row],[EMPLOYEE NUMBER]]="","",ROW(T_EMPLOYEES[[#This Row],[EMPLOYEE LABEL]])-ROW(T_EMPLOYEES[[#Headers],[EMPLOYEE LABEL]]))</f>
        <v/>
      </c>
      <c r="AB461">
        <f>IF(T_EMPLOYEES[[#This Row],[EMPLOYEE NUMBER]]="","",IF(COUNTIF(T_EMPLOYEES[EMPLOYEE NUMBER],T_EMPLOYEES[[#This Row],[EMPLOYEE NUMBER]])&gt;1,1,0))</f>
        <v/>
      </c>
      <c r="AC461">
        <f>IF(T_EMPLOYEES[[#This Row],[EMPLOYEE NUMBER]]="","",IF(AND(T_EMPLOYEES[[#This Row],[DATE OF BIRTH]]&gt;0,T_EMPLOYEES[[#This Row],[DATE OF BIRTH]]&lt;TODAY()),0,1))</f>
        <v/>
      </c>
      <c r="AD461">
        <f>IF(T_EMPLOYEES[[#This Row],[EMPLOYEE NUMBER]]="","",IF(AND(T_EMPLOYEES[[#This Row],[START DATE]]&gt;0,T_EMPLOYEES[[#This Row],[START DATE]]&lt;TODAY()+60),0,1))</f>
        <v/>
      </c>
      <c r="AE461">
        <f>IF(T_EMPLOYEES[[#This Row],[EMPLOYEE NUMBER]]="","",MATCH(T_EMPLOYEES[[#This Row],[GENDER]],L_GENDER,0))</f>
        <v/>
      </c>
      <c r="AF461">
        <f>IF(T_EMPLOYEES[[#This Row],[EMPLOYEE NUMBER]]="","",MATCH(T_EMPLOYEES[[#This Row],[HIRE SOURCE]],L_HIRESOURCE,0))</f>
        <v/>
      </c>
      <c r="AG461">
        <f>IF(T_EMPLOYEES[[#This Row],[EMPLOYEE NUMBER]]="","",MATCH(T_EMPLOYEES[[#This Row],[ETHNICITY]],L_ETHNICITY,0))</f>
        <v/>
      </c>
      <c r="AH461">
        <f>IF(T_EMPLOYEES[[#This Row],[EMPLOYEE NUMBER]]="","",MATCH(T_EMPLOYEES[[#This Row],[LOCATION]],L_LOCATION,0))</f>
        <v/>
      </c>
      <c r="AI461">
        <f>IF(T_EMPLOYEES[[#This Row],[EMPLOYEE NUMBER]]="","",MATCH(T_EMPLOYEES[[#This Row],[DEPARTMENT]],L_DEPARTMENT,0))</f>
        <v/>
      </c>
      <c r="AJ461">
        <f>IF(T_EMPLOYEES[[#This Row],[EMPLOYEE NUMBER]]="","",MATCH(T_EMPLOYEES[[#This Row],[JOB TYPE]],L_JOBTYPE,0))</f>
        <v/>
      </c>
      <c r="AK461">
        <f>IF(T_EMPLOYEES[[#This Row],[EMPLOYEE NUMBER]]="","",MATCH(T_EMPLOYEES[[#This Row],[JOB CATEGORY]],L_JOBCATEGORY,0))</f>
        <v/>
      </c>
      <c r="AL461">
        <f>IF(T_EMPLOYEES[[#This Row],[EMPLOYEE NUMBER]]="","",MATCH(T_EMPLOYEES[[#This Row],[JOB LEVEL]],L_JOBLEVEL,0))</f>
        <v/>
      </c>
      <c r="AM461">
        <f>IF(T_EMPLOYEES[[#This Row],[EMPLOYEE NUMBER]]="","",MATCH(T_EMPLOYEES[[#This Row],[JOB TITLE]],L_JOBTITLE,0))</f>
        <v/>
      </c>
      <c r="AN461">
        <f>IF(T_EMPLOYEES[[#This Row],[EMPLOYEE NUMBER]]="","",MATCH(T_EMPLOYEES[[#This Row],[MANAGER]],L_EMPLABELS,0))</f>
        <v/>
      </c>
      <c r="AO461">
        <f>IF(T_EMPLOYEES[[#This Row],[EMPLOYEE NUMBER]]="","",IF(T_EMPLOYEES[[#This Row],[ERROR]]="",0,1))</f>
        <v/>
      </c>
      <c r="AP46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2">
      <c r="A462" t="inlineStr">
        <is>
          <t>Darshan</t>
        </is>
      </c>
      <c r="B462" t="inlineStr">
        <is>
          <t>Balu Gade</t>
        </is>
      </c>
      <c r="C462" t="n">
        <v>1031095</v>
      </c>
      <c r="D462" t="inlineStr">
        <is>
          <t>Darshan.Gade@infinite.com</t>
        </is>
      </c>
      <c r="E462" s="26" t="n">
        <v>36456</v>
      </c>
      <c r="F462" s="26" t="n">
        <v>44889</v>
      </c>
      <c r="H462" t="inlineStr">
        <is>
          <t>Male</t>
        </is>
      </c>
      <c r="I462" t="inlineStr">
        <is>
          <t>Asian</t>
        </is>
      </c>
      <c r="J462" t="inlineStr">
        <is>
          <t>WEBSITE</t>
        </is>
      </c>
      <c r="K462" t="inlineStr">
        <is>
          <t>Hyderabad</t>
        </is>
      </c>
      <c r="L462" s="27" t="inlineStr">
        <is>
          <t>Core</t>
        </is>
      </c>
      <c r="M462" t="inlineStr">
        <is>
          <t>Full-Time</t>
        </is>
      </c>
      <c r="N462" t="inlineStr">
        <is>
          <t>Associate Software Engineer</t>
        </is>
      </c>
      <c r="O462" t="inlineStr">
        <is>
          <t>E1</t>
        </is>
      </c>
      <c r="P462" t="inlineStr">
        <is>
          <t>Associate Software Engineer</t>
        </is>
      </c>
      <c r="Q462" t="inlineStr">
        <is>
          <t>Kishore Kumar N (1019765)</t>
        </is>
      </c>
      <c r="R462" s="27" t="n">
        <v>0</v>
      </c>
      <c r="S462" s="1" t="n">
        <v>1200000</v>
      </c>
      <c r="T462" s="1">
        <f>ROUND(T_EMPLOYEES[[#This Row],[EMP_CTC1]]/12, 0)</f>
        <v/>
      </c>
      <c r="U462" s="1" t="n">
        <v>1000000</v>
      </c>
      <c r="V462" s="1" t="inlineStr">
        <is>
          <t>AK</t>
        </is>
      </c>
      <c r="W462" s="1" t="inlineStr">
        <is>
          <t>AK</t>
        </is>
      </c>
      <c r="X46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2" t="n">
        <v>120000</v>
      </c>
      <c r="Z462" s="29">
        <f>(S462 - U462)/S462 * 100</f>
        <v/>
      </c>
      <c r="AA462">
        <f>IF(T_EMPLOYEES[[#This Row],[EMPLOYEE NUMBER]]="","",ROW(T_EMPLOYEES[[#This Row],[EMPLOYEE LABEL]])-ROW(T_EMPLOYEES[[#Headers],[EMPLOYEE LABEL]]))</f>
        <v/>
      </c>
      <c r="AB462">
        <f>IF(T_EMPLOYEES[[#This Row],[EMPLOYEE NUMBER]]="","",IF(COUNTIF(T_EMPLOYEES[EMPLOYEE NUMBER],T_EMPLOYEES[[#This Row],[EMPLOYEE NUMBER]])&gt;1,1,0))</f>
        <v/>
      </c>
      <c r="AC462">
        <f>IF(T_EMPLOYEES[[#This Row],[EMPLOYEE NUMBER]]="","",IF(AND(T_EMPLOYEES[[#This Row],[DATE OF BIRTH]]&gt;0,T_EMPLOYEES[[#This Row],[DATE OF BIRTH]]&lt;TODAY()),0,1))</f>
        <v/>
      </c>
      <c r="AD462">
        <f>IF(T_EMPLOYEES[[#This Row],[EMPLOYEE NUMBER]]="","",IF(AND(T_EMPLOYEES[[#This Row],[START DATE]]&gt;0,T_EMPLOYEES[[#This Row],[START DATE]]&lt;TODAY()+60),0,1))</f>
        <v/>
      </c>
      <c r="AE462">
        <f>IF(T_EMPLOYEES[[#This Row],[EMPLOYEE NUMBER]]="","",MATCH(T_EMPLOYEES[[#This Row],[GENDER]],L_GENDER,0))</f>
        <v/>
      </c>
      <c r="AF462">
        <f>IF(T_EMPLOYEES[[#This Row],[EMPLOYEE NUMBER]]="","",MATCH(T_EMPLOYEES[[#This Row],[HIRE SOURCE]],L_HIRESOURCE,0))</f>
        <v/>
      </c>
      <c r="AG462">
        <f>IF(T_EMPLOYEES[[#This Row],[EMPLOYEE NUMBER]]="","",MATCH(T_EMPLOYEES[[#This Row],[ETHNICITY]],L_ETHNICITY,0))</f>
        <v/>
      </c>
      <c r="AH462">
        <f>IF(T_EMPLOYEES[[#This Row],[EMPLOYEE NUMBER]]="","",MATCH(T_EMPLOYEES[[#This Row],[LOCATION]],L_LOCATION,0))</f>
        <v/>
      </c>
      <c r="AI462">
        <f>IF(T_EMPLOYEES[[#This Row],[EMPLOYEE NUMBER]]="","",MATCH(T_EMPLOYEES[[#This Row],[DEPARTMENT]],L_DEPARTMENT,0))</f>
        <v/>
      </c>
      <c r="AJ462">
        <f>IF(T_EMPLOYEES[[#This Row],[EMPLOYEE NUMBER]]="","",MATCH(T_EMPLOYEES[[#This Row],[JOB TYPE]],L_JOBTYPE,0))</f>
        <v/>
      </c>
      <c r="AK462">
        <f>IF(T_EMPLOYEES[[#This Row],[EMPLOYEE NUMBER]]="","",MATCH(T_EMPLOYEES[[#This Row],[JOB CATEGORY]],L_JOBCATEGORY,0))</f>
        <v/>
      </c>
      <c r="AL462">
        <f>IF(T_EMPLOYEES[[#This Row],[EMPLOYEE NUMBER]]="","",MATCH(T_EMPLOYEES[[#This Row],[JOB LEVEL]],L_JOBLEVEL,0))</f>
        <v/>
      </c>
      <c r="AM462">
        <f>IF(T_EMPLOYEES[[#This Row],[EMPLOYEE NUMBER]]="","",MATCH(T_EMPLOYEES[[#This Row],[JOB TITLE]],L_JOBTITLE,0))</f>
        <v/>
      </c>
      <c r="AN462">
        <f>IF(T_EMPLOYEES[[#This Row],[EMPLOYEE NUMBER]]="","",MATCH(T_EMPLOYEES[[#This Row],[MANAGER]],L_EMPLABELS,0))</f>
        <v/>
      </c>
      <c r="AO462">
        <f>IF(T_EMPLOYEES[[#This Row],[EMPLOYEE NUMBER]]="","",IF(T_EMPLOYEES[[#This Row],[ERROR]]="",0,1))</f>
        <v/>
      </c>
      <c r="AP46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3">
      <c r="A463" t="inlineStr">
        <is>
          <t>Shaik</t>
        </is>
      </c>
      <c r="B463" t="inlineStr">
        <is>
          <t>Shahida</t>
        </is>
      </c>
      <c r="C463" t="n">
        <v>1029531</v>
      </c>
      <c r="D463" t="inlineStr">
        <is>
          <t>Shaik.Shahida@infinite.com</t>
        </is>
      </c>
      <c r="E463" s="26" t="n">
        <v>36458</v>
      </c>
      <c r="F463" s="26" t="n">
        <v>44757</v>
      </c>
      <c r="H463" t="inlineStr">
        <is>
          <t>Female</t>
        </is>
      </c>
      <c r="I463" t="inlineStr">
        <is>
          <t>Asian</t>
        </is>
      </c>
      <c r="J463" t="inlineStr">
        <is>
          <t>WEBSITE</t>
        </is>
      </c>
      <c r="K463" t="inlineStr">
        <is>
          <t>Hyderabad</t>
        </is>
      </c>
      <c r="L463" s="27" t="inlineStr">
        <is>
          <t>Core</t>
        </is>
      </c>
      <c r="M463" t="inlineStr">
        <is>
          <t>Full-Time</t>
        </is>
      </c>
      <c r="N463" t="inlineStr">
        <is>
          <t>Associate Software Engineer</t>
        </is>
      </c>
      <c r="O463" t="inlineStr">
        <is>
          <t>E1</t>
        </is>
      </c>
      <c r="P463" t="inlineStr">
        <is>
          <t>Associate Software Engineer</t>
        </is>
      </c>
      <c r="Q463" t="inlineStr">
        <is>
          <t>Dipakbhai Motibhai Tandel (1027230)</t>
        </is>
      </c>
      <c r="R463" t="n">
        <v>0</v>
      </c>
      <c r="S463" s="1" t="n">
        <v>1200000</v>
      </c>
      <c r="T463" s="1">
        <f>ROUND(T_EMPLOYEES[[#This Row],[EMP_CTC1]]/12, 0)</f>
        <v/>
      </c>
      <c r="U463" s="1" t="n">
        <v>1000000</v>
      </c>
      <c r="V463" s="1" t="inlineStr">
        <is>
          <t>AK</t>
        </is>
      </c>
      <c r="W463" s="1" t="inlineStr">
        <is>
          <t>AK</t>
        </is>
      </c>
      <c r="X46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3" t="n">
        <v>120000</v>
      </c>
      <c r="Z463" s="29">
        <f>(S463 - U463)/S463 * 100</f>
        <v/>
      </c>
      <c r="AA463">
        <f>IF(T_EMPLOYEES[[#This Row],[EMPLOYEE NUMBER]]="","",ROW(T_EMPLOYEES[[#This Row],[EMPLOYEE LABEL]])-ROW(T_EMPLOYEES[[#Headers],[EMPLOYEE LABEL]]))</f>
        <v/>
      </c>
      <c r="AB463">
        <f>IF(T_EMPLOYEES[[#This Row],[EMPLOYEE NUMBER]]="","",IF(COUNTIF(T_EMPLOYEES[EMPLOYEE NUMBER],T_EMPLOYEES[[#This Row],[EMPLOYEE NUMBER]])&gt;1,1,0))</f>
        <v/>
      </c>
      <c r="AC463">
        <f>IF(T_EMPLOYEES[[#This Row],[EMPLOYEE NUMBER]]="","",IF(AND(T_EMPLOYEES[[#This Row],[DATE OF BIRTH]]&gt;0,T_EMPLOYEES[[#This Row],[DATE OF BIRTH]]&lt;TODAY()),0,1))</f>
        <v/>
      </c>
      <c r="AD463">
        <f>IF(T_EMPLOYEES[[#This Row],[EMPLOYEE NUMBER]]="","",IF(AND(T_EMPLOYEES[[#This Row],[START DATE]]&gt;0,T_EMPLOYEES[[#This Row],[START DATE]]&lt;TODAY()+60),0,1))</f>
        <v/>
      </c>
      <c r="AE463">
        <f>IF(T_EMPLOYEES[[#This Row],[EMPLOYEE NUMBER]]="","",MATCH(T_EMPLOYEES[[#This Row],[GENDER]],L_GENDER,0))</f>
        <v/>
      </c>
      <c r="AF463">
        <f>IF(T_EMPLOYEES[[#This Row],[EMPLOYEE NUMBER]]="","",MATCH(T_EMPLOYEES[[#This Row],[HIRE SOURCE]],L_HIRESOURCE,0))</f>
        <v/>
      </c>
      <c r="AG463">
        <f>IF(T_EMPLOYEES[[#This Row],[EMPLOYEE NUMBER]]="","",MATCH(T_EMPLOYEES[[#This Row],[ETHNICITY]],L_ETHNICITY,0))</f>
        <v/>
      </c>
      <c r="AH463">
        <f>IF(T_EMPLOYEES[[#This Row],[EMPLOYEE NUMBER]]="","",MATCH(T_EMPLOYEES[[#This Row],[LOCATION]],L_LOCATION,0))</f>
        <v/>
      </c>
      <c r="AI463">
        <f>IF(T_EMPLOYEES[[#This Row],[EMPLOYEE NUMBER]]="","",MATCH(T_EMPLOYEES[[#This Row],[DEPARTMENT]],L_DEPARTMENT,0))</f>
        <v/>
      </c>
      <c r="AJ463">
        <f>IF(T_EMPLOYEES[[#This Row],[EMPLOYEE NUMBER]]="","",MATCH(T_EMPLOYEES[[#This Row],[JOB TYPE]],L_JOBTYPE,0))</f>
        <v/>
      </c>
      <c r="AK463">
        <f>IF(T_EMPLOYEES[[#This Row],[EMPLOYEE NUMBER]]="","",MATCH(T_EMPLOYEES[[#This Row],[JOB CATEGORY]],L_JOBCATEGORY,0))</f>
        <v/>
      </c>
      <c r="AL463">
        <f>IF(T_EMPLOYEES[[#This Row],[EMPLOYEE NUMBER]]="","",MATCH(T_EMPLOYEES[[#This Row],[JOB LEVEL]],L_JOBLEVEL,0))</f>
        <v/>
      </c>
      <c r="AM463">
        <f>IF(T_EMPLOYEES[[#This Row],[EMPLOYEE NUMBER]]="","",MATCH(T_EMPLOYEES[[#This Row],[JOB TITLE]],L_JOBTITLE,0))</f>
        <v/>
      </c>
      <c r="AN463">
        <f>IF(T_EMPLOYEES[[#This Row],[EMPLOYEE NUMBER]]="","",MATCH(T_EMPLOYEES[[#This Row],[MANAGER]],L_EMPLABELS,0))</f>
        <v/>
      </c>
      <c r="AO463">
        <f>IF(T_EMPLOYEES[[#This Row],[EMPLOYEE NUMBER]]="","",IF(T_EMPLOYEES[[#This Row],[ERROR]]="",0,1))</f>
        <v/>
      </c>
      <c r="AP46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4">
      <c r="A464" t="inlineStr">
        <is>
          <t>Tata</t>
        </is>
      </c>
      <c r="B464" t="inlineStr">
        <is>
          <t>Nara Sai Mukesh</t>
        </is>
      </c>
      <c r="C464" t="n">
        <v>1026156</v>
      </c>
      <c r="D464" t="inlineStr">
        <is>
          <t>Tatanara.Mukesh@infinite.com</t>
        </is>
      </c>
      <c r="E464" s="26" t="n">
        <v>36467</v>
      </c>
      <c r="F464" s="26" t="n">
        <v>44425</v>
      </c>
      <c r="H464" t="inlineStr">
        <is>
          <t>Male</t>
        </is>
      </c>
      <c r="I464" t="inlineStr">
        <is>
          <t>Asian</t>
        </is>
      </c>
      <c r="J464" t="inlineStr">
        <is>
          <t>WEBSITE</t>
        </is>
      </c>
      <c r="K464" t="inlineStr">
        <is>
          <t>Bangalore</t>
        </is>
      </c>
      <c r="L464" s="27" t="inlineStr">
        <is>
          <t>IT</t>
        </is>
      </c>
      <c r="M464" t="inlineStr">
        <is>
          <t>Full-Time</t>
        </is>
      </c>
      <c r="N464" t="inlineStr">
        <is>
          <t>Software Engineer</t>
        </is>
      </c>
      <c r="O464" t="inlineStr">
        <is>
          <t>E2</t>
        </is>
      </c>
      <c r="P464" t="inlineStr">
        <is>
          <t>Software Engineer</t>
        </is>
      </c>
      <c r="Q464" t="inlineStr">
        <is>
          <t>P Vinoth  Kumar (1023066)</t>
        </is>
      </c>
      <c r="R464" s="27" t="n">
        <v>4</v>
      </c>
      <c r="S464" s="1" t="n">
        <v>1200000</v>
      </c>
      <c r="T464" s="1">
        <f>ROUND(T_EMPLOYEES[[#This Row],[EMP_CTC1]]/12, 0)</f>
        <v/>
      </c>
      <c r="U464" s="1" t="n">
        <v>1000000</v>
      </c>
      <c r="V464" s="1" t="inlineStr">
        <is>
          <t>AK</t>
        </is>
      </c>
      <c r="W464" s="1" t="inlineStr">
        <is>
          <t>AK</t>
        </is>
      </c>
      <c r="X46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4" t="n">
        <v>120000</v>
      </c>
      <c r="Z464" s="29">
        <f>(S464 - U464)/S464 * 100</f>
        <v/>
      </c>
      <c r="AA464">
        <f>IF(T_EMPLOYEES[[#This Row],[EMPLOYEE NUMBER]]="","",ROW(T_EMPLOYEES[[#This Row],[EMPLOYEE LABEL]])-ROW(T_EMPLOYEES[[#Headers],[EMPLOYEE LABEL]]))</f>
        <v/>
      </c>
      <c r="AB464">
        <f>IF(T_EMPLOYEES[[#This Row],[EMPLOYEE NUMBER]]="","",IF(COUNTIF(T_EMPLOYEES[EMPLOYEE NUMBER],T_EMPLOYEES[[#This Row],[EMPLOYEE NUMBER]])&gt;1,1,0))</f>
        <v/>
      </c>
      <c r="AC464">
        <f>IF(T_EMPLOYEES[[#This Row],[EMPLOYEE NUMBER]]="","",IF(AND(T_EMPLOYEES[[#This Row],[DATE OF BIRTH]]&gt;0,T_EMPLOYEES[[#This Row],[DATE OF BIRTH]]&lt;TODAY()),0,1))</f>
        <v/>
      </c>
      <c r="AD464">
        <f>IF(T_EMPLOYEES[[#This Row],[EMPLOYEE NUMBER]]="","",IF(AND(T_EMPLOYEES[[#This Row],[START DATE]]&gt;0,T_EMPLOYEES[[#This Row],[START DATE]]&lt;TODAY()+60),0,1))</f>
        <v/>
      </c>
      <c r="AE464">
        <f>IF(T_EMPLOYEES[[#This Row],[EMPLOYEE NUMBER]]="","",MATCH(T_EMPLOYEES[[#This Row],[GENDER]],L_GENDER,0))</f>
        <v/>
      </c>
      <c r="AF464">
        <f>IF(T_EMPLOYEES[[#This Row],[EMPLOYEE NUMBER]]="","",MATCH(T_EMPLOYEES[[#This Row],[HIRE SOURCE]],L_HIRESOURCE,0))</f>
        <v/>
      </c>
      <c r="AG464">
        <f>IF(T_EMPLOYEES[[#This Row],[EMPLOYEE NUMBER]]="","",MATCH(T_EMPLOYEES[[#This Row],[ETHNICITY]],L_ETHNICITY,0))</f>
        <v/>
      </c>
      <c r="AH464">
        <f>IF(T_EMPLOYEES[[#This Row],[EMPLOYEE NUMBER]]="","",MATCH(T_EMPLOYEES[[#This Row],[LOCATION]],L_LOCATION,0))</f>
        <v/>
      </c>
      <c r="AI464">
        <f>IF(T_EMPLOYEES[[#This Row],[EMPLOYEE NUMBER]]="","",MATCH(T_EMPLOYEES[[#This Row],[DEPARTMENT]],L_DEPARTMENT,0))</f>
        <v/>
      </c>
      <c r="AJ464">
        <f>IF(T_EMPLOYEES[[#This Row],[EMPLOYEE NUMBER]]="","",MATCH(T_EMPLOYEES[[#This Row],[JOB TYPE]],L_JOBTYPE,0))</f>
        <v/>
      </c>
      <c r="AK464">
        <f>IF(T_EMPLOYEES[[#This Row],[EMPLOYEE NUMBER]]="","",MATCH(T_EMPLOYEES[[#This Row],[JOB CATEGORY]],L_JOBCATEGORY,0))</f>
        <v/>
      </c>
      <c r="AL464">
        <f>IF(T_EMPLOYEES[[#This Row],[EMPLOYEE NUMBER]]="","",MATCH(T_EMPLOYEES[[#This Row],[JOB LEVEL]],L_JOBLEVEL,0))</f>
        <v/>
      </c>
      <c r="AM464">
        <f>IF(T_EMPLOYEES[[#This Row],[EMPLOYEE NUMBER]]="","",MATCH(T_EMPLOYEES[[#This Row],[JOB TITLE]],L_JOBTITLE,0))</f>
        <v/>
      </c>
      <c r="AN464">
        <f>IF(T_EMPLOYEES[[#This Row],[EMPLOYEE NUMBER]]="","",MATCH(T_EMPLOYEES[[#This Row],[MANAGER]],L_EMPLABELS,0))</f>
        <v/>
      </c>
      <c r="AO464">
        <f>IF(T_EMPLOYEES[[#This Row],[EMPLOYEE NUMBER]]="","",IF(T_EMPLOYEES[[#This Row],[ERROR]]="",0,1))</f>
        <v/>
      </c>
      <c r="AP46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64" t="inlineStr">
        <is>
          <t>Claims</t>
        </is>
      </c>
    </row>
    <row r="465">
      <c r="A465" t="inlineStr">
        <is>
          <t>Batchu</t>
        </is>
      </c>
      <c r="B465" t="inlineStr">
        <is>
          <t xml:space="preserve">Sri Sai Priya </t>
        </is>
      </c>
      <c r="C465" t="n">
        <v>1028547</v>
      </c>
      <c r="D465" t="inlineStr">
        <is>
          <t>Srisaipriya.Batchu@infinite.com</t>
        </is>
      </c>
      <c r="E465" s="26" t="n">
        <v>36471</v>
      </c>
      <c r="F465" s="26" t="n">
        <v>44629</v>
      </c>
      <c r="H465" t="inlineStr">
        <is>
          <t>Female</t>
        </is>
      </c>
      <c r="I465" t="inlineStr">
        <is>
          <t>Asian</t>
        </is>
      </c>
      <c r="J465" t="inlineStr">
        <is>
          <t>WEBSITE</t>
        </is>
      </c>
      <c r="K465" t="inlineStr">
        <is>
          <t>Hyderabad</t>
        </is>
      </c>
      <c r="L465" s="27" t="inlineStr">
        <is>
          <t>IT</t>
        </is>
      </c>
      <c r="M465" t="inlineStr">
        <is>
          <t>Full-Time</t>
        </is>
      </c>
      <c r="N465" t="inlineStr">
        <is>
          <t>Software Test Engineer</t>
        </is>
      </c>
      <c r="O465" t="inlineStr">
        <is>
          <t>E2</t>
        </is>
      </c>
      <c r="P465" t="inlineStr">
        <is>
          <t>Software Test Engineer</t>
        </is>
      </c>
      <c r="Q465" t="inlineStr">
        <is>
          <t>Sreekanth  Pulumati (1022868)</t>
        </is>
      </c>
      <c r="R465" t="n">
        <v>4</v>
      </c>
      <c r="S465" s="1" t="n">
        <v>1200000</v>
      </c>
      <c r="T465" s="1">
        <f>ROUND(T_EMPLOYEES[[#This Row],[EMP_CTC1]]/12, 0)</f>
        <v/>
      </c>
      <c r="U465" s="1" t="n">
        <v>1000000</v>
      </c>
      <c r="V465" s="1" t="inlineStr">
        <is>
          <t>AK</t>
        </is>
      </c>
      <c r="W465" s="1" t="inlineStr">
        <is>
          <t>AK</t>
        </is>
      </c>
      <c r="X46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5" t="n">
        <v>120000</v>
      </c>
      <c r="Z465" s="29">
        <f>(S465 - U465)/S465 * 100</f>
        <v/>
      </c>
      <c r="AA465">
        <f>IF(T_EMPLOYEES[[#This Row],[EMPLOYEE NUMBER]]="","",ROW(T_EMPLOYEES[[#This Row],[EMPLOYEE LABEL]])-ROW(T_EMPLOYEES[[#Headers],[EMPLOYEE LABEL]]))</f>
        <v/>
      </c>
      <c r="AB465">
        <f>IF(T_EMPLOYEES[[#This Row],[EMPLOYEE NUMBER]]="","",IF(COUNTIF(T_EMPLOYEES[EMPLOYEE NUMBER],T_EMPLOYEES[[#This Row],[EMPLOYEE NUMBER]])&gt;1,1,0))</f>
        <v/>
      </c>
      <c r="AC465">
        <f>IF(T_EMPLOYEES[[#This Row],[EMPLOYEE NUMBER]]="","",IF(AND(T_EMPLOYEES[[#This Row],[DATE OF BIRTH]]&gt;0,T_EMPLOYEES[[#This Row],[DATE OF BIRTH]]&lt;TODAY()),0,1))</f>
        <v/>
      </c>
      <c r="AD465">
        <f>IF(T_EMPLOYEES[[#This Row],[EMPLOYEE NUMBER]]="","",IF(AND(T_EMPLOYEES[[#This Row],[START DATE]]&gt;0,T_EMPLOYEES[[#This Row],[START DATE]]&lt;TODAY()+60),0,1))</f>
        <v/>
      </c>
      <c r="AE465">
        <f>IF(T_EMPLOYEES[[#This Row],[EMPLOYEE NUMBER]]="","",MATCH(T_EMPLOYEES[[#This Row],[GENDER]],L_GENDER,0))</f>
        <v/>
      </c>
      <c r="AF465">
        <f>IF(T_EMPLOYEES[[#This Row],[EMPLOYEE NUMBER]]="","",MATCH(T_EMPLOYEES[[#This Row],[HIRE SOURCE]],L_HIRESOURCE,0))</f>
        <v/>
      </c>
      <c r="AG465">
        <f>IF(T_EMPLOYEES[[#This Row],[EMPLOYEE NUMBER]]="","",MATCH(T_EMPLOYEES[[#This Row],[ETHNICITY]],L_ETHNICITY,0))</f>
        <v/>
      </c>
      <c r="AH465">
        <f>IF(T_EMPLOYEES[[#This Row],[EMPLOYEE NUMBER]]="","",MATCH(T_EMPLOYEES[[#This Row],[LOCATION]],L_LOCATION,0))</f>
        <v/>
      </c>
      <c r="AI465">
        <f>IF(T_EMPLOYEES[[#This Row],[EMPLOYEE NUMBER]]="","",MATCH(T_EMPLOYEES[[#This Row],[DEPARTMENT]],L_DEPARTMENT,0))</f>
        <v/>
      </c>
      <c r="AJ465">
        <f>IF(T_EMPLOYEES[[#This Row],[EMPLOYEE NUMBER]]="","",MATCH(T_EMPLOYEES[[#This Row],[JOB TYPE]],L_JOBTYPE,0))</f>
        <v/>
      </c>
      <c r="AK465">
        <f>IF(T_EMPLOYEES[[#This Row],[EMPLOYEE NUMBER]]="","",MATCH(T_EMPLOYEES[[#This Row],[JOB CATEGORY]],L_JOBCATEGORY,0))</f>
        <v/>
      </c>
      <c r="AL465">
        <f>IF(T_EMPLOYEES[[#This Row],[EMPLOYEE NUMBER]]="","",MATCH(T_EMPLOYEES[[#This Row],[JOB LEVEL]],L_JOBLEVEL,0))</f>
        <v/>
      </c>
      <c r="AM465">
        <f>IF(T_EMPLOYEES[[#This Row],[EMPLOYEE NUMBER]]="","",MATCH(T_EMPLOYEES[[#This Row],[JOB TITLE]],L_JOBTITLE,0))</f>
        <v/>
      </c>
      <c r="AN465">
        <f>IF(T_EMPLOYEES[[#This Row],[EMPLOYEE NUMBER]]="","",MATCH(T_EMPLOYEES[[#This Row],[MANAGER]],L_EMPLABELS,0))</f>
        <v/>
      </c>
      <c r="AO465">
        <f>IF(T_EMPLOYEES[[#This Row],[EMPLOYEE NUMBER]]="","",IF(T_EMPLOYEES[[#This Row],[ERROR]]="",0,1))</f>
        <v/>
      </c>
      <c r="AP46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6">
      <c r="A466" t="inlineStr">
        <is>
          <t>Yogesh</t>
        </is>
      </c>
      <c r="B466" t="inlineStr">
        <is>
          <t>Prakash</t>
        </is>
      </c>
      <c r="C466" t="n">
        <v>1027024</v>
      </c>
      <c r="D466" t="inlineStr">
        <is>
          <t>Yogesh.Prakash@infinite.com</t>
        </is>
      </c>
      <c r="E466" s="26" t="n">
        <v>36476</v>
      </c>
      <c r="F466" s="26" t="n">
        <v>44498</v>
      </c>
      <c r="H466" t="inlineStr">
        <is>
          <t>Male</t>
        </is>
      </c>
      <c r="I466" t="inlineStr">
        <is>
          <t>Asian</t>
        </is>
      </c>
      <c r="J466" t="inlineStr">
        <is>
          <t>WEBSITE</t>
        </is>
      </c>
      <c r="K466" t="inlineStr">
        <is>
          <t>Bangalore</t>
        </is>
      </c>
      <c r="L466" s="27" t="inlineStr">
        <is>
          <t>Core</t>
        </is>
      </c>
      <c r="M466" t="inlineStr">
        <is>
          <t>Full-Time</t>
        </is>
      </c>
      <c r="N466" t="inlineStr">
        <is>
          <t>Software Test Engineer</t>
        </is>
      </c>
      <c r="O466" t="inlineStr">
        <is>
          <t>E2</t>
        </is>
      </c>
      <c r="P466" t="inlineStr">
        <is>
          <t>Software Test Engineer</t>
        </is>
      </c>
      <c r="Q466" t="inlineStr">
        <is>
          <t>Dipakbhai Motibhai Tandel (1027230)</t>
        </is>
      </c>
      <c r="R466" s="27" t="n">
        <v>4</v>
      </c>
      <c r="S466" s="1" t="n">
        <v>1200000</v>
      </c>
      <c r="T466" s="1">
        <f>ROUND(T_EMPLOYEES[[#This Row],[EMP_CTC1]]/12, 0)</f>
        <v/>
      </c>
      <c r="U466" s="1" t="n">
        <v>1000000</v>
      </c>
      <c r="V466" s="1" t="inlineStr">
        <is>
          <t>AK</t>
        </is>
      </c>
      <c r="W466" s="1" t="inlineStr">
        <is>
          <t>AK</t>
        </is>
      </c>
      <c r="X46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6" t="n">
        <v>120000</v>
      </c>
      <c r="Z466" s="29">
        <f>(S466 - U466)/S466 * 100</f>
        <v/>
      </c>
      <c r="AA466">
        <f>IF(T_EMPLOYEES[[#This Row],[EMPLOYEE NUMBER]]="","",ROW(T_EMPLOYEES[[#This Row],[EMPLOYEE LABEL]])-ROW(T_EMPLOYEES[[#Headers],[EMPLOYEE LABEL]]))</f>
        <v/>
      </c>
      <c r="AB466">
        <f>IF(T_EMPLOYEES[[#This Row],[EMPLOYEE NUMBER]]="","",IF(COUNTIF(T_EMPLOYEES[EMPLOYEE NUMBER],T_EMPLOYEES[[#This Row],[EMPLOYEE NUMBER]])&gt;1,1,0))</f>
        <v/>
      </c>
      <c r="AC466">
        <f>IF(T_EMPLOYEES[[#This Row],[EMPLOYEE NUMBER]]="","",IF(AND(T_EMPLOYEES[[#This Row],[DATE OF BIRTH]]&gt;0,T_EMPLOYEES[[#This Row],[DATE OF BIRTH]]&lt;TODAY()),0,1))</f>
        <v/>
      </c>
      <c r="AD466">
        <f>IF(T_EMPLOYEES[[#This Row],[EMPLOYEE NUMBER]]="","",IF(AND(T_EMPLOYEES[[#This Row],[START DATE]]&gt;0,T_EMPLOYEES[[#This Row],[START DATE]]&lt;TODAY()+60),0,1))</f>
        <v/>
      </c>
      <c r="AE466">
        <f>IF(T_EMPLOYEES[[#This Row],[EMPLOYEE NUMBER]]="","",MATCH(T_EMPLOYEES[[#This Row],[GENDER]],L_GENDER,0))</f>
        <v/>
      </c>
      <c r="AF466">
        <f>IF(T_EMPLOYEES[[#This Row],[EMPLOYEE NUMBER]]="","",MATCH(T_EMPLOYEES[[#This Row],[HIRE SOURCE]],L_HIRESOURCE,0))</f>
        <v/>
      </c>
      <c r="AG466">
        <f>IF(T_EMPLOYEES[[#This Row],[EMPLOYEE NUMBER]]="","",MATCH(T_EMPLOYEES[[#This Row],[ETHNICITY]],L_ETHNICITY,0))</f>
        <v/>
      </c>
      <c r="AH466">
        <f>IF(T_EMPLOYEES[[#This Row],[EMPLOYEE NUMBER]]="","",MATCH(T_EMPLOYEES[[#This Row],[LOCATION]],L_LOCATION,0))</f>
        <v/>
      </c>
      <c r="AI466">
        <f>IF(T_EMPLOYEES[[#This Row],[EMPLOYEE NUMBER]]="","",MATCH(T_EMPLOYEES[[#This Row],[DEPARTMENT]],L_DEPARTMENT,0))</f>
        <v/>
      </c>
      <c r="AJ466">
        <f>IF(T_EMPLOYEES[[#This Row],[EMPLOYEE NUMBER]]="","",MATCH(T_EMPLOYEES[[#This Row],[JOB TYPE]],L_JOBTYPE,0))</f>
        <v/>
      </c>
      <c r="AK466">
        <f>IF(T_EMPLOYEES[[#This Row],[EMPLOYEE NUMBER]]="","",MATCH(T_EMPLOYEES[[#This Row],[JOB CATEGORY]],L_JOBCATEGORY,0))</f>
        <v/>
      </c>
      <c r="AL466">
        <f>IF(T_EMPLOYEES[[#This Row],[EMPLOYEE NUMBER]]="","",MATCH(T_EMPLOYEES[[#This Row],[JOB LEVEL]],L_JOBLEVEL,0))</f>
        <v/>
      </c>
      <c r="AM466">
        <f>IF(T_EMPLOYEES[[#This Row],[EMPLOYEE NUMBER]]="","",MATCH(T_EMPLOYEES[[#This Row],[JOB TITLE]],L_JOBTITLE,0))</f>
        <v/>
      </c>
      <c r="AN466">
        <f>IF(T_EMPLOYEES[[#This Row],[EMPLOYEE NUMBER]]="","",MATCH(T_EMPLOYEES[[#This Row],[MANAGER]],L_EMPLABELS,0))</f>
        <v/>
      </c>
      <c r="AO466">
        <f>IF(T_EMPLOYEES[[#This Row],[EMPLOYEE NUMBER]]="","",IF(T_EMPLOYEES[[#This Row],[ERROR]]="",0,1))</f>
        <v/>
      </c>
      <c r="AP46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7">
      <c r="A467" t="inlineStr">
        <is>
          <t>Kaushik</t>
        </is>
      </c>
      <c r="B467" t="inlineStr">
        <is>
          <t>Sarkar</t>
        </is>
      </c>
      <c r="C467" t="n">
        <v>1033211</v>
      </c>
      <c r="D467" t="inlineStr">
        <is>
          <t>Kaushik.Sarkar@infinite.com</t>
        </is>
      </c>
      <c r="E467" s="26" t="n">
        <v>36514</v>
      </c>
      <c r="F467" s="26" t="n">
        <v>45155</v>
      </c>
      <c r="H467" t="inlineStr">
        <is>
          <t>Male</t>
        </is>
      </c>
      <c r="I467" t="inlineStr">
        <is>
          <t>Asian</t>
        </is>
      </c>
      <c r="J467" t="inlineStr">
        <is>
          <t>WEBSITE</t>
        </is>
      </c>
      <c r="K467" t="inlineStr">
        <is>
          <t>Bangalore</t>
        </is>
      </c>
      <c r="L467" s="27" t="inlineStr">
        <is>
          <t>Core</t>
        </is>
      </c>
      <c r="M467" t="inlineStr">
        <is>
          <t>Full-Time</t>
        </is>
      </c>
      <c r="N467" t="inlineStr">
        <is>
          <t>Associate Software Engineer</t>
        </is>
      </c>
      <c r="O467" t="inlineStr">
        <is>
          <t>E1</t>
        </is>
      </c>
      <c r="P467" t="inlineStr">
        <is>
          <t>Associate Software Engineer</t>
        </is>
      </c>
      <c r="Q467" t="inlineStr">
        <is>
          <t>Kishore Kumar N (1019765)</t>
        </is>
      </c>
      <c r="R467" t="n">
        <v>0</v>
      </c>
      <c r="S467" s="1" t="n">
        <v>1200000</v>
      </c>
      <c r="T467" s="1">
        <f>ROUND(T_EMPLOYEES[[#This Row],[EMP_CTC1]]/12, 0)</f>
        <v/>
      </c>
      <c r="U467" s="1" t="n">
        <v>1000000</v>
      </c>
      <c r="V467" s="1" t="inlineStr">
        <is>
          <t>AK</t>
        </is>
      </c>
      <c r="W467" s="1" t="inlineStr">
        <is>
          <t>AK</t>
        </is>
      </c>
      <c r="X46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7" t="n">
        <v>120000</v>
      </c>
      <c r="Z467" s="29">
        <f>(S467 - U467)/S467 * 100</f>
        <v/>
      </c>
      <c r="AA467">
        <f>IF(T_EMPLOYEES[[#This Row],[EMPLOYEE NUMBER]]="","",ROW(T_EMPLOYEES[[#This Row],[EMPLOYEE LABEL]])-ROW(T_EMPLOYEES[[#Headers],[EMPLOYEE LABEL]]))</f>
        <v/>
      </c>
      <c r="AB467">
        <f>IF(T_EMPLOYEES[[#This Row],[EMPLOYEE NUMBER]]="","",IF(COUNTIF(T_EMPLOYEES[EMPLOYEE NUMBER],T_EMPLOYEES[[#This Row],[EMPLOYEE NUMBER]])&gt;1,1,0))</f>
        <v/>
      </c>
      <c r="AC467">
        <f>IF(T_EMPLOYEES[[#This Row],[EMPLOYEE NUMBER]]="","",IF(AND(T_EMPLOYEES[[#This Row],[DATE OF BIRTH]]&gt;0,T_EMPLOYEES[[#This Row],[DATE OF BIRTH]]&lt;TODAY()),0,1))</f>
        <v/>
      </c>
      <c r="AD467">
        <f>IF(T_EMPLOYEES[[#This Row],[EMPLOYEE NUMBER]]="","",IF(AND(T_EMPLOYEES[[#This Row],[START DATE]]&gt;0,T_EMPLOYEES[[#This Row],[START DATE]]&lt;TODAY()+60),0,1))</f>
        <v/>
      </c>
      <c r="AE467">
        <f>IF(T_EMPLOYEES[[#This Row],[EMPLOYEE NUMBER]]="","",MATCH(T_EMPLOYEES[[#This Row],[GENDER]],L_GENDER,0))</f>
        <v/>
      </c>
      <c r="AF467">
        <f>IF(T_EMPLOYEES[[#This Row],[EMPLOYEE NUMBER]]="","",MATCH(T_EMPLOYEES[[#This Row],[HIRE SOURCE]],L_HIRESOURCE,0))</f>
        <v/>
      </c>
      <c r="AG467">
        <f>IF(T_EMPLOYEES[[#This Row],[EMPLOYEE NUMBER]]="","",MATCH(T_EMPLOYEES[[#This Row],[ETHNICITY]],L_ETHNICITY,0))</f>
        <v/>
      </c>
      <c r="AH467">
        <f>IF(T_EMPLOYEES[[#This Row],[EMPLOYEE NUMBER]]="","",MATCH(T_EMPLOYEES[[#This Row],[LOCATION]],L_LOCATION,0))</f>
        <v/>
      </c>
      <c r="AI467">
        <f>IF(T_EMPLOYEES[[#This Row],[EMPLOYEE NUMBER]]="","",MATCH(T_EMPLOYEES[[#This Row],[DEPARTMENT]],L_DEPARTMENT,0))</f>
        <v/>
      </c>
      <c r="AJ467">
        <f>IF(T_EMPLOYEES[[#This Row],[EMPLOYEE NUMBER]]="","",MATCH(T_EMPLOYEES[[#This Row],[JOB TYPE]],L_JOBTYPE,0))</f>
        <v/>
      </c>
      <c r="AK467">
        <f>IF(T_EMPLOYEES[[#This Row],[EMPLOYEE NUMBER]]="","",MATCH(T_EMPLOYEES[[#This Row],[JOB CATEGORY]],L_JOBCATEGORY,0))</f>
        <v/>
      </c>
      <c r="AL467">
        <f>IF(T_EMPLOYEES[[#This Row],[EMPLOYEE NUMBER]]="","",MATCH(T_EMPLOYEES[[#This Row],[JOB LEVEL]],L_JOBLEVEL,0))</f>
        <v/>
      </c>
      <c r="AM467">
        <f>IF(T_EMPLOYEES[[#This Row],[EMPLOYEE NUMBER]]="","",MATCH(T_EMPLOYEES[[#This Row],[JOB TITLE]],L_JOBTITLE,0))</f>
        <v/>
      </c>
      <c r="AN467">
        <f>IF(T_EMPLOYEES[[#This Row],[EMPLOYEE NUMBER]]="","",MATCH(T_EMPLOYEES[[#This Row],[MANAGER]],L_EMPLABELS,0))</f>
        <v/>
      </c>
      <c r="AO467">
        <f>IF(T_EMPLOYEES[[#This Row],[EMPLOYEE NUMBER]]="","",IF(T_EMPLOYEES[[#This Row],[ERROR]]="",0,1))</f>
        <v/>
      </c>
      <c r="AP46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8">
      <c r="A468" t="inlineStr">
        <is>
          <t>Shrushti</t>
        </is>
      </c>
      <c r="B468" t="inlineStr">
        <is>
          <t>Manisekar</t>
        </is>
      </c>
      <c r="C468" t="n">
        <v>1028029</v>
      </c>
      <c r="D468" t="inlineStr">
        <is>
          <t>Shrushti.Manisekar@infinite.com</t>
        </is>
      </c>
      <c r="E468" s="26" t="n">
        <v>36520</v>
      </c>
      <c r="F468" s="26" t="n">
        <v>44574</v>
      </c>
      <c r="H468" t="inlineStr">
        <is>
          <t>Female</t>
        </is>
      </c>
      <c r="I468" t="inlineStr">
        <is>
          <t>Asian</t>
        </is>
      </c>
      <c r="J468" t="inlineStr">
        <is>
          <t>WEBSITE</t>
        </is>
      </c>
      <c r="K468" t="inlineStr">
        <is>
          <t>Bangalore</t>
        </is>
      </c>
      <c r="L468" s="27" t="inlineStr">
        <is>
          <t>Core</t>
        </is>
      </c>
      <c r="M468" t="inlineStr">
        <is>
          <t>Full-Time</t>
        </is>
      </c>
      <c r="N468" t="inlineStr">
        <is>
          <t>Software Engineer</t>
        </is>
      </c>
      <c r="O468" t="inlineStr">
        <is>
          <t>E2</t>
        </is>
      </c>
      <c r="P468" t="inlineStr">
        <is>
          <t>Software Engineer</t>
        </is>
      </c>
      <c r="Q468" t="inlineStr">
        <is>
          <t>Anil Kumar Khamari (1013201)</t>
        </is>
      </c>
      <c r="R468" s="27" t="n">
        <v>4</v>
      </c>
      <c r="S468" s="1" t="n">
        <v>1200000</v>
      </c>
      <c r="T468" s="1">
        <f>ROUND(T_EMPLOYEES[[#This Row],[EMP_CTC1]]/12, 0)</f>
        <v/>
      </c>
      <c r="U468" s="1" t="n">
        <v>1000000</v>
      </c>
      <c r="V468" s="1" t="inlineStr">
        <is>
          <t>AK</t>
        </is>
      </c>
      <c r="W468" s="1" t="inlineStr">
        <is>
          <t>AK</t>
        </is>
      </c>
      <c r="X46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8" t="n">
        <v>120000</v>
      </c>
      <c r="Z468" s="29">
        <f>(S468 - U468)/S468 * 100</f>
        <v/>
      </c>
      <c r="AA468">
        <f>IF(T_EMPLOYEES[[#This Row],[EMPLOYEE NUMBER]]="","",ROW(T_EMPLOYEES[[#This Row],[EMPLOYEE LABEL]])-ROW(T_EMPLOYEES[[#Headers],[EMPLOYEE LABEL]]))</f>
        <v/>
      </c>
      <c r="AB468">
        <f>IF(T_EMPLOYEES[[#This Row],[EMPLOYEE NUMBER]]="","",IF(COUNTIF(T_EMPLOYEES[EMPLOYEE NUMBER],T_EMPLOYEES[[#This Row],[EMPLOYEE NUMBER]])&gt;1,1,0))</f>
        <v/>
      </c>
      <c r="AC468">
        <f>IF(T_EMPLOYEES[[#This Row],[EMPLOYEE NUMBER]]="","",IF(AND(T_EMPLOYEES[[#This Row],[DATE OF BIRTH]]&gt;0,T_EMPLOYEES[[#This Row],[DATE OF BIRTH]]&lt;TODAY()),0,1))</f>
        <v/>
      </c>
      <c r="AD468">
        <f>IF(T_EMPLOYEES[[#This Row],[EMPLOYEE NUMBER]]="","",IF(AND(T_EMPLOYEES[[#This Row],[START DATE]]&gt;0,T_EMPLOYEES[[#This Row],[START DATE]]&lt;TODAY()+60),0,1))</f>
        <v/>
      </c>
      <c r="AE468">
        <f>IF(T_EMPLOYEES[[#This Row],[EMPLOYEE NUMBER]]="","",MATCH(T_EMPLOYEES[[#This Row],[GENDER]],L_GENDER,0))</f>
        <v/>
      </c>
      <c r="AF468">
        <f>IF(T_EMPLOYEES[[#This Row],[EMPLOYEE NUMBER]]="","",MATCH(T_EMPLOYEES[[#This Row],[HIRE SOURCE]],L_HIRESOURCE,0))</f>
        <v/>
      </c>
      <c r="AG468">
        <f>IF(T_EMPLOYEES[[#This Row],[EMPLOYEE NUMBER]]="","",MATCH(T_EMPLOYEES[[#This Row],[ETHNICITY]],L_ETHNICITY,0))</f>
        <v/>
      </c>
      <c r="AH468">
        <f>IF(T_EMPLOYEES[[#This Row],[EMPLOYEE NUMBER]]="","",MATCH(T_EMPLOYEES[[#This Row],[LOCATION]],L_LOCATION,0))</f>
        <v/>
      </c>
      <c r="AI468">
        <f>IF(T_EMPLOYEES[[#This Row],[EMPLOYEE NUMBER]]="","",MATCH(T_EMPLOYEES[[#This Row],[DEPARTMENT]],L_DEPARTMENT,0))</f>
        <v/>
      </c>
      <c r="AJ468">
        <f>IF(T_EMPLOYEES[[#This Row],[EMPLOYEE NUMBER]]="","",MATCH(T_EMPLOYEES[[#This Row],[JOB TYPE]],L_JOBTYPE,0))</f>
        <v/>
      </c>
      <c r="AK468">
        <f>IF(T_EMPLOYEES[[#This Row],[EMPLOYEE NUMBER]]="","",MATCH(T_EMPLOYEES[[#This Row],[JOB CATEGORY]],L_JOBCATEGORY,0))</f>
        <v/>
      </c>
      <c r="AL468">
        <f>IF(T_EMPLOYEES[[#This Row],[EMPLOYEE NUMBER]]="","",MATCH(T_EMPLOYEES[[#This Row],[JOB LEVEL]],L_JOBLEVEL,0))</f>
        <v/>
      </c>
      <c r="AM468">
        <f>IF(T_EMPLOYEES[[#This Row],[EMPLOYEE NUMBER]]="","",MATCH(T_EMPLOYEES[[#This Row],[JOB TITLE]],L_JOBTITLE,0))</f>
        <v/>
      </c>
      <c r="AN468">
        <f>IF(T_EMPLOYEES[[#This Row],[EMPLOYEE NUMBER]]="","",MATCH(T_EMPLOYEES[[#This Row],[MANAGER]],L_EMPLABELS,0))</f>
        <v/>
      </c>
      <c r="AO468">
        <f>IF(T_EMPLOYEES[[#This Row],[EMPLOYEE NUMBER]]="","",IF(T_EMPLOYEES[[#This Row],[ERROR]]="",0,1))</f>
        <v/>
      </c>
      <c r="AP46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69">
      <c r="A469" t="inlineStr">
        <is>
          <t>Akash</t>
        </is>
      </c>
      <c r="B469" t="inlineStr">
        <is>
          <t>S Tonse</t>
        </is>
      </c>
      <c r="C469" t="n">
        <v>1026160</v>
      </c>
      <c r="D469" t="inlineStr">
        <is>
          <t>Akash.Tonse@infinite.com</t>
        </is>
      </c>
      <c r="E469" s="26" t="n">
        <v>36521</v>
      </c>
      <c r="F469" s="26" t="n">
        <v>44425</v>
      </c>
      <c r="H469" t="inlineStr">
        <is>
          <t>Male</t>
        </is>
      </c>
      <c r="I469" t="inlineStr">
        <is>
          <t>Asian</t>
        </is>
      </c>
      <c r="J469" t="inlineStr">
        <is>
          <t>WEBSITE</t>
        </is>
      </c>
      <c r="K469" t="inlineStr">
        <is>
          <t>Bangalore</t>
        </is>
      </c>
      <c r="L469" s="27" t="inlineStr">
        <is>
          <t>IT</t>
        </is>
      </c>
      <c r="M469" t="inlineStr">
        <is>
          <t>Full-Time</t>
        </is>
      </c>
      <c r="N469" t="inlineStr">
        <is>
          <t>Software Engineer</t>
        </is>
      </c>
      <c r="O469" t="inlineStr">
        <is>
          <t>E2</t>
        </is>
      </c>
      <c r="P469" t="inlineStr">
        <is>
          <t>Software Engineer</t>
        </is>
      </c>
      <c r="Q469" t="inlineStr">
        <is>
          <t>Sunduru Arun  Jayant (1031825)</t>
        </is>
      </c>
      <c r="R469" t="n">
        <v>4</v>
      </c>
      <c r="S469" s="1" t="n">
        <v>1200000</v>
      </c>
      <c r="T469" s="1">
        <f>ROUND(T_EMPLOYEES[[#This Row],[EMP_CTC1]]/12, 0)</f>
        <v/>
      </c>
      <c r="U469" s="1" t="n">
        <v>1000000</v>
      </c>
      <c r="V469" s="1" t="inlineStr">
        <is>
          <t>AK</t>
        </is>
      </c>
      <c r="W469" s="1" t="inlineStr">
        <is>
          <t>AK</t>
        </is>
      </c>
      <c r="X46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69" t="n">
        <v>120000</v>
      </c>
      <c r="Z469" s="29">
        <f>(S469 - U469)/S469 * 100</f>
        <v/>
      </c>
      <c r="AA469">
        <f>IF(T_EMPLOYEES[[#This Row],[EMPLOYEE NUMBER]]="","",ROW(T_EMPLOYEES[[#This Row],[EMPLOYEE LABEL]])-ROW(T_EMPLOYEES[[#Headers],[EMPLOYEE LABEL]]))</f>
        <v/>
      </c>
      <c r="AB469">
        <f>IF(T_EMPLOYEES[[#This Row],[EMPLOYEE NUMBER]]="","",IF(COUNTIF(T_EMPLOYEES[EMPLOYEE NUMBER],T_EMPLOYEES[[#This Row],[EMPLOYEE NUMBER]])&gt;1,1,0))</f>
        <v/>
      </c>
      <c r="AC469">
        <f>IF(T_EMPLOYEES[[#This Row],[EMPLOYEE NUMBER]]="","",IF(AND(T_EMPLOYEES[[#This Row],[DATE OF BIRTH]]&gt;0,T_EMPLOYEES[[#This Row],[DATE OF BIRTH]]&lt;TODAY()),0,1))</f>
        <v/>
      </c>
      <c r="AD469">
        <f>IF(T_EMPLOYEES[[#This Row],[EMPLOYEE NUMBER]]="","",IF(AND(T_EMPLOYEES[[#This Row],[START DATE]]&gt;0,T_EMPLOYEES[[#This Row],[START DATE]]&lt;TODAY()+60),0,1))</f>
        <v/>
      </c>
      <c r="AE469">
        <f>IF(T_EMPLOYEES[[#This Row],[EMPLOYEE NUMBER]]="","",MATCH(T_EMPLOYEES[[#This Row],[GENDER]],L_GENDER,0))</f>
        <v/>
      </c>
      <c r="AF469">
        <f>IF(T_EMPLOYEES[[#This Row],[EMPLOYEE NUMBER]]="","",MATCH(T_EMPLOYEES[[#This Row],[HIRE SOURCE]],L_HIRESOURCE,0))</f>
        <v/>
      </c>
      <c r="AG469">
        <f>IF(T_EMPLOYEES[[#This Row],[EMPLOYEE NUMBER]]="","",MATCH(T_EMPLOYEES[[#This Row],[ETHNICITY]],L_ETHNICITY,0))</f>
        <v/>
      </c>
      <c r="AH469">
        <f>IF(T_EMPLOYEES[[#This Row],[EMPLOYEE NUMBER]]="","",MATCH(T_EMPLOYEES[[#This Row],[LOCATION]],L_LOCATION,0))</f>
        <v/>
      </c>
      <c r="AI469">
        <f>IF(T_EMPLOYEES[[#This Row],[EMPLOYEE NUMBER]]="","",MATCH(T_EMPLOYEES[[#This Row],[DEPARTMENT]],L_DEPARTMENT,0))</f>
        <v/>
      </c>
      <c r="AJ469">
        <f>IF(T_EMPLOYEES[[#This Row],[EMPLOYEE NUMBER]]="","",MATCH(T_EMPLOYEES[[#This Row],[JOB TYPE]],L_JOBTYPE,0))</f>
        <v/>
      </c>
      <c r="AK469">
        <f>IF(T_EMPLOYEES[[#This Row],[EMPLOYEE NUMBER]]="","",MATCH(T_EMPLOYEES[[#This Row],[JOB CATEGORY]],L_JOBCATEGORY,0))</f>
        <v/>
      </c>
      <c r="AL469">
        <f>IF(T_EMPLOYEES[[#This Row],[EMPLOYEE NUMBER]]="","",MATCH(T_EMPLOYEES[[#This Row],[JOB LEVEL]],L_JOBLEVEL,0))</f>
        <v/>
      </c>
      <c r="AM469">
        <f>IF(T_EMPLOYEES[[#This Row],[EMPLOYEE NUMBER]]="","",MATCH(T_EMPLOYEES[[#This Row],[JOB TITLE]],L_JOBTITLE,0))</f>
        <v/>
      </c>
      <c r="AN469">
        <f>IF(T_EMPLOYEES[[#This Row],[EMPLOYEE NUMBER]]="","",MATCH(T_EMPLOYEES[[#This Row],[MANAGER]],L_EMPLABELS,0))</f>
        <v/>
      </c>
      <c r="AO469">
        <f>IF(T_EMPLOYEES[[#This Row],[EMPLOYEE NUMBER]]="","",IF(T_EMPLOYEES[[#This Row],[ERROR]]="",0,1))</f>
        <v/>
      </c>
      <c r="AP46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0">
      <c r="A470" t="inlineStr">
        <is>
          <t>P</t>
        </is>
      </c>
      <c r="B470" t="inlineStr">
        <is>
          <t>Thulasi</t>
        </is>
      </c>
      <c r="C470" t="n">
        <v>1026938</v>
      </c>
      <c r="D470" t="inlineStr">
        <is>
          <t>Polavaram.Thulasi@infinite.com</t>
        </is>
      </c>
      <c r="E470" s="26" t="n">
        <v>36526</v>
      </c>
      <c r="F470" s="26" t="n">
        <v>44491</v>
      </c>
      <c r="H470" t="inlineStr">
        <is>
          <t>Male</t>
        </is>
      </c>
      <c r="I470" t="inlineStr">
        <is>
          <t>Asian</t>
        </is>
      </c>
      <c r="J470" t="inlineStr">
        <is>
          <t>WEBSITE</t>
        </is>
      </c>
      <c r="K470" t="inlineStr">
        <is>
          <t>Bangalore</t>
        </is>
      </c>
      <c r="L470" s="27" t="inlineStr">
        <is>
          <t>IT</t>
        </is>
      </c>
      <c r="M470" t="inlineStr">
        <is>
          <t>Full-Time</t>
        </is>
      </c>
      <c r="N470" t="inlineStr">
        <is>
          <t>Software Test Engineer</t>
        </is>
      </c>
      <c r="O470" t="inlineStr">
        <is>
          <t>E2</t>
        </is>
      </c>
      <c r="P470" t="inlineStr">
        <is>
          <t>Software Test Engineer</t>
        </is>
      </c>
      <c r="Q470" t="inlineStr">
        <is>
          <t>J S S  Vardhan (1020135)</t>
        </is>
      </c>
      <c r="R470" s="27" t="n">
        <v>4</v>
      </c>
      <c r="S470" s="1" t="n">
        <v>1200000</v>
      </c>
      <c r="T470" s="1">
        <f>ROUND(T_EMPLOYEES[[#This Row],[EMP_CTC1]]/12, 0)</f>
        <v/>
      </c>
      <c r="U470" s="1" t="n">
        <v>1000000</v>
      </c>
      <c r="V470" s="1" t="inlineStr">
        <is>
          <t>AK</t>
        </is>
      </c>
      <c r="W470" s="1" t="inlineStr">
        <is>
          <t>AK</t>
        </is>
      </c>
      <c r="X47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0" t="n">
        <v>120000</v>
      </c>
      <c r="Z470" s="29">
        <f>(S470 - U470)/S470 * 100</f>
        <v/>
      </c>
      <c r="AA470">
        <f>IF(T_EMPLOYEES[[#This Row],[EMPLOYEE NUMBER]]="","",ROW(T_EMPLOYEES[[#This Row],[EMPLOYEE LABEL]])-ROW(T_EMPLOYEES[[#Headers],[EMPLOYEE LABEL]]))</f>
        <v/>
      </c>
      <c r="AB470">
        <f>IF(T_EMPLOYEES[[#This Row],[EMPLOYEE NUMBER]]="","",IF(COUNTIF(T_EMPLOYEES[EMPLOYEE NUMBER],T_EMPLOYEES[[#This Row],[EMPLOYEE NUMBER]])&gt;1,1,0))</f>
        <v/>
      </c>
      <c r="AC470">
        <f>IF(T_EMPLOYEES[[#This Row],[EMPLOYEE NUMBER]]="","",IF(AND(T_EMPLOYEES[[#This Row],[DATE OF BIRTH]]&gt;0,T_EMPLOYEES[[#This Row],[DATE OF BIRTH]]&lt;TODAY()),0,1))</f>
        <v/>
      </c>
      <c r="AD470">
        <f>IF(T_EMPLOYEES[[#This Row],[EMPLOYEE NUMBER]]="","",IF(AND(T_EMPLOYEES[[#This Row],[START DATE]]&gt;0,T_EMPLOYEES[[#This Row],[START DATE]]&lt;TODAY()+60),0,1))</f>
        <v/>
      </c>
      <c r="AE470">
        <f>IF(T_EMPLOYEES[[#This Row],[EMPLOYEE NUMBER]]="","",MATCH(T_EMPLOYEES[[#This Row],[GENDER]],L_GENDER,0))</f>
        <v/>
      </c>
      <c r="AF470">
        <f>IF(T_EMPLOYEES[[#This Row],[EMPLOYEE NUMBER]]="","",MATCH(T_EMPLOYEES[[#This Row],[HIRE SOURCE]],L_HIRESOURCE,0))</f>
        <v/>
      </c>
      <c r="AG470">
        <f>IF(T_EMPLOYEES[[#This Row],[EMPLOYEE NUMBER]]="","",MATCH(T_EMPLOYEES[[#This Row],[ETHNICITY]],L_ETHNICITY,0))</f>
        <v/>
      </c>
      <c r="AH470">
        <f>IF(T_EMPLOYEES[[#This Row],[EMPLOYEE NUMBER]]="","",MATCH(T_EMPLOYEES[[#This Row],[LOCATION]],L_LOCATION,0))</f>
        <v/>
      </c>
      <c r="AI470">
        <f>IF(T_EMPLOYEES[[#This Row],[EMPLOYEE NUMBER]]="","",MATCH(T_EMPLOYEES[[#This Row],[DEPARTMENT]],L_DEPARTMENT,0))</f>
        <v/>
      </c>
      <c r="AJ470">
        <f>IF(T_EMPLOYEES[[#This Row],[EMPLOYEE NUMBER]]="","",MATCH(T_EMPLOYEES[[#This Row],[JOB TYPE]],L_JOBTYPE,0))</f>
        <v/>
      </c>
      <c r="AK470">
        <f>IF(T_EMPLOYEES[[#This Row],[EMPLOYEE NUMBER]]="","",MATCH(T_EMPLOYEES[[#This Row],[JOB CATEGORY]],L_JOBCATEGORY,0))</f>
        <v/>
      </c>
      <c r="AL470">
        <f>IF(T_EMPLOYEES[[#This Row],[EMPLOYEE NUMBER]]="","",MATCH(T_EMPLOYEES[[#This Row],[JOB LEVEL]],L_JOBLEVEL,0))</f>
        <v/>
      </c>
      <c r="AM470">
        <f>IF(T_EMPLOYEES[[#This Row],[EMPLOYEE NUMBER]]="","",MATCH(T_EMPLOYEES[[#This Row],[JOB TITLE]],L_JOBTITLE,0))</f>
        <v/>
      </c>
      <c r="AN470">
        <f>IF(T_EMPLOYEES[[#This Row],[EMPLOYEE NUMBER]]="","",MATCH(T_EMPLOYEES[[#This Row],[MANAGER]],L_EMPLABELS,0))</f>
        <v/>
      </c>
      <c r="AO470">
        <f>IF(T_EMPLOYEES[[#This Row],[EMPLOYEE NUMBER]]="","",IF(T_EMPLOYEES[[#This Row],[ERROR]]="",0,1))</f>
        <v/>
      </c>
      <c r="AP47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1">
      <c r="A471" t="inlineStr">
        <is>
          <t>Kavuri</t>
        </is>
      </c>
      <c r="B471" t="inlineStr">
        <is>
          <t>Pavani</t>
        </is>
      </c>
      <c r="C471" t="n">
        <v>1030245</v>
      </c>
      <c r="D471" t="inlineStr">
        <is>
          <t>Kavuri.Pavani@infinite.com</t>
        </is>
      </c>
      <c r="E471" s="26" t="n">
        <v>36526</v>
      </c>
      <c r="F471" s="26" t="n">
        <v>44819</v>
      </c>
      <c r="H471" t="inlineStr">
        <is>
          <t>Female</t>
        </is>
      </c>
      <c r="I471" t="inlineStr">
        <is>
          <t>Asian</t>
        </is>
      </c>
      <c r="J471" t="inlineStr">
        <is>
          <t>WEBSITE</t>
        </is>
      </c>
      <c r="K471" t="inlineStr">
        <is>
          <t>Bangalore</t>
        </is>
      </c>
      <c r="L471" s="27" t="inlineStr">
        <is>
          <t>Core</t>
        </is>
      </c>
      <c r="M471" t="inlineStr">
        <is>
          <t>Full-Time</t>
        </is>
      </c>
      <c r="N471" t="inlineStr">
        <is>
          <t>Associate Software Engineer</t>
        </is>
      </c>
      <c r="O471" t="inlineStr">
        <is>
          <t>E1</t>
        </is>
      </c>
      <c r="P471" t="inlineStr">
        <is>
          <t>Associate Software Engineer</t>
        </is>
      </c>
      <c r="Q471" t="inlineStr">
        <is>
          <t>Dipakbhai Motibhai Tandel (1027230)</t>
        </is>
      </c>
      <c r="R471" t="n">
        <v>0</v>
      </c>
      <c r="S471" s="1" t="n">
        <v>1200000</v>
      </c>
      <c r="T471" s="1">
        <f>ROUND(T_EMPLOYEES[[#This Row],[EMP_CTC1]]/12, 0)</f>
        <v/>
      </c>
      <c r="U471" s="1" t="n">
        <v>1000000</v>
      </c>
      <c r="V471" s="1" t="inlineStr">
        <is>
          <t>AK</t>
        </is>
      </c>
      <c r="W471" s="1" t="inlineStr">
        <is>
          <t>AK</t>
        </is>
      </c>
      <c r="X47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1" t="n">
        <v>120000</v>
      </c>
      <c r="Z471" s="29">
        <f>(S471 - U471)/S471 * 100</f>
        <v/>
      </c>
      <c r="AA471">
        <f>IF(T_EMPLOYEES[[#This Row],[EMPLOYEE NUMBER]]="","",ROW(T_EMPLOYEES[[#This Row],[EMPLOYEE LABEL]])-ROW(T_EMPLOYEES[[#Headers],[EMPLOYEE LABEL]]))</f>
        <v/>
      </c>
      <c r="AB471">
        <f>IF(T_EMPLOYEES[[#This Row],[EMPLOYEE NUMBER]]="","",IF(COUNTIF(T_EMPLOYEES[EMPLOYEE NUMBER],T_EMPLOYEES[[#This Row],[EMPLOYEE NUMBER]])&gt;1,1,0))</f>
        <v/>
      </c>
      <c r="AC471">
        <f>IF(T_EMPLOYEES[[#This Row],[EMPLOYEE NUMBER]]="","",IF(AND(T_EMPLOYEES[[#This Row],[DATE OF BIRTH]]&gt;0,T_EMPLOYEES[[#This Row],[DATE OF BIRTH]]&lt;TODAY()),0,1))</f>
        <v/>
      </c>
      <c r="AD471">
        <f>IF(T_EMPLOYEES[[#This Row],[EMPLOYEE NUMBER]]="","",IF(AND(T_EMPLOYEES[[#This Row],[START DATE]]&gt;0,T_EMPLOYEES[[#This Row],[START DATE]]&lt;TODAY()+60),0,1))</f>
        <v/>
      </c>
      <c r="AE471">
        <f>IF(T_EMPLOYEES[[#This Row],[EMPLOYEE NUMBER]]="","",MATCH(T_EMPLOYEES[[#This Row],[GENDER]],L_GENDER,0))</f>
        <v/>
      </c>
      <c r="AF471">
        <f>IF(T_EMPLOYEES[[#This Row],[EMPLOYEE NUMBER]]="","",MATCH(T_EMPLOYEES[[#This Row],[HIRE SOURCE]],L_HIRESOURCE,0))</f>
        <v/>
      </c>
      <c r="AG471">
        <f>IF(T_EMPLOYEES[[#This Row],[EMPLOYEE NUMBER]]="","",MATCH(T_EMPLOYEES[[#This Row],[ETHNICITY]],L_ETHNICITY,0))</f>
        <v/>
      </c>
      <c r="AH471">
        <f>IF(T_EMPLOYEES[[#This Row],[EMPLOYEE NUMBER]]="","",MATCH(T_EMPLOYEES[[#This Row],[LOCATION]],L_LOCATION,0))</f>
        <v/>
      </c>
      <c r="AI471">
        <f>IF(T_EMPLOYEES[[#This Row],[EMPLOYEE NUMBER]]="","",MATCH(T_EMPLOYEES[[#This Row],[DEPARTMENT]],L_DEPARTMENT,0))</f>
        <v/>
      </c>
      <c r="AJ471">
        <f>IF(T_EMPLOYEES[[#This Row],[EMPLOYEE NUMBER]]="","",MATCH(T_EMPLOYEES[[#This Row],[JOB TYPE]],L_JOBTYPE,0))</f>
        <v/>
      </c>
      <c r="AK471">
        <f>IF(T_EMPLOYEES[[#This Row],[EMPLOYEE NUMBER]]="","",MATCH(T_EMPLOYEES[[#This Row],[JOB CATEGORY]],L_JOBCATEGORY,0))</f>
        <v/>
      </c>
      <c r="AL471">
        <f>IF(T_EMPLOYEES[[#This Row],[EMPLOYEE NUMBER]]="","",MATCH(T_EMPLOYEES[[#This Row],[JOB LEVEL]],L_JOBLEVEL,0))</f>
        <v/>
      </c>
      <c r="AM471">
        <f>IF(T_EMPLOYEES[[#This Row],[EMPLOYEE NUMBER]]="","",MATCH(T_EMPLOYEES[[#This Row],[JOB TITLE]],L_JOBTITLE,0))</f>
        <v/>
      </c>
      <c r="AN471">
        <f>IF(T_EMPLOYEES[[#This Row],[EMPLOYEE NUMBER]]="","",MATCH(T_EMPLOYEES[[#This Row],[MANAGER]],L_EMPLABELS,0))</f>
        <v/>
      </c>
      <c r="AO471">
        <f>IF(T_EMPLOYEES[[#This Row],[EMPLOYEE NUMBER]]="","",IF(T_EMPLOYEES[[#This Row],[ERROR]]="",0,1))</f>
        <v/>
      </c>
      <c r="AP47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2">
      <c r="A472" t="inlineStr">
        <is>
          <t>Sreenath</t>
        </is>
      </c>
      <c r="B472" t="inlineStr">
        <is>
          <t xml:space="preserve"> M S</t>
        </is>
      </c>
      <c r="C472" t="n">
        <v>1027419</v>
      </c>
      <c r="D472" t="inlineStr">
        <is>
          <t>Sreenath.Sivadasan@infinite.com</t>
        </is>
      </c>
      <c r="E472" s="26" t="n">
        <v>36533</v>
      </c>
      <c r="F472" s="26" t="n">
        <v>44531</v>
      </c>
      <c r="H472" t="inlineStr">
        <is>
          <t>Male</t>
        </is>
      </c>
      <c r="I472" t="inlineStr">
        <is>
          <t>Asian</t>
        </is>
      </c>
      <c r="J472" t="inlineStr">
        <is>
          <t>WEBSITE</t>
        </is>
      </c>
      <c r="K472" t="inlineStr">
        <is>
          <t>Bangalore</t>
        </is>
      </c>
      <c r="L472" s="27" t="inlineStr">
        <is>
          <t>Core</t>
        </is>
      </c>
      <c r="M472" t="inlineStr">
        <is>
          <t>Full-Time</t>
        </is>
      </c>
      <c r="N472" t="inlineStr">
        <is>
          <t>Software Engineer</t>
        </is>
      </c>
      <c r="O472" t="inlineStr">
        <is>
          <t>E2</t>
        </is>
      </c>
      <c r="P472" t="inlineStr">
        <is>
          <t>Software Engineer</t>
        </is>
      </c>
      <c r="Q472" t="inlineStr">
        <is>
          <t>Kishore Kumar N (1019765)</t>
        </is>
      </c>
      <c r="R472" s="27" t="n">
        <v>4</v>
      </c>
      <c r="S472" s="1" t="n">
        <v>1200000</v>
      </c>
      <c r="T472" s="1">
        <f>ROUND(T_EMPLOYEES[[#This Row],[EMP_CTC1]]/12, 0)</f>
        <v/>
      </c>
      <c r="U472" s="1" t="n">
        <v>1000000</v>
      </c>
      <c r="V472" s="1" t="inlineStr">
        <is>
          <t>AK</t>
        </is>
      </c>
      <c r="W472" s="1" t="inlineStr">
        <is>
          <t>AK</t>
        </is>
      </c>
      <c r="X47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2" t="n">
        <v>120000</v>
      </c>
      <c r="Z472" s="29">
        <f>(S472 - U472)/S472 * 100</f>
        <v/>
      </c>
      <c r="AA472">
        <f>IF(T_EMPLOYEES[[#This Row],[EMPLOYEE NUMBER]]="","",ROW(T_EMPLOYEES[[#This Row],[EMPLOYEE LABEL]])-ROW(T_EMPLOYEES[[#Headers],[EMPLOYEE LABEL]]))</f>
        <v/>
      </c>
      <c r="AB472">
        <f>IF(T_EMPLOYEES[[#This Row],[EMPLOYEE NUMBER]]="","",IF(COUNTIF(T_EMPLOYEES[EMPLOYEE NUMBER],T_EMPLOYEES[[#This Row],[EMPLOYEE NUMBER]])&gt;1,1,0))</f>
        <v/>
      </c>
      <c r="AC472">
        <f>IF(T_EMPLOYEES[[#This Row],[EMPLOYEE NUMBER]]="","",IF(AND(T_EMPLOYEES[[#This Row],[DATE OF BIRTH]]&gt;0,T_EMPLOYEES[[#This Row],[DATE OF BIRTH]]&lt;TODAY()),0,1))</f>
        <v/>
      </c>
      <c r="AD472">
        <f>IF(T_EMPLOYEES[[#This Row],[EMPLOYEE NUMBER]]="","",IF(AND(T_EMPLOYEES[[#This Row],[START DATE]]&gt;0,T_EMPLOYEES[[#This Row],[START DATE]]&lt;TODAY()+60),0,1))</f>
        <v/>
      </c>
      <c r="AE472">
        <f>IF(T_EMPLOYEES[[#This Row],[EMPLOYEE NUMBER]]="","",MATCH(T_EMPLOYEES[[#This Row],[GENDER]],L_GENDER,0))</f>
        <v/>
      </c>
      <c r="AF472">
        <f>IF(T_EMPLOYEES[[#This Row],[EMPLOYEE NUMBER]]="","",MATCH(T_EMPLOYEES[[#This Row],[HIRE SOURCE]],L_HIRESOURCE,0))</f>
        <v/>
      </c>
      <c r="AG472">
        <f>IF(T_EMPLOYEES[[#This Row],[EMPLOYEE NUMBER]]="","",MATCH(T_EMPLOYEES[[#This Row],[ETHNICITY]],L_ETHNICITY,0))</f>
        <v/>
      </c>
      <c r="AH472">
        <f>IF(T_EMPLOYEES[[#This Row],[EMPLOYEE NUMBER]]="","",MATCH(T_EMPLOYEES[[#This Row],[LOCATION]],L_LOCATION,0))</f>
        <v/>
      </c>
      <c r="AI472">
        <f>IF(T_EMPLOYEES[[#This Row],[EMPLOYEE NUMBER]]="","",MATCH(T_EMPLOYEES[[#This Row],[DEPARTMENT]],L_DEPARTMENT,0))</f>
        <v/>
      </c>
      <c r="AJ472">
        <f>IF(T_EMPLOYEES[[#This Row],[EMPLOYEE NUMBER]]="","",MATCH(T_EMPLOYEES[[#This Row],[JOB TYPE]],L_JOBTYPE,0))</f>
        <v/>
      </c>
      <c r="AK472">
        <f>IF(T_EMPLOYEES[[#This Row],[EMPLOYEE NUMBER]]="","",MATCH(T_EMPLOYEES[[#This Row],[JOB CATEGORY]],L_JOBCATEGORY,0))</f>
        <v/>
      </c>
      <c r="AL472">
        <f>IF(T_EMPLOYEES[[#This Row],[EMPLOYEE NUMBER]]="","",MATCH(T_EMPLOYEES[[#This Row],[JOB LEVEL]],L_JOBLEVEL,0))</f>
        <v/>
      </c>
      <c r="AM472">
        <f>IF(T_EMPLOYEES[[#This Row],[EMPLOYEE NUMBER]]="","",MATCH(T_EMPLOYEES[[#This Row],[JOB TITLE]],L_JOBTITLE,0))</f>
        <v/>
      </c>
      <c r="AN472">
        <f>IF(T_EMPLOYEES[[#This Row],[EMPLOYEE NUMBER]]="","",MATCH(T_EMPLOYEES[[#This Row],[MANAGER]],L_EMPLABELS,0))</f>
        <v/>
      </c>
      <c r="AO472">
        <f>IF(T_EMPLOYEES[[#This Row],[EMPLOYEE NUMBER]]="","",IF(T_EMPLOYEES[[#This Row],[ERROR]]="",0,1))</f>
        <v/>
      </c>
      <c r="AP47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3">
      <c r="A473" t="inlineStr">
        <is>
          <t>Akanksha</t>
        </is>
      </c>
      <c r="B473" t="inlineStr">
        <is>
          <t>Verma</t>
        </is>
      </c>
      <c r="C473" t="n">
        <v>1033210</v>
      </c>
      <c r="D473" t="inlineStr">
        <is>
          <t>Akanksha.Verma@infinite.com</t>
        </is>
      </c>
      <c r="E473" s="26" t="n">
        <v>36552</v>
      </c>
      <c r="F473" s="26" t="n">
        <v>45155</v>
      </c>
      <c r="H473" t="inlineStr">
        <is>
          <t>Female</t>
        </is>
      </c>
      <c r="I473" t="inlineStr">
        <is>
          <t>Asian</t>
        </is>
      </c>
      <c r="J473" t="inlineStr">
        <is>
          <t>WEBSITE</t>
        </is>
      </c>
      <c r="K473" t="inlineStr">
        <is>
          <t>Bangalore</t>
        </is>
      </c>
      <c r="L473" s="27" t="inlineStr">
        <is>
          <t>Core</t>
        </is>
      </c>
      <c r="M473" t="inlineStr">
        <is>
          <t>Full-Time</t>
        </is>
      </c>
      <c r="N473" t="inlineStr">
        <is>
          <t>Associate Software Engineer</t>
        </is>
      </c>
      <c r="O473" t="inlineStr">
        <is>
          <t>E1</t>
        </is>
      </c>
      <c r="P473" t="inlineStr">
        <is>
          <t>Associate Software Engineer</t>
        </is>
      </c>
      <c r="Q473" t="inlineStr">
        <is>
          <t>Anil Kumar Khamari (1013201)</t>
        </is>
      </c>
      <c r="R473" t="n">
        <v>0</v>
      </c>
      <c r="S473" s="1" t="n">
        <v>1200000</v>
      </c>
      <c r="T473" s="1">
        <f>ROUND(T_EMPLOYEES[[#This Row],[EMP_CTC1]]/12, 0)</f>
        <v/>
      </c>
      <c r="U473" s="1" t="n">
        <v>1000000</v>
      </c>
      <c r="V473" s="1" t="inlineStr">
        <is>
          <t>ND</t>
        </is>
      </c>
      <c r="W473" s="1" t="inlineStr">
        <is>
          <t>ND</t>
        </is>
      </c>
      <c r="X47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3" t="n">
        <v>120000</v>
      </c>
      <c r="Z473" s="29">
        <f>(S473 - U473)/S473 * 100</f>
        <v/>
      </c>
      <c r="AA473">
        <f>IF(T_EMPLOYEES[[#This Row],[EMPLOYEE NUMBER]]="","",ROW(T_EMPLOYEES[[#This Row],[EMPLOYEE LABEL]])-ROW(T_EMPLOYEES[[#Headers],[EMPLOYEE LABEL]]))</f>
        <v/>
      </c>
      <c r="AB473">
        <f>IF(T_EMPLOYEES[[#This Row],[EMPLOYEE NUMBER]]="","",IF(COUNTIF(T_EMPLOYEES[EMPLOYEE NUMBER],T_EMPLOYEES[[#This Row],[EMPLOYEE NUMBER]])&gt;1,1,0))</f>
        <v/>
      </c>
      <c r="AC473">
        <f>IF(T_EMPLOYEES[[#This Row],[EMPLOYEE NUMBER]]="","",IF(AND(T_EMPLOYEES[[#This Row],[DATE OF BIRTH]]&gt;0,T_EMPLOYEES[[#This Row],[DATE OF BIRTH]]&lt;TODAY()),0,1))</f>
        <v/>
      </c>
      <c r="AD473">
        <f>IF(T_EMPLOYEES[[#This Row],[EMPLOYEE NUMBER]]="","",IF(AND(T_EMPLOYEES[[#This Row],[START DATE]]&gt;0,T_EMPLOYEES[[#This Row],[START DATE]]&lt;TODAY()+60),0,1))</f>
        <v/>
      </c>
      <c r="AE473">
        <f>IF(T_EMPLOYEES[[#This Row],[EMPLOYEE NUMBER]]="","",MATCH(T_EMPLOYEES[[#This Row],[GENDER]],L_GENDER,0))</f>
        <v/>
      </c>
      <c r="AF473">
        <f>IF(T_EMPLOYEES[[#This Row],[EMPLOYEE NUMBER]]="","",MATCH(T_EMPLOYEES[[#This Row],[HIRE SOURCE]],L_HIRESOURCE,0))</f>
        <v/>
      </c>
      <c r="AG473">
        <f>IF(T_EMPLOYEES[[#This Row],[EMPLOYEE NUMBER]]="","",MATCH(T_EMPLOYEES[[#This Row],[ETHNICITY]],L_ETHNICITY,0))</f>
        <v/>
      </c>
      <c r="AH473">
        <f>IF(T_EMPLOYEES[[#This Row],[EMPLOYEE NUMBER]]="","",MATCH(T_EMPLOYEES[[#This Row],[LOCATION]],L_LOCATION,0))</f>
        <v/>
      </c>
      <c r="AI473">
        <f>IF(T_EMPLOYEES[[#This Row],[EMPLOYEE NUMBER]]="","",MATCH(T_EMPLOYEES[[#This Row],[DEPARTMENT]],L_DEPARTMENT,0))</f>
        <v/>
      </c>
      <c r="AJ473">
        <f>IF(T_EMPLOYEES[[#This Row],[EMPLOYEE NUMBER]]="","",MATCH(T_EMPLOYEES[[#This Row],[JOB TYPE]],L_JOBTYPE,0))</f>
        <v/>
      </c>
      <c r="AK473">
        <f>IF(T_EMPLOYEES[[#This Row],[EMPLOYEE NUMBER]]="","",MATCH(T_EMPLOYEES[[#This Row],[JOB CATEGORY]],L_JOBCATEGORY,0))</f>
        <v/>
      </c>
      <c r="AL473">
        <f>IF(T_EMPLOYEES[[#This Row],[EMPLOYEE NUMBER]]="","",MATCH(T_EMPLOYEES[[#This Row],[JOB LEVEL]],L_JOBLEVEL,0))</f>
        <v/>
      </c>
      <c r="AM473">
        <f>IF(T_EMPLOYEES[[#This Row],[EMPLOYEE NUMBER]]="","",MATCH(T_EMPLOYEES[[#This Row],[JOB TITLE]],L_JOBTITLE,0))</f>
        <v/>
      </c>
      <c r="AN473">
        <f>IF(T_EMPLOYEES[[#This Row],[EMPLOYEE NUMBER]]="","",MATCH(T_EMPLOYEES[[#This Row],[MANAGER]],L_EMPLABELS,0))</f>
        <v/>
      </c>
      <c r="AO473">
        <f>IF(T_EMPLOYEES[[#This Row],[EMPLOYEE NUMBER]]="","",IF(T_EMPLOYEES[[#This Row],[ERROR]]="",0,1))</f>
        <v/>
      </c>
      <c r="AP47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4">
      <c r="A474" t="inlineStr">
        <is>
          <t>Konnagula</t>
        </is>
      </c>
      <c r="B474" t="inlineStr">
        <is>
          <t>Srikanth</t>
        </is>
      </c>
      <c r="C474" t="n">
        <v>1033247</v>
      </c>
      <c r="D474" t="inlineStr">
        <is>
          <t>Srikanth.Konnagula@infinite.com</t>
        </is>
      </c>
      <c r="E474" s="26" t="n">
        <v>36557</v>
      </c>
      <c r="F474" s="26" t="n">
        <v>45155</v>
      </c>
      <c r="H474" t="inlineStr">
        <is>
          <t>Male</t>
        </is>
      </c>
      <c r="I474" t="inlineStr">
        <is>
          <t>Asian</t>
        </is>
      </c>
      <c r="J474" t="inlineStr">
        <is>
          <t>WEBSITE</t>
        </is>
      </c>
      <c r="K474" t="inlineStr">
        <is>
          <t>Bangalore</t>
        </is>
      </c>
      <c r="L474" s="27" t="inlineStr">
        <is>
          <t>IT</t>
        </is>
      </c>
      <c r="M474" t="inlineStr">
        <is>
          <t>Full-Time</t>
        </is>
      </c>
      <c r="N474" t="inlineStr">
        <is>
          <t>Associate Software Engineer</t>
        </is>
      </c>
      <c r="O474" t="inlineStr">
        <is>
          <t>E1</t>
        </is>
      </c>
      <c r="P474" t="inlineStr">
        <is>
          <t>Associate Software Engineer</t>
        </is>
      </c>
      <c r="Q474" t="inlineStr">
        <is>
          <t>Anupam Lal (1033431)</t>
        </is>
      </c>
      <c r="R474" s="27" t="n">
        <v>0</v>
      </c>
      <c r="S474" s="1" t="n">
        <v>1200000</v>
      </c>
      <c r="T474" s="1">
        <f>ROUND(T_EMPLOYEES[[#This Row],[EMP_CTC1]]/12, 0)</f>
        <v/>
      </c>
      <c r="U474" s="1" t="n">
        <v>1000000</v>
      </c>
      <c r="V474" s="1" t="inlineStr">
        <is>
          <t>ND</t>
        </is>
      </c>
      <c r="W474" s="1" t="inlineStr">
        <is>
          <t>ND</t>
        </is>
      </c>
      <c r="X47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4" t="n">
        <v>120000</v>
      </c>
      <c r="Z474" s="29">
        <f>(S474 - U474)/S474 * 100</f>
        <v/>
      </c>
      <c r="AA474">
        <f>IF(T_EMPLOYEES[[#This Row],[EMPLOYEE NUMBER]]="","",ROW(T_EMPLOYEES[[#This Row],[EMPLOYEE LABEL]])-ROW(T_EMPLOYEES[[#Headers],[EMPLOYEE LABEL]]))</f>
        <v/>
      </c>
      <c r="AB474">
        <f>IF(T_EMPLOYEES[[#This Row],[EMPLOYEE NUMBER]]="","",IF(COUNTIF(T_EMPLOYEES[EMPLOYEE NUMBER],T_EMPLOYEES[[#This Row],[EMPLOYEE NUMBER]])&gt;1,1,0))</f>
        <v/>
      </c>
      <c r="AC474">
        <f>IF(T_EMPLOYEES[[#This Row],[EMPLOYEE NUMBER]]="","",IF(AND(T_EMPLOYEES[[#This Row],[DATE OF BIRTH]]&gt;0,T_EMPLOYEES[[#This Row],[DATE OF BIRTH]]&lt;TODAY()),0,1))</f>
        <v/>
      </c>
      <c r="AD474">
        <f>IF(T_EMPLOYEES[[#This Row],[EMPLOYEE NUMBER]]="","",IF(AND(T_EMPLOYEES[[#This Row],[START DATE]]&gt;0,T_EMPLOYEES[[#This Row],[START DATE]]&lt;TODAY()+60),0,1))</f>
        <v/>
      </c>
      <c r="AE474">
        <f>IF(T_EMPLOYEES[[#This Row],[EMPLOYEE NUMBER]]="","",MATCH(T_EMPLOYEES[[#This Row],[GENDER]],L_GENDER,0))</f>
        <v/>
      </c>
      <c r="AF474">
        <f>IF(T_EMPLOYEES[[#This Row],[EMPLOYEE NUMBER]]="","",MATCH(T_EMPLOYEES[[#This Row],[HIRE SOURCE]],L_HIRESOURCE,0))</f>
        <v/>
      </c>
      <c r="AG474">
        <f>IF(T_EMPLOYEES[[#This Row],[EMPLOYEE NUMBER]]="","",MATCH(T_EMPLOYEES[[#This Row],[ETHNICITY]],L_ETHNICITY,0))</f>
        <v/>
      </c>
      <c r="AH474">
        <f>IF(T_EMPLOYEES[[#This Row],[EMPLOYEE NUMBER]]="","",MATCH(T_EMPLOYEES[[#This Row],[LOCATION]],L_LOCATION,0))</f>
        <v/>
      </c>
      <c r="AI474">
        <f>IF(T_EMPLOYEES[[#This Row],[EMPLOYEE NUMBER]]="","",MATCH(T_EMPLOYEES[[#This Row],[DEPARTMENT]],L_DEPARTMENT,0))</f>
        <v/>
      </c>
      <c r="AJ474">
        <f>IF(T_EMPLOYEES[[#This Row],[EMPLOYEE NUMBER]]="","",MATCH(T_EMPLOYEES[[#This Row],[JOB TYPE]],L_JOBTYPE,0))</f>
        <v/>
      </c>
      <c r="AK474">
        <f>IF(T_EMPLOYEES[[#This Row],[EMPLOYEE NUMBER]]="","",MATCH(T_EMPLOYEES[[#This Row],[JOB CATEGORY]],L_JOBCATEGORY,0))</f>
        <v/>
      </c>
      <c r="AL474">
        <f>IF(T_EMPLOYEES[[#This Row],[EMPLOYEE NUMBER]]="","",MATCH(T_EMPLOYEES[[#This Row],[JOB LEVEL]],L_JOBLEVEL,0))</f>
        <v/>
      </c>
      <c r="AM474">
        <f>IF(T_EMPLOYEES[[#This Row],[EMPLOYEE NUMBER]]="","",MATCH(T_EMPLOYEES[[#This Row],[JOB TITLE]],L_JOBTITLE,0))</f>
        <v/>
      </c>
      <c r="AN474">
        <f>IF(T_EMPLOYEES[[#This Row],[EMPLOYEE NUMBER]]="","",MATCH(T_EMPLOYEES[[#This Row],[MANAGER]],L_EMPLABELS,0))</f>
        <v/>
      </c>
      <c r="AO474">
        <f>IF(T_EMPLOYEES[[#This Row],[EMPLOYEE NUMBER]]="","",IF(T_EMPLOYEES[[#This Row],[ERROR]]="",0,1))</f>
        <v/>
      </c>
      <c r="AP47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5">
      <c r="A475" t="inlineStr">
        <is>
          <t>Shrish</t>
        </is>
      </c>
      <c r="B475" t="inlineStr">
        <is>
          <t>Ram Bale</t>
        </is>
      </c>
      <c r="C475" t="n">
        <v>1033831</v>
      </c>
      <c r="D475" t="inlineStr">
        <is>
          <t>Shrish.Bale@infinite.com</t>
        </is>
      </c>
      <c r="E475" s="26" t="n">
        <v>36596</v>
      </c>
      <c r="F475" s="26" t="n">
        <v>45236</v>
      </c>
      <c r="H475" t="inlineStr">
        <is>
          <t>Male</t>
        </is>
      </c>
      <c r="I475" t="inlineStr">
        <is>
          <t>Asian</t>
        </is>
      </c>
      <c r="J475" t="inlineStr">
        <is>
          <t>WEBSITE</t>
        </is>
      </c>
      <c r="K475" t="inlineStr">
        <is>
          <t>Bangalore</t>
        </is>
      </c>
      <c r="L475" s="27" t="inlineStr">
        <is>
          <t>QA</t>
        </is>
      </c>
      <c r="M475" t="inlineStr">
        <is>
          <t>Full-Time</t>
        </is>
      </c>
      <c r="N475" t="inlineStr">
        <is>
          <t>Associate Software Test Engineer</t>
        </is>
      </c>
      <c r="O475" t="inlineStr">
        <is>
          <t>E1</t>
        </is>
      </c>
      <c r="P475" t="inlineStr">
        <is>
          <t>Associate Software Test Engineer</t>
        </is>
      </c>
      <c r="Q475" t="inlineStr">
        <is>
          <t>Siva Kumar  Shada (1000177)</t>
        </is>
      </c>
      <c r="R475" t="n">
        <v>0</v>
      </c>
      <c r="S475" s="1" t="n">
        <v>1200000</v>
      </c>
      <c r="T475" s="1">
        <f>ROUND(T_EMPLOYEES[[#This Row],[EMP_CTC1]]/12, 0)</f>
        <v/>
      </c>
      <c r="U475" s="1" t="n">
        <v>1000000</v>
      </c>
      <c r="V475" s="1" t="inlineStr">
        <is>
          <t>ND</t>
        </is>
      </c>
      <c r="W475" s="1" t="inlineStr">
        <is>
          <t>ND</t>
        </is>
      </c>
      <c r="X47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5" t="n">
        <v>120000</v>
      </c>
      <c r="Z475" s="29">
        <f>(S475 - U475)/S475 * 100</f>
        <v/>
      </c>
      <c r="AA475">
        <f>IF(T_EMPLOYEES[[#This Row],[EMPLOYEE NUMBER]]="","",ROW(T_EMPLOYEES[[#This Row],[EMPLOYEE LABEL]])-ROW(T_EMPLOYEES[[#Headers],[EMPLOYEE LABEL]]))</f>
        <v/>
      </c>
      <c r="AB475">
        <f>IF(T_EMPLOYEES[[#This Row],[EMPLOYEE NUMBER]]="","",IF(COUNTIF(T_EMPLOYEES[EMPLOYEE NUMBER],T_EMPLOYEES[[#This Row],[EMPLOYEE NUMBER]])&gt;1,1,0))</f>
        <v/>
      </c>
      <c r="AC475">
        <f>IF(T_EMPLOYEES[[#This Row],[EMPLOYEE NUMBER]]="","",IF(AND(T_EMPLOYEES[[#This Row],[DATE OF BIRTH]]&gt;0,T_EMPLOYEES[[#This Row],[DATE OF BIRTH]]&lt;TODAY()),0,1))</f>
        <v/>
      </c>
      <c r="AD475">
        <f>IF(T_EMPLOYEES[[#This Row],[EMPLOYEE NUMBER]]="","",IF(AND(T_EMPLOYEES[[#This Row],[START DATE]]&gt;0,T_EMPLOYEES[[#This Row],[START DATE]]&lt;TODAY()+60),0,1))</f>
        <v/>
      </c>
      <c r="AE475">
        <f>IF(T_EMPLOYEES[[#This Row],[EMPLOYEE NUMBER]]="","",MATCH(T_EMPLOYEES[[#This Row],[GENDER]],L_GENDER,0))</f>
        <v/>
      </c>
      <c r="AF475">
        <f>IF(T_EMPLOYEES[[#This Row],[EMPLOYEE NUMBER]]="","",MATCH(T_EMPLOYEES[[#This Row],[HIRE SOURCE]],L_HIRESOURCE,0))</f>
        <v/>
      </c>
      <c r="AG475">
        <f>IF(T_EMPLOYEES[[#This Row],[EMPLOYEE NUMBER]]="","",MATCH(T_EMPLOYEES[[#This Row],[ETHNICITY]],L_ETHNICITY,0))</f>
        <v/>
      </c>
      <c r="AH475">
        <f>IF(T_EMPLOYEES[[#This Row],[EMPLOYEE NUMBER]]="","",MATCH(T_EMPLOYEES[[#This Row],[LOCATION]],L_LOCATION,0))</f>
        <v/>
      </c>
      <c r="AI475">
        <f>IF(T_EMPLOYEES[[#This Row],[EMPLOYEE NUMBER]]="","",MATCH(T_EMPLOYEES[[#This Row],[DEPARTMENT]],L_DEPARTMENT,0))</f>
        <v/>
      </c>
      <c r="AJ475">
        <f>IF(T_EMPLOYEES[[#This Row],[EMPLOYEE NUMBER]]="","",MATCH(T_EMPLOYEES[[#This Row],[JOB TYPE]],L_JOBTYPE,0))</f>
        <v/>
      </c>
      <c r="AK475">
        <f>IF(T_EMPLOYEES[[#This Row],[EMPLOYEE NUMBER]]="","",MATCH(T_EMPLOYEES[[#This Row],[JOB CATEGORY]],L_JOBCATEGORY,0))</f>
        <v/>
      </c>
      <c r="AL475">
        <f>IF(T_EMPLOYEES[[#This Row],[EMPLOYEE NUMBER]]="","",MATCH(T_EMPLOYEES[[#This Row],[JOB LEVEL]],L_JOBLEVEL,0))</f>
        <v/>
      </c>
      <c r="AM475">
        <f>IF(T_EMPLOYEES[[#This Row],[EMPLOYEE NUMBER]]="","",MATCH(T_EMPLOYEES[[#This Row],[JOB TITLE]],L_JOBTITLE,0))</f>
        <v/>
      </c>
      <c r="AN475">
        <f>IF(T_EMPLOYEES[[#This Row],[EMPLOYEE NUMBER]]="","",MATCH(T_EMPLOYEES[[#This Row],[MANAGER]],L_EMPLABELS,0))</f>
        <v/>
      </c>
      <c r="AO475">
        <f>IF(T_EMPLOYEES[[#This Row],[EMPLOYEE NUMBER]]="","",IF(T_EMPLOYEES[[#This Row],[ERROR]]="",0,1))</f>
        <v/>
      </c>
      <c r="AP47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6">
      <c r="A476" t="inlineStr">
        <is>
          <t>Moodu</t>
        </is>
      </c>
      <c r="B476" t="inlineStr">
        <is>
          <t xml:space="preserve">Pavan Kumar </t>
        </is>
      </c>
      <c r="C476" t="n">
        <v>1030906</v>
      </c>
      <c r="D476" t="inlineStr">
        <is>
          <t>Pavankumar.Moodu@infinite.com</t>
        </is>
      </c>
      <c r="E476" s="26" t="n">
        <v>36604</v>
      </c>
      <c r="F476" s="26" t="n">
        <v>44876</v>
      </c>
      <c r="H476" t="inlineStr">
        <is>
          <t>Male</t>
        </is>
      </c>
      <c r="I476" t="inlineStr">
        <is>
          <t>Asian</t>
        </is>
      </c>
      <c r="J476" t="inlineStr">
        <is>
          <t>WEBSITE</t>
        </is>
      </c>
      <c r="K476" t="inlineStr">
        <is>
          <t>Bangalore</t>
        </is>
      </c>
      <c r="L476" s="27" t="inlineStr">
        <is>
          <t>IT</t>
        </is>
      </c>
      <c r="M476" t="inlineStr">
        <is>
          <t>Full-Time</t>
        </is>
      </c>
      <c r="N476" t="inlineStr">
        <is>
          <t>Associate Software Engineer</t>
        </is>
      </c>
      <c r="O476" t="inlineStr">
        <is>
          <t>E1</t>
        </is>
      </c>
      <c r="P476" t="inlineStr">
        <is>
          <t>Associate Software Engineer</t>
        </is>
      </c>
      <c r="Q476" t="inlineStr">
        <is>
          <t>Siddharth Kumar (1027551)</t>
        </is>
      </c>
      <c r="R476" s="27" t="n">
        <v>0</v>
      </c>
      <c r="S476" s="1" t="n">
        <v>1200000</v>
      </c>
      <c r="T476" s="1">
        <f>ROUND(T_EMPLOYEES[[#This Row],[EMP_CTC1]]/12, 0)</f>
        <v/>
      </c>
      <c r="U476" s="1" t="n">
        <v>1000000</v>
      </c>
      <c r="V476" s="1" t="inlineStr">
        <is>
          <t>ND</t>
        </is>
      </c>
      <c r="W476" s="1" t="inlineStr">
        <is>
          <t>ND</t>
        </is>
      </c>
      <c r="X47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6" t="n">
        <v>120000</v>
      </c>
      <c r="Z476" s="29">
        <f>(S476 - U476)/S476 * 100</f>
        <v/>
      </c>
      <c r="AA476">
        <f>IF(T_EMPLOYEES[[#This Row],[EMPLOYEE NUMBER]]="","",ROW(T_EMPLOYEES[[#This Row],[EMPLOYEE LABEL]])-ROW(T_EMPLOYEES[[#Headers],[EMPLOYEE LABEL]]))</f>
        <v/>
      </c>
      <c r="AB476">
        <f>IF(T_EMPLOYEES[[#This Row],[EMPLOYEE NUMBER]]="","",IF(COUNTIF(T_EMPLOYEES[EMPLOYEE NUMBER],T_EMPLOYEES[[#This Row],[EMPLOYEE NUMBER]])&gt;1,1,0))</f>
        <v/>
      </c>
      <c r="AC476">
        <f>IF(T_EMPLOYEES[[#This Row],[EMPLOYEE NUMBER]]="","",IF(AND(T_EMPLOYEES[[#This Row],[DATE OF BIRTH]]&gt;0,T_EMPLOYEES[[#This Row],[DATE OF BIRTH]]&lt;TODAY()),0,1))</f>
        <v/>
      </c>
      <c r="AD476">
        <f>IF(T_EMPLOYEES[[#This Row],[EMPLOYEE NUMBER]]="","",IF(AND(T_EMPLOYEES[[#This Row],[START DATE]]&gt;0,T_EMPLOYEES[[#This Row],[START DATE]]&lt;TODAY()+60),0,1))</f>
        <v/>
      </c>
      <c r="AE476">
        <f>IF(T_EMPLOYEES[[#This Row],[EMPLOYEE NUMBER]]="","",MATCH(T_EMPLOYEES[[#This Row],[GENDER]],L_GENDER,0))</f>
        <v/>
      </c>
      <c r="AF476">
        <f>IF(T_EMPLOYEES[[#This Row],[EMPLOYEE NUMBER]]="","",MATCH(T_EMPLOYEES[[#This Row],[HIRE SOURCE]],L_HIRESOURCE,0))</f>
        <v/>
      </c>
      <c r="AG476">
        <f>IF(T_EMPLOYEES[[#This Row],[EMPLOYEE NUMBER]]="","",MATCH(T_EMPLOYEES[[#This Row],[ETHNICITY]],L_ETHNICITY,0))</f>
        <v/>
      </c>
      <c r="AH476">
        <f>IF(T_EMPLOYEES[[#This Row],[EMPLOYEE NUMBER]]="","",MATCH(T_EMPLOYEES[[#This Row],[LOCATION]],L_LOCATION,0))</f>
        <v/>
      </c>
      <c r="AI476">
        <f>IF(T_EMPLOYEES[[#This Row],[EMPLOYEE NUMBER]]="","",MATCH(T_EMPLOYEES[[#This Row],[DEPARTMENT]],L_DEPARTMENT,0))</f>
        <v/>
      </c>
      <c r="AJ476">
        <f>IF(T_EMPLOYEES[[#This Row],[EMPLOYEE NUMBER]]="","",MATCH(T_EMPLOYEES[[#This Row],[JOB TYPE]],L_JOBTYPE,0))</f>
        <v/>
      </c>
      <c r="AK476">
        <f>IF(T_EMPLOYEES[[#This Row],[EMPLOYEE NUMBER]]="","",MATCH(T_EMPLOYEES[[#This Row],[JOB CATEGORY]],L_JOBCATEGORY,0))</f>
        <v/>
      </c>
      <c r="AL476">
        <f>IF(T_EMPLOYEES[[#This Row],[EMPLOYEE NUMBER]]="","",MATCH(T_EMPLOYEES[[#This Row],[JOB LEVEL]],L_JOBLEVEL,0))</f>
        <v/>
      </c>
      <c r="AM476">
        <f>IF(T_EMPLOYEES[[#This Row],[EMPLOYEE NUMBER]]="","",MATCH(T_EMPLOYEES[[#This Row],[JOB TITLE]],L_JOBTITLE,0))</f>
        <v/>
      </c>
      <c r="AN476">
        <f>IF(T_EMPLOYEES[[#This Row],[EMPLOYEE NUMBER]]="","",MATCH(T_EMPLOYEES[[#This Row],[MANAGER]],L_EMPLABELS,0))</f>
        <v/>
      </c>
      <c r="AO476">
        <f>IF(T_EMPLOYEES[[#This Row],[EMPLOYEE NUMBER]]="","",IF(T_EMPLOYEES[[#This Row],[ERROR]]="",0,1))</f>
        <v/>
      </c>
      <c r="AP47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7">
      <c r="A477" t="inlineStr">
        <is>
          <t>Kolimi</t>
        </is>
      </c>
      <c r="B477" t="inlineStr">
        <is>
          <t xml:space="preserve">Thohid Azhar Basha </t>
        </is>
      </c>
      <c r="C477" t="n">
        <v>1030949</v>
      </c>
      <c r="D477" t="inlineStr">
        <is>
          <t>Thohidazhar.Basha@infinite.com</t>
        </is>
      </c>
      <c r="E477" s="26" t="n">
        <v>36605</v>
      </c>
      <c r="F477" s="26" t="n">
        <v>44876</v>
      </c>
      <c r="H477" t="inlineStr">
        <is>
          <t>Male</t>
        </is>
      </c>
      <c r="I477" t="inlineStr">
        <is>
          <t>Asian</t>
        </is>
      </c>
      <c r="J477" t="inlineStr">
        <is>
          <t>WEBSITE</t>
        </is>
      </c>
      <c r="K477" t="inlineStr">
        <is>
          <t>Bangalore</t>
        </is>
      </c>
      <c r="L477" s="27" t="inlineStr">
        <is>
          <t>Core</t>
        </is>
      </c>
      <c r="M477" t="inlineStr">
        <is>
          <t>Full-Time</t>
        </is>
      </c>
      <c r="N477" t="inlineStr">
        <is>
          <t>Associate Software Engineer</t>
        </is>
      </c>
      <c r="O477" t="inlineStr">
        <is>
          <t>E1</t>
        </is>
      </c>
      <c r="P477" t="inlineStr">
        <is>
          <t>Associate Software Engineer</t>
        </is>
      </c>
      <c r="Q477" t="inlineStr">
        <is>
          <t>Dipakbhai Motibhai Tandel (1027230)</t>
        </is>
      </c>
      <c r="R477" t="n">
        <v>0</v>
      </c>
      <c r="S477" s="1" t="n">
        <v>1200000</v>
      </c>
      <c r="T477" s="1">
        <f>ROUND(T_EMPLOYEES[[#This Row],[EMP_CTC1]]/12, 0)</f>
        <v/>
      </c>
      <c r="U477" s="1" t="n">
        <v>1000000</v>
      </c>
      <c r="V477" s="1" t="inlineStr">
        <is>
          <t>ND</t>
        </is>
      </c>
      <c r="W477" s="1" t="inlineStr">
        <is>
          <t>ND</t>
        </is>
      </c>
      <c r="X47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7" t="n">
        <v>120000</v>
      </c>
      <c r="Z477" s="29">
        <f>(S477 - U477)/S477 * 100</f>
        <v/>
      </c>
      <c r="AA477">
        <f>IF(T_EMPLOYEES[[#This Row],[EMPLOYEE NUMBER]]="","",ROW(T_EMPLOYEES[[#This Row],[EMPLOYEE LABEL]])-ROW(T_EMPLOYEES[[#Headers],[EMPLOYEE LABEL]]))</f>
        <v/>
      </c>
      <c r="AB477">
        <f>IF(T_EMPLOYEES[[#This Row],[EMPLOYEE NUMBER]]="","",IF(COUNTIF(T_EMPLOYEES[EMPLOYEE NUMBER],T_EMPLOYEES[[#This Row],[EMPLOYEE NUMBER]])&gt;1,1,0))</f>
        <v/>
      </c>
      <c r="AC477">
        <f>IF(T_EMPLOYEES[[#This Row],[EMPLOYEE NUMBER]]="","",IF(AND(T_EMPLOYEES[[#This Row],[DATE OF BIRTH]]&gt;0,T_EMPLOYEES[[#This Row],[DATE OF BIRTH]]&lt;TODAY()),0,1))</f>
        <v/>
      </c>
      <c r="AD477">
        <f>IF(T_EMPLOYEES[[#This Row],[EMPLOYEE NUMBER]]="","",IF(AND(T_EMPLOYEES[[#This Row],[START DATE]]&gt;0,T_EMPLOYEES[[#This Row],[START DATE]]&lt;TODAY()+60),0,1))</f>
        <v/>
      </c>
      <c r="AE477">
        <f>IF(T_EMPLOYEES[[#This Row],[EMPLOYEE NUMBER]]="","",MATCH(T_EMPLOYEES[[#This Row],[GENDER]],L_GENDER,0))</f>
        <v/>
      </c>
      <c r="AF477">
        <f>IF(T_EMPLOYEES[[#This Row],[EMPLOYEE NUMBER]]="","",MATCH(T_EMPLOYEES[[#This Row],[HIRE SOURCE]],L_HIRESOURCE,0))</f>
        <v/>
      </c>
      <c r="AG477">
        <f>IF(T_EMPLOYEES[[#This Row],[EMPLOYEE NUMBER]]="","",MATCH(T_EMPLOYEES[[#This Row],[ETHNICITY]],L_ETHNICITY,0))</f>
        <v/>
      </c>
      <c r="AH477">
        <f>IF(T_EMPLOYEES[[#This Row],[EMPLOYEE NUMBER]]="","",MATCH(T_EMPLOYEES[[#This Row],[LOCATION]],L_LOCATION,0))</f>
        <v/>
      </c>
      <c r="AI477">
        <f>IF(T_EMPLOYEES[[#This Row],[EMPLOYEE NUMBER]]="","",MATCH(T_EMPLOYEES[[#This Row],[DEPARTMENT]],L_DEPARTMENT,0))</f>
        <v/>
      </c>
      <c r="AJ477">
        <f>IF(T_EMPLOYEES[[#This Row],[EMPLOYEE NUMBER]]="","",MATCH(T_EMPLOYEES[[#This Row],[JOB TYPE]],L_JOBTYPE,0))</f>
        <v/>
      </c>
      <c r="AK477">
        <f>IF(T_EMPLOYEES[[#This Row],[EMPLOYEE NUMBER]]="","",MATCH(T_EMPLOYEES[[#This Row],[JOB CATEGORY]],L_JOBCATEGORY,0))</f>
        <v/>
      </c>
      <c r="AL477">
        <f>IF(T_EMPLOYEES[[#This Row],[EMPLOYEE NUMBER]]="","",MATCH(T_EMPLOYEES[[#This Row],[JOB LEVEL]],L_JOBLEVEL,0))</f>
        <v/>
      </c>
      <c r="AM477">
        <f>IF(T_EMPLOYEES[[#This Row],[EMPLOYEE NUMBER]]="","",MATCH(T_EMPLOYEES[[#This Row],[JOB TITLE]],L_JOBTITLE,0))</f>
        <v/>
      </c>
      <c r="AN477">
        <f>IF(T_EMPLOYEES[[#This Row],[EMPLOYEE NUMBER]]="","",MATCH(T_EMPLOYEES[[#This Row],[MANAGER]],L_EMPLABELS,0))</f>
        <v/>
      </c>
      <c r="AO477">
        <f>IF(T_EMPLOYEES[[#This Row],[EMPLOYEE NUMBER]]="","",IF(T_EMPLOYEES[[#This Row],[ERROR]]="",0,1))</f>
        <v/>
      </c>
      <c r="AP47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8">
      <c r="A478" t="inlineStr">
        <is>
          <t>Yukesh</t>
        </is>
      </c>
      <c r="C478" t="n">
        <v>1033125</v>
      </c>
      <c r="D478" t="inlineStr">
        <is>
          <t>Yukesh.Shanmugam@infinite.com</t>
        </is>
      </c>
      <c r="E478" s="26" t="n">
        <v>36611</v>
      </c>
      <c r="F478" s="26" t="n">
        <v>45140</v>
      </c>
      <c r="H478" t="inlineStr">
        <is>
          <t>Male</t>
        </is>
      </c>
      <c r="I478" t="inlineStr">
        <is>
          <t>Asian</t>
        </is>
      </c>
      <c r="J478" t="inlineStr">
        <is>
          <t>WEBSITE</t>
        </is>
      </c>
      <c r="K478" t="inlineStr">
        <is>
          <t>Bangalore</t>
        </is>
      </c>
      <c r="L478" s="27" t="inlineStr">
        <is>
          <t>Core</t>
        </is>
      </c>
      <c r="M478" t="inlineStr">
        <is>
          <t>Full-Time</t>
        </is>
      </c>
      <c r="N478" t="inlineStr">
        <is>
          <t>Associate Software Engineer</t>
        </is>
      </c>
      <c r="O478" t="inlineStr">
        <is>
          <t>E1</t>
        </is>
      </c>
      <c r="P478" t="inlineStr">
        <is>
          <t>Associate Software Engineer</t>
        </is>
      </c>
      <c r="Q478" t="inlineStr">
        <is>
          <t>Kishore Kumar N (1019765)</t>
        </is>
      </c>
      <c r="R478" s="27" t="n">
        <v>0</v>
      </c>
      <c r="S478" s="1" t="n">
        <v>1200000</v>
      </c>
      <c r="T478" s="1">
        <f>ROUND(T_EMPLOYEES[[#This Row],[EMP_CTC1]]/12, 0)</f>
        <v/>
      </c>
      <c r="U478" s="1" t="n">
        <v>1000000</v>
      </c>
      <c r="V478" s="1" t="inlineStr">
        <is>
          <t>ND</t>
        </is>
      </c>
      <c r="W478" s="1" t="inlineStr">
        <is>
          <t>ND</t>
        </is>
      </c>
      <c r="X47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8" t="n">
        <v>120000</v>
      </c>
      <c r="Z478" s="29">
        <f>(S478 - U478)/S478 * 100</f>
        <v/>
      </c>
      <c r="AA478">
        <f>IF(T_EMPLOYEES[[#This Row],[EMPLOYEE NUMBER]]="","",ROW(T_EMPLOYEES[[#This Row],[EMPLOYEE LABEL]])-ROW(T_EMPLOYEES[[#Headers],[EMPLOYEE LABEL]]))</f>
        <v/>
      </c>
      <c r="AB478">
        <f>IF(T_EMPLOYEES[[#This Row],[EMPLOYEE NUMBER]]="","",IF(COUNTIF(T_EMPLOYEES[EMPLOYEE NUMBER],T_EMPLOYEES[[#This Row],[EMPLOYEE NUMBER]])&gt;1,1,0))</f>
        <v/>
      </c>
      <c r="AC478">
        <f>IF(T_EMPLOYEES[[#This Row],[EMPLOYEE NUMBER]]="","",IF(AND(T_EMPLOYEES[[#This Row],[DATE OF BIRTH]]&gt;0,T_EMPLOYEES[[#This Row],[DATE OF BIRTH]]&lt;TODAY()),0,1))</f>
        <v/>
      </c>
      <c r="AD478">
        <f>IF(T_EMPLOYEES[[#This Row],[EMPLOYEE NUMBER]]="","",IF(AND(T_EMPLOYEES[[#This Row],[START DATE]]&gt;0,T_EMPLOYEES[[#This Row],[START DATE]]&lt;TODAY()+60),0,1))</f>
        <v/>
      </c>
      <c r="AE478">
        <f>IF(T_EMPLOYEES[[#This Row],[EMPLOYEE NUMBER]]="","",MATCH(T_EMPLOYEES[[#This Row],[GENDER]],L_GENDER,0))</f>
        <v/>
      </c>
      <c r="AF478">
        <f>IF(T_EMPLOYEES[[#This Row],[EMPLOYEE NUMBER]]="","",MATCH(T_EMPLOYEES[[#This Row],[HIRE SOURCE]],L_HIRESOURCE,0))</f>
        <v/>
      </c>
      <c r="AG478">
        <f>IF(T_EMPLOYEES[[#This Row],[EMPLOYEE NUMBER]]="","",MATCH(T_EMPLOYEES[[#This Row],[ETHNICITY]],L_ETHNICITY,0))</f>
        <v/>
      </c>
      <c r="AH478">
        <f>IF(T_EMPLOYEES[[#This Row],[EMPLOYEE NUMBER]]="","",MATCH(T_EMPLOYEES[[#This Row],[LOCATION]],L_LOCATION,0))</f>
        <v/>
      </c>
      <c r="AI478">
        <f>IF(T_EMPLOYEES[[#This Row],[EMPLOYEE NUMBER]]="","",MATCH(T_EMPLOYEES[[#This Row],[DEPARTMENT]],L_DEPARTMENT,0))</f>
        <v/>
      </c>
      <c r="AJ478">
        <f>IF(T_EMPLOYEES[[#This Row],[EMPLOYEE NUMBER]]="","",MATCH(T_EMPLOYEES[[#This Row],[JOB TYPE]],L_JOBTYPE,0))</f>
        <v/>
      </c>
      <c r="AK478">
        <f>IF(T_EMPLOYEES[[#This Row],[EMPLOYEE NUMBER]]="","",MATCH(T_EMPLOYEES[[#This Row],[JOB CATEGORY]],L_JOBCATEGORY,0))</f>
        <v/>
      </c>
      <c r="AL478">
        <f>IF(T_EMPLOYEES[[#This Row],[EMPLOYEE NUMBER]]="","",MATCH(T_EMPLOYEES[[#This Row],[JOB LEVEL]],L_JOBLEVEL,0))</f>
        <v/>
      </c>
      <c r="AM478">
        <f>IF(T_EMPLOYEES[[#This Row],[EMPLOYEE NUMBER]]="","",MATCH(T_EMPLOYEES[[#This Row],[JOB TITLE]],L_JOBTITLE,0))</f>
        <v/>
      </c>
      <c r="AN478">
        <f>IF(T_EMPLOYEES[[#This Row],[EMPLOYEE NUMBER]]="","",MATCH(T_EMPLOYEES[[#This Row],[MANAGER]],L_EMPLABELS,0))</f>
        <v/>
      </c>
      <c r="AO478">
        <f>IF(T_EMPLOYEES[[#This Row],[EMPLOYEE NUMBER]]="","",IF(T_EMPLOYEES[[#This Row],[ERROR]]="",0,1))</f>
        <v/>
      </c>
      <c r="AP47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79">
      <c r="A479" t="inlineStr">
        <is>
          <t>Bathula</t>
        </is>
      </c>
      <c r="B479" t="inlineStr">
        <is>
          <t>Sahithi</t>
        </is>
      </c>
      <c r="C479" t="n">
        <v>1030279</v>
      </c>
      <c r="D479" t="inlineStr">
        <is>
          <t>Bathula.Sahithi@infinite.com</t>
        </is>
      </c>
      <c r="E479" s="26" t="n">
        <v>36614</v>
      </c>
      <c r="F479" s="26" t="n">
        <v>44819</v>
      </c>
      <c r="H479" t="inlineStr">
        <is>
          <t>Female</t>
        </is>
      </c>
      <c r="I479" t="inlineStr">
        <is>
          <t>Asian</t>
        </is>
      </c>
      <c r="J479" t="inlineStr">
        <is>
          <t>WEBSITE</t>
        </is>
      </c>
      <c r="K479" t="inlineStr">
        <is>
          <t>Bangalore</t>
        </is>
      </c>
      <c r="L479" s="27" t="inlineStr">
        <is>
          <t>Core</t>
        </is>
      </c>
      <c r="M479" t="inlineStr">
        <is>
          <t>Full-Time</t>
        </is>
      </c>
      <c r="N479" t="inlineStr">
        <is>
          <t>Associate Software Engineer</t>
        </is>
      </c>
      <c r="O479" t="inlineStr">
        <is>
          <t>E1</t>
        </is>
      </c>
      <c r="P479" t="inlineStr">
        <is>
          <t>Associate Software Engineer</t>
        </is>
      </c>
      <c r="Q479" t="inlineStr">
        <is>
          <t>Dipakbhai Motibhai Tandel (1027230)</t>
        </is>
      </c>
      <c r="R479" t="n">
        <v>0</v>
      </c>
      <c r="S479" s="1" t="n">
        <v>1200000</v>
      </c>
      <c r="T479" s="1">
        <f>ROUND(T_EMPLOYEES[[#This Row],[EMP_CTC1]]/12, 0)</f>
        <v/>
      </c>
      <c r="U479" s="1" t="n">
        <v>1000000</v>
      </c>
      <c r="V479" s="1" t="inlineStr">
        <is>
          <t>ND</t>
        </is>
      </c>
      <c r="W479" s="1" t="inlineStr">
        <is>
          <t>ND</t>
        </is>
      </c>
      <c r="X47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79" t="n">
        <v>120000</v>
      </c>
      <c r="Z479" s="29">
        <f>(S479 - U479)/S479 * 100</f>
        <v/>
      </c>
      <c r="AA479">
        <f>IF(T_EMPLOYEES[[#This Row],[EMPLOYEE NUMBER]]="","",ROW(T_EMPLOYEES[[#This Row],[EMPLOYEE LABEL]])-ROW(T_EMPLOYEES[[#Headers],[EMPLOYEE LABEL]]))</f>
        <v/>
      </c>
      <c r="AB479">
        <f>IF(T_EMPLOYEES[[#This Row],[EMPLOYEE NUMBER]]="","",IF(COUNTIF(T_EMPLOYEES[EMPLOYEE NUMBER],T_EMPLOYEES[[#This Row],[EMPLOYEE NUMBER]])&gt;1,1,0))</f>
        <v/>
      </c>
      <c r="AC479">
        <f>IF(T_EMPLOYEES[[#This Row],[EMPLOYEE NUMBER]]="","",IF(AND(T_EMPLOYEES[[#This Row],[DATE OF BIRTH]]&gt;0,T_EMPLOYEES[[#This Row],[DATE OF BIRTH]]&lt;TODAY()),0,1))</f>
        <v/>
      </c>
      <c r="AD479">
        <f>IF(T_EMPLOYEES[[#This Row],[EMPLOYEE NUMBER]]="","",IF(AND(T_EMPLOYEES[[#This Row],[START DATE]]&gt;0,T_EMPLOYEES[[#This Row],[START DATE]]&lt;TODAY()+60),0,1))</f>
        <v/>
      </c>
      <c r="AE479">
        <f>IF(T_EMPLOYEES[[#This Row],[EMPLOYEE NUMBER]]="","",MATCH(T_EMPLOYEES[[#This Row],[GENDER]],L_GENDER,0))</f>
        <v/>
      </c>
      <c r="AF479">
        <f>IF(T_EMPLOYEES[[#This Row],[EMPLOYEE NUMBER]]="","",MATCH(T_EMPLOYEES[[#This Row],[HIRE SOURCE]],L_HIRESOURCE,0))</f>
        <v/>
      </c>
      <c r="AG479">
        <f>IF(T_EMPLOYEES[[#This Row],[EMPLOYEE NUMBER]]="","",MATCH(T_EMPLOYEES[[#This Row],[ETHNICITY]],L_ETHNICITY,0))</f>
        <v/>
      </c>
      <c r="AH479">
        <f>IF(T_EMPLOYEES[[#This Row],[EMPLOYEE NUMBER]]="","",MATCH(T_EMPLOYEES[[#This Row],[LOCATION]],L_LOCATION,0))</f>
        <v/>
      </c>
      <c r="AI479">
        <f>IF(T_EMPLOYEES[[#This Row],[EMPLOYEE NUMBER]]="","",MATCH(T_EMPLOYEES[[#This Row],[DEPARTMENT]],L_DEPARTMENT,0))</f>
        <v/>
      </c>
      <c r="AJ479">
        <f>IF(T_EMPLOYEES[[#This Row],[EMPLOYEE NUMBER]]="","",MATCH(T_EMPLOYEES[[#This Row],[JOB TYPE]],L_JOBTYPE,0))</f>
        <v/>
      </c>
      <c r="AK479">
        <f>IF(T_EMPLOYEES[[#This Row],[EMPLOYEE NUMBER]]="","",MATCH(T_EMPLOYEES[[#This Row],[JOB CATEGORY]],L_JOBCATEGORY,0))</f>
        <v/>
      </c>
      <c r="AL479">
        <f>IF(T_EMPLOYEES[[#This Row],[EMPLOYEE NUMBER]]="","",MATCH(T_EMPLOYEES[[#This Row],[JOB LEVEL]],L_JOBLEVEL,0))</f>
        <v/>
      </c>
      <c r="AM479">
        <f>IF(T_EMPLOYEES[[#This Row],[EMPLOYEE NUMBER]]="","",MATCH(T_EMPLOYEES[[#This Row],[JOB TITLE]],L_JOBTITLE,0))</f>
        <v/>
      </c>
      <c r="AN479">
        <f>IF(T_EMPLOYEES[[#This Row],[EMPLOYEE NUMBER]]="","",MATCH(T_EMPLOYEES[[#This Row],[MANAGER]],L_EMPLABELS,0))</f>
        <v/>
      </c>
      <c r="AO479">
        <f>IF(T_EMPLOYEES[[#This Row],[EMPLOYEE NUMBER]]="","",IF(T_EMPLOYEES[[#This Row],[ERROR]]="",0,1))</f>
        <v/>
      </c>
      <c r="AP47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0">
      <c r="A480" t="inlineStr">
        <is>
          <t>Doppa</t>
        </is>
      </c>
      <c r="B480" t="inlineStr">
        <is>
          <t>Sunitha</t>
        </is>
      </c>
      <c r="C480" t="n">
        <v>1031071</v>
      </c>
      <c r="D480" t="inlineStr">
        <is>
          <t>Sunitha.Doppa@infinite.com</t>
        </is>
      </c>
      <c r="E480" s="26" t="n">
        <v>36620</v>
      </c>
      <c r="F480" s="26" t="n">
        <v>44889</v>
      </c>
      <c r="H480" t="inlineStr">
        <is>
          <t>Female</t>
        </is>
      </c>
      <c r="I480" t="inlineStr">
        <is>
          <t>Asian</t>
        </is>
      </c>
      <c r="J480" t="inlineStr">
        <is>
          <t>WEBSITE</t>
        </is>
      </c>
      <c r="K480" t="inlineStr">
        <is>
          <t>Bangalore</t>
        </is>
      </c>
      <c r="L480" s="27" t="inlineStr">
        <is>
          <t>Core</t>
        </is>
      </c>
      <c r="M480" t="inlineStr">
        <is>
          <t>Full-Time</t>
        </is>
      </c>
      <c r="N480" t="inlineStr">
        <is>
          <t>Associate Software Engineer</t>
        </is>
      </c>
      <c r="O480" t="inlineStr">
        <is>
          <t>E1</t>
        </is>
      </c>
      <c r="P480" t="inlineStr">
        <is>
          <t>Associate Software Engineer</t>
        </is>
      </c>
      <c r="Q480" t="inlineStr">
        <is>
          <t>Dipakbhai Motibhai Tandel (1027230)</t>
        </is>
      </c>
      <c r="R480" s="27" t="n">
        <v>0</v>
      </c>
      <c r="S480" s="1" t="n">
        <v>1200000</v>
      </c>
      <c r="T480" s="1">
        <f>ROUND(T_EMPLOYEES[[#This Row],[EMP_CTC1]]/12, 0)</f>
        <v/>
      </c>
      <c r="U480" s="1" t="n">
        <v>1000000</v>
      </c>
      <c r="V480" s="1" t="inlineStr">
        <is>
          <t>ND</t>
        </is>
      </c>
      <c r="W480" s="1" t="inlineStr">
        <is>
          <t>ND</t>
        </is>
      </c>
      <c r="X48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0" t="n">
        <v>120000</v>
      </c>
      <c r="Z480" s="29">
        <f>(S480 - U480)/S480 * 100</f>
        <v/>
      </c>
      <c r="AA480">
        <f>IF(T_EMPLOYEES[[#This Row],[EMPLOYEE NUMBER]]="","",ROW(T_EMPLOYEES[[#This Row],[EMPLOYEE LABEL]])-ROW(T_EMPLOYEES[[#Headers],[EMPLOYEE LABEL]]))</f>
        <v/>
      </c>
      <c r="AB480">
        <f>IF(T_EMPLOYEES[[#This Row],[EMPLOYEE NUMBER]]="","",IF(COUNTIF(T_EMPLOYEES[EMPLOYEE NUMBER],T_EMPLOYEES[[#This Row],[EMPLOYEE NUMBER]])&gt;1,1,0))</f>
        <v/>
      </c>
      <c r="AC480">
        <f>IF(T_EMPLOYEES[[#This Row],[EMPLOYEE NUMBER]]="","",IF(AND(T_EMPLOYEES[[#This Row],[DATE OF BIRTH]]&gt;0,T_EMPLOYEES[[#This Row],[DATE OF BIRTH]]&lt;TODAY()),0,1))</f>
        <v/>
      </c>
      <c r="AD480">
        <f>IF(T_EMPLOYEES[[#This Row],[EMPLOYEE NUMBER]]="","",IF(AND(T_EMPLOYEES[[#This Row],[START DATE]]&gt;0,T_EMPLOYEES[[#This Row],[START DATE]]&lt;TODAY()+60),0,1))</f>
        <v/>
      </c>
      <c r="AE480">
        <f>IF(T_EMPLOYEES[[#This Row],[EMPLOYEE NUMBER]]="","",MATCH(T_EMPLOYEES[[#This Row],[GENDER]],L_GENDER,0))</f>
        <v/>
      </c>
      <c r="AF480">
        <f>IF(T_EMPLOYEES[[#This Row],[EMPLOYEE NUMBER]]="","",MATCH(T_EMPLOYEES[[#This Row],[HIRE SOURCE]],L_HIRESOURCE,0))</f>
        <v/>
      </c>
      <c r="AG480">
        <f>IF(T_EMPLOYEES[[#This Row],[EMPLOYEE NUMBER]]="","",MATCH(T_EMPLOYEES[[#This Row],[ETHNICITY]],L_ETHNICITY,0))</f>
        <v/>
      </c>
      <c r="AH480">
        <f>IF(T_EMPLOYEES[[#This Row],[EMPLOYEE NUMBER]]="","",MATCH(T_EMPLOYEES[[#This Row],[LOCATION]],L_LOCATION,0))</f>
        <v/>
      </c>
      <c r="AI480">
        <f>IF(T_EMPLOYEES[[#This Row],[EMPLOYEE NUMBER]]="","",MATCH(T_EMPLOYEES[[#This Row],[DEPARTMENT]],L_DEPARTMENT,0))</f>
        <v/>
      </c>
      <c r="AJ480">
        <f>IF(T_EMPLOYEES[[#This Row],[EMPLOYEE NUMBER]]="","",MATCH(T_EMPLOYEES[[#This Row],[JOB TYPE]],L_JOBTYPE,0))</f>
        <v/>
      </c>
      <c r="AK480">
        <f>IF(T_EMPLOYEES[[#This Row],[EMPLOYEE NUMBER]]="","",MATCH(T_EMPLOYEES[[#This Row],[JOB CATEGORY]],L_JOBCATEGORY,0))</f>
        <v/>
      </c>
      <c r="AL480">
        <f>IF(T_EMPLOYEES[[#This Row],[EMPLOYEE NUMBER]]="","",MATCH(T_EMPLOYEES[[#This Row],[JOB LEVEL]],L_JOBLEVEL,0))</f>
        <v/>
      </c>
      <c r="AM480">
        <f>IF(T_EMPLOYEES[[#This Row],[EMPLOYEE NUMBER]]="","",MATCH(T_EMPLOYEES[[#This Row],[JOB TITLE]],L_JOBTITLE,0))</f>
        <v/>
      </c>
      <c r="AN480">
        <f>IF(T_EMPLOYEES[[#This Row],[EMPLOYEE NUMBER]]="","",MATCH(T_EMPLOYEES[[#This Row],[MANAGER]],L_EMPLABELS,0))</f>
        <v/>
      </c>
      <c r="AO480">
        <f>IF(T_EMPLOYEES[[#This Row],[EMPLOYEE NUMBER]]="","",IF(T_EMPLOYEES[[#This Row],[ERROR]]="",0,1))</f>
        <v/>
      </c>
      <c r="AP48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1">
      <c r="A481" t="inlineStr">
        <is>
          <t>Raghavendra</t>
        </is>
      </c>
      <c r="B481" t="inlineStr">
        <is>
          <t>Tripathi</t>
        </is>
      </c>
      <c r="C481" t="n">
        <v>1029866</v>
      </c>
      <c r="D481" t="inlineStr">
        <is>
          <t>Raghavendra.Tripathi@infinite.com</t>
        </is>
      </c>
      <c r="E481" s="26" t="n">
        <v>36628</v>
      </c>
      <c r="F481" s="26" t="n">
        <v>44791</v>
      </c>
      <c r="H481" t="inlineStr">
        <is>
          <t>Male</t>
        </is>
      </c>
      <c r="I481" t="inlineStr">
        <is>
          <t>Asian</t>
        </is>
      </c>
      <c r="J481" t="inlineStr">
        <is>
          <t>WEBSITE</t>
        </is>
      </c>
      <c r="K481" t="inlineStr">
        <is>
          <t>Bangalore</t>
        </is>
      </c>
      <c r="L481" s="27" t="inlineStr">
        <is>
          <t>Core</t>
        </is>
      </c>
      <c r="M481" t="inlineStr">
        <is>
          <t>Full-Time</t>
        </is>
      </c>
      <c r="N481" t="inlineStr">
        <is>
          <t>Associate Software Engineer</t>
        </is>
      </c>
      <c r="O481" t="inlineStr">
        <is>
          <t>E1</t>
        </is>
      </c>
      <c r="P481" t="inlineStr">
        <is>
          <t>Associate Software Engineer</t>
        </is>
      </c>
      <c r="Q481" t="inlineStr">
        <is>
          <t>Anil Kumar Khamari (1013201)</t>
        </is>
      </c>
      <c r="R481" t="n">
        <v>0</v>
      </c>
      <c r="S481" s="1" t="n">
        <v>1200000</v>
      </c>
      <c r="T481" s="1">
        <f>ROUND(T_EMPLOYEES[[#This Row],[EMP_CTC1]]/12, 0)</f>
        <v/>
      </c>
      <c r="U481" s="1" t="n">
        <v>1000000</v>
      </c>
      <c r="V481" s="1" t="inlineStr">
        <is>
          <t>ND</t>
        </is>
      </c>
      <c r="W481" s="1" t="inlineStr">
        <is>
          <t>ND</t>
        </is>
      </c>
      <c r="X48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1" t="n">
        <v>120000</v>
      </c>
      <c r="Z481" s="29">
        <f>(S481 - U481)/S481 * 100</f>
        <v/>
      </c>
      <c r="AA481">
        <f>IF(T_EMPLOYEES[[#This Row],[EMPLOYEE NUMBER]]="","",ROW(T_EMPLOYEES[[#This Row],[EMPLOYEE LABEL]])-ROW(T_EMPLOYEES[[#Headers],[EMPLOYEE LABEL]]))</f>
        <v/>
      </c>
      <c r="AB481">
        <f>IF(T_EMPLOYEES[[#This Row],[EMPLOYEE NUMBER]]="","",IF(COUNTIF(T_EMPLOYEES[EMPLOYEE NUMBER],T_EMPLOYEES[[#This Row],[EMPLOYEE NUMBER]])&gt;1,1,0))</f>
        <v/>
      </c>
      <c r="AC481">
        <f>IF(T_EMPLOYEES[[#This Row],[EMPLOYEE NUMBER]]="","",IF(AND(T_EMPLOYEES[[#This Row],[DATE OF BIRTH]]&gt;0,T_EMPLOYEES[[#This Row],[DATE OF BIRTH]]&lt;TODAY()),0,1))</f>
        <v/>
      </c>
      <c r="AD481">
        <f>IF(T_EMPLOYEES[[#This Row],[EMPLOYEE NUMBER]]="","",IF(AND(T_EMPLOYEES[[#This Row],[START DATE]]&gt;0,T_EMPLOYEES[[#This Row],[START DATE]]&lt;TODAY()+60),0,1))</f>
        <v/>
      </c>
      <c r="AE481">
        <f>IF(T_EMPLOYEES[[#This Row],[EMPLOYEE NUMBER]]="","",MATCH(T_EMPLOYEES[[#This Row],[GENDER]],L_GENDER,0))</f>
        <v/>
      </c>
      <c r="AF481">
        <f>IF(T_EMPLOYEES[[#This Row],[EMPLOYEE NUMBER]]="","",MATCH(T_EMPLOYEES[[#This Row],[HIRE SOURCE]],L_HIRESOURCE,0))</f>
        <v/>
      </c>
      <c r="AG481">
        <f>IF(T_EMPLOYEES[[#This Row],[EMPLOYEE NUMBER]]="","",MATCH(T_EMPLOYEES[[#This Row],[ETHNICITY]],L_ETHNICITY,0))</f>
        <v/>
      </c>
      <c r="AH481">
        <f>IF(T_EMPLOYEES[[#This Row],[EMPLOYEE NUMBER]]="","",MATCH(T_EMPLOYEES[[#This Row],[LOCATION]],L_LOCATION,0))</f>
        <v/>
      </c>
      <c r="AI481">
        <f>IF(T_EMPLOYEES[[#This Row],[EMPLOYEE NUMBER]]="","",MATCH(T_EMPLOYEES[[#This Row],[DEPARTMENT]],L_DEPARTMENT,0))</f>
        <v/>
      </c>
      <c r="AJ481">
        <f>IF(T_EMPLOYEES[[#This Row],[EMPLOYEE NUMBER]]="","",MATCH(T_EMPLOYEES[[#This Row],[JOB TYPE]],L_JOBTYPE,0))</f>
        <v/>
      </c>
      <c r="AK481">
        <f>IF(T_EMPLOYEES[[#This Row],[EMPLOYEE NUMBER]]="","",MATCH(T_EMPLOYEES[[#This Row],[JOB CATEGORY]],L_JOBCATEGORY,0))</f>
        <v/>
      </c>
      <c r="AL481">
        <f>IF(T_EMPLOYEES[[#This Row],[EMPLOYEE NUMBER]]="","",MATCH(T_EMPLOYEES[[#This Row],[JOB LEVEL]],L_JOBLEVEL,0))</f>
        <v/>
      </c>
      <c r="AM481">
        <f>IF(T_EMPLOYEES[[#This Row],[EMPLOYEE NUMBER]]="","",MATCH(T_EMPLOYEES[[#This Row],[JOB TITLE]],L_JOBTITLE,0))</f>
        <v/>
      </c>
      <c r="AN481">
        <f>IF(T_EMPLOYEES[[#This Row],[EMPLOYEE NUMBER]]="","",MATCH(T_EMPLOYEES[[#This Row],[MANAGER]],L_EMPLABELS,0))</f>
        <v/>
      </c>
      <c r="AO481">
        <f>IF(T_EMPLOYEES[[#This Row],[EMPLOYEE NUMBER]]="","",IF(T_EMPLOYEES[[#This Row],[ERROR]]="",0,1))</f>
        <v/>
      </c>
      <c r="AP48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2">
      <c r="A482" t="inlineStr">
        <is>
          <t>Chandramalla</t>
        </is>
      </c>
      <c r="B482" t="inlineStr">
        <is>
          <t>Venkatesh</t>
        </is>
      </c>
      <c r="C482" t="n">
        <v>1030250</v>
      </c>
      <c r="D482" t="inlineStr">
        <is>
          <t>Chandramalla.Venkatesh@infinite.com</t>
        </is>
      </c>
      <c r="E482" s="26" t="n">
        <v>36635</v>
      </c>
      <c r="F482" s="26" t="n">
        <v>44819</v>
      </c>
      <c r="H482" t="inlineStr">
        <is>
          <t>Male</t>
        </is>
      </c>
      <c r="I482" t="inlineStr">
        <is>
          <t>Asian</t>
        </is>
      </c>
      <c r="J482" t="inlineStr">
        <is>
          <t>WEBSITE</t>
        </is>
      </c>
      <c r="K482" t="inlineStr">
        <is>
          <t>Bangalore</t>
        </is>
      </c>
      <c r="L482" s="27" t="inlineStr">
        <is>
          <t>Core</t>
        </is>
      </c>
      <c r="M482" t="inlineStr">
        <is>
          <t>Full-Time</t>
        </is>
      </c>
      <c r="N482" t="inlineStr">
        <is>
          <t>Associate Software Engineer</t>
        </is>
      </c>
      <c r="O482" t="inlineStr">
        <is>
          <t>E1</t>
        </is>
      </c>
      <c r="P482" t="inlineStr">
        <is>
          <t>Associate Software Engineer</t>
        </is>
      </c>
      <c r="Q482" t="inlineStr">
        <is>
          <t>Dipakbhai Motibhai Tandel (1027230)</t>
        </is>
      </c>
      <c r="R482" s="27" t="n">
        <v>0</v>
      </c>
      <c r="S482" s="1" t="n">
        <v>1200000</v>
      </c>
      <c r="T482" s="1">
        <f>ROUND(T_EMPLOYEES[[#This Row],[EMP_CTC1]]/12, 0)</f>
        <v/>
      </c>
      <c r="U482" s="1" t="n">
        <v>1000000</v>
      </c>
      <c r="V482" s="1" t="inlineStr">
        <is>
          <t>ND</t>
        </is>
      </c>
      <c r="W482" s="1" t="inlineStr">
        <is>
          <t>ND</t>
        </is>
      </c>
      <c r="X48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2" t="n">
        <v>120000</v>
      </c>
      <c r="Z482" s="29">
        <f>(S482 - U482)/S482 * 100</f>
        <v/>
      </c>
      <c r="AA482">
        <f>IF(T_EMPLOYEES[[#This Row],[EMPLOYEE NUMBER]]="","",ROW(T_EMPLOYEES[[#This Row],[EMPLOYEE LABEL]])-ROW(T_EMPLOYEES[[#Headers],[EMPLOYEE LABEL]]))</f>
        <v/>
      </c>
      <c r="AB482">
        <f>IF(T_EMPLOYEES[[#This Row],[EMPLOYEE NUMBER]]="","",IF(COUNTIF(T_EMPLOYEES[EMPLOYEE NUMBER],T_EMPLOYEES[[#This Row],[EMPLOYEE NUMBER]])&gt;1,1,0))</f>
        <v/>
      </c>
      <c r="AC482">
        <f>IF(T_EMPLOYEES[[#This Row],[EMPLOYEE NUMBER]]="","",IF(AND(T_EMPLOYEES[[#This Row],[DATE OF BIRTH]]&gt;0,T_EMPLOYEES[[#This Row],[DATE OF BIRTH]]&lt;TODAY()),0,1))</f>
        <v/>
      </c>
      <c r="AD482">
        <f>IF(T_EMPLOYEES[[#This Row],[EMPLOYEE NUMBER]]="","",IF(AND(T_EMPLOYEES[[#This Row],[START DATE]]&gt;0,T_EMPLOYEES[[#This Row],[START DATE]]&lt;TODAY()+60),0,1))</f>
        <v/>
      </c>
      <c r="AE482">
        <f>IF(T_EMPLOYEES[[#This Row],[EMPLOYEE NUMBER]]="","",MATCH(T_EMPLOYEES[[#This Row],[GENDER]],L_GENDER,0))</f>
        <v/>
      </c>
      <c r="AF482">
        <f>IF(T_EMPLOYEES[[#This Row],[EMPLOYEE NUMBER]]="","",MATCH(T_EMPLOYEES[[#This Row],[HIRE SOURCE]],L_HIRESOURCE,0))</f>
        <v/>
      </c>
      <c r="AG482">
        <f>IF(T_EMPLOYEES[[#This Row],[EMPLOYEE NUMBER]]="","",MATCH(T_EMPLOYEES[[#This Row],[ETHNICITY]],L_ETHNICITY,0))</f>
        <v/>
      </c>
      <c r="AH482">
        <f>IF(T_EMPLOYEES[[#This Row],[EMPLOYEE NUMBER]]="","",MATCH(T_EMPLOYEES[[#This Row],[LOCATION]],L_LOCATION,0))</f>
        <v/>
      </c>
      <c r="AI482">
        <f>IF(T_EMPLOYEES[[#This Row],[EMPLOYEE NUMBER]]="","",MATCH(T_EMPLOYEES[[#This Row],[DEPARTMENT]],L_DEPARTMENT,0))</f>
        <v/>
      </c>
      <c r="AJ482">
        <f>IF(T_EMPLOYEES[[#This Row],[EMPLOYEE NUMBER]]="","",MATCH(T_EMPLOYEES[[#This Row],[JOB TYPE]],L_JOBTYPE,0))</f>
        <v/>
      </c>
      <c r="AK482">
        <f>IF(T_EMPLOYEES[[#This Row],[EMPLOYEE NUMBER]]="","",MATCH(T_EMPLOYEES[[#This Row],[JOB CATEGORY]],L_JOBCATEGORY,0))</f>
        <v/>
      </c>
      <c r="AL482">
        <f>IF(T_EMPLOYEES[[#This Row],[EMPLOYEE NUMBER]]="","",MATCH(T_EMPLOYEES[[#This Row],[JOB LEVEL]],L_JOBLEVEL,0))</f>
        <v/>
      </c>
      <c r="AM482">
        <f>IF(T_EMPLOYEES[[#This Row],[EMPLOYEE NUMBER]]="","",MATCH(T_EMPLOYEES[[#This Row],[JOB TITLE]],L_JOBTITLE,0))</f>
        <v/>
      </c>
      <c r="AN482">
        <f>IF(T_EMPLOYEES[[#This Row],[EMPLOYEE NUMBER]]="","",MATCH(T_EMPLOYEES[[#This Row],[MANAGER]],L_EMPLABELS,0))</f>
        <v/>
      </c>
      <c r="AO482">
        <f>IF(T_EMPLOYEES[[#This Row],[EMPLOYEE NUMBER]]="","",IF(T_EMPLOYEES[[#This Row],[ERROR]]="",0,1))</f>
        <v/>
      </c>
      <c r="AP48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3">
      <c r="A483" t="inlineStr">
        <is>
          <t>Bonam</t>
        </is>
      </c>
      <c r="B483" t="inlineStr">
        <is>
          <t>Gowtham</t>
        </is>
      </c>
      <c r="C483" t="n">
        <v>1029874</v>
      </c>
      <c r="D483" t="inlineStr">
        <is>
          <t>Gowtham.Bonam@infinite.com</t>
        </is>
      </c>
      <c r="E483" s="26" t="n">
        <v>36644</v>
      </c>
      <c r="F483" s="26" t="n">
        <v>44791</v>
      </c>
      <c r="H483" t="inlineStr">
        <is>
          <t>Male</t>
        </is>
      </c>
      <c r="I483" t="inlineStr">
        <is>
          <t>Asian</t>
        </is>
      </c>
      <c r="J483" t="inlineStr">
        <is>
          <t>WEBSITE</t>
        </is>
      </c>
      <c r="K483" t="inlineStr">
        <is>
          <t>Bangalore</t>
        </is>
      </c>
      <c r="L483" s="27" t="inlineStr">
        <is>
          <t>IT</t>
        </is>
      </c>
      <c r="M483" t="inlineStr">
        <is>
          <t>Full-Time</t>
        </is>
      </c>
      <c r="N483" t="inlineStr">
        <is>
          <t>Associate Software Engineer</t>
        </is>
      </c>
      <c r="O483" t="inlineStr">
        <is>
          <t>E1</t>
        </is>
      </c>
      <c r="P483" t="inlineStr">
        <is>
          <t>Associate Software Engineer</t>
        </is>
      </c>
      <c r="Q483" t="inlineStr">
        <is>
          <t>Someshwara Prabhu Nanje Gowda (1021418)</t>
        </is>
      </c>
      <c r="R483" t="n">
        <v>0</v>
      </c>
      <c r="S483" s="1" t="n">
        <v>1200000</v>
      </c>
      <c r="T483" s="1">
        <f>ROUND(T_EMPLOYEES[[#This Row],[EMP_CTC1]]/12, 0)</f>
        <v/>
      </c>
      <c r="U483" s="1" t="n">
        <v>1000000</v>
      </c>
      <c r="V483" s="1" t="inlineStr">
        <is>
          <t>ND</t>
        </is>
      </c>
      <c r="W483" s="1" t="inlineStr">
        <is>
          <t>ND</t>
        </is>
      </c>
      <c r="X48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3" t="n">
        <v>120000</v>
      </c>
      <c r="Z483" s="29">
        <f>(S483 - U483)/S483 * 100</f>
        <v/>
      </c>
      <c r="AA483">
        <f>IF(T_EMPLOYEES[[#This Row],[EMPLOYEE NUMBER]]="","",ROW(T_EMPLOYEES[[#This Row],[EMPLOYEE LABEL]])-ROW(T_EMPLOYEES[[#Headers],[EMPLOYEE LABEL]]))</f>
        <v/>
      </c>
      <c r="AB483">
        <f>IF(T_EMPLOYEES[[#This Row],[EMPLOYEE NUMBER]]="","",IF(COUNTIF(T_EMPLOYEES[EMPLOYEE NUMBER],T_EMPLOYEES[[#This Row],[EMPLOYEE NUMBER]])&gt;1,1,0))</f>
        <v/>
      </c>
      <c r="AC483">
        <f>IF(T_EMPLOYEES[[#This Row],[EMPLOYEE NUMBER]]="","",IF(AND(T_EMPLOYEES[[#This Row],[DATE OF BIRTH]]&gt;0,T_EMPLOYEES[[#This Row],[DATE OF BIRTH]]&lt;TODAY()),0,1))</f>
        <v/>
      </c>
      <c r="AD483">
        <f>IF(T_EMPLOYEES[[#This Row],[EMPLOYEE NUMBER]]="","",IF(AND(T_EMPLOYEES[[#This Row],[START DATE]]&gt;0,T_EMPLOYEES[[#This Row],[START DATE]]&lt;TODAY()+60),0,1))</f>
        <v/>
      </c>
      <c r="AE483">
        <f>IF(T_EMPLOYEES[[#This Row],[EMPLOYEE NUMBER]]="","",MATCH(T_EMPLOYEES[[#This Row],[GENDER]],L_GENDER,0))</f>
        <v/>
      </c>
      <c r="AF483">
        <f>IF(T_EMPLOYEES[[#This Row],[EMPLOYEE NUMBER]]="","",MATCH(T_EMPLOYEES[[#This Row],[HIRE SOURCE]],L_HIRESOURCE,0))</f>
        <v/>
      </c>
      <c r="AG483">
        <f>IF(T_EMPLOYEES[[#This Row],[EMPLOYEE NUMBER]]="","",MATCH(T_EMPLOYEES[[#This Row],[ETHNICITY]],L_ETHNICITY,0))</f>
        <v/>
      </c>
      <c r="AH483">
        <f>IF(T_EMPLOYEES[[#This Row],[EMPLOYEE NUMBER]]="","",MATCH(T_EMPLOYEES[[#This Row],[LOCATION]],L_LOCATION,0))</f>
        <v/>
      </c>
      <c r="AI483">
        <f>IF(T_EMPLOYEES[[#This Row],[EMPLOYEE NUMBER]]="","",MATCH(T_EMPLOYEES[[#This Row],[DEPARTMENT]],L_DEPARTMENT,0))</f>
        <v/>
      </c>
      <c r="AJ483">
        <f>IF(T_EMPLOYEES[[#This Row],[EMPLOYEE NUMBER]]="","",MATCH(T_EMPLOYEES[[#This Row],[JOB TYPE]],L_JOBTYPE,0))</f>
        <v/>
      </c>
      <c r="AK483">
        <f>IF(T_EMPLOYEES[[#This Row],[EMPLOYEE NUMBER]]="","",MATCH(T_EMPLOYEES[[#This Row],[JOB CATEGORY]],L_JOBCATEGORY,0))</f>
        <v/>
      </c>
      <c r="AL483">
        <f>IF(T_EMPLOYEES[[#This Row],[EMPLOYEE NUMBER]]="","",MATCH(T_EMPLOYEES[[#This Row],[JOB LEVEL]],L_JOBLEVEL,0))</f>
        <v/>
      </c>
      <c r="AM483">
        <f>IF(T_EMPLOYEES[[#This Row],[EMPLOYEE NUMBER]]="","",MATCH(T_EMPLOYEES[[#This Row],[JOB TITLE]],L_JOBTITLE,0))</f>
        <v/>
      </c>
      <c r="AN483">
        <f>IF(T_EMPLOYEES[[#This Row],[EMPLOYEE NUMBER]]="","",MATCH(T_EMPLOYEES[[#This Row],[MANAGER]],L_EMPLABELS,0))</f>
        <v/>
      </c>
      <c r="AO483">
        <f>IF(T_EMPLOYEES[[#This Row],[EMPLOYEE NUMBER]]="","",IF(T_EMPLOYEES[[#This Row],[ERROR]]="",0,1))</f>
        <v/>
      </c>
      <c r="AP48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4">
      <c r="A484" t="inlineStr">
        <is>
          <t>Nadipalli</t>
        </is>
      </c>
      <c r="B484" t="inlineStr">
        <is>
          <t>Sireesha</t>
        </is>
      </c>
      <c r="C484" t="n">
        <v>1029905</v>
      </c>
      <c r="D484" t="inlineStr">
        <is>
          <t>Sireesha.Nadipalli@infinite.com</t>
        </is>
      </c>
      <c r="E484" s="26" t="n">
        <v>36646</v>
      </c>
      <c r="F484" s="26" t="n">
        <v>44791</v>
      </c>
      <c r="H484" t="inlineStr">
        <is>
          <t>Female</t>
        </is>
      </c>
      <c r="I484" t="inlineStr">
        <is>
          <t>Asian</t>
        </is>
      </c>
      <c r="J484" t="inlineStr">
        <is>
          <t>WEBSITE</t>
        </is>
      </c>
      <c r="K484" t="inlineStr">
        <is>
          <t>Hyderabad</t>
        </is>
      </c>
      <c r="L484" s="27" t="inlineStr">
        <is>
          <t>IT</t>
        </is>
      </c>
      <c r="M484" t="inlineStr">
        <is>
          <t>Full-Time</t>
        </is>
      </c>
      <c r="N484" t="inlineStr">
        <is>
          <t>Associate Software Engineer</t>
        </is>
      </c>
      <c r="O484" t="inlineStr">
        <is>
          <t>E1</t>
        </is>
      </c>
      <c r="P484" t="inlineStr">
        <is>
          <t>Associate Software Engineer</t>
        </is>
      </c>
      <c r="Q484" t="inlineStr">
        <is>
          <t>Shaik Jabeer Basha (1027017)</t>
        </is>
      </c>
      <c r="R484" s="27" t="n">
        <v>0</v>
      </c>
      <c r="S484" s="1" t="n">
        <v>1200000</v>
      </c>
      <c r="T484" s="1">
        <f>ROUND(T_EMPLOYEES[[#This Row],[EMP_CTC1]]/12, 0)</f>
        <v/>
      </c>
      <c r="U484" s="1" t="n">
        <v>1000000</v>
      </c>
      <c r="V484" s="1" t="inlineStr">
        <is>
          <t>ND</t>
        </is>
      </c>
      <c r="W484" s="1" t="inlineStr">
        <is>
          <t>ND</t>
        </is>
      </c>
      <c r="X48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4" t="n">
        <v>120000</v>
      </c>
      <c r="Z484" s="29">
        <f>(S484 - U484)/S484 * 100</f>
        <v/>
      </c>
      <c r="AA484">
        <f>IF(T_EMPLOYEES[[#This Row],[EMPLOYEE NUMBER]]="","",ROW(T_EMPLOYEES[[#This Row],[EMPLOYEE LABEL]])-ROW(T_EMPLOYEES[[#Headers],[EMPLOYEE LABEL]]))</f>
        <v/>
      </c>
      <c r="AB484">
        <f>IF(T_EMPLOYEES[[#This Row],[EMPLOYEE NUMBER]]="","",IF(COUNTIF(T_EMPLOYEES[EMPLOYEE NUMBER],T_EMPLOYEES[[#This Row],[EMPLOYEE NUMBER]])&gt;1,1,0))</f>
        <v/>
      </c>
      <c r="AC484">
        <f>IF(T_EMPLOYEES[[#This Row],[EMPLOYEE NUMBER]]="","",IF(AND(T_EMPLOYEES[[#This Row],[DATE OF BIRTH]]&gt;0,T_EMPLOYEES[[#This Row],[DATE OF BIRTH]]&lt;TODAY()),0,1))</f>
        <v/>
      </c>
      <c r="AD484">
        <f>IF(T_EMPLOYEES[[#This Row],[EMPLOYEE NUMBER]]="","",IF(AND(T_EMPLOYEES[[#This Row],[START DATE]]&gt;0,T_EMPLOYEES[[#This Row],[START DATE]]&lt;TODAY()+60),0,1))</f>
        <v/>
      </c>
      <c r="AE484">
        <f>IF(T_EMPLOYEES[[#This Row],[EMPLOYEE NUMBER]]="","",MATCH(T_EMPLOYEES[[#This Row],[GENDER]],L_GENDER,0))</f>
        <v/>
      </c>
      <c r="AF484">
        <f>IF(T_EMPLOYEES[[#This Row],[EMPLOYEE NUMBER]]="","",MATCH(T_EMPLOYEES[[#This Row],[HIRE SOURCE]],L_HIRESOURCE,0))</f>
        <v/>
      </c>
      <c r="AG484">
        <f>IF(T_EMPLOYEES[[#This Row],[EMPLOYEE NUMBER]]="","",MATCH(T_EMPLOYEES[[#This Row],[ETHNICITY]],L_ETHNICITY,0))</f>
        <v/>
      </c>
      <c r="AH484">
        <f>IF(T_EMPLOYEES[[#This Row],[EMPLOYEE NUMBER]]="","",MATCH(T_EMPLOYEES[[#This Row],[LOCATION]],L_LOCATION,0))</f>
        <v/>
      </c>
      <c r="AI484">
        <f>IF(T_EMPLOYEES[[#This Row],[EMPLOYEE NUMBER]]="","",MATCH(T_EMPLOYEES[[#This Row],[DEPARTMENT]],L_DEPARTMENT,0))</f>
        <v/>
      </c>
      <c r="AJ484">
        <f>IF(T_EMPLOYEES[[#This Row],[EMPLOYEE NUMBER]]="","",MATCH(T_EMPLOYEES[[#This Row],[JOB TYPE]],L_JOBTYPE,0))</f>
        <v/>
      </c>
      <c r="AK484">
        <f>IF(T_EMPLOYEES[[#This Row],[EMPLOYEE NUMBER]]="","",MATCH(T_EMPLOYEES[[#This Row],[JOB CATEGORY]],L_JOBCATEGORY,0))</f>
        <v/>
      </c>
      <c r="AL484">
        <f>IF(T_EMPLOYEES[[#This Row],[EMPLOYEE NUMBER]]="","",MATCH(T_EMPLOYEES[[#This Row],[JOB LEVEL]],L_JOBLEVEL,0))</f>
        <v/>
      </c>
      <c r="AM484">
        <f>IF(T_EMPLOYEES[[#This Row],[EMPLOYEE NUMBER]]="","",MATCH(T_EMPLOYEES[[#This Row],[JOB TITLE]],L_JOBTITLE,0))</f>
        <v/>
      </c>
      <c r="AN484">
        <f>IF(T_EMPLOYEES[[#This Row],[EMPLOYEE NUMBER]]="","",MATCH(T_EMPLOYEES[[#This Row],[MANAGER]],L_EMPLABELS,0))</f>
        <v/>
      </c>
      <c r="AO484">
        <f>IF(T_EMPLOYEES[[#This Row],[EMPLOYEE NUMBER]]="","",IF(T_EMPLOYEES[[#This Row],[ERROR]]="",0,1))</f>
        <v/>
      </c>
      <c r="AP48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5">
      <c r="A485" t="inlineStr">
        <is>
          <t>Enjam</t>
        </is>
      </c>
      <c r="B485" t="inlineStr">
        <is>
          <t xml:space="preserve"> Hari Krishna</t>
        </is>
      </c>
      <c r="C485" t="n">
        <v>1027418</v>
      </c>
      <c r="D485" t="inlineStr">
        <is>
          <t>Harikrishna.Enjam@infinite.com</t>
        </is>
      </c>
      <c r="E485" s="26" t="n">
        <v>36649</v>
      </c>
      <c r="F485" s="26" t="n">
        <v>44531</v>
      </c>
      <c r="H485" t="inlineStr">
        <is>
          <t>Male</t>
        </is>
      </c>
      <c r="I485" t="inlineStr">
        <is>
          <t>Asian</t>
        </is>
      </c>
      <c r="J485" t="inlineStr">
        <is>
          <t>WEBSITE</t>
        </is>
      </c>
      <c r="K485" t="inlineStr">
        <is>
          <t>Bangalore</t>
        </is>
      </c>
      <c r="L485" s="27" t="inlineStr">
        <is>
          <t>IT</t>
        </is>
      </c>
      <c r="M485" t="inlineStr">
        <is>
          <t>Full-Time</t>
        </is>
      </c>
      <c r="N485" t="inlineStr">
        <is>
          <t>Software Engineer</t>
        </is>
      </c>
      <c r="O485" t="inlineStr">
        <is>
          <t>E2</t>
        </is>
      </c>
      <c r="P485" t="inlineStr">
        <is>
          <t>Software Engineer</t>
        </is>
      </c>
      <c r="Q485" t="inlineStr">
        <is>
          <t>Joel Clifton Dsouza (1012233)</t>
        </is>
      </c>
      <c r="R485" t="n">
        <v>4</v>
      </c>
      <c r="S485" s="1" t="n">
        <v>1200000</v>
      </c>
      <c r="T485" s="1">
        <f>ROUND(T_EMPLOYEES[[#This Row],[EMP_CTC1]]/12, 0)</f>
        <v/>
      </c>
      <c r="U485" s="1" t="n">
        <v>1000000</v>
      </c>
      <c r="V485" s="1" t="inlineStr">
        <is>
          <t>ND</t>
        </is>
      </c>
      <c r="W485" s="1" t="inlineStr">
        <is>
          <t>ND</t>
        </is>
      </c>
      <c r="X48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5" t="n">
        <v>120000</v>
      </c>
      <c r="Z485" s="29">
        <f>(S485 - U485)/S485 * 100</f>
        <v/>
      </c>
      <c r="AA485">
        <f>IF(T_EMPLOYEES[[#This Row],[EMPLOYEE NUMBER]]="","",ROW(T_EMPLOYEES[[#This Row],[EMPLOYEE LABEL]])-ROW(T_EMPLOYEES[[#Headers],[EMPLOYEE LABEL]]))</f>
        <v/>
      </c>
      <c r="AB485">
        <f>IF(T_EMPLOYEES[[#This Row],[EMPLOYEE NUMBER]]="","",IF(COUNTIF(T_EMPLOYEES[EMPLOYEE NUMBER],T_EMPLOYEES[[#This Row],[EMPLOYEE NUMBER]])&gt;1,1,0))</f>
        <v/>
      </c>
      <c r="AC485">
        <f>IF(T_EMPLOYEES[[#This Row],[EMPLOYEE NUMBER]]="","",IF(AND(T_EMPLOYEES[[#This Row],[DATE OF BIRTH]]&gt;0,T_EMPLOYEES[[#This Row],[DATE OF BIRTH]]&lt;TODAY()),0,1))</f>
        <v/>
      </c>
      <c r="AD485">
        <f>IF(T_EMPLOYEES[[#This Row],[EMPLOYEE NUMBER]]="","",IF(AND(T_EMPLOYEES[[#This Row],[START DATE]]&gt;0,T_EMPLOYEES[[#This Row],[START DATE]]&lt;TODAY()+60),0,1))</f>
        <v/>
      </c>
      <c r="AE485">
        <f>IF(T_EMPLOYEES[[#This Row],[EMPLOYEE NUMBER]]="","",MATCH(T_EMPLOYEES[[#This Row],[GENDER]],L_GENDER,0))</f>
        <v/>
      </c>
      <c r="AF485">
        <f>IF(T_EMPLOYEES[[#This Row],[EMPLOYEE NUMBER]]="","",MATCH(T_EMPLOYEES[[#This Row],[HIRE SOURCE]],L_HIRESOURCE,0))</f>
        <v/>
      </c>
      <c r="AG485">
        <f>IF(T_EMPLOYEES[[#This Row],[EMPLOYEE NUMBER]]="","",MATCH(T_EMPLOYEES[[#This Row],[ETHNICITY]],L_ETHNICITY,0))</f>
        <v/>
      </c>
      <c r="AH485">
        <f>IF(T_EMPLOYEES[[#This Row],[EMPLOYEE NUMBER]]="","",MATCH(T_EMPLOYEES[[#This Row],[LOCATION]],L_LOCATION,0))</f>
        <v/>
      </c>
      <c r="AI485">
        <f>IF(T_EMPLOYEES[[#This Row],[EMPLOYEE NUMBER]]="","",MATCH(T_EMPLOYEES[[#This Row],[DEPARTMENT]],L_DEPARTMENT,0))</f>
        <v/>
      </c>
      <c r="AJ485">
        <f>IF(T_EMPLOYEES[[#This Row],[EMPLOYEE NUMBER]]="","",MATCH(T_EMPLOYEES[[#This Row],[JOB TYPE]],L_JOBTYPE,0))</f>
        <v/>
      </c>
      <c r="AK485">
        <f>IF(T_EMPLOYEES[[#This Row],[EMPLOYEE NUMBER]]="","",MATCH(T_EMPLOYEES[[#This Row],[JOB CATEGORY]],L_JOBCATEGORY,0))</f>
        <v/>
      </c>
      <c r="AL485">
        <f>IF(T_EMPLOYEES[[#This Row],[EMPLOYEE NUMBER]]="","",MATCH(T_EMPLOYEES[[#This Row],[JOB LEVEL]],L_JOBLEVEL,0))</f>
        <v/>
      </c>
      <c r="AM485">
        <f>IF(T_EMPLOYEES[[#This Row],[EMPLOYEE NUMBER]]="","",MATCH(T_EMPLOYEES[[#This Row],[JOB TITLE]],L_JOBTITLE,0))</f>
        <v/>
      </c>
      <c r="AN485">
        <f>IF(T_EMPLOYEES[[#This Row],[EMPLOYEE NUMBER]]="","",MATCH(T_EMPLOYEES[[#This Row],[MANAGER]],L_EMPLABELS,0))</f>
        <v/>
      </c>
      <c r="AO485">
        <f>IF(T_EMPLOYEES[[#This Row],[EMPLOYEE NUMBER]]="","",IF(T_EMPLOYEES[[#This Row],[ERROR]]="",0,1))</f>
        <v/>
      </c>
      <c r="AP48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6">
      <c r="A486" t="inlineStr">
        <is>
          <t>Sachin</t>
        </is>
      </c>
      <c r="B486" t="inlineStr">
        <is>
          <t xml:space="preserve"> Pandey</t>
        </is>
      </c>
      <c r="C486" t="n">
        <v>1029872</v>
      </c>
      <c r="D486" t="inlineStr">
        <is>
          <t>Sachin.Pandey@infinite.com</t>
        </is>
      </c>
      <c r="E486" s="26" t="n">
        <v>36649</v>
      </c>
      <c r="F486" s="26" t="n">
        <v>44791</v>
      </c>
      <c r="H486" t="inlineStr">
        <is>
          <t>Male</t>
        </is>
      </c>
      <c r="I486" t="inlineStr">
        <is>
          <t>Asian</t>
        </is>
      </c>
      <c r="J486" t="inlineStr">
        <is>
          <t>WEBSITE</t>
        </is>
      </c>
      <c r="K486" t="inlineStr">
        <is>
          <t>Bangalore</t>
        </is>
      </c>
      <c r="L486" s="27" t="inlineStr">
        <is>
          <t>Core</t>
        </is>
      </c>
      <c r="M486" t="inlineStr">
        <is>
          <t>Full-Time</t>
        </is>
      </c>
      <c r="N486" t="inlineStr">
        <is>
          <t>Associate Software Engineer</t>
        </is>
      </c>
      <c r="O486" t="inlineStr">
        <is>
          <t>E1</t>
        </is>
      </c>
      <c r="P486" t="inlineStr">
        <is>
          <t>Associate Software Engineer</t>
        </is>
      </c>
      <c r="Q486" t="inlineStr">
        <is>
          <t>Dipakbhai Motibhai Tandel (1027230)</t>
        </is>
      </c>
      <c r="R486" s="27" t="n">
        <v>0</v>
      </c>
      <c r="S486" s="1" t="n">
        <v>1200000</v>
      </c>
      <c r="T486" s="1">
        <f>ROUND(T_EMPLOYEES[[#This Row],[EMP_CTC1]]/12, 0)</f>
        <v/>
      </c>
      <c r="U486" s="1" t="n">
        <v>1000000</v>
      </c>
      <c r="V486" s="1" t="inlineStr">
        <is>
          <t>ND</t>
        </is>
      </c>
      <c r="W486" s="1" t="inlineStr">
        <is>
          <t>ND</t>
        </is>
      </c>
      <c r="X48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6" t="n">
        <v>120000</v>
      </c>
      <c r="Z486" s="29">
        <f>(S486 - U486)/S486 * 100</f>
        <v/>
      </c>
      <c r="AA486">
        <f>IF(T_EMPLOYEES[[#This Row],[EMPLOYEE NUMBER]]="","",ROW(T_EMPLOYEES[[#This Row],[EMPLOYEE LABEL]])-ROW(T_EMPLOYEES[[#Headers],[EMPLOYEE LABEL]]))</f>
        <v/>
      </c>
      <c r="AB486">
        <f>IF(T_EMPLOYEES[[#This Row],[EMPLOYEE NUMBER]]="","",IF(COUNTIF(T_EMPLOYEES[EMPLOYEE NUMBER],T_EMPLOYEES[[#This Row],[EMPLOYEE NUMBER]])&gt;1,1,0))</f>
        <v/>
      </c>
      <c r="AC486">
        <f>IF(T_EMPLOYEES[[#This Row],[EMPLOYEE NUMBER]]="","",IF(AND(T_EMPLOYEES[[#This Row],[DATE OF BIRTH]]&gt;0,T_EMPLOYEES[[#This Row],[DATE OF BIRTH]]&lt;TODAY()),0,1))</f>
        <v/>
      </c>
      <c r="AD486">
        <f>IF(T_EMPLOYEES[[#This Row],[EMPLOYEE NUMBER]]="","",IF(AND(T_EMPLOYEES[[#This Row],[START DATE]]&gt;0,T_EMPLOYEES[[#This Row],[START DATE]]&lt;TODAY()+60),0,1))</f>
        <v/>
      </c>
      <c r="AE486">
        <f>IF(T_EMPLOYEES[[#This Row],[EMPLOYEE NUMBER]]="","",MATCH(T_EMPLOYEES[[#This Row],[GENDER]],L_GENDER,0))</f>
        <v/>
      </c>
      <c r="AF486">
        <f>IF(T_EMPLOYEES[[#This Row],[EMPLOYEE NUMBER]]="","",MATCH(T_EMPLOYEES[[#This Row],[HIRE SOURCE]],L_HIRESOURCE,0))</f>
        <v/>
      </c>
      <c r="AG486">
        <f>IF(T_EMPLOYEES[[#This Row],[EMPLOYEE NUMBER]]="","",MATCH(T_EMPLOYEES[[#This Row],[ETHNICITY]],L_ETHNICITY,0))</f>
        <v/>
      </c>
      <c r="AH486">
        <f>IF(T_EMPLOYEES[[#This Row],[EMPLOYEE NUMBER]]="","",MATCH(T_EMPLOYEES[[#This Row],[LOCATION]],L_LOCATION,0))</f>
        <v/>
      </c>
      <c r="AI486">
        <f>IF(T_EMPLOYEES[[#This Row],[EMPLOYEE NUMBER]]="","",MATCH(T_EMPLOYEES[[#This Row],[DEPARTMENT]],L_DEPARTMENT,0))</f>
        <v/>
      </c>
      <c r="AJ486">
        <f>IF(T_EMPLOYEES[[#This Row],[EMPLOYEE NUMBER]]="","",MATCH(T_EMPLOYEES[[#This Row],[JOB TYPE]],L_JOBTYPE,0))</f>
        <v/>
      </c>
      <c r="AK486">
        <f>IF(T_EMPLOYEES[[#This Row],[EMPLOYEE NUMBER]]="","",MATCH(T_EMPLOYEES[[#This Row],[JOB CATEGORY]],L_JOBCATEGORY,0))</f>
        <v/>
      </c>
      <c r="AL486">
        <f>IF(T_EMPLOYEES[[#This Row],[EMPLOYEE NUMBER]]="","",MATCH(T_EMPLOYEES[[#This Row],[JOB LEVEL]],L_JOBLEVEL,0))</f>
        <v/>
      </c>
      <c r="AM486">
        <f>IF(T_EMPLOYEES[[#This Row],[EMPLOYEE NUMBER]]="","",MATCH(T_EMPLOYEES[[#This Row],[JOB TITLE]],L_JOBTITLE,0))</f>
        <v/>
      </c>
      <c r="AN486">
        <f>IF(T_EMPLOYEES[[#This Row],[EMPLOYEE NUMBER]]="","",MATCH(T_EMPLOYEES[[#This Row],[MANAGER]],L_EMPLABELS,0))</f>
        <v/>
      </c>
      <c r="AO486">
        <f>IF(T_EMPLOYEES[[#This Row],[EMPLOYEE NUMBER]]="","",IF(T_EMPLOYEES[[#This Row],[ERROR]]="",0,1))</f>
        <v/>
      </c>
      <c r="AP48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7">
      <c r="A487" t="inlineStr">
        <is>
          <t>Shailendra</t>
        </is>
      </c>
      <c r="B487" t="inlineStr">
        <is>
          <t>Kumar Bharti</t>
        </is>
      </c>
      <c r="C487" t="n">
        <v>1033270</v>
      </c>
      <c r="D487" t="inlineStr">
        <is>
          <t>Shailendrakumar.Bharti@infinite.com</t>
        </is>
      </c>
      <c r="E487" s="26" t="n">
        <v>36650</v>
      </c>
      <c r="F487" s="26" t="n">
        <v>45155</v>
      </c>
      <c r="H487" t="inlineStr">
        <is>
          <t>Male</t>
        </is>
      </c>
      <c r="I487" t="inlineStr">
        <is>
          <t>Asian</t>
        </is>
      </c>
      <c r="J487" t="inlineStr">
        <is>
          <t>WEBSITE</t>
        </is>
      </c>
      <c r="K487" t="inlineStr">
        <is>
          <t>Hyderabad</t>
        </is>
      </c>
      <c r="L487" s="27" t="inlineStr">
        <is>
          <t>Core</t>
        </is>
      </c>
      <c r="M487" t="inlineStr">
        <is>
          <t>Full-Time</t>
        </is>
      </c>
      <c r="N487" t="inlineStr">
        <is>
          <t>Associate Software Engineer</t>
        </is>
      </c>
      <c r="O487" t="inlineStr">
        <is>
          <t>E1</t>
        </is>
      </c>
      <c r="P487" t="inlineStr">
        <is>
          <t>Associate Software Engineer</t>
        </is>
      </c>
      <c r="Q487" t="inlineStr">
        <is>
          <t>Dipakbhai Motibhai Tandel (1027230)</t>
        </is>
      </c>
      <c r="R487" t="n">
        <v>0</v>
      </c>
      <c r="S487" s="1" t="n">
        <v>1200000</v>
      </c>
      <c r="T487" s="1">
        <f>ROUND(T_EMPLOYEES[[#This Row],[EMP_CTC1]]/12, 0)</f>
        <v/>
      </c>
      <c r="U487" s="1" t="n">
        <v>1000000</v>
      </c>
      <c r="V487" s="1" t="inlineStr">
        <is>
          <t>ND</t>
        </is>
      </c>
      <c r="W487" s="1" t="inlineStr">
        <is>
          <t>ND</t>
        </is>
      </c>
      <c r="X48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7" t="n">
        <v>120000</v>
      </c>
      <c r="Z487" s="29">
        <f>(S487 - U487)/S487 * 100</f>
        <v/>
      </c>
      <c r="AA487">
        <f>IF(T_EMPLOYEES[[#This Row],[EMPLOYEE NUMBER]]="","",ROW(T_EMPLOYEES[[#This Row],[EMPLOYEE LABEL]])-ROW(T_EMPLOYEES[[#Headers],[EMPLOYEE LABEL]]))</f>
        <v/>
      </c>
      <c r="AB487">
        <f>IF(T_EMPLOYEES[[#This Row],[EMPLOYEE NUMBER]]="","",IF(COUNTIF(T_EMPLOYEES[EMPLOYEE NUMBER],T_EMPLOYEES[[#This Row],[EMPLOYEE NUMBER]])&gt;1,1,0))</f>
        <v/>
      </c>
      <c r="AC487">
        <f>IF(T_EMPLOYEES[[#This Row],[EMPLOYEE NUMBER]]="","",IF(AND(T_EMPLOYEES[[#This Row],[DATE OF BIRTH]]&gt;0,T_EMPLOYEES[[#This Row],[DATE OF BIRTH]]&lt;TODAY()),0,1))</f>
        <v/>
      </c>
      <c r="AD487">
        <f>IF(T_EMPLOYEES[[#This Row],[EMPLOYEE NUMBER]]="","",IF(AND(T_EMPLOYEES[[#This Row],[START DATE]]&gt;0,T_EMPLOYEES[[#This Row],[START DATE]]&lt;TODAY()+60),0,1))</f>
        <v/>
      </c>
      <c r="AE487">
        <f>IF(T_EMPLOYEES[[#This Row],[EMPLOYEE NUMBER]]="","",MATCH(T_EMPLOYEES[[#This Row],[GENDER]],L_GENDER,0))</f>
        <v/>
      </c>
      <c r="AF487">
        <f>IF(T_EMPLOYEES[[#This Row],[EMPLOYEE NUMBER]]="","",MATCH(T_EMPLOYEES[[#This Row],[HIRE SOURCE]],L_HIRESOURCE,0))</f>
        <v/>
      </c>
      <c r="AG487">
        <f>IF(T_EMPLOYEES[[#This Row],[EMPLOYEE NUMBER]]="","",MATCH(T_EMPLOYEES[[#This Row],[ETHNICITY]],L_ETHNICITY,0))</f>
        <v/>
      </c>
      <c r="AH487">
        <f>IF(T_EMPLOYEES[[#This Row],[EMPLOYEE NUMBER]]="","",MATCH(T_EMPLOYEES[[#This Row],[LOCATION]],L_LOCATION,0))</f>
        <v/>
      </c>
      <c r="AI487">
        <f>IF(T_EMPLOYEES[[#This Row],[EMPLOYEE NUMBER]]="","",MATCH(T_EMPLOYEES[[#This Row],[DEPARTMENT]],L_DEPARTMENT,0))</f>
        <v/>
      </c>
      <c r="AJ487">
        <f>IF(T_EMPLOYEES[[#This Row],[EMPLOYEE NUMBER]]="","",MATCH(T_EMPLOYEES[[#This Row],[JOB TYPE]],L_JOBTYPE,0))</f>
        <v/>
      </c>
      <c r="AK487">
        <f>IF(T_EMPLOYEES[[#This Row],[EMPLOYEE NUMBER]]="","",MATCH(T_EMPLOYEES[[#This Row],[JOB CATEGORY]],L_JOBCATEGORY,0))</f>
        <v/>
      </c>
      <c r="AL487">
        <f>IF(T_EMPLOYEES[[#This Row],[EMPLOYEE NUMBER]]="","",MATCH(T_EMPLOYEES[[#This Row],[JOB LEVEL]],L_JOBLEVEL,0))</f>
        <v/>
      </c>
      <c r="AM487">
        <f>IF(T_EMPLOYEES[[#This Row],[EMPLOYEE NUMBER]]="","",MATCH(T_EMPLOYEES[[#This Row],[JOB TITLE]],L_JOBTITLE,0))</f>
        <v/>
      </c>
      <c r="AN487">
        <f>IF(T_EMPLOYEES[[#This Row],[EMPLOYEE NUMBER]]="","",MATCH(T_EMPLOYEES[[#This Row],[MANAGER]],L_EMPLABELS,0))</f>
        <v/>
      </c>
      <c r="AO487">
        <f>IF(T_EMPLOYEES[[#This Row],[EMPLOYEE NUMBER]]="","",IF(T_EMPLOYEES[[#This Row],[ERROR]]="",0,1))</f>
        <v/>
      </c>
      <c r="AP48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8">
      <c r="A488" t="inlineStr">
        <is>
          <t>Gorle</t>
        </is>
      </c>
      <c r="B488" t="inlineStr">
        <is>
          <t>Lakshmi Venkata Sravani</t>
        </is>
      </c>
      <c r="C488" t="n">
        <v>1027417</v>
      </c>
      <c r="D488" t="inlineStr">
        <is>
          <t>Sravani.Gorle@infinite.com</t>
        </is>
      </c>
      <c r="E488" s="26" t="n">
        <v>36671</v>
      </c>
      <c r="F488" s="26" t="n">
        <v>44531</v>
      </c>
      <c r="H488" t="inlineStr">
        <is>
          <t>Female</t>
        </is>
      </c>
      <c r="I488" t="inlineStr">
        <is>
          <t>Asian</t>
        </is>
      </c>
      <c r="J488" t="inlineStr">
        <is>
          <t>WEBSITE</t>
        </is>
      </c>
      <c r="K488" t="inlineStr">
        <is>
          <t>Bangalore</t>
        </is>
      </c>
      <c r="L488" s="27" t="inlineStr">
        <is>
          <t>Core</t>
        </is>
      </c>
      <c r="M488" t="inlineStr">
        <is>
          <t>Full-Time</t>
        </is>
      </c>
      <c r="N488" t="inlineStr">
        <is>
          <t>Associate Software Engineer</t>
        </is>
      </c>
      <c r="O488" t="inlineStr">
        <is>
          <t>E1</t>
        </is>
      </c>
      <c r="P488" t="inlineStr">
        <is>
          <t>Associate Software Engineer</t>
        </is>
      </c>
      <c r="Q488" t="inlineStr">
        <is>
          <t>Dipakbhai Motibhai Tandel (1027230)</t>
        </is>
      </c>
      <c r="R488" s="27" t="n">
        <v>0</v>
      </c>
      <c r="S488" s="1" t="n">
        <v>1200000</v>
      </c>
      <c r="T488" s="1">
        <f>ROUND(T_EMPLOYEES[[#This Row],[EMP_CTC1]]/12, 0)</f>
        <v/>
      </c>
      <c r="U488" s="1" t="n">
        <v>1000000</v>
      </c>
      <c r="V488" s="1" t="inlineStr">
        <is>
          <t>ND</t>
        </is>
      </c>
      <c r="W488" s="1" t="inlineStr">
        <is>
          <t>ND</t>
        </is>
      </c>
      <c r="X48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8" t="n">
        <v>120000</v>
      </c>
      <c r="Z488" s="29">
        <f>(S488 - U488)/S488 * 100</f>
        <v/>
      </c>
      <c r="AA488">
        <f>IF(T_EMPLOYEES[[#This Row],[EMPLOYEE NUMBER]]="","",ROW(T_EMPLOYEES[[#This Row],[EMPLOYEE LABEL]])-ROW(T_EMPLOYEES[[#Headers],[EMPLOYEE LABEL]]))</f>
        <v/>
      </c>
      <c r="AB488">
        <f>IF(T_EMPLOYEES[[#This Row],[EMPLOYEE NUMBER]]="","",IF(COUNTIF(T_EMPLOYEES[EMPLOYEE NUMBER],T_EMPLOYEES[[#This Row],[EMPLOYEE NUMBER]])&gt;1,1,0))</f>
        <v/>
      </c>
      <c r="AC488">
        <f>IF(T_EMPLOYEES[[#This Row],[EMPLOYEE NUMBER]]="","",IF(AND(T_EMPLOYEES[[#This Row],[DATE OF BIRTH]]&gt;0,T_EMPLOYEES[[#This Row],[DATE OF BIRTH]]&lt;TODAY()),0,1))</f>
        <v/>
      </c>
      <c r="AD488">
        <f>IF(T_EMPLOYEES[[#This Row],[EMPLOYEE NUMBER]]="","",IF(AND(T_EMPLOYEES[[#This Row],[START DATE]]&gt;0,T_EMPLOYEES[[#This Row],[START DATE]]&lt;TODAY()+60),0,1))</f>
        <v/>
      </c>
      <c r="AE488">
        <f>IF(T_EMPLOYEES[[#This Row],[EMPLOYEE NUMBER]]="","",MATCH(T_EMPLOYEES[[#This Row],[GENDER]],L_GENDER,0))</f>
        <v/>
      </c>
      <c r="AF488">
        <f>IF(T_EMPLOYEES[[#This Row],[EMPLOYEE NUMBER]]="","",MATCH(T_EMPLOYEES[[#This Row],[HIRE SOURCE]],L_HIRESOURCE,0))</f>
        <v/>
      </c>
      <c r="AG488">
        <f>IF(T_EMPLOYEES[[#This Row],[EMPLOYEE NUMBER]]="","",MATCH(T_EMPLOYEES[[#This Row],[ETHNICITY]],L_ETHNICITY,0))</f>
        <v/>
      </c>
      <c r="AH488">
        <f>IF(T_EMPLOYEES[[#This Row],[EMPLOYEE NUMBER]]="","",MATCH(T_EMPLOYEES[[#This Row],[LOCATION]],L_LOCATION,0))</f>
        <v/>
      </c>
      <c r="AI488">
        <f>IF(T_EMPLOYEES[[#This Row],[EMPLOYEE NUMBER]]="","",MATCH(T_EMPLOYEES[[#This Row],[DEPARTMENT]],L_DEPARTMENT,0))</f>
        <v/>
      </c>
      <c r="AJ488">
        <f>IF(T_EMPLOYEES[[#This Row],[EMPLOYEE NUMBER]]="","",MATCH(T_EMPLOYEES[[#This Row],[JOB TYPE]],L_JOBTYPE,0))</f>
        <v/>
      </c>
      <c r="AK488">
        <f>IF(T_EMPLOYEES[[#This Row],[EMPLOYEE NUMBER]]="","",MATCH(T_EMPLOYEES[[#This Row],[JOB CATEGORY]],L_JOBCATEGORY,0))</f>
        <v/>
      </c>
      <c r="AL488">
        <f>IF(T_EMPLOYEES[[#This Row],[EMPLOYEE NUMBER]]="","",MATCH(T_EMPLOYEES[[#This Row],[JOB LEVEL]],L_JOBLEVEL,0))</f>
        <v/>
      </c>
      <c r="AM488">
        <f>IF(T_EMPLOYEES[[#This Row],[EMPLOYEE NUMBER]]="","",MATCH(T_EMPLOYEES[[#This Row],[JOB TITLE]],L_JOBTITLE,0))</f>
        <v/>
      </c>
      <c r="AN488">
        <f>IF(T_EMPLOYEES[[#This Row],[EMPLOYEE NUMBER]]="","",MATCH(T_EMPLOYEES[[#This Row],[MANAGER]],L_EMPLABELS,0))</f>
        <v/>
      </c>
      <c r="AO488">
        <f>IF(T_EMPLOYEES[[#This Row],[EMPLOYEE NUMBER]]="","",IF(T_EMPLOYEES[[#This Row],[ERROR]]="",0,1))</f>
        <v/>
      </c>
      <c r="AP48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89">
      <c r="A489" t="inlineStr">
        <is>
          <t>ABHISEK</t>
        </is>
      </c>
      <c r="B489" t="inlineStr">
        <is>
          <t xml:space="preserve"> SARANGI</t>
        </is>
      </c>
      <c r="C489" t="n">
        <v>1029782</v>
      </c>
      <c r="D489" t="inlineStr">
        <is>
          <t>Abhisek.Sarangi@infinite.com</t>
        </is>
      </c>
      <c r="E489" s="26" t="n">
        <v>36678</v>
      </c>
      <c r="F489" s="26" t="n">
        <v>44783</v>
      </c>
      <c r="H489" t="inlineStr">
        <is>
          <t>Male</t>
        </is>
      </c>
      <c r="I489" t="inlineStr">
        <is>
          <t>Asian</t>
        </is>
      </c>
      <c r="J489" t="inlineStr">
        <is>
          <t>WEBSITE</t>
        </is>
      </c>
      <c r="K489" t="inlineStr">
        <is>
          <t>Bangalore</t>
        </is>
      </c>
      <c r="L489" s="27" t="inlineStr">
        <is>
          <t>Core</t>
        </is>
      </c>
      <c r="M489" t="inlineStr">
        <is>
          <t>Full-Time</t>
        </is>
      </c>
      <c r="N489" t="inlineStr">
        <is>
          <t>Associate Software Engineer</t>
        </is>
      </c>
      <c r="O489" t="inlineStr">
        <is>
          <t>E1</t>
        </is>
      </c>
      <c r="P489" t="inlineStr">
        <is>
          <t>Associate Software Engineer</t>
        </is>
      </c>
      <c r="Q489" t="inlineStr">
        <is>
          <t>Kishore Kumar N (1019765)</t>
        </is>
      </c>
      <c r="R489" t="n">
        <v>0</v>
      </c>
      <c r="S489" s="1" t="n">
        <v>1200000</v>
      </c>
      <c r="T489" s="1">
        <f>ROUND(T_EMPLOYEES[[#This Row],[EMP_CTC1]]/12, 0)</f>
        <v/>
      </c>
      <c r="U489" s="1" t="n">
        <v>1000000</v>
      </c>
      <c r="V489" s="1" t="inlineStr">
        <is>
          <t>ND</t>
        </is>
      </c>
      <c r="W489" s="1" t="inlineStr">
        <is>
          <t>ND</t>
        </is>
      </c>
      <c r="X48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89" t="n">
        <v>120000</v>
      </c>
      <c r="Z489" s="29">
        <f>(S489 - U489)/S489 * 100</f>
        <v/>
      </c>
      <c r="AA489">
        <f>IF(T_EMPLOYEES[[#This Row],[EMPLOYEE NUMBER]]="","",ROW(T_EMPLOYEES[[#This Row],[EMPLOYEE LABEL]])-ROW(T_EMPLOYEES[[#Headers],[EMPLOYEE LABEL]]))</f>
        <v/>
      </c>
      <c r="AB489">
        <f>IF(T_EMPLOYEES[[#This Row],[EMPLOYEE NUMBER]]="","",IF(COUNTIF(T_EMPLOYEES[EMPLOYEE NUMBER],T_EMPLOYEES[[#This Row],[EMPLOYEE NUMBER]])&gt;1,1,0))</f>
        <v/>
      </c>
      <c r="AC489">
        <f>IF(T_EMPLOYEES[[#This Row],[EMPLOYEE NUMBER]]="","",IF(AND(T_EMPLOYEES[[#This Row],[DATE OF BIRTH]]&gt;0,T_EMPLOYEES[[#This Row],[DATE OF BIRTH]]&lt;TODAY()),0,1))</f>
        <v/>
      </c>
      <c r="AD489">
        <f>IF(T_EMPLOYEES[[#This Row],[EMPLOYEE NUMBER]]="","",IF(AND(T_EMPLOYEES[[#This Row],[START DATE]]&gt;0,T_EMPLOYEES[[#This Row],[START DATE]]&lt;TODAY()+60),0,1))</f>
        <v/>
      </c>
      <c r="AE489">
        <f>IF(T_EMPLOYEES[[#This Row],[EMPLOYEE NUMBER]]="","",MATCH(T_EMPLOYEES[[#This Row],[GENDER]],L_GENDER,0))</f>
        <v/>
      </c>
      <c r="AF489">
        <f>IF(T_EMPLOYEES[[#This Row],[EMPLOYEE NUMBER]]="","",MATCH(T_EMPLOYEES[[#This Row],[HIRE SOURCE]],L_HIRESOURCE,0))</f>
        <v/>
      </c>
      <c r="AG489">
        <f>IF(T_EMPLOYEES[[#This Row],[EMPLOYEE NUMBER]]="","",MATCH(T_EMPLOYEES[[#This Row],[ETHNICITY]],L_ETHNICITY,0))</f>
        <v/>
      </c>
      <c r="AH489">
        <f>IF(T_EMPLOYEES[[#This Row],[EMPLOYEE NUMBER]]="","",MATCH(T_EMPLOYEES[[#This Row],[LOCATION]],L_LOCATION,0))</f>
        <v/>
      </c>
      <c r="AI489">
        <f>IF(T_EMPLOYEES[[#This Row],[EMPLOYEE NUMBER]]="","",MATCH(T_EMPLOYEES[[#This Row],[DEPARTMENT]],L_DEPARTMENT,0))</f>
        <v/>
      </c>
      <c r="AJ489">
        <f>IF(T_EMPLOYEES[[#This Row],[EMPLOYEE NUMBER]]="","",MATCH(T_EMPLOYEES[[#This Row],[JOB TYPE]],L_JOBTYPE,0))</f>
        <v/>
      </c>
      <c r="AK489">
        <f>IF(T_EMPLOYEES[[#This Row],[EMPLOYEE NUMBER]]="","",MATCH(T_EMPLOYEES[[#This Row],[JOB CATEGORY]],L_JOBCATEGORY,0))</f>
        <v/>
      </c>
      <c r="AL489">
        <f>IF(T_EMPLOYEES[[#This Row],[EMPLOYEE NUMBER]]="","",MATCH(T_EMPLOYEES[[#This Row],[JOB LEVEL]],L_JOBLEVEL,0))</f>
        <v/>
      </c>
      <c r="AM489">
        <f>IF(T_EMPLOYEES[[#This Row],[EMPLOYEE NUMBER]]="","",MATCH(T_EMPLOYEES[[#This Row],[JOB TITLE]],L_JOBTITLE,0))</f>
        <v/>
      </c>
      <c r="AN489">
        <f>IF(T_EMPLOYEES[[#This Row],[EMPLOYEE NUMBER]]="","",MATCH(T_EMPLOYEES[[#This Row],[MANAGER]],L_EMPLABELS,0))</f>
        <v/>
      </c>
      <c r="AO489">
        <f>IF(T_EMPLOYEES[[#This Row],[EMPLOYEE NUMBER]]="","",IF(T_EMPLOYEES[[#This Row],[ERROR]]="",0,1))</f>
        <v/>
      </c>
      <c r="AP48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0">
      <c r="A490" t="inlineStr">
        <is>
          <t>Santhosh</t>
        </is>
      </c>
      <c r="B490" t="inlineStr">
        <is>
          <t>Kumar M S</t>
        </is>
      </c>
      <c r="C490" t="n">
        <v>1026165</v>
      </c>
      <c r="D490" t="inlineStr">
        <is>
          <t>Santhosh.Kumar3@infinite.com</t>
        </is>
      </c>
      <c r="E490" s="26" t="n">
        <v>36680</v>
      </c>
      <c r="F490" s="26" t="n">
        <v>44425</v>
      </c>
      <c r="H490" t="inlineStr">
        <is>
          <t>Male</t>
        </is>
      </c>
      <c r="I490" t="inlineStr">
        <is>
          <t>Asian</t>
        </is>
      </c>
      <c r="J490" t="inlineStr">
        <is>
          <t>WEBSITE</t>
        </is>
      </c>
      <c r="K490" t="inlineStr">
        <is>
          <t>Bangalore</t>
        </is>
      </c>
      <c r="L490" s="27" t="inlineStr">
        <is>
          <t>IT</t>
        </is>
      </c>
      <c r="M490" t="inlineStr">
        <is>
          <t>Full-Time</t>
        </is>
      </c>
      <c r="N490" t="inlineStr">
        <is>
          <t>Software Engineer</t>
        </is>
      </c>
      <c r="O490" t="inlineStr">
        <is>
          <t>E2</t>
        </is>
      </c>
      <c r="P490" t="inlineStr">
        <is>
          <t>Software Engineer</t>
        </is>
      </c>
      <c r="Q490" t="inlineStr">
        <is>
          <t>D N Rajesh (1028375)</t>
        </is>
      </c>
      <c r="R490" s="27" t="n">
        <v>4</v>
      </c>
      <c r="S490" s="1" t="n">
        <v>1200000</v>
      </c>
      <c r="T490" s="1">
        <f>ROUND(T_EMPLOYEES[[#This Row],[EMP_CTC1]]/12, 0)</f>
        <v/>
      </c>
      <c r="U490" s="1" t="n">
        <v>1000000</v>
      </c>
      <c r="V490" s="1" t="inlineStr">
        <is>
          <t>ND</t>
        </is>
      </c>
      <c r="W490" s="1" t="inlineStr">
        <is>
          <t>ND</t>
        </is>
      </c>
      <c r="X49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0" t="n">
        <v>120000</v>
      </c>
      <c r="Z490" s="29">
        <f>(S490 - U490)/S490 * 100</f>
        <v/>
      </c>
      <c r="AA490">
        <f>IF(T_EMPLOYEES[[#This Row],[EMPLOYEE NUMBER]]="","",ROW(T_EMPLOYEES[[#This Row],[EMPLOYEE LABEL]])-ROW(T_EMPLOYEES[[#Headers],[EMPLOYEE LABEL]]))</f>
        <v/>
      </c>
      <c r="AB490">
        <f>IF(T_EMPLOYEES[[#This Row],[EMPLOYEE NUMBER]]="","",IF(COUNTIF(T_EMPLOYEES[EMPLOYEE NUMBER],T_EMPLOYEES[[#This Row],[EMPLOYEE NUMBER]])&gt;1,1,0))</f>
        <v/>
      </c>
      <c r="AC490">
        <f>IF(T_EMPLOYEES[[#This Row],[EMPLOYEE NUMBER]]="","",IF(AND(T_EMPLOYEES[[#This Row],[DATE OF BIRTH]]&gt;0,T_EMPLOYEES[[#This Row],[DATE OF BIRTH]]&lt;TODAY()),0,1))</f>
        <v/>
      </c>
      <c r="AD490">
        <f>IF(T_EMPLOYEES[[#This Row],[EMPLOYEE NUMBER]]="","",IF(AND(T_EMPLOYEES[[#This Row],[START DATE]]&gt;0,T_EMPLOYEES[[#This Row],[START DATE]]&lt;TODAY()+60),0,1))</f>
        <v/>
      </c>
      <c r="AE490">
        <f>IF(T_EMPLOYEES[[#This Row],[EMPLOYEE NUMBER]]="","",MATCH(T_EMPLOYEES[[#This Row],[GENDER]],L_GENDER,0))</f>
        <v/>
      </c>
      <c r="AF490">
        <f>IF(T_EMPLOYEES[[#This Row],[EMPLOYEE NUMBER]]="","",MATCH(T_EMPLOYEES[[#This Row],[HIRE SOURCE]],L_HIRESOURCE,0))</f>
        <v/>
      </c>
      <c r="AG490">
        <f>IF(T_EMPLOYEES[[#This Row],[EMPLOYEE NUMBER]]="","",MATCH(T_EMPLOYEES[[#This Row],[ETHNICITY]],L_ETHNICITY,0))</f>
        <v/>
      </c>
      <c r="AH490">
        <f>IF(T_EMPLOYEES[[#This Row],[EMPLOYEE NUMBER]]="","",MATCH(T_EMPLOYEES[[#This Row],[LOCATION]],L_LOCATION,0))</f>
        <v/>
      </c>
      <c r="AI490">
        <f>IF(T_EMPLOYEES[[#This Row],[EMPLOYEE NUMBER]]="","",MATCH(T_EMPLOYEES[[#This Row],[DEPARTMENT]],L_DEPARTMENT,0))</f>
        <v/>
      </c>
      <c r="AJ490">
        <f>IF(T_EMPLOYEES[[#This Row],[EMPLOYEE NUMBER]]="","",MATCH(T_EMPLOYEES[[#This Row],[JOB TYPE]],L_JOBTYPE,0))</f>
        <v/>
      </c>
      <c r="AK490">
        <f>IF(T_EMPLOYEES[[#This Row],[EMPLOYEE NUMBER]]="","",MATCH(T_EMPLOYEES[[#This Row],[JOB CATEGORY]],L_JOBCATEGORY,0))</f>
        <v/>
      </c>
      <c r="AL490">
        <f>IF(T_EMPLOYEES[[#This Row],[EMPLOYEE NUMBER]]="","",MATCH(T_EMPLOYEES[[#This Row],[JOB LEVEL]],L_JOBLEVEL,0))</f>
        <v/>
      </c>
      <c r="AM490">
        <f>IF(T_EMPLOYEES[[#This Row],[EMPLOYEE NUMBER]]="","",MATCH(T_EMPLOYEES[[#This Row],[JOB TITLE]],L_JOBTITLE,0))</f>
        <v/>
      </c>
      <c r="AN490">
        <f>IF(T_EMPLOYEES[[#This Row],[EMPLOYEE NUMBER]]="","",MATCH(T_EMPLOYEES[[#This Row],[MANAGER]],L_EMPLABELS,0))</f>
        <v/>
      </c>
      <c r="AO490">
        <f>IF(T_EMPLOYEES[[#This Row],[EMPLOYEE NUMBER]]="","",IF(T_EMPLOYEES[[#This Row],[ERROR]]="",0,1))</f>
        <v/>
      </c>
      <c r="AP49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1">
      <c r="A491" t="inlineStr">
        <is>
          <t>Chilukuri</t>
        </is>
      </c>
      <c r="B491" t="inlineStr">
        <is>
          <t>Praneetha</t>
        </is>
      </c>
      <c r="C491" t="n">
        <v>1028027</v>
      </c>
      <c r="D491" t="inlineStr">
        <is>
          <t>Chilukuri.Praneetha@infinite.com</t>
        </is>
      </c>
      <c r="E491" s="26" t="n">
        <v>36682</v>
      </c>
      <c r="F491" s="26" t="n">
        <v>44574</v>
      </c>
      <c r="H491" t="inlineStr">
        <is>
          <t>Female</t>
        </is>
      </c>
      <c r="I491" t="inlineStr">
        <is>
          <t>Asian</t>
        </is>
      </c>
      <c r="J491" t="inlineStr">
        <is>
          <t>WEBSITE</t>
        </is>
      </c>
      <c r="K491" t="inlineStr">
        <is>
          <t>Hyderabad</t>
        </is>
      </c>
      <c r="L491" s="27" t="inlineStr">
        <is>
          <t>IT</t>
        </is>
      </c>
      <c r="M491" t="inlineStr">
        <is>
          <t>Full-Time</t>
        </is>
      </c>
      <c r="N491" t="inlineStr">
        <is>
          <t>Software Engineer</t>
        </is>
      </c>
      <c r="O491" t="inlineStr">
        <is>
          <t>E2</t>
        </is>
      </c>
      <c r="P491" t="inlineStr">
        <is>
          <t>Software Engineer</t>
        </is>
      </c>
      <c r="Q491" t="inlineStr">
        <is>
          <t>Joel Clifton Dsouza (1012233)</t>
        </is>
      </c>
      <c r="R491" t="n">
        <v>4</v>
      </c>
      <c r="S491" s="1" t="n">
        <v>1200000</v>
      </c>
      <c r="T491" s="1">
        <f>ROUND(T_EMPLOYEES[[#This Row],[EMP_CTC1]]/12, 0)</f>
        <v/>
      </c>
      <c r="U491" s="1" t="n">
        <v>1000000</v>
      </c>
      <c r="V491" s="1" t="inlineStr">
        <is>
          <t>ND</t>
        </is>
      </c>
      <c r="W491" s="1" t="inlineStr">
        <is>
          <t>ND</t>
        </is>
      </c>
      <c r="X49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1" t="n">
        <v>120000</v>
      </c>
      <c r="Z491" s="29">
        <f>(S491 - U491)/S491 * 100</f>
        <v/>
      </c>
      <c r="AA491">
        <f>IF(T_EMPLOYEES[[#This Row],[EMPLOYEE NUMBER]]="","",ROW(T_EMPLOYEES[[#This Row],[EMPLOYEE LABEL]])-ROW(T_EMPLOYEES[[#Headers],[EMPLOYEE LABEL]]))</f>
        <v/>
      </c>
      <c r="AB491">
        <f>IF(T_EMPLOYEES[[#This Row],[EMPLOYEE NUMBER]]="","",IF(COUNTIF(T_EMPLOYEES[EMPLOYEE NUMBER],T_EMPLOYEES[[#This Row],[EMPLOYEE NUMBER]])&gt;1,1,0))</f>
        <v/>
      </c>
      <c r="AC491">
        <f>IF(T_EMPLOYEES[[#This Row],[EMPLOYEE NUMBER]]="","",IF(AND(T_EMPLOYEES[[#This Row],[DATE OF BIRTH]]&gt;0,T_EMPLOYEES[[#This Row],[DATE OF BIRTH]]&lt;TODAY()),0,1))</f>
        <v/>
      </c>
      <c r="AD491">
        <f>IF(T_EMPLOYEES[[#This Row],[EMPLOYEE NUMBER]]="","",IF(AND(T_EMPLOYEES[[#This Row],[START DATE]]&gt;0,T_EMPLOYEES[[#This Row],[START DATE]]&lt;TODAY()+60),0,1))</f>
        <v/>
      </c>
      <c r="AE491">
        <f>IF(T_EMPLOYEES[[#This Row],[EMPLOYEE NUMBER]]="","",MATCH(T_EMPLOYEES[[#This Row],[GENDER]],L_GENDER,0))</f>
        <v/>
      </c>
      <c r="AF491">
        <f>IF(T_EMPLOYEES[[#This Row],[EMPLOYEE NUMBER]]="","",MATCH(T_EMPLOYEES[[#This Row],[HIRE SOURCE]],L_HIRESOURCE,0))</f>
        <v/>
      </c>
      <c r="AG491">
        <f>IF(T_EMPLOYEES[[#This Row],[EMPLOYEE NUMBER]]="","",MATCH(T_EMPLOYEES[[#This Row],[ETHNICITY]],L_ETHNICITY,0))</f>
        <v/>
      </c>
      <c r="AH491">
        <f>IF(T_EMPLOYEES[[#This Row],[EMPLOYEE NUMBER]]="","",MATCH(T_EMPLOYEES[[#This Row],[LOCATION]],L_LOCATION,0))</f>
        <v/>
      </c>
      <c r="AI491">
        <f>IF(T_EMPLOYEES[[#This Row],[EMPLOYEE NUMBER]]="","",MATCH(T_EMPLOYEES[[#This Row],[DEPARTMENT]],L_DEPARTMENT,0))</f>
        <v/>
      </c>
      <c r="AJ491">
        <f>IF(T_EMPLOYEES[[#This Row],[EMPLOYEE NUMBER]]="","",MATCH(T_EMPLOYEES[[#This Row],[JOB TYPE]],L_JOBTYPE,0))</f>
        <v/>
      </c>
      <c r="AK491">
        <f>IF(T_EMPLOYEES[[#This Row],[EMPLOYEE NUMBER]]="","",MATCH(T_EMPLOYEES[[#This Row],[JOB CATEGORY]],L_JOBCATEGORY,0))</f>
        <v/>
      </c>
      <c r="AL491">
        <f>IF(T_EMPLOYEES[[#This Row],[EMPLOYEE NUMBER]]="","",MATCH(T_EMPLOYEES[[#This Row],[JOB LEVEL]],L_JOBLEVEL,0))</f>
        <v/>
      </c>
      <c r="AM491">
        <f>IF(T_EMPLOYEES[[#This Row],[EMPLOYEE NUMBER]]="","",MATCH(T_EMPLOYEES[[#This Row],[JOB TITLE]],L_JOBTITLE,0))</f>
        <v/>
      </c>
      <c r="AN491">
        <f>IF(T_EMPLOYEES[[#This Row],[EMPLOYEE NUMBER]]="","",MATCH(T_EMPLOYEES[[#This Row],[MANAGER]],L_EMPLABELS,0))</f>
        <v/>
      </c>
      <c r="AO491">
        <f>IF(T_EMPLOYEES[[#This Row],[EMPLOYEE NUMBER]]="","",IF(T_EMPLOYEES[[#This Row],[ERROR]]="",0,1))</f>
        <v/>
      </c>
      <c r="AP49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2">
      <c r="A492" t="inlineStr">
        <is>
          <t>Nare</t>
        </is>
      </c>
      <c r="B492" t="inlineStr">
        <is>
          <t>Suneel Kumar Reddy</t>
        </is>
      </c>
      <c r="C492" t="n">
        <v>1026940</v>
      </c>
      <c r="D492" t="inlineStr">
        <is>
          <t>Nare.Suneel@infinite.com</t>
        </is>
      </c>
      <c r="E492" s="26" t="n">
        <v>36692</v>
      </c>
      <c r="F492" s="26" t="n">
        <v>44491</v>
      </c>
      <c r="H492" t="inlineStr">
        <is>
          <t>Male</t>
        </is>
      </c>
      <c r="I492" t="inlineStr">
        <is>
          <t>Asian</t>
        </is>
      </c>
      <c r="J492" t="inlineStr">
        <is>
          <t>WEBSITE</t>
        </is>
      </c>
      <c r="K492" t="inlineStr">
        <is>
          <t>Hyderabad</t>
        </is>
      </c>
      <c r="L492" s="27" t="inlineStr">
        <is>
          <t>IT</t>
        </is>
      </c>
      <c r="M492" t="inlineStr">
        <is>
          <t>Full-Time</t>
        </is>
      </c>
      <c r="N492" t="inlineStr">
        <is>
          <t>Software Test Engineer</t>
        </is>
      </c>
      <c r="O492" t="inlineStr">
        <is>
          <t>E2</t>
        </is>
      </c>
      <c r="P492" t="inlineStr">
        <is>
          <t>Software Test Engineer</t>
        </is>
      </c>
      <c r="Q492" t="inlineStr">
        <is>
          <t>Sreekanth  Pulumati (1022868)</t>
        </is>
      </c>
      <c r="R492" s="27" t="n">
        <v>4</v>
      </c>
      <c r="S492" s="1" t="n">
        <v>1200000</v>
      </c>
      <c r="T492" s="1">
        <f>ROUND(T_EMPLOYEES[[#This Row],[EMP_CTC1]]/12, 0)</f>
        <v/>
      </c>
      <c r="U492" s="1" t="n">
        <v>1000000</v>
      </c>
      <c r="V492" s="1" t="inlineStr">
        <is>
          <t>ND</t>
        </is>
      </c>
      <c r="W492" s="1" t="inlineStr">
        <is>
          <t>ND</t>
        </is>
      </c>
      <c r="X49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2" t="n">
        <v>120000</v>
      </c>
      <c r="Z492" s="29">
        <f>(S492 - U492)/S492 * 100</f>
        <v/>
      </c>
      <c r="AA492">
        <f>IF(T_EMPLOYEES[[#This Row],[EMPLOYEE NUMBER]]="","",ROW(T_EMPLOYEES[[#This Row],[EMPLOYEE LABEL]])-ROW(T_EMPLOYEES[[#Headers],[EMPLOYEE LABEL]]))</f>
        <v/>
      </c>
      <c r="AB492">
        <f>IF(T_EMPLOYEES[[#This Row],[EMPLOYEE NUMBER]]="","",IF(COUNTIF(T_EMPLOYEES[EMPLOYEE NUMBER],T_EMPLOYEES[[#This Row],[EMPLOYEE NUMBER]])&gt;1,1,0))</f>
        <v/>
      </c>
      <c r="AC492">
        <f>IF(T_EMPLOYEES[[#This Row],[EMPLOYEE NUMBER]]="","",IF(AND(T_EMPLOYEES[[#This Row],[DATE OF BIRTH]]&gt;0,T_EMPLOYEES[[#This Row],[DATE OF BIRTH]]&lt;TODAY()),0,1))</f>
        <v/>
      </c>
      <c r="AD492">
        <f>IF(T_EMPLOYEES[[#This Row],[EMPLOYEE NUMBER]]="","",IF(AND(T_EMPLOYEES[[#This Row],[START DATE]]&gt;0,T_EMPLOYEES[[#This Row],[START DATE]]&lt;TODAY()+60),0,1))</f>
        <v/>
      </c>
      <c r="AE492">
        <f>IF(T_EMPLOYEES[[#This Row],[EMPLOYEE NUMBER]]="","",MATCH(T_EMPLOYEES[[#This Row],[GENDER]],L_GENDER,0))</f>
        <v/>
      </c>
      <c r="AF492">
        <f>IF(T_EMPLOYEES[[#This Row],[EMPLOYEE NUMBER]]="","",MATCH(T_EMPLOYEES[[#This Row],[HIRE SOURCE]],L_HIRESOURCE,0))</f>
        <v/>
      </c>
      <c r="AG492">
        <f>IF(T_EMPLOYEES[[#This Row],[EMPLOYEE NUMBER]]="","",MATCH(T_EMPLOYEES[[#This Row],[ETHNICITY]],L_ETHNICITY,0))</f>
        <v/>
      </c>
      <c r="AH492">
        <f>IF(T_EMPLOYEES[[#This Row],[EMPLOYEE NUMBER]]="","",MATCH(T_EMPLOYEES[[#This Row],[LOCATION]],L_LOCATION,0))</f>
        <v/>
      </c>
      <c r="AI492">
        <f>IF(T_EMPLOYEES[[#This Row],[EMPLOYEE NUMBER]]="","",MATCH(T_EMPLOYEES[[#This Row],[DEPARTMENT]],L_DEPARTMENT,0))</f>
        <v/>
      </c>
      <c r="AJ492">
        <f>IF(T_EMPLOYEES[[#This Row],[EMPLOYEE NUMBER]]="","",MATCH(T_EMPLOYEES[[#This Row],[JOB TYPE]],L_JOBTYPE,0))</f>
        <v/>
      </c>
      <c r="AK492">
        <f>IF(T_EMPLOYEES[[#This Row],[EMPLOYEE NUMBER]]="","",MATCH(T_EMPLOYEES[[#This Row],[JOB CATEGORY]],L_JOBCATEGORY,0))</f>
        <v/>
      </c>
      <c r="AL492">
        <f>IF(T_EMPLOYEES[[#This Row],[EMPLOYEE NUMBER]]="","",MATCH(T_EMPLOYEES[[#This Row],[JOB LEVEL]],L_JOBLEVEL,0))</f>
        <v/>
      </c>
      <c r="AM492">
        <f>IF(T_EMPLOYEES[[#This Row],[EMPLOYEE NUMBER]]="","",MATCH(T_EMPLOYEES[[#This Row],[JOB TITLE]],L_JOBTITLE,0))</f>
        <v/>
      </c>
      <c r="AN492">
        <f>IF(T_EMPLOYEES[[#This Row],[EMPLOYEE NUMBER]]="","",MATCH(T_EMPLOYEES[[#This Row],[MANAGER]],L_EMPLABELS,0))</f>
        <v/>
      </c>
      <c r="AO492">
        <f>IF(T_EMPLOYEES[[#This Row],[EMPLOYEE NUMBER]]="","",IF(T_EMPLOYEES[[#This Row],[ERROR]]="",0,1))</f>
        <v/>
      </c>
      <c r="AP49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3">
      <c r="A493" t="inlineStr">
        <is>
          <t>Mandlavari</t>
        </is>
      </c>
      <c r="B493" t="inlineStr">
        <is>
          <t>Divya</t>
        </is>
      </c>
      <c r="C493" t="n">
        <v>1028776</v>
      </c>
      <c r="D493" t="inlineStr">
        <is>
          <t>Mandlavari.Divya@infinite.com</t>
        </is>
      </c>
      <c r="E493" s="26" t="n">
        <v>36695</v>
      </c>
      <c r="F493" s="26" t="n">
        <v>44657</v>
      </c>
      <c r="H493" t="inlineStr">
        <is>
          <t>Female</t>
        </is>
      </c>
      <c r="I493" t="inlineStr">
        <is>
          <t>Asian</t>
        </is>
      </c>
      <c r="J493" t="inlineStr">
        <is>
          <t>WEBSITE</t>
        </is>
      </c>
      <c r="K493" t="inlineStr">
        <is>
          <t>Hyderabad</t>
        </is>
      </c>
      <c r="L493" s="27" t="inlineStr">
        <is>
          <t>IT</t>
        </is>
      </c>
      <c r="M493" t="inlineStr">
        <is>
          <t>Full-Time</t>
        </is>
      </c>
      <c r="N493" t="inlineStr">
        <is>
          <t>Associate Support Engineer</t>
        </is>
      </c>
      <c r="O493" t="inlineStr">
        <is>
          <t>E1</t>
        </is>
      </c>
      <c r="P493" t="inlineStr">
        <is>
          <t>Associate Support Engineer</t>
        </is>
      </c>
      <c r="Q493" t="inlineStr">
        <is>
          <t>Neha  Rajput (1020112)</t>
        </is>
      </c>
      <c r="R493" t="n">
        <v>0</v>
      </c>
      <c r="S493" s="1" t="n">
        <v>1200000</v>
      </c>
      <c r="T493" s="1">
        <f>ROUND(T_EMPLOYEES[[#This Row],[EMP_CTC1]]/12, 0)</f>
        <v/>
      </c>
      <c r="U493" s="1" t="n">
        <v>1000000</v>
      </c>
      <c r="V493" s="1" t="inlineStr">
        <is>
          <t>ND</t>
        </is>
      </c>
      <c r="W493" s="1" t="inlineStr">
        <is>
          <t>ND</t>
        </is>
      </c>
      <c r="X49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3" t="n">
        <v>120000</v>
      </c>
      <c r="Z493" s="29">
        <f>(S493 - U493)/S493 * 100</f>
        <v/>
      </c>
      <c r="AA493">
        <f>IF(T_EMPLOYEES[[#This Row],[EMPLOYEE NUMBER]]="","",ROW(T_EMPLOYEES[[#This Row],[EMPLOYEE LABEL]])-ROW(T_EMPLOYEES[[#Headers],[EMPLOYEE LABEL]]))</f>
        <v/>
      </c>
      <c r="AB493">
        <f>IF(T_EMPLOYEES[[#This Row],[EMPLOYEE NUMBER]]="","",IF(COUNTIF(T_EMPLOYEES[EMPLOYEE NUMBER],T_EMPLOYEES[[#This Row],[EMPLOYEE NUMBER]])&gt;1,1,0))</f>
        <v/>
      </c>
      <c r="AC493">
        <f>IF(T_EMPLOYEES[[#This Row],[EMPLOYEE NUMBER]]="","",IF(AND(T_EMPLOYEES[[#This Row],[DATE OF BIRTH]]&gt;0,T_EMPLOYEES[[#This Row],[DATE OF BIRTH]]&lt;TODAY()),0,1))</f>
        <v/>
      </c>
      <c r="AD493">
        <f>IF(T_EMPLOYEES[[#This Row],[EMPLOYEE NUMBER]]="","",IF(AND(T_EMPLOYEES[[#This Row],[START DATE]]&gt;0,T_EMPLOYEES[[#This Row],[START DATE]]&lt;TODAY()+60),0,1))</f>
        <v/>
      </c>
      <c r="AE493">
        <f>IF(T_EMPLOYEES[[#This Row],[EMPLOYEE NUMBER]]="","",MATCH(T_EMPLOYEES[[#This Row],[GENDER]],L_GENDER,0))</f>
        <v/>
      </c>
      <c r="AF493">
        <f>IF(T_EMPLOYEES[[#This Row],[EMPLOYEE NUMBER]]="","",MATCH(T_EMPLOYEES[[#This Row],[HIRE SOURCE]],L_HIRESOURCE,0))</f>
        <v/>
      </c>
      <c r="AG493">
        <f>IF(T_EMPLOYEES[[#This Row],[EMPLOYEE NUMBER]]="","",MATCH(T_EMPLOYEES[[#This Row],[ETHNICITY]],L_ETHNICITY,0))</f>
        <v/>
      </c>
      <c r="AH493">
        <f>IF(T_EMPLOYEES[[#This Row],[EMPLOYEE NUMBER]]="","",MATCH(T_EMPLOYEES[[#This Row],[LOCATION]],L_LOCATION,0))</f>
        <v/>
      </c>
      <c r="AI493">
        <f>IF(T_EMPLOYEES[[#This Row],[EMPLOYEE NUMBER]]="","",MATCH(T_EMPLOYEES[[#This Row],[DEPARTMENT]],L_DEPARTMENT,0))</f>
        <v/>
      </c>
      <c r="AJ493">
        <f>IF(T_EMPLOYEES[[#This Row],[EMPLOYEE NUMBER]]="","",MATCH(T_EMPLOYEES[[#This Row],[JOB TYPE]],L_JOBTYPE,0))</f>
        <v/>
      </c>
      <c r="AK493">
        <f>IF(T_EMPLOYEES[[#This Row],[EMPLOYEE NUMBER]]="","",MATCH(T_EMPLOYEES[[#This Row],[JOB CATEGORY]],L_JOBCATEGORY,0))</f>
        <v/>
      </c>
      <c r="AL493">
        <f>IF(T_EMPLOYEES[[#This Row],[EMPLOYEE NUMBER]]="","",MATCH(T_EMPLOYEES[[#This Row],[JOB LEVEL]],L_JOBLEVEL,0))</f>
        <v/>
      </c>
      <c r="AM493">
        <f>IF(T_EMPLOYEES[[#This Row],[EMPLOYEE NUMBER]]="","",MATCH(T_EMPLOYEES[[#This Row],[JOB TITLE]],L_JOBTITLE,0))</f>
        <v/>
      </c>
      <c r="AN493">
        <f>IF(T_EMPLOYEES[[#This Row],[EMPLOYEE NUMBER]]="","",MATCH(T_EMPLOYEES[[#This Row],[MANAGER]],L_EMPLABELS,0))</f>
        <v/>
      </c>
      <c r="AO493">
        <f>IF(T_EMPLOYEES[[#This Row],[EMPLOYEE NUMBER]]="","",IF(T_EMPLOYEES[[#This Row],[ERROR]]="",0,1))</f>
        <v/>
      </c>
      <c r="AP49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4">
      <c r="A494" t="inlineStr">
        <is>
          <t>Ariz</t>
        </is>
      </c>
      <c r="B494" t="inlineStr">
        <is>
          <t>khan</t>
        </is>
      </c>
      <c r="C494" t="n">
        <v>1033221</v>
      </c>
      <c r="D494" t="inlineStr">
        <is>
          <t>Ariz.Khan@infinite.com</t>
        </is>
      </c>
      <c r="E494" s="26" t="n">
        <v>36696</v>
      </c>
      <c r="F494" s="26" t="n">
        <v>45155</v>
      </c>
      <c r="H494" t="inlineStr">
        <is>
          <t>Male</t>
        </is>
      </c>
      <c r="I494" t="inlineStr">
        <is>
          <t>Asian</t>
        </is>
      </c>
      <c r="J494" t="inlineStr">
        <is>
          <t>WEBSITE</t>
        </is>
      </c>
      <c r="K494" t="inlineStr">
        <is>
          <t>Hyderabad</t>
        </is>
      </c>
      <c r="L494" s="27" t="inlineStr">
        <is>
          <t>Core</t>
        </is>
      </c>
      <c r="M494" t="inlineStr">
        <is>
          <t>Full-Time</t>
        </is>
      </c>
      <c r="N494" t="inlineStr">
        <is>
          <t>Associate Software Engineer</t>
        </is>
      </c>
      <c r="O494" t="inlineStr">
        <is>
          <t>E1</t>
        </is>
      </c>
      <c r="P494" t="inlineStr">
        <is>
          <t>Associate Software Engineer</t>
        </is>
      </c>
      <c r="Q494" t="inlineStr">
        <is>
          <t>Dipakbhai Motibhai Tandel (1027230)</t>
        </is>
      </c>
      <c r="R494" s="27" t="n">
        <v>0</v>
      </c>
      <c r="S494" s="1" t="n">
        <v>1200000</v>
      </c>
      <c r="T494" s="1">
        <f>ROUND(T_EMPLOYEES[[#This Row],[EMP_CTC1]]/12, 0)</f>
        <v/>
      </c>
      <c r="U494" s="1" t="n">
        <v>1000000</v>
      </c>
      <c r="V494" s="1" t="inlineStr">
        <is>
          <t>ND</t>
        </is>
      </c>
      <c r="W494" s="1" t="inlineStr">
        <is>
          <t>ND</t>
        </is>
      </c>
      <c r="X49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4" t="n">
        <v>120000</v>
      </c>
      <c r="Z494" s="29">
        <f>(S494 - U494)/S494 * 100</f>
        <v/>
      </c>
      <c r="AA494">
        <f>IF(T_EMPLOYEES[[#This Row],[EMPLOYEE NUMBER]]="","",ROW(T_EMPLOYEES[[#This Row],[EMPLOYEE LABEL]])-ROW(T_EMPLOYEES[[#Headers],[EMPLOYEE LABEL]]))</f>
        <v/>
      </c>
      <c r="AB494">
        <f>IF(T_EMPLOYEES[[#This Row],[EMPLOYEE NUMBER]]="","",IF(COUNTIF(T_EMPLOYEES[EMPLOYEE NUMBER],T_EMPLOYEES[[#This Row],[EMPLOYEE NUMBER]])&gt;1,1,0))</f>
        <v/>
      </c>
      <c r="AC494">
        <f>IF(T_EMPLOYEES[[#This Row],[EMPLOYEE NUMBER]]="","",IF(AND(T_EMPLOYEES[[#This Row],[DATE OF BIRTH]]&gt;0,T_EMPLOYEES[[#This Row],[DATE OF BIRTH]]&lt;TODAY()),0,1))</f>
        <v/>
      </c>
      <c r="AD494">
        <f>IF(T_EMPLOYEES[[#This Row],[EMPLOYEE NUMBER]]="","",IF(AND(T_EMPLOYEES[[#This Row],[START DATE]]&gt;0,T_EMPLOYEES[[#This Row],[START DATE]]&lt;TODAY()+60),0,1))</f>
        <v/>
      </c>
      <c r="AE494">
        <f>IF(T_EMPLOYEES[[#This Row],[EMPLOYEE NUMBER]]="","",MATCH(T_EMPLOYEES[[#This Row],[GENDER]],L_GENDER,0))</f>
        <v/>
      </c>
      <c r="AF494">
        <f>IF(T_EMPLOYEES[[#This Row],[EMPLOYEE NUMBER]]="","",MATCH(T_EMPLOYEES[[#This Row],[HIRE SOURCE]],L_HIRESOURCE,0))</f>
        <v/>
      </c>
      <c r="AG494">
        <f>IF(T_EMPLOYEES[[#This Row],[EMPLOYEE NUMBER]]="","",MATCH(T_EMPLOYEES[[#This Row],[ETHNICITY]],L_ETHNICITY,0))</f>
        <v/>
      </c>
      <c r="AH494">
        <f>IF(T_EMPLOYEES[[#This Row],[EMPLOYEE NUMBER]]="","",MATCH(T_EMPLOYEES[[#This Row],[LOCATION]],L_LOCATION,0))</f>
        <v/>
      </c>
      <c r="AI494">
        <f>IF(T_EMPLOYEES[[#This Row],[EMPLOYEE NUMBER]]="","",MATCH(T_EMPLOYEES[[#This Row],[DEPARTMENT]],L_DEPARTMENT,0))</f>
        <v/>
      </c>
      <c r="AJ494">
        <f>IF(T_EMPLOYEES[[#This Row],[EMPLOYEE NUMBER]]="","",MATCH(T_EMPLOYEES[[#This Row],[JOB TYPE]],L_JOBTYPE,0))</f>
        <v/>
      </c>
      <c r="AK494">
        <f>IF(T_EMPLOYEES[[#This Row],[EMPLOYEE NUMBER]]="","",MATCH(T_EMPLOYEES[[#This Row],[JOB CATEGORY]],L_JOBCATEGORY,0))</f>
        <v/>
      </c>
      <c r="AL494">
        <f>IF(T_EMPLOYEES[[#This Row],[EMPLOYEE NUMBER]]="","",MATCH(T_EMPLOYEES[[#This Row],[JOB LEVEL]],L_JOBLEVEL,0))</f>
        <v/>
      </c>
      <c r="AM494">
        <f>IF(T_EMPLOYEES[[#This Row],[EMPLOYEE NUMBER]]="","",MATCH(T_EMPLOYEES[[#This Row],[JOB TITLE]],L_JOBTITLE,0))</f>
        <v/>
      </c>
      <c r="AN494">
        <f>IF(T_EMPLOYEES[[#This Row],[EMPLOYEE NUMBER]]="","",MATCH(T_EMPLOYEES[[#This Row],[MANAGER]],L_EMPLABELS,0))</f>
        <v/>
      </c>
      <c r="AO494">
        <f>IF(T_EMPLOYEES[[#This Row],[EMPLOYEE NUMBER]]="","",IF(T_EMPLOYEES[[#This Row],[ERROR]]="",0,1))</f>
        <v/>
      </c>
      <c r="AP49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5">
      <c r="A495" t="inlineStr">
        <is>
          <t>Maddi</t>
        </is>
      </c>
      <c r="B495" t="inlineStr">
        <is>
          <t>Vamsi</t>
        </is>
      </c>
      <c r="C495" t="n">
        <v>1029528</v>
      </c>
      <c r="D495" t="inlineStr">
        <is>
          <t>Vamsi.Maddi@infinite.com</t>
        </is>
      </c>
      <c r="E495" s="26" t="n">
        <v>36699</v>
      </c>
      <c r="F495" s="26" t="n">
        <v>44757</v>
      </c>
      <c r="H495" t="inlineStr">
        <is>
          <t>Male</t>
        </is>
      </c>
      <c r="I495" t="inlineStr">
        <is>
          <t>Asian</t>
        </is>
      </c>
      <c r="J495" t="inlineStr">
        <is>
          <t>WEBSITE</t>
        </is>
      </c>
      <c r="K495" t="inlineStr">
        <is>
          <t>Bangalore</t>
        </is>
      </c>
      <c r="L495" s="27" t="inlineStr">
        <is>
          <t>Core</t>
        </is>
      </c>
      <c r="M495" t="inlineStr">
        <is>
          <t>Full-Time</t>
        </is>
      </c>
      <c r="N495" t="inlineStr">
        <is>
          <t>Associate Software Engineer</t>
        </is>
      </c>
      <c r="O495" t="inlineStr">
        <is>
          <t>E1</t>
        </is>
      </c>
      <c r="P495" t="inlineStr">
        <is>
          <t>Associate Software Engineer</t>
        </is>
      </c>
      <c r="Q495" t="inlineStr">
        <is>
          <t>Kishore Kumar N (1019765)</t>
        </is>
      </c>
      <c r="R495" t="n">
        <v>0</v>
      </c>
      <c r="S495" s="1" t="n">
        <v>1200000</v>
      </c>
      <c r="T495" s="1">
        <f>ROUND(T_EMPLOYEES[[#This Row],[EMP_CTC1]]/12, 0)</f>
        <v/>
      </c>
      <c r="U495" s="1" t="n">
        <v>1000000</v>
      </c>
      <c r="V495" s="1" t="inlineStr">
        <is>
          <t>ND</t>
        </is>
      </c>
      <c r="W495" s="1" t="inlineStr">
        <is>
          <t>ND</t>
        </is>
      </c>
      <c r="X49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5" t="n">
        <v>120000</v>
      </c>
      <c r="Z495" s="29">
        <f>(S495 - U495)/S495 * 100</f>
        <v/>
      </c>
      <c r="AA495">
        <f>IF(T_EMPLOYEES[[#This Row],[EMPLOYEE NUMBER]]="","",ROW(T_EMPLOYEES[[#This Row],[EMPLOYEE LABEL]])-ROW(T_EMPLOYEES[[#Headers],[EMPLOYEE LABEL]]))</f>
        <v/>
      </c>
      <c r="AB495">
        <f>IF(T_EMPLOYEES[[#This Row],[EMPLOYEE NUMBER]]="","",IF(COUNTIF(T_EMPLOYEES[EMPLOYEE NUMBER],T_EMPLOYEES[[#This Row],[EMPLOYEE NUMBER]])&gt;1,1,0))</f>
        <v/>
      </c>
      <c r="AC495">
        <f>IF(T_EMPLOYEES[[#This Row],[EMPLOYEE NUMBER]]="","",IF(AND(T_EMPLOYEES[[#This Row],[DATE OF BIRTH]]&gt;0,T_EMPLOYEES[[#This Row],[DATE OF BIRTH]]&lt;TODAY()),0,1))</f>
        <v/>
      </c>
      <c r="AD495">
        <f>IF(T_EMPLOYEES[[#This Row],[EMPLOYEE NUMBER]]="","",IF(AND(T_EMPLOYEES[[#This Row],[START DATE]]&gt;0,T_EMPLOYEES[[#This Row],[START DATE]]&lt;TODAY()+60),0,1))</f>
        <v/>
      </c>
      <c r="AE495">
        <f>IF(T_EMPLOYEES[[#This Row],[EMPLOYEE NUMBER]]="","",MATCH(T_EMPLOYEES[[#This Row],[GENDER]],L_GENDER,0))</f>
        <v/>
      </c>
      <c r="AF495">
        <f>IF(T_EMPLOYEES[[#This Row],[EMPLOYEE NUMBER]]="","",MATCH(T_EMPLOYEES[[#This Row],[HIRE SOURCE]],L_HIRESOURCE,0))</f>
        <v/>
      </c>
      <c r="AG495">
        <f>IF(T_EMPLOYEES[[#This Row],[EMPLOYEE NUMBER]]="","",MATCH(T_EMPLOYEES[[#This Row],[ETHNICITY]],L_ETHNICITY,0))</f>
        <v/>
      </c>
      <c r="AH495">
        <f>IF(T_EMPLOYEES[[#This Row],[EMPLOYEE NUMBER]]="","",MATCH(T_EMPLOYEES[[#This Row],[LOCATION]],L_LOCATION,0))</f>
        <v/>
      </c>
      <c r="AI495">
        <f>IF(T_EMPLOYEES[[#This Row],[EMPLOYEE NUMBER]]="","",MATCH(T_EMPLOYEES[[#This Row],[DEPARTMENT]],L_DEPARTMENT,0))</f>
        <v/>
      </c>
      <c r="AJ495">
        <f>IF(T_EMPLOYEES[[#This Row],[EMPLOYEE NUMBER]]="","",MATCH(T_EMPLOYEES[[#This Row],[JOB TYPE]],L_JOBTYPE,0))</f>
        <v/>
      </c>
      <c r="AK495">
        <f>IF(T_EMPLOYEES[[#This Row],[EMPLOYEE NUMBER]]="","",MATCH(T_EMPLOYEES[[#This Row],[JOB CATEGORY]],L_JOBCATEGORY,0))</f>
        <v/>
      </c>
      <c r="AL495">
        <f>IF(T_EMPLOYEES[[#This Row],[EMPLOYEE NUMBER]]="","",MATCH(T_EMPLOYEES[[#This Row],[JOB LEVEL]],L_JOBLEVEL,0))</f>
        <v/>
      </c>
      <c r="AM495">
        <f>IF(T_EMPLOYEES[[#This Row],[EMPLOYEE NUMBER]]="","",MATCH(T_EMPLOYEES[[#This Row],[JOB TITLE]],L_JOBTITLE,0))</f>
        <v/>
      </c>
      <c r="AN495">
        <f>IF(T_EMPLOYEES[[#This Row],[EMPLOYEE NUMBER]]="","",MATCH(T_EMPLOYEES[[#This Row],[MANAGER]],L_EMPLABELS,0))</f>
        <v/>
      </c>
      <c r="AO495">
        <f>IF(T_EMPLOYEES[[#This Row],[EMPLOYEE NUMBER]]="","",IF(T_EMPLOYEES[[#This Row],[ERROR]]="",0,1))</f>
        <v/>
      </c>
      <c r="AP49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495" t="inlineStr">
        <is>
          <t>Provider</t>
        </is>
      </c>
    </row>
    <row r="496">
      <c r="A496" t="inlineStr">
        <is>
          <t>Atluri</t>
        </is>
      </c>
      <c r="B496" t="inlineStr">
        <is>
          <t>Priyanka</t>
        </is>
      </c>
      <c r="C496" t="n">
        <v>1030243</v>
      </c>
      <c r="D496" t="inlineStr">
        <is>
          <t>Atluri.Priyanka@infinite.com</t>
        </is>
      </c>
      <c r="E496" s="26" t="n">
        <v>36699</v>
      </c>
      <c r="F496" s="26" t="n">
        <v>44819</v>
      </c>
      <c r="H496" t="inlineStr">
        <is>
          <t>Female</t>
        </is>
      </c>
      <c r="I496" t="inlineStr">
        <is>
          <t>Asian</t>
        </is>
      </c>
      <c r="J496" t="inlineStr">
        <is>
          <t>WEBSITE</t>
        </is>
      </c>
      <c r="K496" t="inlineStr">
        <is>
          <t>Bangalore</t>
        </is>
      </c>
      <c r="L496" s="27" t="inlineStr">
        <is>
          <t>Core</t>
        </is>
      </c>
      <c r="M496" t="inlineStr">
        <is>
          <t>Full-Time</t>
        </is>
      </c>
      <c r="N496" t="inlineStr">
        <is>
          <t>Associate Software Engineer</t>
        </is>
      </c>
      <c r="O496" t="inlineStr">
        <is>
          <t>E1</t>
        </is>
      </c>
      <c r="P496" t="inlineStr">
        <is>
          <t>Associate Software Engineer</t>
        </is>
      </c>
      <c r="Q496" t="inlineStr">
        <is>
          <t>Kishore Kumar N (1019765)</t>
        </is>
      </c>
      <c r="R496" s="27" t="n">
        <v>0</v>
      </c>
      <c r="S496" s="1" t="n">
        <v>1200000</v>
      </c>
      <c r="T496" s="1">
        <f>ROUND(T_EMPLOYEES[[#This Row],[EMP_CTC1]]/12, 0)</f>
        <v/>
      </c>
      <c r="U496" s="1" t="n">
        <v>1000000</v>
      </c>
      <c r="V496" s="1" t="inlineStr">
        <is>
          <t>ND</t>
        </is>
      </c>
      <c r="W496" s="1" t="inlineStr">
        <is>
          <t>ND</t>
        </is>
      </c>
      <c r="X49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6" t="n">
        <v>120000</v>
      </c>
      <c r="Z496" s="29">
        <f>(S496 - U496)/S496 * 100</f>
        <v/>
      </c>
      <c r="AA496">
        <f>IF(T_EMPLOYEES[[#This Row],[EMPLOYEE NUMBER]]="","",ROW(T_EMPLOYEES[[#This Row],[EMPLOYEE LABEL]])-ROW(T_EMPLOYEES[[#Headers],[EMPLOYEE LABEL]]))</f>
        <v/>
      </c>
      <c r="AB496">
        <f>IF(T_EMPLOYEES[[#This Row],[EMPLOYEE NUMBER]]="","",IF(COUNTIF(T_EMPLOYEES[EMPLOYEE NUMBER],T_EMPLOYEES[[#This Row],[EMPLOYEE NUMBER]])&gt;1,1,0))</f>
        <v/>
      </c>
      <c r="AC496">
        <f>IF(T_EMPLOYEES[[#This Row],[EMPLOYEE NUMBER]]="","",IF(AND(T_EMPLOYEES[[#This Row],[DATE OF BIRTH]]&gt;0,T_EMPLOYEES[[#This Row],[DATE OF BIRTH]]&lt;TODAY()),0,1))</f>
        <v/>
      </c>
      <c r="AD496">
        <f>IF(T_EMPLOYEES[[#This Row],[EMPLOYEE NUMBER]]="","",IF(AND(T_EMPLOYEES[[#This Row],[START DATE]]&gt;0,T_EMPLOYEES[[#This Row],[START DATE]]&lt;TODAY()+60),0,1))</f>
        <v/>
      </c>
      <c r="AE496">
        <f>IF(T_EMPLOYEES[[#This Row],[EMPLOYEE NUMBER]]="","",MATCH(T_EMPLOYEES[[#This Row],[GENDER]],L_GENDER,0))</f>
        <v/>
      </c>
      <c r="AF496">
        <f>IF(T_EMPLOYEES[[#This Row],[EMPLOYEE NUMBER]]="","",MATCH(T_EMPLOYEES[[#This Row],[HIRE SOURCE]],L_HIRESOURCE,0))</f>
        <v/>
      </c>
      <c r="AG496">
        <f>IF(T_EMPLOYEES[[#This Row],[EMPLOYEE NUMBER]]="","",MATCH(T_EMPLOYEES[[#This Row],[ETHNICITY]],L_ETHNICITY,0))</f>
        <v/>
      </c>
      <c r="AH496">
        <f>IF(T_EMPLOYEES[[#This Row],[EMPLOYEE NUMBER]]="","",MATCH(T_EMPLOYEES[[#This Row],[LOCATION]],L_LOCATION,0))</f>
        <v/>
      </c>
      <c r="AI496">
        <f>IF(T_EMPLOYEES[[#This Row],[EMPLOYEE NUMBER]]="","",MATCH(T_EMPLOYEES[[#This Row],[DEPARTMENT]],L_DEPARTMENT,0))</f>
        <v/>
      </c>
      <c r="AJ496">
        <f>IF(T_EMPLOYEES[[#This Row],[EMPLOYEE NUMBER]]="","",MATCH(T_EMPLOYEES[[#This Row],[JOB TYPE]],L_JOBTYPE,0))</f>
        <v/>
      </c>
      <c r="AK496">
        <f>IF(T_EMPLOYEES[[#This Row],[EMPLOYEE NUMBER]]="","",MATCH(T_EMPLOYEES[[#This Row],[JOB CATEGORY]],L_JOBCATEGORY,0))</f>
        <v/>
      </c>
      <c r="AL496">
        <f>IF(T_EMPLOYEES[[#This Row],[EMPLOYEE NUMBER]]="","",MATCH(T_EMPLOYEES[[#This Row],[JOB LEVEL]],L_JOBLEVEL,0))</f>
        <v/>
      </c>
      <c r="AM496">
        <f>IF(T_EMPLOYEES[[#This Row],[EMPLOYEE NUMBER]]="","",MATCH(T_EMPLOYEES[[#This Row],[JOB TITLE]],L_JOBTITLE,0))</f>
        <v/>
      </c>
      <c r="AN496">
        <f>IF(T_EMPLOYEES[[#This Row],[EMPLOYEE NUMBER]]="","",MATCH(T_EMPLOYEES[[#This Row],[MANAGER]],L_EMPLABELS,0))</f>
        <v/>
      </c>
      <c r="AO496">
        <f>IF(T_EMPLOYEES[[#This Row],[EMPLOYEE NUMBER]]="","",IF(T_EMPLOYEES[[#This Row],[ERROR]]="",0,1))</f>
        <v/>
      </c>
      <c r="AP49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7">
      <c r="A497" t="inlineStr">
        <is>
          <t>S</t>
        </is>
      </c>
      <c r="B497" t="inlineStr">
        <is>
          <t>Lavanya</t>
        </is>
      </c>
      <c r="C497" t="n">
        <v>1025610</v>
      </c>
      <c r="D497" t="inlineStr">
        <is>
          <t>Sidharthan.Lavanya@infinite.com</t>
        </is>
      </c>
      <c r="E497" s="26" t="n">
        <v>36704</v>
      </c>
      <c r="F497" s="26" t="n">
        <v>44370</v>
      </c>
      <c r="H497" t="inlineStr">
        <is>
          <t>Female</t>
        </is>
      </c>
      <c r="I497" t="inlineStr">
        <is>
          <t>Asian</t>
        </is>
      </c>
      <c r="J497" t="inlineStr">
        <is>
          <t>WEBSITE</t>
        </is>
      </c>
      <c r="K497" t="inlineStr">
        <is>
          <t>Hyderabad</t>
        </is>
      </c>
      <c r="L497" s="27" t="inlineStr">
        <is>
          <t>IT</t>
        </is>
      </c>
      <c r="M497" t="inlineStr">
        <is>
          <t>Full-Time</t>
        </is>
      </c>
      <c r="N497" t="inlineStr">
        <is>
          <t>Software Test Engineer</t>
        </is>
      </c>
      <c r="O497" t="inlineStr">
        <is>
          <t>E2</t>
        </is>
      </c>
      <c r="P497" t="inlineStr">
        <is>
          <t>Software Test Engineer</t>
        </is>
      </c>
      <c r="Q497" t="inlineStr">
        <is>
          <t>Sreekanth  Pulumati (1022868)</t>
        </is>
      </c>
      <c r="R497" t="n">
        <v>4</v>
      </c>
      <c r="S497" s="1" t="n">
        <v>1200000</v>
      </c>
      <c r="T497" s="1">
        <f>ROUND(T_EMPLOYEES[[#This Row],[EMP_CTC1]]/12, 0)</f>
        <v/>
      </c>
      <c r="U497" s="1" t="n">
        <v>1000000</v>
      </c>
      <c r="V497" s="1" t="inlineStr">
        <is>
          <t>ND</t>
        </is>
      </c>
      <c r="W497" s="1" t="inlineStr">
        <is>
          <t>ND</t>
        </is>
      </c>
      <c r="X49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7" t="n">
        <v>120000</v>
      </c>
      <c r="Z497" s="29">
        <f>(S497 - U497)/S497 * 100</f>
        <v/>
      </c>
      <c r="AA497">
        <f>IF(T_EMPLOYEES[[#This Row],[EMPLOYEE NUMBER]]="","",ROW(T_EMPLOYEES[[#This Row],[EMPLOYEE LABEL]])-ROW(T_EMPLOYEES[[#Headers],[EMPLOYEE LABEL]]))</f>
        <v/>
      </c>
      <c r="AB497">
        <f>IF(T_EMPLOYEES[[#This Row],[EMPLOYEE NUMBER]]="","",IF(COUNTIF(T_EMPLOYEES[EMPLOYEE NUMBER],T_EMPLOYEES[[#This Row],[EMPLOYEE NUMBER]])&gt;1,1,0))</f>
        <v/>
      </c>
      <c r="AC497">
        <f>IF(T_EMPLOYEES[[#This Row],[EMPLOYEE NUMBER]]="","",IF(AND(T_EMPLOYEES[[#This Row],[DATE OF BIRTH]]&gt;0,T_EMPLOYEES[[#This Row],[DATE OF BIRTH]]&lt;TODAY()),0,1))</f>
        <v/>
      </c>
      <c r="AD497">
        <f>IF(T_EMPLOYEES[[#This Row],[EMPLOYEE NUMBER]]="","",IF(AND(T_EMPLOYEES[[#This Row],[START DATE]]&gt;0,T_EMPLOYEES[[#This Row],[START DATE]]&lt;TODAY()+60),0,1))</f>
        <v/>
      </c>
      <c r="AE497">
        <f>IF(T_EMPLOYEES[[#This Row],[EMPLOYEE NUMBER]]="","",MATCH(T_EMPLOYEES[[#This Row],[GENDER]],L_GENDER,0))</f>
        <v/>
      </c>
      <c r="AF497">
        <f>IF(T_EMPLOYEES[[#This Row],[EMPLOYEE NUMBER]]="","",MATCH(T_EMPLOYEES[[#This Row],[HIRE SOURCE]],L_HIRESOURCE,0))</f>
        <v/>
      </c>
      <c r="AG497">
        <f>IF(T_EMPLOYEES[[#This Row],[EMPLOYEE NUMBER]]="","",MATCH(T_EMPLOYEES[[#This Row],[ETHNICITY]],L_ETHNICITY,0))</f>
        <v/>
      </c>
      <c r="AH497">
        <f>IF(T_EMPLOYEES[[#This Row],[EMPLOYEE NUMBER]]="","",MATCH(T_EMPLOYEES[[#This Row],[LOCATION]],L_LOCATION,0))</f>
        <v/>
      </c>
      <c r="AI497">
        <f>IF(T_EMPLOYEES[[#This Row],[EMPLOYEE NUMBER]]="","",MATCH(T_EMPLOYEES[[#This Row],[DEPARTMENT]],L_DEPARTMENT,0))</f>
        <v/>
      </c>
      <c r="AJ497">
        <f>IF(T_EMPLOYEES[[#This Row],[EMPLOYEE NUMBER]]="","",MATCH(T_EMPLOYEES[[#This Row],[JOB TYPE]],L_JOBTYPE,0))</f>
        <v/>
      </c>
      <c r="AK497">
        <f>IF(T_EMPLOYEES[[#This Row],[EMPLOYEE NUMBER]]="","",MATCH(T_EMPLOYEES[[#This Row],[JOB CATEGORY]],L_JOBCATEGORY,0))</f>
        <v/>
      </c>
      <c r="AL497">
        <f>IF(T_EMPLOYEES[[#This Row],[EMPLOYEE NUMBER]]="","",MATCH(T_EMPLOYEES[[#This Row],[JOB LEVEL]],L_JOBLEVEL,0))</f>
        <v/>
      </c>
      <c r="AM497">
        <f>IF(T_EMPLOYEES[[#This Row],[EMPLOYEE NUMBER]]="","",MATCH(T_EMPLOYEES[[#This Row],[JOB TITLE]],L_JOBTITLE,0))</f>
        <v/>
      </c>
      <c r="AN497">
        <f>IF(T_EMPLOYEES[[#This Row],[EMPLOYEE NUMBER]]="","",MATCH(T_EMPLOYEES[[#This Row],[MANAGER]],L_EMPLABELS,0))</f>
        <v/>
      </c>
      <c r="AO497">
        <f>IF(T_EMPLOYEES[[#This Row],[EMPLOYEE NUMBER]]="","",IF(T_EMPLOYEES[[#This Row],[ERROR]]="",0,1))</f>
        <v/>
      </c>
      <c r="AP49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8">
      <c r="A498" t="inlineStr">
        <is>
          <t>Gudla</t>
        </is>
      </c>
      <c r="B498" t="inlineStr">
        <is>
          <t>Sirisha</t>
        </is>
      </c>
      <c r="C498" t="n">
        <v>1029525</v>
      </c>
      <c r="D498" t="inlineStr">
        <is>
          <t>Gudla.Sirisha@infinite.com</t>
        </is>
      </c>
      <c r="E498" s="26" t="n">
        <v>36705</v>
      </c>
      <c r="F498" s="26" t="n">
        <v>44757</v>
      </c>
      <c r="H498" t="inlineStr">
        <is>
          <t>Female</t>
        </is>
      </c>
      <c r="I498" t="inlineStr">
        <is>
          <t>Asian</t>
        </is>
      </c>
      <c r="J498" t="inlineStr">
        <is>
          <t>WEBSITE</t>
        </is>
      </c>
      <c r="K498" t="inlineStr">
        <is>
          <t>Bangalore</t>
        </is>
      </c>
      <c r="L498" s="27" t="inlineStr">
        <is>
          <t>IT</t>
        </is>
      </c>
      <c r="M498" t="inlineStr">
        <is>
          <t>Full-Time</t>
        </is>
      </c>
      <c r="N498" t="inlineStr">
        <is>
          <t>Associate Software Engineer</t>
        </is>
      </c>
      <c r="O498" t="inlineStr">
        <is>
          <t>E1</t>
        </is>
      </c>
      <c r="P498" t="inlineStr">
        <is>
          <t>Associate Software Engineer</t>
        </is>
      </c>
      <c r="Q498" t="inlineStr">
        <is>
          <t>Kalyana Raju C S (1003859)</t>
        </is>
      </c>
      <c r="R498" s="27" t="n">
        <v>0</v>
      </c>
      <c r="S498" s="1" t="n">
        <v>1200000</v>
      </c>
      <c r="T498" s="1">
        <f>ROUND(T_EMPLOYEES[[#This Row],[EMP_CTC1]]/12, 0)</f>
        <v/>
      </c>
      <c r="U498" s="1" t="n">
        <v>1000000</v>
      </c>
      <c r="V498" s="1" t="inlineStr">
        <is>
          <t>ND</t>
        </is>
      </c>
      <c r="W498" s="1" t="inlineStr">
        <is>
          <t>ND</t>
        </is>
      </c>
      <c r="X49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8" t="n">
        <v>120000</v>
      </c>
      <c r="Z498" s="29">
        <f>(S498 - U498)/S498 * 100</f>
        <v/>
      </c>
      <c r="AA498">
        <f>IF(T_EMPLOYEES[[#This Row],[EMPLOYEE NUMBER]]="","",ROW(T_EMPLOYEES[[#This Row],[EMPLOYEE LABEL]])-ROW(T_EMPLOYEES[[#Headers],[EMPLOYEE LABEL]]))</f>
        <v/>
      </c>
      <c r="AB498">
        <f>IF(T_EMPLOYEES[[#This Row],[EMPLOYEE NUMBER]]="","",IF(COUNTIF(T_EMPLOYEES[EMPLOYEE NUMBER],T_EMPLOYEES[[#This Row],[EMPLOYEE NUMBER]])&gt;1,1,0))</f>
        <v/>
      </c>
      <c r="AC498">
        <f>IF(T_EMPLOYEES[[#This Row],[EMPLOYEE NUMBER]]="","",IF(AND(T_EMPLOYEES[[#This Row],[DATE OF BIRTH]]&gt;0,T_EMPLOYEES[[#This Row],[DATE OF BIRTH]]&lt;TODAY()),0,1))</f>
        <v/>
      </c>
      <c r="AD498">
        <f>IF(T_EMPLOYEES[[#This Row],[EMPLOYEE NUMBER]]="","",IF(AND(T_EMPLOYEES[[#This Row],[START DATE]]&gt;0,T_EMPLOYEES[[#This Row],[START DATE]]&lt;TODAY()+60),0,1))</f>
        <v/>
      </c>
      <c r="AE498">
        <f>IF(T_EMPLOYEES[[#This Row],[EMPLOYEE NUMBER]]="","",MATCH(T_EMPLOYEES[[#This Row],[GENDER]],L_GENDER,0))</f>
        <v/>
      </c>
      <c r="AF498">
        <f>IF(T_EMPLOYEES[[#This Row],[EMPLOYEE NUMBER]]="","",MATCH(T_EMPLOYEES[[#This Row],[HIRE SOURCE]],L_HIRESOURCE,0))</f>
        <v/>
      </c>
      <c r="AG498">
        <f>IF(T_EMPLOYEES[[#This Row],[EMPLOYEE NUMBER]]="","",MATCH(T_EMPLOYEES[[#This Row],[ETHNICITY]],L_ETHNICITY,0))</f>
        <v/>
      </c>
      <c r="AH498">
        <f>IF(T_EMPLOYEES[[#This Row],[EMPLOYEE NUMBER]]="","",MATCH(T_EMPLOYEES[[#This Row],[LOCATION]],L_LOCATION,0))</f>
        <v/>
      </c>
      <c r="AI498">
        <f>IF(T_EMPLOYEES[[#This Row],[EMPLOYEE NUMBER]]="","",MATCH(T_EMPLOYEES[[#This Row],[DEPARTMENT]],L_DEPARTMENT,0))</f>
        <v/>
      </c>
      <c r="AJ498">
        <f>IF(T_EMPLOYEES[[#This Row],[EMPLOYEE NUMBER]]="","",MATCH(T_EMPLOYEES[[#This Row],[JOB TYPE]],L_JOBTYPE,0))</f>
        <v/>
      </c>
      <c r="AK498">
        <f>IF(T_EMPLOYEES[[#This Row],[EMPLOYEE NUMBER]]="","",MATCH(T_EMPLOYEES[[#This Row],[JOB CATEGORY]],L_JOBCATEGORY,0))</f>
        <v/>
      </c>
      <c r="AL498">
        <f>IF(T_EMPLOYEES[[#This Row],[EMPLOYEE NUMBER]]="","",MATCH(T_EMPLOYEES[[#This Row],[JOB LEVEL]],L_JOBLEVEL,0))</f>
        <v/>
      </c>
      <c r="AM498">
        <f>IF(T_EMPLOYEES[[#This Row],[EMPLOYEE NUMBER]]="","",MATCH(T_EMPLOYEES[[#This Row],[JOB TITLE]],L_JOBTITLE,0))</f>
        <v/>
      </c>
      <c r="AN498">
        <f>IF(T_EMPLOYEES[[#This Row],[EMPLOYEE NUMBER]]="","",MATCH(T_EMPLOYEES[[#This Row],[MANAGER]],L_EMPLABELS,0))</f>
        <v/>
      </c>
      <c r="AO498">
        <f>IF(T_EMPLOYEES[[#This Row],[EMPLOYEE NUMBER]]="","",IF(T_EMPLOYEES[[#This Row],[ERROR]]="",0,1))</f>
        <v/>
      </c>
      <c r="AP49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499">
      <c r="A499" t="inlineStr">
        <is>
          <t>Obuli</t>
        </is>
      </c>
      <c r="B499" t="inlineStr">
        <is>
          <t xml:space="preserve"> Sundar</t>
        </is>
      </c>
      <c r="C499" t="n">
        <v>1027420</v>
      </c>
      <c r="D499" t="inlineStr">
        <is>
          <t>Obuli.Sundar@infinite.com</t>
        </is>
      </c>
      <c r="E499" s="26" t="n">
        <v>36706</v>
      </c>
      <c r="F499" s="26" t="n">
        <v>44531</v>
      </c>
      <c r="H499" t="inlineStr">
        <is>
          <t>Male</t>
        </is>
      </c>
      <c r="I499" t="inlineStr">
        <is>
          <t>Asian</t>
        </is>
      </c>
      <c r="J499" t="inlineStr">
        <is>
          <t>WEBSITE</t>
        </is>
      </c>
      <c r="K499" t="inlineStr">
        <is>
          <t>Bangalore</t>
        </is>
      </c>
      <c r="L499" s="27" t="inlineStr">
        <is>
          <t>Cognos</t>
        </is>
      </c>
      <c r="M499" t="inlineStr">
        <is>
          <t>Full-Time</t>
        </is>
      </c>
      <c r="N499" t="inlineStr">
        <is>
          <t>Software Engineer</t>
        </is>
      </c>
      <c r="O499" t="inlineStr">
        <is>
          <t>E2</t>
        </is>
      </c>
      <c r="P499" t="inlineStr">
        <is>
          <t>Software Engineer</t>
        </is>
      </c>
      <c r="Q499" t="inlineStr">
        <is>
          <t>Peernayakgari Irfan Basha (1017291)</t>
        </is>
      </c>
      <c r="R499" t="n">
        <v>4</v>
      </c>
      <c r="S499" s="1" t="n">
        <v>1200000</v>
      </c>
      <c r="T499" s="1">
        <f>ROUND(T_EMPLOYEES[[#This Row],[EMP_CTC1]]/12, 0)</f>
        <v/>
      </c>
      <c r="U499" s="1" t="n">
        <v>1000000</v>
      </c>
      <c r="V499" s="1" t="inlineStr">
        <is>
          <t>ND</t>
        </is>
      </c>
      <c r="W499" s="1" t="inlineStr">
        <is>
          <t>ND</t>
        </is>
      </c>
      <c r="X49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499" t="n">
        <v>120000</v>
      </c>
      <c r="Z499" s="29">
        <f>(S499 - U499)/S499 * 100</f>
        <v/>
      </c>
      <c r="AA499">
        <f>IF(T_EMPLOYEES[[#This Row],[EMPLOYEE NUMBER]]="","",ROW(T_EMPLOYEES[[#This Row],[EMPLOYEE LABEL]])-ROW(T_EMPLOYEES[[#Headers],[EMPLOYEE LABEL]]))</f>
        <v/>
      </c>
      <c r="AB499">
        <f>IF(T_EMPLOYEES[[#This Row],[EMPLOYEE NUMBER]]="","",IF(COUNTIF(T_EMPLOYEES[EMPLOYEE NUMBER],T_EMPLOYEES[[#This Row],[EMPLOYEE NUMBER]])&gt;1,1,0))</f>
        <v/>
      </c>
      <c r="AC499">
        <f>IF(T_EMPLOYEES[[#This Row],[EMPLOYEE NUMBER]]="","",IF(AND(T_EMPLOYEES[[#This Row],[DATE OF BIRTH]]&gt;0,T_EMPLOYEES[[#This Row],[DATE OF BIRTH]]&lt;TODAY()),0,1))</f>
        <v/>
      </c>
      <c r="AD499">
        <f>IF(T_EMPLOYEES[[#This Row],[EMPLOYEE NUMBER]]="","",IF(AND(T_EMPLOYEES[[#This Row],[START DATE]]&gt;0,T_EMPLOYEES[[#This Row],[START DATE]]&lt;TODAY()+60),0,1))</f>
        <v/>
      </c>
      <c r="AE499">
        <f>IF(T_EMPLOYEES[[#This Row],[EMPLOYEE NUMBER]]="","",MATCH(T_EMPLOYEES[[#This Row],[GENDER]],L_GENDER,0))</f>
        <v/>
      </c>
      <c r="AF499">
        <f>IF(T_EMPLOYEES[[#This Row],[EMPLOYEE NUMBER]]="","",MATCH(T_EMPLOYEES[[#This Row],[HIRE SOURCE]],L_HIRESOURCE,0))</f>
        <v/>
      </c>
      <c r="AG499">
        <f>IF(T_EMPLOYEES[[#This Row],[EMPLOYEE NUMBER]]="","",MATCH(T_EMPLOYEES[[#This Row],[ETHNICITY]],L_ETHNICITY,0))</f>
        <v/>
      </c>
      <c r="AH499">
        <f>IF(T_EMPLOYEES[[#This Row],[EMPLOYEE NUMBER]]="","",MATCH(T_EMPLOYEES[[#This Row],[LOCATION]],L_LOCATION,0))</f>
        <v/>
      </c>
      <c r="AI499">
        <f>IF(T_EMPLOYEES[[#This Row],[EMPLOYEE NUMBER]]="","",MATCH(T_EMPLOYEES[[#This Row],[DEPARTMENT]],L_DEPARTMENT,0))</f>
        <v/>
      </c>
      <c r="AJ499">
        <f>IF(T_EMPLOYEES[[#This Row],[EMPLOYEE NUMBER]]="","",MATCH(T_EMPLOYEES[[#This Row],[JOB TYPE]],L_JOBTYPE,0))</f>
        <v/>
      </c>
      <c r="AK499">
        <f>IF(T_EMPLOYEES[[#This Row],[EMPLOYEE NUMBER]]="","",MATCH(T_EMPLOYEES[[#This Row],[JOB CATEGORY]],L_JOBCATEGORY,0))</f>
        <v/>
      </c>
      <c r="AL499">
        <f>IF(T_EMPLOYEES[[#This Row],[EMPLOYEE NUMBER]]="","",MATCH(T_EMPLOYEES[[#This Row],[JOB LEVEL]],L_JOBLEVEL,0))</f>
        <v/>
      </c>
      <c r="AM499">
        <f>IF(T_EMPLOYEES[[#This Row],[EMPLOYEE NUMBER]]="","",MATCH(T_EMPLOYEES[[#This Row],[JOB TITLE]],L_JOBTITLE,0))</f>
        <v/>
      </c>
      <c r="AN499">
        <f>IF(T_EMPLOYEES[[#This Row],[EMPLOYEE NUMBER]]="","",MATCH(T_EMPLOYEES[[#This Row],[MANAGER]],L_EMPLABELS,0))</f>
        <v/>
      </c>
      <c r="AO499">
        <f>IF(T_EMPLOYEES[[#This Row],[EMPLOYEE NUMBER]]="","",IF(T_EMPLOYEES[[#This Row],[ERROR]]="",0,1))</f>
        <v/>
      </c>
      <c r="AP49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0">
      <c r="A500" t="inlineStr">
        <is>
          <t>K</t>
        </is>
      </c>
      <c r="B500" t="inlineStr">
        <is>
          <t xml:space="preserve"> Yashik</t>
        </is>
      </c>
      <c r="C500" t="n">
        <v>1027412</v>
      </c>
      <c r="D500" t="inlineStr">
        <is>
          <t>Yashik.Kumar@infinite.com</t>
        </is>
      </c>
      <c r="E500" s="26" t="n">
        <v>36720</v>
      </c>
      <c r="F500" s="26" t="n">
        <v>44531</v>
      </c>
      <c r="H500" t="inlineStr">
        <is>
          <t>Male</t>
        </is>
      </c>
      <c r="I500" t="inlineStr">
        <is>
          <t>Asian</t>
        </is>
      </c>
      <c r="J500" t="inlineStr">
        <is>
          <t>WEBSITE</t>
        </is>
      </c>
      <c r="K500" t="inlineStr">
        <is>
          <t>Bangalore</t>
        </is>
      </c>
      <c r="L500" s="27" t="inlineStr">
        <is>
          <t>IT</t>
        </is>
      </c>
      <c r="M500" t="inlineStr">
        <is>
          <t>Full-Time</t>
        </is>
      </c>
      <c r="N500" t="inlineStr">
        <is>
          <t>Software Engineer</t>
        </is>
      </c>
      <c r="O500" t="inlineStr">
        <is>
          <t>E2</t>
        </is>
      </c>
      <c r="P500" t="inlineStr">
        <is>
          <t>Software Engineer</t>
        </is>
      </c>
      <c r="Q500" t="inlineStr">
        <is>
          <t>Joel Clifton Dsouza (1012233)</t>
        </is>
      </c>
      <c r="R500" s="27" t="n">
        <v>4</v>
      </c>
      <c r="S500" s="1" t="n">
        <v>1200000</v>
      </c>
      <c r="T500" s="1">
        <f>ROUND(T_EMPLOYEES[[#This Row],[EMP_CTC1]]/12, 0)</f>
        <v/>
      </c>
      <c r="U500" s="1" t="n">
        <v>1000000</v>
      </c>
      <c r="V500" s="1" t="inlineStr">
        <is>
          <t>ND</t>
        </is>
      </c>
      <c r="W500" s="1" t="inlineStr">
        <is>
          <t>ND</t>
        </is>
      </c>
      <c r="X50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0" t="n">
        <v>120000</v>
      </c>
      <c r="Z500" s="29">
        <f>(S500 - U500)/S500 * 100</f>
        <v/>
      </c>
      <c r="AA500">
        <f>IF(T_EMPLOYEES[[#This Row],[EMPLOYEE NUMBER]]="","",ROW(T_EMPLOYEES[[#This Row],[EMPLOYEE LABEL]])-ROW(T_EMPLOYEES[[#Headers],[EMPLOYEE LABEL]]))</f>
        <v/>
      </c>
      <c r="AB500">
        <f>IF(T_EMPLOYEES[[#This Row],[EMPLOYEE NUMBER]]="","",IF(COUNTIF(T_EMPLOYEES[EMPLOYEE NUMBER],T_EMPLOYEES[[#This Row],[EMPLOYEE NUMBER]])&gt;1,1,0))</f>
        <v/>
      </c>
      <c r="AC500">
        <f>IF(T_EMPLOYEES[[#This Row],[EMPLOYEE NUMBER]]="","",IF(AND(T_EMPLOYEES[[#This Row],[DATE OF BIRTH]]&gt;0,T_EMPLOYEES[[#This Row],[DATE OF BIRTH]]&lt;TODAY()),0,1))</f>
        <v/>
      </c>
      <c r="AD500">
        <f>IF(T_EMPLOYEES[[#This Row],[EMPLOYEE NUMBER]]="","",IF(AND(T_EMPLOYEES[[#This Row],[START DATE]]&gt;0,T_EMPLOYEES[[#This Row],[START DATE]]&lt;TODAY()+60),0,1))</f>
        <v/>
      </c>
      <c r="AE500">
        <f>IF(T_EMPLOYEES[[#This Row],[EMPLOYEE NUMBER]]="","",MATCH(T_EMPLOYEES[[#This Row],[GENDER]],L_GENDER,0))</f>
        <v/>
      </c>
      <c r="AF500">
        <f>IF(T_EMPLOYEES[[#This Row],[EMPLOYEE NUMBER]]="","",MATCH(T_EMPLOYEES[[#This Row],[HIRE SOURCE]],L_HIRESOURCE,0))</f>
        <v/>
      </c>
      <c r="AG500">
        <f>IF(T_EMPLOYEES[[#This Row],[EMPLOYEE NUMBER]]="","",MATCH(T_EMPLOYEES[[#This Row],[ETHNICITY]],L_ETHNICITY,0))</f>
        <v/>
      </c>
      <c r="AH500">
        <f>IF(T_EMPLOYEES[[#This Row],[EMPLOYEE NUMBER]]="","",MATCH(T_EMPLOYEES[[#This Row],[LOCATION]],L_LOCATION,0))</f>
        <v/>
      </c>
      <c r="AI500">
        <f>IF(T_EMPLOYEES[[#This Row],[EMPLOYEE NUMBER]]="","",MATCH(T_EMPLOYEES[[#This Row],[DEPARTMENT]],L_DEPARTMENT,0))</f>
        <v/>
      </c>
      <c r="AJ500">
        <f>IF(T_EMPLOYEES[[#This Row],[EMPLOYEE NUMBER]]="","",MATCH(T_EMPLOYEES[[#This Row],[JOB TYPE]],L_JOBTYPE,0))</f>
        <v/>
      </c>
      <c r="AK500">
        <f>IF(T_EMPLOYEES[[#This Row],[EMPLOYEE NUMBER]]="","",MATCH(T_EMPLOYEES[[#This Row],[JOB CATEGORY]],L_JOBCATEGORY,0))</f>
        <v/>
      </c>
      <c r="AL500">
        <f>IF(T_EMPLOYEES[[#This Row],[EMPLOYEE NUMBER]]="","",MATCH(T_EMPLOYEES[[#This Row],[JOB LEVEL]],L_JOBLEVEL,0))</f>
        <v/>
      </c>
      <c r="AM500">
        <f>IF(T_EMPLOYEES[[#This Row],[EMPLOYEE NUMBER]]="","",MATCH(T_EMPLOYEES[[#This Row],[JOB TITLE]],L_JOBTITLE,0))</f>
        <v/>
      </c>
      <c r="AN500">
        <f>IF(T_EMPLOYEES[[#This Row],[EMPLOYEE NUMBER]]="","",MATCH(T_EMPLOYEES[[#This Row],[MANAGER]],L_EMPLABELS,0))</f>
        <v/>
      </c>
      <c r="AO500">
        <f>IF(T_EMPLOYEES[[#This Row],[EMPLOYEE NUMBER]]="","",IF(T_EMPLOYEES[[#This Row],[ERROR]]="",0,1))</f>
        <v/>
      </c>
      <c r="AP50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1">
      <c r="A501" t="inlineStr">
        <is>
          <t>Bhagyashree</t>
        </is>
      </c>
      <c r="B501" t="inlineStr">
        <is>
          <t>Patil</t>
        </is>
      </c>
      <c r="C501" t="n">
        <v>1030253</v>
      </c>
      <c r="D501" t="inlineStr">
        <is>
          <t>Bhagyashree.Patil@infinite.com</t>
        </is>
      </c>
      <c r="E501" s="26" t="n">
        <v>36724</v>
      </c>
      <c r="F501" s="26" t="n">
        <v>44819</v>
      </c>
      <c r="H501" t="inlineStr">
        <is>
          <t>Female</t>
        </is>
      </c>
      <c r="I501" t="inlineStr">
        <is>
          <t>Asian</t>
        </is>
      </c>
      <c r="J501" t="inlineStr">
        <is>
          <t>WEBSITE</t>
        </is>
      </c>
      <c r="K501" t="inlineStr">
        <is>
          <t>Bangalore</t>
        </is>
      </c>
      <c r="L501" s="27" t="inlineStr">
        <is>
          <t>Core</t>
        </is>
      </c>
      <c r="M501" t="inlineStr">
        <is>
          <t>Full-Time</t>
        </is>
      </c>
      <c r="N501" t="inlineStr">
        <is>
          <t>Associate Software Engineer</t>
        </is>
      </c>
      <c r="O501" t="inlineStr">
        <is>
          <t>E1</t>
        </is>
      </c>
      <c r="P501" t="inlineStr">
        <is>
          <t>Associate Software Engineer</t>
        </is>
      </c>
      <c r="Q501" t="inlineStr">
        <is>
          <t>Kishore Kumar N (1019765)</t>
        </is>
      </c>
      <c r="R501" t="n">
        <v>0</v>
      </c>
      <c r="S501" s="1" t="n">
        <v>1200000</v>
      </c>
      <c r="T501" s="1">
        <f>ROUND(T_EMPLOYEES[[#This Row],[EMP_CTC1]]/12, 0)</f>
        <v/>
      </c>
      <c r="U501" s="1" t="n">
        <v>1000000</v>
      </c>
      <c r="V501" s="1" t="inlineStr">
        <is>
          <t>ND</t>
        </is>
      </c>
      <c r="W501" s="1" t="inlineStr">
        <is>
          <t>ND</t>
        </is>
      </c>
      <c r="X50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1" t="n">
        <v>120000</v>
      </c>
      <c r="Z501" s="29">
        <f>(S501 - U501)/S501 * 100</f>
        <v/>
      </c>
      <c r="AA501">
        <f>IF(T_EMPLOYEES[[#This Row],[EMPLOYEE NUMBER]]="","",ROW(T_EMPLOYEES[[#This Row],[EMPLOYEE LABEL]])-ROW(T_EMPLOYEES[[#Headers],[EMPLOYEE LABEL]]))</f>
        <v/>
      </c>
      <c r="AB501">
        <f>IF(T_EMPLOYEES[[#This Row],[EMPLOYEE NUMBER]]="","",IF(COUNTIF(T_EMPLOYEES[EMPLOYEE NUMBER],T_EMPLOYEES[[#This Row],[EMPLOYEE NUMBER]])&gt;1,1,0))</f>
        <v/>
      </c>
      <c r="AC501">
        <f>IF(T_EMPLOYEES[[#This Row],[EMPLOYEE NUMBER]]="","",IF(AND(T_EMPLOYEES[[#This Row],[DATE OF BIRTH]]&gt;0,T_EMPLOYEES[[#This Row],[DATE OF BIRTH]]&lt;TODAY()),0,1))</f>
        <v/>
      </c>
      <c r="AD501">
        <f>IF(T_EMPLOYEES[[#This Row],[EMPLOYEE NUMBER]]="","",IF(AND(T_EMPLOYEES[[#This Row],[START DATE]]&gt;0,T_EMPLOYEES[[#This Row],[START DATE]]&lt;TODAY()+60),0,1))</f>
        <v/>
      </c>
      <c r="AE501">
        <f>IF(T_EMPLOYEES[[#This Row],[EMPLOYEE NUMBER]]="","",MATCH(T_EMPLOYEES[[#This Row],[GENDER]],L_GENDER,0))</f>
        <v/>
      </c>
      <c r="AF501">
        <f>IF(T_EMPLOYEES[[#This Row],[EMPLOYEE NUMBER]]="","",MATCH(T_EMPLOYEES[[#This Row],[HIRE SOURCE]],L_HIRESOURCE,0))</f>
        <v/>
      </c>
      <c r="AG501">
        <f>IF(T_EMPLOYEES[[#This Row],[EMPLOYEE NUMBER]]="","",MATCH(T_EMPLOYEES[[#This Row],[ETHNICITY]],L_ETHNICITY,0))</f>
        <v/>
      </c>
      <c r="AH501">
        <f>IF(T_EMPLOYEES[[#This Row],[EMPLOYEE NUMBER]]="","",MATCH(T_EMPLOYEES[[#This Row],[LOCATION]],L_LOCATION,0))</f>
        <v/>
      </c>
      <c r="AI501">
        <f>IF(T_EMPLOYEES[[#This Row],[EMPLOYEE NUMBER]]="","",MATCH(T_EMPLOYEES[[#This Row],[DEPARTMENT]],L_DEPARTMENT,0))</f>
        <v/>
      </c>
      <c r="AJ501">
        <f>IF(T_EMPLOYEES[[#This Row],[EMPLOYEE NUMBER]]="","",MATCH(T_EMPLOYEES[[#This Row],[JOB TYPE]],L_JOBTYPE,0))</f>
        <v/>
      </c>
      <c r="AK501">
        <f>IF(T_EMPLOYEES[[#This Row],[EMPLOYEE NUMBER]]="","",MATCH(T_EMPLOYEES[[#This Row],[JOB CATEGORY]],L_JOBCATEGORY,0))</f>
        <v/>
      </c>
      <c r="AL501">
        <f>IF(T_EMPLOYEES[[#This Row],[EMPLOYEE NUMBER]]="","",MATCH(T_EMPLOYEES[[#This Row],[JOB LEVEL]],L_JOBLEVEL,0))</f>
        <v/>
      </c>
      <c r="AM501">
        <f>IF(T_EMPLOYEES[[#This Row],[EMPLOYEE NUMBER]]="","",MATCH(T_EMPLOYEES[[#This Row],[JOB TITLE]],L_JOBTITLE,0))</f>
        <v/>
      </c>
      <c r="AN501">
        <f>IF(T_EMPLOYEES[[#This Row],[EMPLOYEE NUMBER]]="","",MATCH(T_EMPLOYEES[[#This Row],[MANAGER]],L_EMPLABELS,0))</f>
        <v/>
      </c>
      <c r="AO501">
        <f>IF(T_EMPLOYEES[[#This Row],[EMPLOYEE NUMBER]]="","",IF(T_EMPLOYEES[[#This Row],[ERROR]]="",0,1))</f>
        <v/>
      </c>
      <c r="AP50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2">
      <c r="A502" t="inlineStr">
        <is>
          <t>Poola</t>
        </is>
      </c>
      <c r="B502" t="inlineStr">
        <is>
          <t>Partha Saradhi</t>
        </is>
      </c>
      <c r="C502" t="n">
        <v>1030911</v>
      </c>
      <c r="D502" t="inlineStr">
        <is>
          <t>Parthasaradhi.Poola@infinite.com</t>
        </is>
      </c>
      <c r="E502" s="26" t="n">
        <v>36742</v>
      </c>
      <c r="F502" s="26" t="n">
        <v>44876</v>
      </c>
      <c r="H502" t="inlineStr">
        <is>
          <t>Male</t>
        </is>
      </c>
      <c r="I502" t="inlineStr">
        <is>
          <t>Asian</t>
        </is>
      </c>
      <c r="J502" t="inlineStr">
        <is>
          <t>WEBSITE</t>
        </is>
      </c>
      <c r="K502" t="inlineStr">
        <is>
          <t>Hyderabad</t>
        </is>
      </c>
      <c r="L502" s="27" t="inlineStr">
        <is>
          <t>Core</t>
        </is>
      </c>
      <c r="M502" t="inlineStr">
        <is>
          <t>Full-Time</t>
        </is>
      </c>
      <c r="N502" t="inlineStr">
        <is>
          <t>Associate Software Engineer</t>
        </is>
      </c>
      <c r="O502" t="inlineStr">
        <is>
          <t>E1</t>
        </is>
      </c>
      <c r="P502" t="inlineStr">
        <is>
          <t>Associate Software Engineer</t>
        </is>
      </c>
      <c r="Q502" t="inlineStr">
        <is>
          <t>Kishore Kumar N (1019765)</t>
        </is>
      </c>
      <c r="R502" s="27" t="n">
        <v>0</v>
      </c>
      <c r="S502" s="1" t="n">
        <v>1200000</v>
      </c>
      <c r="T502" s="1">
        <f>ROUND(T_EMPLOYEES[[#This Row],[EMP_CTC1]]/12, 0)</f>
        <v/>
      </c>
      <c r="U502" s="1" t="n">
        <v>1000000</v>
      </c>
      <c r="V502" s="1" t="inlineStr">
        <is>
          <t>ND</t>
        </is>
      </c>
      <c r="W502" s="1" t="inlineStr">
        <is>
          <t>ND</t>
        </is>
      </c>
      <c r="X50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2" t="n">
        <v>120000</v>
      </c>
      <c r="Z502" s="29">
        <f>(S502 - U502)/S502 * 100</f>
        <v/>
      </c>
      <c r="AA502">
        <f>IF(T_EMPLOYEES[[#This Row],[EMPLOYEE NUMBER]]="","",ROW(T_EMPLOYEES[[#This Row],[EMPLOYEE LABEL]])-ROW(T_EMPLOYEES[[#Headers],[EMPLOYEE LABEL]]))</f>
        <v/>
      </c>
      <c r="AB502">
        <f>IF(T_EMPLOYEES[[#This Row],[EMPLOYEE NUMBER]]="","",IF(COUNTIF(T_EMPLOYEES[EMPLOYEE NUMBER],T_EMPLOYEES[[#This Row],[EMPLOYEE NUMBER]])&gt;1,1,0))</f>
        <v/>
      </c>
      <c r="AC502">
        <f>IF(T_EMPLOYEES[[#This Row],[EMPLOYEE NUMBER]]="","",IF(AND(T_EMPLOYEES[[#This Row],[DATE OF BIRTH]]&gt;0,T_EMPLOYEES[[#This Row],[DATE OF BIRTH]]&lt;TODAY()),0,1))</f>
        <v/>
      </c>
      <c r="AD502">
        <f>IF(T_EMPLOYEES[[#This Row],[EMPLOYEE NUMBER]]="","",IF(AND(T_EMPLOYEES[[#This Row],[START DATE]]&gt;0,T_EMPLOYEES[[#This Row],[START DATE]]&lt;TODAY()+60),0,1))</f>
        <v/>
      </c>
      <c r="AE502">
        <f>IF(T_EMPLOYEES[[#This Row],[EMPLOYEE NUMBER]]="","",MATCH(T_EMPLOYEES[[#This Row],[GENDER]],L_GENDER,0))</f>
        <v/>
      </c>
      <c r="AF502">
        <f>IF(T_EMPLOYEES[[#This Row],[EMPLOYEE NUMBER]]="","",MATCH(T_EMPLOYEES[[#This Row],[HIRE SOURCE]],L_HIRESOURCE,0))</f>
        <v/>
      </c>
      <c r="AG502">
        <f>IF(T_EMPLOYEES[[#This Row],[EMPLOYEE NUMBER]]="","",MATCH(T_EMPLOYEES[[#This Row],[ETHNICITY]],L_ETHNICITY,0))</f>
        <v/>
      </c>
      <c r="AH502">
        <f>IF(T_EMPLOYEES[[#This Row],[EMPLOYEE NUMBER]]="","",MATCH(T_EMPLOYEES[[#This Row],[LOCATION]],L_LOCATION,0))</f>
        <v/>
      </c>
      <c r="AI502">
        <f>IF(T_EMPLOYEES[[#This Row],[EMPLOYEE NUMBER]]="","",MATCH(T_EMPLOYEES[[#This Row],[DEPARTMENT]],L_DEPARTMENT,0))</f>
        <v/>
      </c>
      <c r="AJ502">
        <f>IF(T_EMPLOYEES[[#This Row],[EMPLOYEE NUMBER]]="","",MATCH(T_EMPLOYEES[[#This Row],[JOB TYPE]],L_JOBTYPE,0))</f>
        <v/>
      </c>
      <c r="AK502">
        <f>IF(T_EMPLOYEES[[#This Row],[EMPLOYEE NUMBER]]="","",MATCH(T_EMPLOYEES[[#This Row],[JOB CATEGORY]],L_JOBCATEGORY,0))</f>
        <v/>
      </c>
      <c r="AL502">
        <f>IF(T_EMPLOYEES[[#This Row],[EMPLOYEE NUMBER]]="","",MATCH(T_EMPLOYEES[[#This Row],[JOB LEVEL]],L_JOBLEVEL,0))</f>
        <v/>
      </c>
      <c r="AM502">
        <f>IF(T_EMPLOYEES[[#This Row],[EMPLOYEE NUMBER]]="","",MATCH(T_EMPLOYEES[[#This Row],[JOB TITLE]],L_JOBTITLE,0))</f>
        <v/>
      </c>
      <c r="AN502">
        <f>IF(T_EMPLOYEES[[#This Row],[EMPLOYEE NUMBER]]="","",MATCH(T_EMPLOYEES[[#This Row],[MANAGER]],L_EMPLABELS,0))</f>
        <v/>
      </c>
      <c r="AO502">
        <f>IF(T_EMPLOYEES[[#This Row],[EMPLOYEE NUMBER]]="","",IF(T_EMPLOYEES[[#This Row],[ERROR]]="",0,1))</f>
        <v/>
      </c>
      <c r="AP50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3">
      <c r="A503" t="inlineStr">
        <is>
          <t>Rahul</t>
        </is>
      </c>
      <c r="B503" t="inlineStr">
        <is>
          <t xml:space="preserve"> Sasumana</t>
        </is>
      </c>
      <c r="C503" t="n">
        <v>1027413</v>
      </c>
      <c r="D503" t="inlineStr">
        <is>
          <t>Rahul.Sasumana@infinite.com</t>
        </is>
      </c>
      <c r="E503" s="26" t="n">
        <v>36747</v>
      </c>
      <c r="F503" s="26" t="n">
        <v>44531</v>
      </c>
      <c r="H503" t="inlineStr">
        <is>
          <t>Male</t>
        </is>
      </c>
      <c r="I503" t="inlineStr">
        <is>
          <t>Asian</t>
        </is>
      </c>
      <c r="J503" t="inlineStr">
        <is>
          <t>WEBSITE</t>
        </is>
      </c>
      <c r="K503" t="inlineStr">
        <is>
          <t>Bangalore</t>
        </is>
      </c>
      <c r="L503" s="27" t="inlineStr">
        <is>
          <t>Core</t>
        </is>
      </c>
      <c r="M503" t="inlineStr">
        <is>
          <t>Full-Time</t>
        </is>
      </c>
      <c r="N503" t="inlineStr">
        <is>
          <t>Software Engineer</t>
        </is>
      </c>
      <c r="O503" t="inlineStr">
        <is>
          <t>E2</t>
        </is>
      </c>
      <c r="P503" t="inlineStr">
        <is>
          <t>Software Engineer</t>
        </is>
      </c>
      <c r="Q503" t="inlineStr">
        <is>
          <t>Anil Kumar Khamari (1013201)</t>
        </is>
      </c>
      <c r="R503" t="n">
        <v>4</v>
      </c>
      <c r="S503" s="1" t="n">
        <v>1200000</v>
      </c>
      <c r="T503" s="1">
        <f>ROUND(T_EMPLOYEES[[#This Row],[EMP_CTC1]]/12, 0)</f>
        <v/>
      </c>
      <c r="U503" s="1" t="n">
        <v>1000000</v>
      </c>
      <c r="V503" s="1" t="inlineStr">
        <is>
          <t>ND</t>
        </is>
      </c>
      <c r="W503" s="1" t="inlineStr">
        <is>
          <t>ND</t>
        </is>
      </c>
      <c r="X50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3" t="n">
        <v>120000</v>
      </c>
      <c r="Z503" s="29">
        <f>(S503 - U503)/S503 * 100</f>
        <v/>
      </c>
      <c r="AA503">
        <f>IF(T_EMPLOYEES[[#This Row],[EMPLOYEE NUMBER]]="","",ROW(T_EMPLOYEES[[#This Row],[EMPLOYEE LABEL]])-ROW(T_EMPLOYEES[[#Headers],[EMPLOYEE LABEL]]))</f>
        <v/>
      </c>
      <c r="AB503">
        <f>IF(T_EMPLOYEES[[#This Row],[EMPLOYEE NUMBER]]="","",IF(COUNTIF(T_EMPLOYEES[EMPLOYEE NUMBER],T_EMPLOYEES[[#This Row],[EMPLOYEE NUMBER]])&gt;1,1,0))</f>
        <v/>
      </c>
      <c r="AC503">
        <f>IF(T_EMPLOYEES[[#This Row],[EMPLOYEE NUMBER]]="","",IF(AND(T_EMPLOYEES[[#This Row],[DATE OF BIRTH]]&gt;0,T_EMPLOYEES[[#This Row],[DATE OF BIRTH]]&lt;TODAY()),0,1))</f>
        <v/>
      </c>
      <c r="AD503">
        <f>IF(T_EMPLOYEES[[#This Row],[EMPLOYEE NUMBER]]="","",IF(AND(T_EMPLOYEES[[#This Row],[START DATE]]&gt;0,T_EMPLOYEES[[#This Row],[START DATE]]&lt;TODAY()+60),0,1))</f>
        <v/>
      </c>
      <c r="AE503">
        <f>IF(T_EMPLOYEES[[#This Row],[EMPLOYEE NUMBER]]="","",MATCH(T_EMPLOYEES[[#This Row],[GENDER]],L_GENDER,0))</f>
        <v/>
      </c>
      <c r="AF503">
        <f>IF(T_EMPLOYEES[[#This Row],[EMPLOYEE NUMBER]]="","",MATCH(T_EMPLOYEES[[#This Row],[HIRE SOURCE]],L_HIRESOURCE,0))</f>
        <v/>
      </c>
      <c r="AG503">
        <f>IF(T_EMPLOYEES[[#This Row],[EMPLOYEE NUMBER]]="","",MATCH(T_EMPLOYEES[[#This Row],[ETHNICITY]],L_ETHNICITY,0))</f>
        <v/>
      </c>
      <c r="AH503">
        <f>IF(T_EMPLOYEES[[#This Row],[EMPLOYEE NUMBER]]="","",MATCH(T_EMPLOYEES[[#This Row],[LOCATION]],L_LOCATION,0))</f>
        <v/>
      </c>
      <c r="AI503">
        <f>IF(T_EMPLOYEES[[#This Row],[EMPLOYEE NUMBER]]="","",MATCH(T_EMPLOYEES[[#This Row],[DEPARTMENT]],L_DEPARTMENT,0))</f>
        <v/>
      </c>
      <c r="AJ503">
        <f>IF(T_EMPLOYEES[[#This Row],[EMPLOYEE NUMBER]]="","",MATCH(T_EMPLOYEES[[#This Row],[JOB TYPE]],L_JOBTYPE,0))</f>
        <v/>
      </c>
      <c r="AK503">
        <f>IF(T_EMPLOYEES[[#This Row],[EMPLOYEE NUMBER]]="","",MATCH(T_EMPLOYEES[[#This Row],[JOB CATEGORY]],L_JOBCATEGORY,0))</f>
        <v/>
      </c>
      <c r="AL503">
        <f>IF(T_EMPLOYEES[[#This Row],[EMPLOYEE NUMBER]]="","",MATCH(T_EMPLOYEES[[#This Row],[JOB LEVEL]],L_JOBLEVEL,0))</f>
        <v/>
      </c>
      <c r="AM503">
        <f>IF(T_EMPLOYEES[[#This Row],[EMPLOYEE NUMBER]]="","",MATCH(T_EMPLOYEES[[#This Row],[JOB TITLE]],L_JOBTITLE,0))</f>
        <v/>
      </c>
      <c r="AN503">
        <f>IF(T_EMPLOYEES[[#This Row],[EMPLOYEE NUMBER]]="","",MATCH(T_EMPLOYEES[[#This Row],[MANAGER]],L_EMPLABELS,0))</f>
        <v/>
      </c>
      <c r="AO503">
        <f>IF(T_EMPLOYEES[[#This Row],[EMPLOYEE NUMBER]]="","",IF(T_EMPLOYEES[[#This Row],[ERROR]]="",0,1))</f>
        <v/>
      </c>
      <c r="AP50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4">
      <c r="A504" t="inlineStr">
        <is>
          <t>Shivangi</t>
        </is>
      </c>
      <c r="B504" t="inlineStr">
        <is>
          <t>Bharti</t>
        </is>
      </c>
      <c r="C504" t="n">
        <v>1033216</v>
      </c>
      <c r="D504" t="inlineStr">
        <is>
          <t>Shivangi.Bharti@infinite.com</t>
        </is>
      </c>
      <c r="E504" s="26" t="n">
        <v>36750</v>
      </c>
      <c r="F504" s="26" t="n">
        <v>45155</v>
      </c>
      <c r="H504" t="inlineStr">
        <is>
          <t>Female</t>
        </is>
      </c>
      <c r="I504" t="inlineStr">
        <is>
          <t>Asian</t>
        </is>
      </c>
      <c r="J504" t="inlineStr">
        <is>
          <t>WEBSITE</t>
        </is>
      </c>
      <c r="K504" t="inlineStr">
        <is>
          <t>Bangalore</t>
        </is>
      </c>
      <c r="L504" s="27" t="inlineStr">
        <is>
          <t>Core</t>
        </is>
      </c>
      <c r="M504" t="inlineStr">
        <is>
          <t>Full-Time</t>
        </is>
      </c>
      <c r="N504" t="inlineStr">
        <is>
          <t>Associate Software Engineer</t>
        </is>
      </c>
      <c r="O504" t="inlineStr">
        <is>
          <t>E1</t>
        </is>
      </c>
      <c r="P504" t="inlineStr">
        <is>
          <t>Associate Software Engineer</t>
        </is>
      </c>
      <c r="Q504" t="inlineStr">
        <is>
          <t>Anil Kumar Khamari (1013201)</t>
        </is>
      </c>
      <c r="R504" s="27" t="n">
        <v>0</v>
      </c>
      <c r="S504" s="1" t="n">
        <v>1200000</v>
      </c>
      <c r="T504" s="1">
        <f>ROUND(T_EMPLOYEES[[#This Row],[EMP_CTC1]]/12, 0)</f>
        <v/>
      </c>
      <c r="U504" s="1" t="n">
        <v>1000000</v>
      </c>
      <c r="V504" s="1" t="inlineStr">
        <is>
          <t>ND</t>
        </is>
      </c>
      <c r="W504" s="1" t="inlineStr">
        <is>
          <t>ND</t>
        </is>
      </c>
      <c r="X50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4" t="n">
        <v>120000</v>
      </c>
      <c r="Z504" s="29">
        <f>(S504 - U504)/S504 * 100</f>
        <v/>
      </c>
      <c r="AA504">
        <f>IF(T_EMPLOYEES[[#This Row],[EMPLOYEE NUMBER]]="","",ROW(T_EMPLOYEES[[#This Row],[EMPLOYEE LABEL]])-ROW(T_EMPLOYEES[[#Headers],[EMPLOYEE LABEL]]))</f>
        <v/>
      </c>
      <c r="AB504">
        <f>IF(T_EMPLOYEES[[#This Row],[EMPLOYEE NUMBER]]="","",IF(COUNTIF(T_EMPLOYEES[EMPLOYEE NUMBER],T_EMPLOYEES[[#This Row],[EMPLOYEE NUMBER]])&gt;1,1,0))</f>
        <v/>
      </c>
      <c r="AC504">
        <f>IF(T_EMPLOYEES[[#This Row],[EMPLOYEE NUMBER]]="","",IF(AND(T_EMPLOYEES[[#This Row],[DATE OF BIRTH]]&gt;0,T_EMPLOYEES[[#This Row],[DATE OF BIRTH]]&lt;TODAY()),0,1))</f>
        <v/>
      </c>
      <c r="AD504">
        <f>IF(T_EMPLOYEES[[#This Row],[EMPLOYEE NUMBER]]="","",IF(AND(T_EMPLOYEES[[#This Row],[START DATE]]&gt;0,T_EMPLOYEES[[#This Row],[START DATE]]&lt;TODAY()+60),0,1))</f>
        <v/>
      </c>
      <c r="AE504">
        <f>IF(T_EMPLOYEES[[#This Row],[EMPLOYEE NUMBER]]="","",MATCH(T_EMPLOYEES[[#This Row],[GENDER]],L_GENDER,0))</f>
        <v/>
      </c>
      <c r="AF504">
        <f>IF(T_EMPLOYEES[[#This Row],[EMPLOYEE NUMBER]]="","",MATCH(T_EMPLOYEES[[#This Row],[HIRE SOURCE]],L_HIRESOURCE,0))</f>
        <v/>
      </c>
      <c r="AG504">
        <f>IF(T_EMPLOYEES[[#This Row],[EMPLOYEE NUMBER]]="","",MATCH(T_EMPLOYEES[[#This Row],[ETHNICITY]],L_ETHNICITY,0))</f>
        <v/>
      </c>
      <c r="AH504">
        <f>IF(T_EMPLOYEES[[#This Row],[EMPLOYEE NUMBER]]="","",MATCH(T_EMPLOYEES[[#This Row],[LOCATION]],L_LOCATION,0))</f>
        <v/>
      </c>
      <c r="AI504">
        <f>IF(T_EMPLOYEES[[#This Row],[EMPLOYEE NUMBER]]="","",MATCH(T_EMPLOYEES[[#This Row],[DEPARTMENT]],L_DEPARTMENT,0))</f>
        <v/>
      </c>
      <c r="AJ504">
        <f>IF(T_EMPLOYEES[[#This Row],[EMPLOYEE NUMBER]]="","",MATCH(T_EMPLOYEES[[#This Row],[JOB TYPE]],L_JOBTYPE,0))</f>
        <v/>
      </c>
      <c r="AK504">
        <f>IF(T_EMPLOYEES[[#This Row],[EMPLOYEE NUMBER]]="","",MATCH(T_EMPLOYEES[[#This Row],[JOB CATEGORY]],L_JOBCATEGORY,0))</f>
        <v/>
      </c>
      <c r="AL504">
        <f>IF(T_EMPLOYEES[[#This Row],[EMPLOYEE NUMBER]]="","",MATCH(T_EMPLOYEES[[#This Row],[JOB LEVEL]],L_JOBLEVEL,0))</f>
        <v/>
      </c>
      <c r="AM504">
        <f>IF(T_EMPLOYEES[[#This Row],[EMPLOYEE NUMBER]]="","",MATCH(T_EMPLOYEES[[#This Row],[JOB TITLE]],L_JOBTITLE,0))</f>
        <v/>
      </c>
      <c r="AN504">
        <f>IF(T_EMPLOYEES[[#This Row],[EMPLOYEE NUMBER]]="","",MATCH(T_EMPLOYEES[[#This Row],[MANAGER]],L_EMPLABELS,0))</f>
        <v/>
      </c>
      <c r="AO504">
        <f>IF(T_EMPLOYEES[[#This Row],[EMPLOYEE NUMBER]]="","",IF(T_EMPLOYEES[[#This Row],[ERROR]]="",0,1))</f>
        <v/>
      </c>
      <c r="AP50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5">
      <c r="A505" t="inlineStr">
        <is>
          <t>Harshit</t>
        </is>
      </c>
      <c r="B505" t="inlineStr">
        <is>
          <t>Tiwari</t>
        </is>
      </c>
      <c r="C505" t="n">
        <v>1029869</v>
      </c>
      <c r="D505" t="inlineStr">
        <is>
          <t>Harshit.Tiwari@infinite.com</t>
        </is>
      </c>
      <c r="E505" s="26" t="n">
        <v>36757</v>
      </c>
      <c r="F505" s="26" t="n">
        <v>44791</v>
      </c>
      <c r="H505" t="inlineStr">
        <is>
          <t>Male</t>
        </is>
      </c>
      <c r="I505" t="inlineStr">
        <is>
          <t>Asian</t>
        </is>
      </c>
      <c r="J505" t="inlineStr">
        <is>
          <t>WEBSITE</t>
        </is>
      </c>
      <c r="K505" t="inlineStr">
        <is>
          <t>Bangalore</t>
        </is>
      </c>
      <c r="L505" s="27" t="inlineStr">
        <is>
          <t>Core</t>
        </is>
      </c>
      <c r="M505" t="inlineStr">
        <is>
          <t>Full-Time</t>
        </is>
      </c>
      <c r="N505" t="inlineStr">
        <is>
          <t>Associate Software Engineer</t>
        </is>
      </c>
      <c r="O505" t="inlineStr">
        <is>
          <t>E1</t>
        </is>
      </c>
      <c r="P505" t="inlineStr">
        <is>
          <t>Associate Software Engineer</t>
        </is>
      </c>
      <c r="Q505" t="inlineStr">
        <is>
          <t>Dipakbhai Motibhai Tandel (1027230)</t>
        </is>
      </c>
      <c r="R505" t="n">
        <v>0</v>
      </c>
      <c r="S505" s="1" t="n">
        <v>1200000</v>
      </c>
      <c r="T505" s="1">
        <f>ROUND(T_EMPLOYEES[[#This Row],[EMP_CTC1]]/12, 0)</f>
        <v/>
      </c>
      <c r="U505" s="1" t="n">
        <v>1000000</v>
      </c>
      <c r="V505" s="1" t="inlineStr">
        <is>
          <t>ND</t>
        </is>
      </c>
      <c r="W505" s="1" t="inlineStr">
        <is>
          <t>ND</t>
        </is>
      </c>
      <c r="X50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5" t="n">
        <v>120000</v>
      </c>
      <c r="Z505" s="29">
        <f>(S505 - U505)/S505 * 100</f>
        <v/>
      </c>
      <c r="AA505">
        <f>IF(T_EMPLOYEES[[#This Row],[EMPLOYEE NUMBER]]="","",ROW(T_EMPLOYEES[[#This Row],[EMPLOYEE LABEL]])-ROW(T_EMPLOYEES[[#Headers],[EMPLOYEE LABEL]]))</f>
        <v/>
      </c>
      <c r="AB505">
        <f>IF(T_EMPLOYEES[[#This Row],[EMPLOYEE NUMBER]]="","",IF(COUNTIF(T_EMPLOYEES[EMPLOYEE NUMBER],T_EMPLOYEES[[#This Row],[EMPLOYEE NUMBER]])&gt;1,1,0))</f>
        <v/>
      </c>
      <c r="AC505">
        <f>IF(T_EMPLOYEES[[#This Row],[EMPLOYEE NUMBER]]="","",IF(AND(T_EMPLOYEES[[#This Row],[DATE OF BIRTH]]&gt;0,T_EMPLOYEES[[#This Row],[DATE OF BIRTH]]&lt;TODAY()),0,1))</f>
        <v/>
      </c>
      <c r="AD505">
        <f>IF(T_EMPLOYEES[[#This Row],[EMPLOYEE NUMBER]]="","",IF(AND(T_EMPLOYEES[[#This Row],[START DATE]]&gt;0,T_EMPLOYEES[[#This Row],[START DATE]]&lt;TODAY()+60),0,1))</f>
        <v/>
      </c>
      <c r="AE505">
        <f>IF(T_EMPLOYEES[[#This Row],[EMPLOYEE NUMBER]]="","",MATCH(T_EMPLOYEES[[#This Row],[GENDER]],L_GENDER,0))</f>
        <v/>
      </c>
      <c r="AF505">
        <f>IF(T_EMPLOYEES[[#This Row],[EMPLOYEE NUMBER]]="","",MATCH(T_EMPLOYEES[[#This Row],[HIRE SOURCE]],L_HIRESOURCE,0))</f>
        <v/>
      </c>
      <c r="AG505">
        <f>IF(T_EMPLOYEES[[#This Row],[EMPLOYEE NUMBER]]="","",MATCH(T_EMPLOYEES[[#This Row],[ETHNICITY]],L_ETHNICITY,0))</f>
        <v/>
      </c>
      <c r="AH505">
        <f>IF(T_EMPLOYEES[[#This Row],[EMPLOYEE NUMBER]]="","",MATCH(T_EMPLOYEES[[#This Row],[LOCATION]],L_LOCATION,0))</f>
        <v/>
      </c>
      <c r="AI505">
        <f>IF(T_EMPLOYEES[[#This Row],[EMPLOYEE NUMBER]]="","",MATCH(T_EMPLOYEES[[#This Row],[DEPARTMENT]],L_DEPARTMENT,0))</f>
        <v/>
      </c>
      <c r="AJ505">
        <f>IF(T_EMPLOYEES[[#This Row],[EMPLOYEE NUMBER]]="","",MATCH(T_EMPLOYEES[[#This Row],[JOB TYPE]],L_JOBTYPE,0))</f>
        <v/>
      </c>
      <c r="AK505">
        <f>IF(T_EMPLOYEES[[#This Row],[EMPLOYEE NUMBER]]="","",MATCH(T_EMPLOYEES[[#This Row],[JOB CATEGORY]],L_JOBCATEGORY,0))</f>
        <v/>
      </c>
      <c r="AL505">
        <f>IF(T_EMPLOYEES[[#This Row],[EMPLOYEE NUMBER]]="","",MATCH(T_EMPLOYEES[[#This Row],[JOB LEVEL]],L_JOBLEVEL,0))</f>
        <v/>
      </c>
      <c r="AM505">
        <f>IF(T_EMPLOYEES[[#This Row],[EMPLOYEE NUMBER]]="","",MATCH(T_EMPLOYEES[[#This Row],[JOB TITLE]],L_JOBTITLE,0))</f>
        <v/>
      </c>
      <c r="AN505">
        <f>IF(T_EMPLOYEES[[#This Row],[EMPLOYEE NUMBER]]="","",MATCH(T_EMPLOYEES[[#This Row],[MANAGER]],L_EMPLABELS,0))</f>
        <v/>
      </c>
      <c r="AO505">
        <f>IF(T_EMPLOYEES[[#This Row],[EMPLOYEE NUMBER]]="","",IF(T_EMPLOYEES[[#This Row],[ERROR]]="",0,1))</f>
        <v/>
      </c>
      <c r="AP50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6">
      <c r="A506" t="inlineStr">
        <is>
          <t>Arti</t>
        </is>
      </c>
      <c r="B506" t="inlineStr">
        <is>
          <t>Balkrushna Yadav</t>
        </is>
      </c>
      <c r="C506" t="n">
        <v>1026287</v>
      </c>
      <c r="D506" t="inlineStr">
        <is>
          <t>Arti.Yadav@infinite.com</t>
        </is>
      </c>
      <c r="E506" s="26" t="n">
        <v>36759</v>
      </c>
      <c r="F506" s="26" t="n">
        <v>44438</v>
      </c>
      <c r="H506" t="inlineStr">
        <is>
          <t>Female</t>
        </is>
      </c>
      <c r="I506" t="inlineStr">
        <is>
          <t>Asian</t>
        </is>
      </c>
      <c r="J506" t="inlineStr">
        <is>
          <t>WEBSITE</t>
        </is>
      </c>
      <c r="K506" t="inlineStr">
        <is>
          <t>Bangalore</t>
        </is>
      </c>
      <c r="L506" s="27" t="inlineStr">
        <is>
          <t>Core</t>
        </is>
      </c>
      <c r="M506" t="inlineStr">
        <is>
          <t>Full-Time</t>
        </is>
      </c>
      <c r="N506" t="inlineStr">
        <is>
          <t>Software Engineer</t>
        </is>
      </c>
      <c r="O506" t="inlineStr">
        <is>
          <t>E2</t>
        </is>
      </c>
      <c r="P506" t="inlineStr">
        <is>
          <t>Software Engineer</t>
        </is>
      </c>
      <c r="Q506" t="inlineStr">
        <is>
          <t>Dipakbhai Motibhai Tandel (1027230)</t>
        </is>
      </c>
      <c r="R506" s="27" t="n">
        <v>4</v>
      </c>
      <c r="S506" s="1" t="n">
        <v>1200000</v>
      </c>
      <c r="T506" s="1">
        <f>ROUND(T_EMPLOYEES[[#This Row],[EMP_CTC1]]/12, 0)</f>
        <v/>
      </c>
      <c r="U506" s="1" t="n">
        <v>1000000</v>
      </c>
      <c r="V506" s="1" t="inlineStr">
        <is>
          <t>ND</t>
        </is>
      </c>
      <c r="W506" s="1" t="inlineStr">
        <is>
          <t>ND</t>
        </is>
      </c>
      <c r="X50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6" t="n">
        <v>120000</v>
      </c>
      <c r="Z506" s="29">
        <f>(S506 - U506)/S506 * 100</f>
        <v/>
      </c>
      <c r="AA506">
        <f>IF(T_EMPLOYEES[[#This Row],[EMPLOYEE NUMBER]]="","",ROW(T_EMPLOYEES[[#This Row],[EMPLOYEE LABEL]])-ROW(T_EMPLOYEES[[#Headers],[EMPLOYEE LABEL]]))</f>
        <v/>
      </c>
      <c r="AB506">
        <f>IF(T_EMPLOYEES[[#This Row],[EMPLOYEE NUMBER]]="","",IF(COUNTIF(T_EMPLOYEES[EMPLOYEE NUMBER],T_EMPLOYEES[[#This Row],[EMPLOYEE NUMBER]])&gt;1,1,0))</f>
        <v/>
      </c>
      <c r="AC506">
        <f>IF(T_EMPLOYEES[[#This Row],[EMPLOYEE NUMBER]]="","",IF(AND(T_EMPLOYEES[[#This Row],[DATE OF BIRTH]]&gt;0,T_EMPLOYEES[[#This Row],[DATE OF BIRTH]]&lt;TODAY()),0,1))</f>
        <v/>
      </c>
      <c r="AD506">
        <f>IF(T_EMPLOYEES[[#This Row],[EMPLOYEE NUMBER]]="","",IF(AND(T_EMPLOYEES[[#This Row],[START DATE]]&gt;0,T_EMPLOYEES[[#This Row],[START DATE]]&lt;TODAY()+60),0,1))</f>
        <v/>
      </c>
      <c r="AE506">
        <f>IF(T_EMPLOYEES[[#This Row],[EMPLOYEE NUMBER]]="","",MATCH(T_EMPLOYEES[[#This Row],[GENDER]],L_GENDER,0))</f>
        <v/>
      </c>
      <c r="AF506">
        <f>IF(T_EMPLOYEES[[#This Row],[EMPLOYEE NUMBER]]="","",MATCH(T_EMPLOYEES[[#This Row],[HIRE SOURCE]],L_HIRESOURCE,0))</f>
        <v/>
      </c>
      <c r="AG506">
        <f>IF(T_EMPLOYEES[[#This Row],[EMPLOYEE NUMBER]]="","",MATCH(T_EMPLOYEES[[#This Row],[ETHNICITY]],L_ETHNICITY,0))</f>
        <v/>
      </c>
      <c r="AH506">
        <f>IF(T_EMPLOYEES[[#This Row],[EMPLOYEE NUMBER]]="","",MATCH(T_EMPLOYEES[[#This Row],[LOCATION]],L_LOCATION,0))</f>
        <v/>
      </c>
      <c r="AI506">
        <f>IF(T_EMPLOYEES[[#This Row],[EMPLOYEE NUMBER]]="","",MATCH(T_EMPLOYEES[[#This Row],[DEPARTMENT]],L_DEPARTMENT,0))</f>
        <v/>
      </c>
      <c r="AJ506">
        <f>IF(T_EMPLOYEES[[#This Row],[EMPLOYEE NUMBER]]="","",MATCH(T_EMPLOYEES[[#This Row],[JOB TYPE]],L_JOBTYPE,0))</f>
        <v/>
      </c>
      <c r="AK506">
        <f>IF(T_EMPLOYEES[[#This Row],[EMPLOYEE NUMBER]]="","",MATCH(T_EMPLOYEES[[#This Row],[JOB CATEGORY]],L_JOBCATEGORY,0))</f>
        <v/>
      </c>
      <c r="AL506">
        <f>IF(T_EMPLOYEES[[#This Row],[EMPLOYEE NUMBER]]="","",MATCH(T_EMPLOYEES[[#This Row],[JOB LEVEL]],L_JOBLEVEL,0))</f>
        <v/>
      </c>
      <c r="AM506">
        <f>IF(T_EMPLOYEES[[#This Row],[EMPLOYEE NUMBER]]="","",MATCH(T_EMPLOYEES[[#This Row],[JOB TITLE]],L_JOBTITLE,0))</f>
        <v/>
      </c>
      <c r="AN506">
        <f>IF(T_EMPLOYEES[[#This Row],[EMPLOYEE NUMBER]]="","",MATCH(T_EMPLOYEES[[#This Row],[MANAGER]],L_EMPLABELS,0))</f>
        <v/>
      </c>
      <c r="AO506">
        <f>IF(T_EMPLOYEES[[#This Row],[EMPLOYEE NUMBER]]="","",IF(T_EMPLOYEES[[#This Row],[ERROR]]="",0,1))</f>
        <v/>
      </c>
      <c r="AP50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7">
      <c r="A507" t="inlineStr">
        <is>
          <t>Karri</t>
        </is>
      </c>
      <c r="B507" t="inlineStr">
        <is>
          <t>Bhargavi</t>
        </is>
      </c>
      <c r="C507" t="n">
        <v>1029889</v>
      </c>
      <c r="D507" t="inlineStr">
        <is>
          <t>Bhargavi.Karri@infinite.com</t>
        </is>
      </c>
      <c r="E507" s="26" t="n">
        <v>36767</v>
      </c>
      <c r="F507" s="26" t="n">
        <v>44791</v>
      </c>
      <c r="H507" t="inlineStr">
        <is>
          <t>Female</t>
        </is>
      </c>
      <c r="I507" t="inlineStr">
        <is>
          <t>Asian</t>
        </is>
      </c>
      <c r="J507" t="inlineStr">
        <is>
          <t>WEBSITE</t>
        </is>
      </c>
      <c r="K507" t="inlineStr">
        <is>
          <t>Bangalore</t>
        </is>
      </c>
      <c r="L507" s="27" t="inlineStr">
        <is>
          <t>IT</t>
        </is>
      </c>
      <c r="M507" t="inlineStr">
        <is>
          <t>Full-Time</t>
        </is>
      </c>
      <c r="N507" t="inlineStr">
        <is>
          <t>Associate Software Engineer</t>
        </is>
      </c>
      <c r="O507" t="inlineStr">
        <is>
          <t>E1</t>
        </is>
      </c>
      <c r="P507" t="inlineStr">
        <is>
          <t>Associate Software Engineer</t>
        </is>
      </c>
      <c r="Q507" t="inlineStr">
        <is>
          <t>Sunny Bhattacharjee (1025863)</t>
        </is>
      </c>
      <c r="R507" t="n">
        <v>0</v>
      </c>
      <c r="S507" s="1" t="n">
        <v>1200000</v>
      </c>
      <c r="T507" s="1">
        <f>ROUND(T_EMPLOYEES[[#This Row],[EMP_CTC1]]/12, 0)</f>
        <v/>
      </c>
      <c r="U507" s="1" t="n">
        <v>1000000</v>
      </c>
      <c r="V507" s="1" t="inlineStr">
        <is>
          <t>ND</t>
        </is>
      </c>
      <c r="W507" s="1" t="inlineStr">
        <is>
          <t>ND</t>
        </is>
      </c>
      <c r="X50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7" t="n">
        <v>120000</v>
      </c>
      <c r="Z507" s="29">
        <f>(S507 - U507)/S507 * 100</f>
        <v/>
      </c>
      <c r="AA507">
        <f>IF(T_EMPLOYEES[[#This Row],[EMPLOYEE NUMBER]]="","",ROW(T_EMPLOYEES[[#This Row],[EMPLOYEE LABEL]])-ROW(T_EMPLOYEES[[#Headers],[EMPLOYEE LABEL]]))</f>
        <v/>
      </c>
      <c r="AB507">
        <f>IF(T_EMPLOYEES[[#This Row],[EMPLOYEE NUMBER]]="","",IF(COUNTIF(T_EMPLOYEES[EMPLOYEE NUMBER],T_EMPLOYEES[[#This Row],[EMPLOYEE NUMBER]])&gt;1,1,0))</f>
        <v/>
      </c>
      <c r="AC507">
        <f>IF(T_EMPLOYEES[[#This Row],[EMPLOYEE NUMBER]]="","",IF(AND(T_EMPLOYEES[[#This Row],[DATE OF BIRTH]]&gt;0,T_EMPLOYEES[[#This Row],[DATE OF BIRTH]]&lt;TODAY()),0,1))</f>
        <v/>
      </c>
      <c r="AD507">
        <f>IF(T_EMPLOYEES[[#This Row],[EMPLOYEE NUMBER]]="","",IF(AND(T_EMPLOYEES[[#This Row],[START DATE]]&gt;0,T_EMPLOYEES[[#This Row],[START DATE]]&lt;TODAY()+60),0,1))</f>
        <v/>
      </c>
      <c r="AE507">
        <f>IF(T_EMPLOYEES[[#This Row],[EMPLOYEE NUMBER]]="","",MATCH(T_EMPLOYEES[[#This Row],[GENDER]],L_GENDER,0))</f>
        <v/>
      </c>
      <c r="AF507">
        <f>IF(T_EMPLOYEES[[#This Row],[EMPLOYEE NUMBER]]="","",MATCH(T_EMPLOYEES[[#This Row],[HIRE SOURCE]],L_HIRESOURCE,0))</f>
        <v/>
      </c>
      <c r="AG507">
        <f>IF(T_EMPLOYEES[[#This Row],[EMPLOYEE NUMBER]]="","",MATCH(T_EMPLOYEES[[#This Row],[ETHNICITY]],L_ETHNICITY,0))</f>
        <v/>
      </c>
      <c r="AH507">
        <f>IF(T_EMPLOYEES[[#This Row],[EMPLOYEE NUMBER]]="","",MATCH(T_EMPLOYEES[[#This Row],[LOCATION]],L_LOCATION,0))</f>
        <v/>
      </c>
      <c r="AI507">
        <f>IF(T_EMPLOYEES[[#This Row],[EMPLOYEE NUMBER]]="","",MATCH(T_EMPLOYEES[[#This Row],[DEPARTMENT]],L_DEPARTMENT,0))</f>
        <v/>
      </c>
      <c r="AJ507">
        <f>IF(T_EMPLOYEES[[#This Row],[EMPLOYEE NUMBER]]="","",MATCH(T_EMPLOYEES[[#This Row],[JOB TYPE]],L_JOBTYPE,0))</f>
        <v/>
      </c>
      <c r="AK507">
        <f>IF(T_EMPLOYEES[[#This Row],[EMPLOYEE NUMBER]]="","",MATCH(T_EMPLOYEES[[#This Row],[JOB CATEGORY]],L_JOBCATEGORY,0))</f>
        <v/>
      </c>
      <c r="AL507">
        <f>IF(T_EMPLOYEES[[#This Row],[EMPLOYEE NUMBER]]="","",MATCH(T_EMPLOYEES[[#This Row],[JOB LEVEL]],L_JOBLEVEL,0))</f>
        <v/>
      </c>
      <c r="AM507">
        <f>IF(T_EMPLOYEES[[#This Row],[EMPLOYEE NUMBER]]="","",MATCH(T_EMPLOYEES[[#This Row],[JOB TITLE]],L_JOBTITLE,0))</f>
        <v/>
      </c>
      <c r="AN507">
        <f>IF(T_EMPLOYEES[[#This Row],[EMPLOYEE NUMBER]]="","",MATCH(T_EMPLOYEES[[#This Row],[MANAGER]],L_EMPLABELS,0))</f>
        <v/>
      </c>
      <c r="AO507">
        <f>IF(T_EMPLOYEES[[#This Row],[EMPLOYEE NUMBER]]="","",IF(T_EMPLOYEES[[#This Row],[ERROR]]="",0,1))</f>
        <v/>
      </c>
      <c r="AP50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8">
      <c r="A508" t="inlineStr">
        <is>
          <t>Abhishek</t>
        </is>
      </c>
      <c r="B508" t="inlineStr">
        <is>
          <t>Kumar</t>
        </is>
      </c>
      <c r="C508" t="n">
        <v>1033205</v>
      </c>
      <c r="D508" t="inlineStr">
        <is>
          <t>Abhishek.Kumar14@infinite.com</t>
        </is>
      </c>
      <c r="E508" s="26" t="n">
        <v>36777</v>
      </c>
      <c r="F508" s="26" t="n">
        <v>45155</v>
      </c>
      <c r="H508" t="inlineStr">
        <is>
          <t>Male</t>
        </is>
      </c>
      <c r="I508" t="inlineStr">
        <is>
          <t>Asian</t>
        </is>
      </c>
      <c r="J508" t="inlineStr">
        <is>
          <t>WEBSITE</t>
        </is>
      </c>
      <c r="K508" t="inlineStr">
        <is>
          <t>Bangalore</t>
        </is>
      </c>
      <c r="L508" s="27" t="inlineStr">
        <is>
          <t>Core</t>
        </is>
      </c>
      <c r="M508" t="inlineStr">
        <is>
          <t>Full-Time</t>
        </is>
      </c>
      <c r="N508" t="inlineStr">
        <is>
          <t>Associate Software Engineer</t>
        </is>
      </c>
      <c r="O508" t="inlineStr">
        <is>
          <t>E1</t>
        </is>
      </c>
      <c r="P508" t="inlineStr">
        <is>
          <t>Associate Software Engineer</t>
        </is>
      </c>
      <c r="Q508" t="inlineStr">
        <is>
          <t>Anil Kumar Khamari (1013201)</t>
        </is>
      </c>
      <c r="R508" s="27" t="n">
        <v>0</v>
      </c>
      <c r="S508" s="1" t="n">
        <v>1200000</v>
      </c>
      <c r="T508" s="1">
        <f>ROUND(T_EMPLOYEES[[#This Row],[EMP_CTC1]]/12, 0)</f>
        <v/>
      </c>
      <c r="U508" s="1" t="n">
        <v>1000000</v>
      </c>
      <c r="V508" s="1" t="inlineStr">
        <is>
          <t>ND</t>
        </is>
      </c>
      <c r="W508" s="1" t="inlineStr">
        <is>
          <t>ND</t>
        </is>
      </c>
      <c r="X50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8" t="n">
        <v>120000</v>
      </c>
      <c r="Z508" s="29">
        <f>(S508 - U508)/S508 * 100</f>
        <v/>
      </c>
      <c r="AA508">
        <f>IF(T_EMPLOYEES[[#This Row],[EMPLOYEE NUMBER]]="","",ROW(T_EMPLOYEES[[#This Row],[EMPLOYEE LABEL]])-ROW(T_EMPLOYEES[[#Headers],[EMPLOYEE LABEL]]))</f>
        <v/>
      </c>
      <c r="AB508">
        <f>IF(T_EMPLOYEES[[#This Row],[EMPLOYEE NUMBER]]="","",IF(COUNTIF(T_EMPLOYEES[EMPLOYEE NUMBER],T_EMPLOYEES[[#This Row],[EMPLOYEE NUMBER]])&gt;1,1,0))</f>
        <v/>
      </c>
      <c r="AC508">
        <f>IF(T_EMPLOYEES[[#This Row],[EMPLOYEE NUMBER]]="","",IF(AND(T_EMPLOYEES[[#This Row],[DATE OF BIRTH]]&gt;0,T_EMPLOYEES[[#This Row],[DATE OF BIRTH]]&lt;TODAY()),0,1))</f>
        <v/>
      </c>
      <c r="AD508">
        <f>IF(T_EMPLOYEES[[#This Row],[EMPLOYEE NUMBER]]="","",IF(AND(T_EMPLOYEES[[#This Row],[START DATE]]&gt;0,T_EMPLOYEES[[#This Row],[START DATE]]&lt;TODAY()+60),0,1))</f>
        <v/>
      </c>
      <c r="AE508">
        <f>IF(T_EMPLOYEES[[#This Row],[EMPLOYEE NUMBER]]="","",MATCH(T_EMPLOYEES[[#This Row],[GENDER]],L_GENDER,0))</f>
        <v/>
      </c>
      <c r="AF508">
        <f>IF(T_EMPLOYEES[[#This Row],[EMPLOYEE NUMBER]]="","",MATCH(T_EMPLOYEES[[#This Row],[HIRE SOURCE]],L_HIRESOURCE,0))</f>
        <v/>
      </c>
      <c r="AG508">
        <f>IF(T_EMPLOYEES[[#This Row],[EMPLOYEE NUMBER]]="","",MATCH(T_EMPLOYEES[[#This Row],[ETHNICITY]],L_ETHNICITY,0))</f>
        <v/>
      </c>
      <c r="AH508">
        <f>IF(T_EMPLOYEES[[#This Row],[EMPLOYEE NUMBER]]="","",MATCH(T_EMPLOYEES[[#This Row],[LOCATION]],L_LOCATION,0))</f>
        <v/>
      </c>
      <c r="AI508">
        <f>IF(T_EMPLOYEES[[#This Row],[EMPLOYEE NUMBER]]="","",MATCH(T_EMPLOYEES[[#This Row],[DEPARTMENT]],L_DEPARTMENT,0))</f>
        <v/>
      </c>
      <c r="AJ508">
        <f>IF(T_EMPLOYEES[[#This Row],[EMPLOYEE NUMBER]]="","",MATCH(T_EMPLOYEES[[#This Row],[JOB TYPE]],L_JOBTYPE,0))</f>
        <v/>
      </c>
      <c r="AK508">
        <f>IF(T_EMPLOYEES[[#This Row],[EMPLOYEE NUMBER]]="","",MATCH(T_EMPLOYEES[[#This Row],[JOB CATEGORY]],L_JOBCATEGORY,0))</f>
        <v/>
      </c>
      <c r="AL508">
        <f>IF(T_EMPLOYEES[[#This Row],[EMPLOYEE NUMBER]]="","",MATCH(T_EMPLOYEES[[#This Row],[JOB LEVEL]],L_JOBLEVEL,0))</f>
        <v/>
      </c>
      <c r="AM508">
        <f>IF(T_EMPLOYEES[[#This Row],[EMPLOYEE NUMBER]]="","",MATCH(T_EMPLOYEES[[#This Row],[JOB TITLE]],L_JOBTITLE,0))</f>
        <v/>
      </c>
      <c r="AN508">
        <f>IF(T_EMPLOYEES[[#This Row],[EMPLOYEE NUMBER]]="","",MATCH(T_EMPLOYEES[[#This Row],[MANAGER]],L_EMPLABELS,0))</f>
        <v/>
      </c>
      <c r="AO508">
        <f>IF(T_EMPLOYEES[[#This Row],[EMPLOYEE NUMBER]]="","",IF(T_EMPLOYEES[[#This Row],[ERROR]]="",0,1))</f>
        <v/>
      </c>
      <c r="AP50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09">
      <c r="A509" t="inlineStr">
        <is>
          <t>Kamesh</t>
        </is>
      </c>
      <c r="B509" t="inlineStr">
        <is>
          <t>Ravichandran</t>
        </is>
      </c>
      <c r="C509" t="n">
        <v>1029302</v>
      </c>
      <c r="D509" t="inlineStr">
        <is>
          <t>Kamesh.Ravichandran@infinite.com</t>
        </is>
      </c>
      <c r="E509" s="26" t="n">
        <v>36789</v>
      </c>
      <c r="F509" s="26" t="n">
        <v>44729</v>
      </c>
      <c r="H509" t="inlineStr">
        <is>
          <t>Male</t>
        </is>
      </c>
      <c r="I509" t="inlineStr">
        <is>
          <t>Asian</t>
        </is>
      </c>
      <c r="J509" t="inlineStr">
        <is>
          <t>WEBSITE</t>
        </is>
      </c>
      <c r="K509" t="inlineStr">
        <is>
          <t>Bangalore</t>
        </is>
      </c>
      <c r="L509" s="27" t="inlineStr">
        <is>
          <t>Core</t>
        </is>
      </c>
      <c r="M509" t="inlineStr">
        <is>
          <t>Full-Time</t>
        </is>
      </c>
      <c r="N509" t="inlineStr">
        <is>
          <t>Associate Software Engineer</t>
        </is>
      </c>
      <c r="O509" t="inlineStr">
        <is>
          <t>E1</t>
        </is>
      </c>
      <c r="P509" t="inlineStr">
        <is>
          <t>Associate Software Engineer</t>
        </is>
      </c>
      <c r="Q509" t="inlineStr">
        <is>
          <t>Kishore Kumar N (1019765)</t>
        </is>
      </c>
      <c r="R509" t="n">
        <v>0</v>
      </c>
      <c r="S509" s="1" t="n">
        <v>1200000</v>
      </c>
      <c r="T509" s="1">
        <f>ROUND(T_EMPLOYEES[[#This Row],[EMP_CTC1]]/12, 0)</f>
        <v/>
      </c>
      <c r="U509" s="1" t="n">
        <v>1000000</v>
      </c>
      <c r="V509" s="1" t="inlineStr">
        <is>
          <t>ND</t>
        </is>
      </c>
      <c r="W509" s="1" t="inlineStr">
        <is>
          <t>ND</t>
        </is>
      </c>
      <c r="X50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09" t="n">
        <v>120000</v>
      </c>
      <c r="Z509" s="29">
        <f>(S509 - U509)/S509 * 100</f>
        <v/>
      </c>
      <c r="AA509">
        <f>IF(T_EMPLOYEES[[#This Row],[EMPLOYEE NUMBER]]="","",ROW(T_EMPLOYEES[[#This Row],[EMPLOYEE LABEL]])-ROW(T_EMPLOYEES[[#Headers],[EMPLOYEE LABEL]]))</f>
        <v/>
      </c>
      <c r="AB509">
        <f>IF(T_EMPLOYEES[[#This Row],[EMPLOYEE NUMBER]]="","",IF(COUNTIF(T_EMPLOYEES[EMPLOYEE NUMBER],T_EMPLOYEES[[#This Row],[EMPLOYEE NUMBER]])&gt;1,1,0))</f>
        <v/>
      </c>
      <c r="AC509">
        <f>IF(T_EMPLOYEES[[#This Row],[EMPLOYEE NUMBER]]="","",IF(AND(T_EMPLOYEES[[#This Row],[DATE OF BIRTH]]&gt;0,T_EMPLOYEES[[#This Row],[DATE OF BIRTH]]&lt;TODAY()),0,1))</f>
        <v/>
      </c>
      <c r="AD509">
        <f>IF(T_EMPLOYEES[[#This Row],[EMPLOYEE NUMBER]]="","",IF(AND(T_EMPLOYEES[[#This Row],[START DATE]]&gt;0,T_EMPLOYEES[[#This Row],[START DATE]]&lt;TODAY()+60),0,1))</f>
        <v/>
      </c>
      <c r="AE509">
        <f>IF(T_EMPLOYEES[[#This Row],[EMPLOYEE NUMBER]]="","",MATCH(T_EMPLOYEES[[#This Row],[GENDER]],L_GENDER,0))</f>
        <v/>
      </c>
      <c r="AF509">
        <f>IF(T_EMPLOYEES[[#This Row],[EMPLOYEE NUMBER]]="","",MATCH(T_EMPLOYEES[[#This Row],[HIRE SOURCE]],L_HIRESOURCE,0))</f>
        <v/>
      </c>
      <c r="AG509">
        <f>IF(T_EMPLOYEES[[#This Row],[EMPLOYEE NUMBER]]="","",MATCH(T_EMPLOYEES[[#This Row],[ETHNICITY]],L_ETHNICITY,0))</f>
        <v/>
      </c>
      <c r="AH509">
        <f>IF(T_EMPLOYEES[[#This Row],[EMPLOYEE NUMBER]]="","",MATCH(T_EMPLOYEES[[#This Row],[LOCATION]],L_LOCATION,0))</f>
        <v/>
      </c>
      <c r="AI509">
        <f>IF(T_EMPLOYEES[[#This Row],[EMPLOYEE NUMBER]]="","",MATCH(T_EMPLOYEES[[#This Row],[DEPARTMENT]],L_DEPARTMENT,0))</f>
        <v/>
      </c>
      <c r="AJ509">
        <f>IF(T_EMPLOYEES[[#This Row],[EMPLOYEE NUMBER]]="","",MATCH(T_EMPLOYEES[[#This Row],[JOB TYPE]],L_JOBTYPE,0))</f>
        <v/>
      </c>
      <c r="AK509">
        <f>IF(T_EMPLOYEES[[#This Row],[EMPLOYEE NUMBER]]="","",MATCH(T_EMPLOYEES[[#This Row],[JOB CATEGORY]],L_JOBCATEGORY,0))</f>
        <v/>
      </c>
      <c r="AL509">
        <f>IF(T_EMPLOYEES[[#This Row],[EMPLOYEE NUMBER]]="","",MATCH(T_EMPLOYEES[[#This Row],[JOB LEVEL]],L_JOBLEVEL,0))</f>
        <v/>
      </c>
      <c r="AM509">
        <f>IF(T_EMPLOYEES[[#This Row],[EMPLOYEE NUMBER]]="","",MATCH(T_EMPLOYEES[[#This Row],[JOB TITLE]],L_JOBTITLE,0))</f>
        <v/>
      </c>
      <c r="AN509">
        <f>IF(T_EMPLOYEES[[#This Row],[EMPLOYEE NUMBER]]="","",MATCH(T_EMPLOYEES[[#This Row],[MANAGER]],L_EMPLABELS,0))</f>
        <v/>
      </c>
      <c r="AO509">
        <f>IF(T_EMPLOYEES[[#This Row],[EMPLOYEE NUMBER]]="","",IF(T_EMPLOYEES[[#This Row],[ERROR]]="",0,1))</f>
        <v/>
      </c>
      <c r="AP50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0">
      <c r="A510" t="inlineStr">
        <is>
          <t>Anumandla</t>
        </is>
      </c>
      <c r="B510" t="inlineStr">
        <is>
          <t>Madhu Kumar</t>
        </is>
      </c>
      <c r="C510" t="n">
        <v>1029783</v>
      </c>
      <c r="D510" t="inlineStr">
        <is>
          <t>Anumandla.Madhukumar@infinite.com</t>
        </is>
      </c>
      <c r="E510" s="26" t="n">
        <v>36808</v>
      </c>
      <c r="F510" s="26" t="n">
        <v>44783</v>
      </c>
      <c r="H510" t="inlineStr">
        <is>
          <t>Male</t>
        </is>
      </c>
      <c r="I510" t="inlineStr">
        <is>
          <t>Asian</t>
        </is>
      </c>
      <c r="J510" t="inlineStr">
        <is>
          <t>WEBSITE</t>
        </is>
      </c>
      <c r="K510" t="inlineStr">
        <is>
          <t>Bangalore</t>
        </is>
      </c>
      <c r="L510" s="27" t="inlineStr">
        <is>
          <t>Core</t>
        </is>
      </c>
      <c r="M510" t="inlineStr">
        <is>
          <t>Full-Time</t>
        </is>
      </c>
      <c r="N510" t="inlineStr">
        <is>
          <t>Associate Software Engineer</t>
        </is>
      </c>
      <c r="O510" t="inlineStr">
        <is>
          <t>E1</t>
        </is>
      </c>
      <c r="P510" t="inlineStr">
        <is>
          <t>Associate Software Engineer</t>
        </is>
      </c>
      <c r="Q510" t="inlineStr">
        <is>
          <t>Dipakbhai Motibhai Tandel (1027230)</t>
        </is>
      </c>
      <c r="R510" s="27" t="n">
        <v>0</v>
      </c>
      <c r="S510" s="1" t="n">
        <v>1200000</v>
      </c>
      <c r="T510" s="1">
        <f>ROUND(T_EMPLOYEES[[#This Row],[EMP_CTC1]]/12, 0)</f>
        <v/>
      </c>
      <c r="U510" s="1" t="n">
        <v>1000000</v>
      </c>
      <c r="V510" s="1" t="inlineStr">
        <is>
          <t>ND</t>
        </is>
      </c>
      <c r="W510" s="1" t="inlineStr">
        <is>
          <t>ND</t>
        </is>
      </c>
      <c r="X51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0" t="n">
        <v>120000</v>
      </c>
      <c r="Z510" s="29">
        <f>(S510 - U510)/S510 * 100</f>
        <v/>
      </c>
      <c r="AA510">
        <f>IF(T_EMPLOYEES[[#This Row],[EMPLOYEE NUMBER]]="","",ROW(T_EMPLOYEES[[#This Row],[EMPLOYEE LABEL]])-ROW(T_EMPLOYEES[[#Headers],[EMPLOYEE LABEL]]))</f>
        <v/>
      </c>
      <c r="AB510">
        <f>IF(T_EMPLOYEES[[#This Row],[EMPLOYEE NUMBER]]="","",IF(COUNTIF(T_EMPLOYEES[EMPLOYEE NUMBER],T_EMPLOYEES[[#This Row],[EMPLOYEE NUMBER]])&gt;1,1,0))</f>
        <v/>
      </c>
      <c r="AC510">
        <f>IF(T_EMPLOYEES[[#This Row],[EMPLOYEE NUMBER]]="","",IF(AND(T_EMPLOYEES[[#This Row],[DATE OF BIRTH]]&gt;0,T_EMPLOYEES[[#This Row],[DATE OF BIRTH]]&lt;TODAY()),0,1))</f>
        <v/>
      </c>
      <c r="AD510">
        <f>IF(T_EMPLOYEES[[#This Row],[EMPLOYEE NUMBER]]="","",IF(AND(T_EMPLOYEES[[#This Row],[START DATE]]&gt;0,T_EMPLOYEES[[#This Row],[START DATE]]&lt;TODAY()+60),0,1))</f>
        <v/>
      </c>
      <c r="AE510">
        <f>IF(T_EMPLOYEES[[#This Row],[EMPLOYEE NUMBER]]="","",MATCH(T_EMPLOYEES[[#This Row],[GENDER]],L_GENDER,0))</f>
        <v/>
      </c>
      <c r="AF510">
        <f>IF(T_EMPLOYEES[[#This Row],[EMPLOYEE NUMBER]]="","",MATCH(T_EMPLOYEES[[#This Row],[HIRE SOURCE]],L_HIRESOURCE,0))</f>
        <v/>
      </c>
      <c r="AG510">
        <f>IF(T_EMPLOYEES[[#This Row],[EMPLOYEE NUMBER]]="","",MATCH(T_EMPLOYEES[[#This Row],[ETHNICITY]],L_ETHNICITY,0))</f>
        <v/>
      </c>
      <c r="AH510">
        <f>IF(T_EMPLOYEES[[#This Row],[EMPLOYEE NUMBER]]="","",MATCH(T_EMPLOYEES[[#This Row],[LOCATION]],L_LOCATION,0))</f>
        <v/>
      </c>
      <c r="AI510">
        <f>IF(T_EMPLOYEES[[#This Row],[EMPLOYEE NUMBER]]="","",MATCH(T_EMPLOYEES[[#This Row],[DEPARTMENT]],L_DEPARTMENT,0))</f>
        <v/>
      </c>
      <c r="AJ510">
        <f>IF(T_EMPLOYEES[[#This Row],[EMPLOYEE NUMBER]]="","",MATCH(T_EMPLOYEES[[#This Row],[JOB TYPE]],L_JOBTYPE,0))</f>
        <v/>
      </c>
      <c r="AK510">
        <f>IF(T_EMPLOYEES[[#This Row],[EMPLOYEE NUMBER]]="","",MATCH(T_EMPLOYEES[[#This Row],[JOB CATEGORY]],L_JOBCATEGORY,0))</f>
        <v/>
      </c>
      <c r="AL510">
        <f>IF(T_EMPLOYEES[[#This Row],[EMPLOYEE NUMBER]]="","",MATCH(T_EMPLOYEES[[#This Row],[JOB LEVEL]],L_JOBLEVEL,0))</f>
        <v/>
      </c>
      <c r="AM510">
        <f>IF(T_EMPLOYEES[[#This Row],[EMPLOYEE NUMBER]]="","",MATCH(T_EMPLOYEES[[#This Row],[JOB TITLE]],L_JOBTITLE,0))</f>
        <v/>
      </c>
      <c r="AN510">
        <f>IF(T_EMPLOYEES[[#This Row],[EMPLOYEE NUMBER]]="","",MATCH(T_EMPLOYEES[[#This Row],[MANAGER]],L_EMPLABELS,0))</f>
        <v/>
      </c>
      <c r="AO510">
        <f>IF(T_EMPLOYEES[[#This Row],[EMPLOYEE NUMBER]]="","",IF(T_EMPLOYEES[[#This Row],[ERROR]]="",0,1))</f>
        <v/>
      </c>
      <c r="AP51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1">
      <c r="A511" t="inlineStr">
        <is>
          <t>Mukkawar</t>
        </is>
      </c>
      <c r="B511" t="inlineStr">
        <is>
          <t>Sagar</t>
        </is>
      </c>
      <c r="C511" t="n">
        <v>1033261</v>
      </c>
      <c r="D511" t="inlineStr">
        <is>
          <t>Sagar.Mukkawar@infinite.com</t>
        </is>
      </c>
      <c r="E511" s="26" t="n">
        <v>36851</v>
      </c>
      <c r="F511" s="26" t="n">
        <v>45155</v>
      </c>
      <c r="H511" t="inlineStr">
        <is>
          <t>Male</t>
        </is>
      </c>
      <c r="I511" t="inlineStr">
        <is>
          <t>Asian</t>
        </is>
      </c>
      <c r="J511" t="inlineStr">
        <is>
          <t>WEBSITE</t>
        </is>
      </c>
      <c r="K511" t="inlineStr">
        <is>
          <t>Bangalore</t>
        </is>
      </c>
      <c r="L511" s="27" t="inlineStr">
        <is>
          <t>Core</t>
        </is>
      </c>
      <c r="M511" t="inlineStr">
        <is>
          <t>Full-Time</t>
        </is>
      </c>
      <c r="N511" t="inlineStr">
        <is>
          <t>Associate Software Engineer</t>
        </is>
      </c>
      <c r="O511" t="inlineStr">
        <is>
          <t>E1</t>
        </is>
      </c>
      <c r="P511" t="inlineStr">
        <is>
          <t>Associate Software Engineer</t>
        </is>
      </c>
      <c r="Q511" t="inlineStr">
        <is>
          <t>Kishore Kumar N (1019765)</t>
        </is>
      </c>
      <c r="R511" t="n">
        <v>0</v>
      </c>
      <c r="S511" s="1" t="n">
        <v>1200000</v>
      </c>
      <c r="T511" s="1">
        <f>ROUND(T_EMPLOYEES[[#This Row],[EMP_CTC1]]/12, 0)</f>
        <v/>
      </c>
      <c r="U511" s="1" t="n">
        <v>1000000</v>
      </c>
      <c r="V511" s="1" t="inlineStr">
        <is>
          <t>ND</t>
        </is>
      </c>
      <c r="W511" s="1" t="inlineStr">
        <is>
          <t>ND</t>
        </is>
      </c>
      <c r="X51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1" t="n">
        <v>120000</v>
      </c>
      <c r="Z511" s="29">
        <f>(S511 - U511)/S511 * 100</f>
        <v/>
      </c>
      <c r="AA511">
        <f>IF(T_EMPLOYEES[[#This Row],[EMPLOYEE NUMBER]]="","",ROW(T_EMPLOYEES[[#This Row],[EMPLOYEE LABEL]])-ROW(T_EMPLOYEES[[#Headers],[EMPLOYEE LABEL]]))</f>
        <v/>
      </c>
      <c r="AB511">
        <f>IF(T_EMPLOYEES[[#This Row],[EMPLOYEE NUMBER]]="","",IF(COUNTIF(T_EMPLOYEES[EMPLOYEE NUMBER],T_EMPLOYEES[[#This Row],[EMPLOYEE NUMBER]])&gt;1,1,0))</f>
        <v/>
      </c>
      <c r="AC511">
        <f>IF(T_EMPLOYEES[[#This Row],[EMPLOYEE NUMBER]]="","",IF(AND(T_EMPLOYEES[[#This Row],[DATE OF BIRTH]]&gt;0,T_EMPLOYEES[[#This Row],[DATE OF BIRTH]]&lt;TODAY()),0,1))</f>
        <v/>
      </c>
      <c r="AD511">
        <f>IF(T_EMPLOYEES[[#This Row],[EMPLOYEE NUMBER]]="","",IF(AND(T_EMPLOYEES[[#This Row],[START DATE]]&gt;0,T_EMPLOYEES[[#This Row],[START DATE]]&lt;TODAY()+60),0,1))</f>
        <v/>
      </c>
      <c r="AE511">
        <f>IF(T_EMPLOYEES[[#This Row],[EMPLOYEE NUMBER]]="","",MATCH(T_EMPLOYEES[[#This Row],[GENDER]],L_GENDER,0))</f>
        <v/>
      </c>
      <c r="AF511">
        <f>IF(T_EMPLOYEES[[#This Row],[EMPLOYEE NUMBER]]="","",MATCH(T_EMPLOYEES[[#This Row],[HIRE SOURCE]],L_HIRESOURCE,0))</f>
        <v/>
      </c>
      <c r="AG511">
        <f>IF(T_EMPLOYEES[[#This Row],[EMPLOYEE NUMBER]]="","",MATCH(T_EMPLOYEES[[#This Row],[ETHNICITY]],L_ETHNICITY,0))</f>
        <v/>
      </c>
      <c r="AH511">
        <f>IF(T_EMPLOYEES[[#This Row],[EMPLOYEE NUMBER]]="","",MATCH(T_EMPLOYEES[[#This Row],[LOCATION]],L_LOCATION,0))</f>
        <v/>
      </c>
      <c r="AI511">
        <f>IF(T_EMPLOYEES[[#This Row],[EMPLOYEE NUMBER]]="","",MATCH(T_EMPLOYEES[[#This Row],[DEPARTMENT]],L_DEPARTMENT,0))</f>
        <v/>
      </c>
      <c r="AJ511">
        <f>IF(T_EMPLOYEES[[#This Row],[EMPLOYEE NUMBER]]="","",MATCH(T_EMPLOYEES[[#This Row],[JOB TYPE]],L_JOBTYPE,0))</f>
        <v/>
      </c>
      <c r="AK511">
        <f>IF(T_EMPLOYEES[[#This Row],[EMPLOYEE NUMBER]]="","",MATCH(T_EMPLOYEES[[#This Row],[JOB CATEGORY]],L_JOBCATEGORY,0))</f>
        <v/>
      </c>
      <c r="AL511">
        <f>IF(T_EMPLOYEES[[#This Row],[EMPLOYEE NUMBER]]="","",MATCH(T_EMPLOYEES[[#This Row],[JOB LEVEL]],L_JOBLEVEL,0))</f>
        <v/>
      </c>
      <c r="AM511">
        <f>IF(T_EMPLOYEES[[#This Row],[EMPLOYEE NUMBER]]="","",MATCH(T_EMPLOYEES[[#This Row],[JOB TITLE]],L_JOBTITLE,0))</f>
        <v/>
      </c>
      <c r="AN511">
        <f>IF(T_EMPLOYEES[[#This Row],[EMPLOYEE NUMBER]]="","",MATCH(T_EMPLOYEES[[#This Row],[MANAGER]],L_EMPLABELS,0))</f>
        <v/>
      </c>
      <c r="AO511">
        <f>IF(T_EMPLOYEES[[#This Row],[EMPLOYEE NUMBER]]="","",IF(T_EMPLOYEES[[#This Row],[ERROR]]="",0,1))</f>
        <v/>
      </c>
      <c r="AP51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2">
      <c r="A512" t="inlineStr">
        <is>
          <t>Veera</t>
        </is>
      </c>
      <c r="B512" t="inlineStr">
        <is>
          <t>Satya Kishore Swamy Allaka</t>
        </is>
      </c>
      <c r="C512" t="n">
        <v>1029895</v>
      </c>
      <c r="D512" t="inlineStr">
        <is>
          <t>Kishore.Swamy@infinite.com</t>
        </is>
      </c>
      <c r="E512" s="26" t="n">
        <v>36857</v>
      </c>
      <c r="F512" s="26" t="n">
        <v>44791</v>
      </c>
      <c r="H512" t="inlineStr">
        <is>
          <t>Male</t>
        </is>
      </c>
      <c r="I512" t="inlineStr">
        <is>
          <t>Asian</t>
        </is>
      </c>
      <c r="J512" t="inlineStr">
        <is>
          <t>WEBSITE</t>
        </is>
      </c>
      <c r="K512" t="inlineStr">
        <is>
          <t>Bangalore</t>
        </is>
      </c>
      <c r="L512" s="27" t="inlineStr">
        <is>
          <t>Core</t>
        </is>
      </c>
      <c r="M512" t="inlineStr">
        <is>
          <t>Full-Time</t>
        </is>
      </c>
      <c r="N512" t="inlineStr">
        <is>
          <t>Associate Software Engineer</t>
        </is>
      </c>
      <c r="O512" t="inlineStr">
        <is>
          <t>E1</t>
        </is>
      </c>
      <c r="P512" t="inlineStr">
        <is>
          <t>Associate Software Engineer</t>
        </is>
      </c>
      <c r="Q512" t="inlineStr">
        <is>
          <t>Kishore Kumar N (1019765)</t>
        </is>
      </c>
      <c r="R512" s="27" t="n">
        <v>0</v>
      </c>
      <c r="S512" s="1" t="n">
        <v>1200000</v>
      </c>
      <c r="T512" s="1">
        <f>ROUND(T_EMPLOYEES[[#This Row],[EMP_CTC1]]/12, 0)</f>
        <v/>
      </c>
      <c r="U512" s="1" t="n">
        <v>1000000</v>
      </c>
      <c r="V512" s="1" t="inlineStr">
        <is>
          <t>ND</t>
        </is>
      </c>
      <c r="W512" s="1" t="inlineStr">
        <is>
          <t>ND</t>
        </is>
      </c>
      <c r="X51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2" t="n">
        <v>120000</v>
      </c>
      <c r="Z512" s="29">
        <f>(S512 - U512)/S512 * 100</f>
        <v/>
      </c>
      <c r="AA512">
        <f>IF(T_EMPLOYEES[[#This Row],[EMPLOYEE NUMBER]]="","",ROW(T_EMPLOYEES[[#This Row],[EMPLOYEE LABEL]])-ROW(T_EMPLOYEES[[#Headers],[EMPLOYEE LABEL]]))</f>
        <v/>
      </c>
      <c r="AB512">
        <f>IF(T_EMPLOYEES[[#This Row],[EMPLOYEE NUMBER]]="","",IF(COUNTIF(T_EMPLOYEES[EMPLOYEE NUMBER],T_EMPLOYEES[[#This Row],[EMPLOYEE NUMBER]])&gt;1,1,0))</f>
        <v/>
      </c>
      <c r="AC512">
        <f>IF(T_EMPLOYEES[[#This Row],[EMPLOYEE NUMBER]]="","",IF(AND(T_EMPLOYEES[[#This Row],[DATE OF BIRTH]]&gt;0,T_EMPLOYEES[[#This Row],[DATE OF BIRTH]]&lt;TODAY()),0,1))</f>
        <v/>
      </c>
      <c r="AD512">
        <f>IF(T_EMPLOYEES[[#This Row],[EMPLOYEE NUMBER]]="","",IF(AND(T_EMPLOYEES[[#This Row],[START DATE]]&gt;0,T_EMPLOYEES[[#This Row],[START DATE]]&lt;TODAY()+60),0,1))</f>
        <v/>
      </c>
      <c r="AE512">
        <f>IF(T_EMPLOYEES[[#This Row],[EMPLOYEE NUMBER]]="","",MATCH(T_EMPLOYEES[[#This Row],[GENDER]],L_GENDER,0))</f>
        <v/>
      </c>
      <c r="AF512">
        <f>IF(T_EMPLOYEES[[#This Row],[EMPLOYEE NUMBER]]="","",MATCH(T_EMPLOYEES[[#This Row],[HIRE SOURCE]],L_HIRESOURCE,0))</f>
        <v/>
      </c>
      <c r="AG512">
        <f>IF(T_EMPLOYEES[[#This Row],[EMPLOYEE NUMBER]]="","",MATCH(T_EMPLOYEES[[#This Row],[ETHNICITY]],L_ETHNICITY,0))</f>
        <v/>
      </c>
      <c r="AH512">
        <f>IF(T_EMPLOYEES[[#This Row],[EMPLOYEE NUMBER]]="","",MATCH(T_EMPLOYEES[[#This Row],[LOCATION]],L_LOCATION,0))</f>
        <v/>
      </c>
      <c r="AI512">
        <f>IF(T_EMPLOYEES[[#This Row],[EMPLOYEE NUMBER]]="","",MATCH(T_EMPLOYEES[[#This Row],[DEPARTMENT]],L_DEPARTMENT,0))</f>
        <v/>
      </c>
      <c r="AJ512">
        <f>IF(T_EMPLOYEES[[#This Row],[EMPLOYEE NUMBER]]="","",MATCH(T_EMPLOYEES[[#This Row],[JOB TYPE]],L_JOBTYPE,0))</f>
        <v/>
      </c>
      <c r="AK512">
        <f>IF(T_EMPLOYEES[[#This Row],[EMPLOYEE NUMBER]]="","",MATCH(T_EMPLOYEES[[#This Row],[JOB CATEGORY]],L_JOBCATEGORY,0))</f>
        <v/>
      </c>
      <c r="AL512">
        <f>IF(T_EMPLOYEES[[#This Row],[EMPLOYEE NUMBER]]="","",MATCH(T_EMPLOYEES[[#This Row],[JOB LEVEL]],L_JOBLEVEL,0))</f>
        <v/>
      </c>
      <c r="AM512">
        <f>IF(T_EMPLOYEES[[#This Row],[EMPLOYEE NUMBER]]="","",MATCH(T_EMPLOYEES[[#This Row],[JOB TITLE]],L_JOBTITLE,0))</f>
        <v/>
      </c>
      <c r="AN512">
        <f>IF(T_EMPLOYEES[[#This Row],[EMPLOYEE NUMBER]]="","",MATCH(T_EMPLOYEES[[#This Row],[MANAGER]],L_EMPLABELS,0))</f>
        <v/>
      </c>
      <c r="AO512">
        <f>IF(T_EMPLOYEES[[#This Row],[EMPLOYEE NUMBER]]="","",IF(T_EMPLOYEES[[#This Row],[ERROR]]="",0,1))</f>
        <v/>
      </c>
      <c r="AP51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3">
      <c r="A513" t="inlineStr">
        <is>
          <t>Ayush</t>
        </is>
      </c>
      <c r="B513" t="inlineStr">
        <is>
          <t>Samanta</t>
        </is>
      </c>
      <c r="C513" t="n">
        <v>1033204</v>
      </c>
      <c r="D513" t="inlineStr">
        <is>
          <t>Ayush.Samanta@infinite.com</t>
        </is>
      </c>
      <c r="E513" s="26" t="n">
        <v>36862</v>
      </c>
      <c r="F513" s="26" t="n">
        <v>45155</v>
      </c>
      <c r="H513" t="inlineStr">
        <is>
          <t>Male</t>
        </is>
      </c>
      <c r="I513" t="inlineStr">
        <is>
          <t>Asian</t>
        </is>
      </c>
      <c r="J513" t="inlineStr">
        <is>
          <t>WEBSITE</t>
        </is>
      </c>
      <c r="K513" t="inlineStr">
        <is>
          <t>Bangalore</t>
        </is>
      </c>
      <c r="L513" s="27" t="inlineStr">
        <is>
          <t>Core</t>
        </is>
      </c>
      <c r="M513" t="inlineStr">
        <is>
          <t>Full-Time</t>
        </is>
      </c>
      <c r="N513" t="inlineStr">
        <is>
          <t>Associate Software Engineer</t>
        </is>
      </c>
      <c r="O513" t="inlineStr">
        <is>
          <t>E1</t>
        </is>
      </c>
      <c r="P513" t="inlineStr">
        <is>
          <t>Associate Software Engineer</t>
        </is>
      </c>
      <c r="Q513" t="inlineStr">
        <is>
          <t>Anil Kumar Khamari (1013201)</t>
        </is>
      </c>
      <c r="R513" t="n">
        <v>0</v>
      </c>
      <c r="S513" s="1" t="n">
        <v>1200000</v>
      </c>
      <c r="T513" s="1">
        <f>ROUND(T_EMPLOYEES[[#This Row],[EMP_CTC1]]/12, 0)</f>
        <v/>
      </c>
      <c r="U513" s="1" t="n">
        <v>1000000</v>
      </c>
      <c r="V513" s="1" t="inlineStr">
        <is>
          <t>ND</t>
        </is>
      </c>
      <c r="W513" s="1" t="inlineStr">
        <is>
          <t>ND</t>
        </is>
      </c>
      <c r="X51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3" t="n">
        <v>120000</v>
      </c>
      <c r="Z513" s="29">
        <f>(S513 - U513)/S513 * 100</f>
        <v/>
      </c>
      <c r="AA513">
        <f>IF(T_EMPLOYEES[[#This Row],[EMPLOYEE NUMBER]]="","",ROW(T_EMPLOYEES[[#This Row],[EMPLOYEE LABEL]])-ROW(T_EMPLOYEES[[#Headers],[EMPLOYEE LABEL]]))</f>
        <v/>
      </c>
      <c r="AB513">
        <f>IF(T_EMPLOYEES[[#This Row],[EMPLOYEE NUMBER]]="","",IF(COUNTIF(T_EMPLOYEES[EMPLOYEE NUMBER],T_EMPLOYEES[[#This Row],[EMPLOYEE NUMBER]])&gt;1,1,0))</f>
        <v/>
      </c>
      <c r="AC513">
        <f>IF(T_EMPLOYEES[[#This Row],[EMPLOYEE NUMBER]]="","",IF(AND(T_EMPLOYEES[[#This Row],[DATE OF BIRTH]]&gt;0,T_EMPLOYEES[[#This Row],[DATE OF BIRTH]]&lt;TODAY()),0,1))</f>
        <v/>
      </c>
      <c r="AD513">
        <f>IF(T_EMPLOYEES[[#This Row],[EMPLOYEE NUMBER]]="","",IF(AND(T_EMPLOYEES[[#This Row],[START DATE]]&gt;0,T_EMPLOYEES[[#This Row],[START DATE]]&lt;TODAY()+60),0,1))</f>
        <v/>
      </c>
      <c r="AE513">
        <f>IF(T_EMPLOYEES[[#This Row],[EMPLOYEE NUMBER]]="","",MATCH(T_EMPLOYEES[[#This Row],[GENDER]],L_GENDER,0))</f>
        <v/>
      </c>
      <c r="AF513">
        <f>IF(T_EMPLOYEES[[#This Row],[EMPLOYEE NUMBER]]="","",MATCH(T_EMPLOYEES[[#This Row],[HIRE SOURCE]],L_HIRESOURCE,0))</f>
        <v/>
      </c>
      <c r="AG513">
        <f>IF(T_EMPLOYEES[[#This Row],[EMPLOYEE NUMBER]]="","",MATCH(T_EMPLOYEES[[#This Row],[ETHNICITY]],L_ETHNICITY,0))</f>
        <v/>
      </c>
      <c r="AH513">
        <f>IF(T_EMPLOYEES[[#This Row],[EMPLOYEE NUMBER]]="","",MATCH(T_EMPLOYEES[[#This Row],[LOCATION]],L_LOCATION,0))</f>
        <v/>
      </c>
      <c r="AI513">
        <f>IF(T_EMPLOYEES[[#This Row],[EMPLOYEE NUMBER]]="","",MATCH(T_EMPLOYEES[[#This Row],[DEPARTMENT]],L_DEPARTMENT,0))</f>
        <v/>
      </c>
      <c r="AJ513">
        <f>IF(T_EMPLOYEES[[#This Row],[EMPLOYEE NUMBER]]="","",MATCH(T_EMPLOYEES[[#This Row],[JOB TYPE]],L_JOBTYPE,0))</f>
        <v/>
      </c>
      <c r="AK513">
        <f>IF(T_EMPLOYEES[[#This Row],[EMPLOYEE NUMBER]]="","",MATCH(T_EMPLOYEES[[#This Row],[JOB CATEGORY]],L_JOBCATEGORY,0))</f>
        <v/>
      </c>
      <c r="AL513">
        <f>IF(T_EMPLOYEES[[#This Row],[EMPLOYEE NUMBER]]="","",MATCH(T_EMPLOYEES[[#This Row],[JOB LEVEL]],L_JOBLEVEL,0))</f>
        <v/>
      </c>
      <c r="AM513">
        <f>IF(T_EMPLOYEES[[#This Row],[EMPLOYEE NUMBER]]="","",MATCH(T_EMPLOYEES[[#This Row],[JOB TITLE]],L_JOBTITLE,0))</f>
        <v/>
      </c>
      <c r="AN513">
        <f>IF(T_EMPLOYEES[[#This Row],[EMPLOYEE NUMBER]]="","",MATCH(T_EMPLOYEES[[#This Row],[MANAGER]],L_EMPLABELS,0))</f>
        <v/>
      </c>
      <c r="AO513">
        <f>IF(T_EMPLOYEES[[#This Row],[EMPLOYEE NUMBER]]="","",IF(T_EMPLOYEES[[#This Row],[ERROR]]="",0,1))</f>
        <v/>
      </c>
      <c r="AP51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4">
      <c r="A514" t="inlineStr">
        <is>
          <t>Kusuma</t>
        </is>
      </c>
      <c r="B514" t="inlineStr">
        <is>
          <t>M G</t>
        </is>
      </c>
      <c r="C514" t="n">
        <v>1030216</v>
      </c>
      <c r="D514" t="inlineStr">
        <is>
          <t>Kusuma.Giriraja@infinite.com</t>
        </is>
      </c>
      <c r="E514" s="26" t="n">
        <v>36872</v>
      </c>
      <c r="F514" s="26" t="n">
        <v>44819</v>
      </c>
      <c r="H514" t="inlineStr">
        <is>
          <t>Female</t>
        </is>
      </c>
      <c r="I514" t="inlineStr">
        <is>
          <t>Asian</t>
        </is>
      </c>
      <c r="J514" t="inlineStr">
        <is>
          <t>WEBSITE</t>
        </is>
      </c>
      <c r="K514" t="inlineStr">
        <is>
          <t>Bangalore</t>
        </is>
      </c>
      <c r="L514" s="27" t="inlineStr">
        <is>
          <t>QA</t>
        </is>
      </c>
      <c r="M514" t="inlineStr">
        <is>
          <t>Full-Time</t>
        </is>
      </c>
      <c r="N514" t="inlineStr">
        <is>
          <t>Associate Software Engineer</t>
        </is>
      </c>
      <c r="O514" t="inlineStr">
        <is>
          <t>E1</t>
        </is>
      </c>
      <c r="P514" t="inlineStr">
        <is>
          <t>Associate Software Engineer</t>
        </is>
      </c>
      <c r="Q514" t="inlineStr">
        <is>
          <t>Vinayak  Tatuskar (1023387)</t>
        </is>
      </c>
      <c r="R514" s="27" t="n">
        <v>0</v>
      </c>
      <c r="S514" s="1" t="n">
        <v>1200000</v>
      </c>
      <c r="T514" s="1">
        <f>ROUND(T_EMPLOYEES[[#This Row],[EMP_CTC1]]/12, 0)</f>
        <v/>
      </c>
      <c r="U514" s="1" t="n">
        <v>1000000</v>
      </c>
      <c r="V514" s="1" t="inlineStr">
        <is>
          <t>ND</t>
        </is>
      </c>
      <c r="W514" s="1" t="inlineStr">
        <is>
          <t>ND</t>
        </is>
      </c>
      <c r="X51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4" t="n">
        <v>120000</v>
      </c>
      <c r="Z514" s="29">
        <f>(S514 - U514)/S514 * 100</f>
        <v/>
      </c>
      <c r="AA514">
        <f>IF(T_EMPLOYEES[[#This Row],[EMPLOYEE NUMBER]]="","",ROW(T_EMPLOYEES[[#This Row],[EMPLOYEE LABEL]])-ROW(T_EMPLOYEES[[#Headers],[EMPLOYEE LABEL]]))</f>
        <v/>
      </c>
      <c r="AB514">
        <f>IF(T_EMPLOYEES[[#This Row],[EMPLOYEE NUMBER]]="","",IF(COUNTIF(T_EMPLOYEES[EMPLOYEE NUMBER],T_EMPLOYEES[[#This Row],[EMPLOYEE NUMBER]])&gt;1,1,0))</f>
        <v/>
      </c>
      <c r="AC514">
        <f>IF(T_EMPLOYEES[[#This Row],[EMPLOYEE NUMBER]]="","",IF(AND(T_EMPLOYEES[[#This Row],[DATE OF BIRTH]]&gt;0,T_EMPLOYEES[[#This Row],[DATE OF BIRTH]]&lt;TODAY()),0,1))</f>
        <v/>
      </c>
      <c r="AD514">
        <f>IF(T_EMPLOYEES[[#This Row],[EMPLOYEE NUMBER]]="","",IF(AND(T_EMPLOYEES[[#This Row],[START DATE]]&gt;0,T_EMPLOYEES[[#This Row],[START DATE]]&lt;TODAY()+60),0,1))</f>
        <v/>
      </c>
      <c r="AE514">
        <f>IF(T_EMPLOYEES[[#This Row],[EMPLOYEE NUMBER]]="","",MATCH(T_EMPLOYEES[[#This Row],[GENDER]],L_GENDER,0))</f>
        <v/>
      </c>
      <c r="AF514">
        <f>IF(T_EMPLOYEES[[#This Row],[EMPLOYEE NUMBER]]="","",MATCH(T_EMPLOYEES[[#This Row],[HIRE SOURCE]],L_HIRESOURCE,0))</f>
        <v/>
      </c>
      <c r="AG514">
        <f>IF(T_EMPLOYEES[[#This Row],[EMPLOYEE NUMBER]]="","",MATCH(T_EMPLOYEES[[#This Row],[ETHNICITY]],L_ETHNICITY,0))</f>
        <v/>
      </c>
      <c r="AH514">
        <f>IF(T_EMPLOYEES[[#This Row],[EMPLOYEE NUMBER]]="","",MATCH(T_EMPLOYEES[[#This Row],[LOCATION]],L_LOCATION,0))</f>
        <v/>
      </c>
      <c r="AI514">
        <f>IF(T_EMPLOYEES[[#This Row],[EMPLOYEE NUMBER]]="","",MATCH(T_EMPLOYEES[[#This Row],[DEPARTMENT]],L_DEPARTMENT,0))</f>
        <v/>
      </c>
      <c r="AJ514">
        <f>IF(T_EMPLOYEES[[#This Row],[EMPLOYEE NUMBER]]="","",MATCH(T_EMPLOYEES[[#This Row],[JOB TYPE]],L_JOBTYPE,0))</f>
        <v/>
      </c>
      <c r="AK514">
        <f>IF(T_EMPLOYEES[[#This Row],[EMPLOYEE NUMBER]]="","",MATCH(T_EMPLOYEES[[#This Row],[JOB CATEGORY]],L_JOBCATEGORY,0))</f>
        <v/>
      </c>
      <c r="AL514">
        <f>IF(T_EMPLOYEES[[#This Row],[EMPLOYEE NUMBER]]="","",MATCH(T_EMPLOYEES[[#This Row],[JOB LEVEL]],L_JOBLEVEL,0))</f>
        <v/>
      </c>
      <c r="AM514">
        <f>IF(T_EMPLOYEES[[#This Row],[EMPLOYEE NUMBER]]="","",MATCH(T_EMPLOYEES[[#This Row],[JOB TITLE]],L_JOBTITLE,0))</f>
        <v/>
      </c>
      <c r="AN514">
        <f>IF(T_EMPLOYEES[[#This Row],[EMPLOYEE NUMBER]]="","",MATCH(T_EMPLOYEES[[#This Row],[MANAGER]],L_EMPLABELS,0))</f>
        <v/>
      </c>
      <c r="AO514">
        <f>IF(T_EMPLOYEES[[#This Row],[EMPLOYEE NUMBER]]="","",IF(T_EMPLOYEES[[#This Row],[ERROR]]="",0,1))</f>
        <v/>
      </c>
      <c r="AP51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5">
      <c r="A515" t="inlineStr">
        <is>
          <t>Komirisetty</t>
        </is>
      </c>
      <c r="B515" t="inlineStr">
        <is>
          <t>Jyotirmayi</t>
        </is>
      </c>
      <c r="C515" t="n">
        <v>1030912</v>
      </c>
      <c r="D515" t="inlineStr">
        <is>
          <t>Jyotirmayi.Komirisetty@infinite.com</t>
        </is>
      </c>
      <c r="E515" s="26" t="n">
        <v>36876</v>
      </c>
      <c r="F515" s="26" t="n">
        <v>44876</v>
      </c>
      <c r="H515" t="inlineStr">
        <is>
          <t>Female</t>
        </is>
      </c>
      <c r="I515" t="inlineStr">
        <is>
          <t>Asian</t>
        </is>
      </c>
      <c r="J515" t="inlineStr">
        <is>
          <t>WEBSITE</t>
        </is>
      </c>
      <c r="K515" t="inlineStr">
        <is>
          <t>Bangalore</t>
        </is>
      </c>
      <c r="L515" s="27" t="inlineStr">
        <is>
          <t>Infra</t>
        </is>
      </c>
      <c r="M515" t="inlineStr">
        <is>
          <t>Full-Time</t>
        </is>
      </c>
      <c r="N515" t="inlineStr">
        <is>
          <t>Associate Software Engineer</t>
        </is>
      </c>
      <c r="O515" t="inlineStr">
        <is>
          <t>E1</t>
        </is>
      </c>
      <c r="P515" t="inlineStr">
        <is>
          <t>Associate Software Engineer</t>
        </is>
      </c>
      <c r="Q515" t="inlineStr">
        <is>
          <t>K  Saikumar (1026864)</t>
        </is>
      </c>
      <c r="R515" t="n">
        <v>0</v>
      </c>
      <c r="S515" s="1" t="n">
        <v>1200000</v>
      </c>
      <c r="T515" s="1">
        <f>ROUND(T_EMPLOYEES[[#This Row],[EMP_CTC1]]/12, 0)</f>
        <v/>
      </c>
      <c r="U515" s="1" t="n">
        <v>1000000</v>
      </c>
      <c r="V515" s="1" t="inlineStr">
        <is>
          <t>ND</t>
        </is>
      </c>
      <c r="W515" s="1" t="inlineStr">
        <is>
          <t>ND</t>
        </is>
      </c>
      <c r="X51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5" t="n">
        <v>120000</v>
      </c>
      <c r="Z515" s="29">
        <f>(S515 - U515)/S515 * 100</f>
        <v/>
      </c>
      <c r="AA515">
        <f>IF(T_EMPLOYEES[[#This Row],[EMPLOYEE NUMBER]]="","",ROW(T_EMPLOYEES[[#This Row],[EMPLOYEE LABEL]])-ROW(T_EMPLOYEES[[#Headers],[EMPLOYEE LABEL]]))</f>
        <v/>
      </c>
      <c r="AB515">
        <f>IF(T_EMPLOYEES[[#This Row],[EMPLOYEE NUMBER]]="","",IF(COUNTIF(T_EMPLOYEES[EMPLOYEE NUMBER],T_EMPLOYEES[[#This Row],[EMPLOYEE NUMBER]])&gt;1,1,0))</f>
        <v/>
      </c>
      <c r="AC515">
        <f>IF(T_EMPLOYEES[[#This Row],[EMPLOYEE NUMBER]]="","",IF(AND(T_EMPLOYEES[[#This Row],[DATE OF BIRTH]]&gt;0,T_EMPLOYEES[[#This Row],[DATE OF BIRTH]]&lt;TODAY()),0,1))</f>
        <v/>
      </c>
      <c r="AD515">
        <f>IF(T_EMPLOYEES[[#This Row],[EMPLOYEE NUMBER]]="","",IF(AND(T_EMPLOYEES[[#This Row],[START DATE]]&gt;0,T_EMPLOYEES[[#This Row],[START DATE]]&lt;TODAY()+60),0,1))</f>
        <v/>
      </c>
      <c r="AE515">
        <f>IF(T_EMPLOYEES[[#This Row],[EMPLOYEE NUMBER]]="","",MATCH(T_EMPLOYEES[[#This Row],[GENDER]],L_GENDER,0))</f>
        <v/>
      </c>
      <c r="AF515">
        <f>IF(T_EMPLOYEES[[#This Row],[EMPLOYEE NUMBER]]="","",MATCH(T_EMPLOYEES[[#This Row],[HIRE SOURCE]],L_HIRESOURCE,0))</f>
        <v/>
      </c>
      <c r="AG515">
        <f>IF(T_EMPLOYEES[[#This Row],[EMPLOYEE NUMBER]]="","",MATCH(T_EMPLOYEES[[#This Row],[ETHNICITY]],L_ETHNICITY,0))</f>
        <v/>
      </c>
      <c r="AH515">
        <f>IF(T_EMPLOYEES[[#This Row],[EMPLOYEE NUMBER]]="","",MATCH(T_EMPLOYEES[[#This Row],[LOCATION]],L_LOCATION,0))</f>
        <v/>
      </c>
      <c r="AI515">
        <f>IF(T_EMPLOYEES[[#This Row],[EMPLOYEE NUMBER]]="","",MATCH(T_EMPLOYEES[[#This Row],[DEPARTMENT]],L_DEPARTMENT,0))</f>
        <v/>
      </c>
      <c r="AJ515">
        <f>IF(T_EMPLOYEES[[#This Row],[EMPLOYEE NUMBER]]="","",MATCH(T_EMPLOYEES[[#This Row],[JOB TYPE]],L_JOBTYPE,0))</f>
        <v/>
      </c>
      <c r="AK515">
        <f>IF(T_EMPLOYEES[[#This Row],[EMPLOYEE NUMBER]]="","",MATCH(T_EMPLOYEES[[#This Row],[JOB CATEGORY]],L_JOBCATEGORY,0))</f>
        <v/>
      </c>
      <c r="AL515">
        <f>IF(T_EMPLOYEES[[#This Row],[EMPLOYEE NUMBER]]="","",MATCH(T_EMPLOYEES[[#This Row],[JOB LEVEL]],L_JOBLEVEL,0))</f>
        <v/>
      </c>
      <c r="AM515">
        <f>IF(T_EMPLOYEES[[#This Row],[EMPLOYEE NUMBER]]="","",MATCH(T_EMPLOYEES[[#This Row],[JOB TITLE]],L_JOBTITLE,0))</f>
        <v/>
      </c>
      <c r="AN515">
        <f>IF(T_EMPLOYEES[[#This Row],[EMPLOYEE NUMBER]]="","",MATCH(T_EMPLOYEES[[#This Row],[MANAGER]],L_EMPLABELS,0))</f>
        <v/>
      </c>
      <c r="AO515">
        <f>IF(T_EMPLOYEES[[#This Row],[EMPLOYEE NUMBER]]="","",IF(T_EMPLOYEES[[#This Row],[ERROR]]="",0,1))</f>
        <v/>
      </c>
      <c r="AP51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6">
      <c r="A516" t="inlineStr">
        <is>
          <t>Jaison</t>
        </is>
      </c>
      <c r="B516" t="inlineStr">
        <is>
          <t>Jaideep Lobo</t>
        </is>
      </c>
      <c r="C516" t="n">
        <v>1029784</v>
      </c>
      <c r="D516" t="inlineStr">
        <is>
          <t>Jaison.Lobo@infinite.com</t>
        </is>
      </c>
      <c r="E516" s="26" t="n">
        <v>36880</v>
      </c>
      <c r="F516" s="26" t="n">
        <v>44783</v>
      </c>
      <c r="H516" t="inlineStr">
        <is>
          <t>Male</t>
        </is>
      </c>
      <c r="I516" t="inlineStr">
        <is>
          <t>Asian</t>
        </is>
      </c>
      <c r="J516" t="inlineStr">
        <is>
          <t>WEBSITE</t>
        </is>
      </c>
      <c r="K516" t="inlineStr">
        <is>
          <t>Bangalore</t>
        </is>
      </c>
      <c r="L516" s="27" t="inlineStr">
        <is>
          <t>Core</t>
        </is>
      </c>
      <c r="M516" t="inlineStr">
        <is>
          <t>Full-Time</t>
        </is>
      </c>
      <c r="N516" t="inlineStr">
        <is>
          <t>Associate Software Engineer</t>
        </is>
      </c>
      <c r="O516" t="inlineStr">
        <is>
          <t>E1</t>
        </is>
      </c>
      <c r="P516" t="inlineStr">
        <is>
          <t>Associate Software Engineer</t>
        </is>
      </c>
      <c r="Q516" t="inlineStr">
        <is>
          <t>Anil Kumar Khamari (1013201)</t>
        </is>
      </c>
      <c r="R516" s="27" t="n">
        <v>0</v>
      </c>
      <c r="S516" s="1" t="n">
        <v>1200000</v>
      </c>
      <c r="T516" s="1">
        <f>ROUND(T_EMPLOYEES[[#This Row],[EMP_CTC1]]/12, 0)</f>
        <v/>
      </c>
      <c r="U516" s="1" t="n">
        <v>1000000</v>
      </c>
      <c r="V516" s="1" t="inlineStr">
        <is>
          <t>ND</t>
        </is>
      </c>
      <c r="W516" s="1" t="inlineStr">
        <is>
          <t>ND</t>
        </is>
      </c>
      <c r="X51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6" t="n">
        <v>120000</v>
      </c>
      <c r="Z516" s="29">
        <f>(S516 - U516)/S516 * 100</f>
        <v/>
      </c>
      <c r="AA516">
        <f>IF(T_EMPLOYEES[[#This Row],[EMPLOYEE NUMBER]]="","",ROW(T_EMPLOYEES[[#This Row],[EMPLOYEE LABEL]])-ROW(T_EMPLOYEES[[#Headers],[EMPLOYEE LABEL]]))</f>
        <v/>
      </c>
      <c r="AB516">
        <f>IF(T_EMPLOYEES[[#This Row],[EMPLOYEE NUMBER]]="","",IF(COUNTIF(T_EMPLOYEES[EMPLOYEE NUMBER],T_EMPLOYEES[[#This Row],[EMPLOYEE NUMBER]])&gt;1,1,0))</f>
        <v/>
      </c>
      <c r="AC516">
        <f>IF(T_EMPLOYEES[[#This Row],[EMPLOYEE NUMBER]]="","",IF(AND(T_EMPLOYEES[[#This Row],[DATE OF BIRTH]]&gt;0,T_EMPLOYEES[[#This Row],[DATE OF BIRTH]]&lt;TODAY()),0,1))</f>
        <v/>
      </c>
      <c r="AD516">
        <f>IF(T_EMPLOYEES[[#This Row],[EMPLOYEE NUMBER]]="","",IF(AND(T_EMPLOYEES[[#This Row],[START DATE]]&gt;0,T_EMPLOYEES[[#This Row],[START DATE]]&lt;TODAY()+60),0,1))</f>
        <v/>
      </c>
      <c r="AE516">
        <f>IF(T_EMPLOYEES[[#This Row],[EMPLOYEE NUMBER]]="","",MATCH(T_EMPLOYEES[[#This Row],[GENDER]],L_GENDER,0))</f>
        <v/>
      </c>
      <c r="AF516">
        <f>IF(T_EMPLOYEES[[#This Row],[EMPLOYEE NUMBER]]="","",MATCH(T_EMPLOYEES[[#This Row],[HIRE SOURCE]],L_HIRESOURCE,0))</f>
        <v/>
      </c>
      <c r="AG516">
        <f>IF(T_EMPLOYEES[[#This Row],[EMPLOYEE NUMBER]]="","",MATCH(T_EMPLOYEES[[#This Row],[ETHNICITY]],L_ETHNICITY,0))</f>
        <v/>
      </c>
      <c r="AH516">
        <f>IF(T_EMPLOYEES[[#This Row],[EMPLOYEE NUMBER]]="","",MATCH(T_EMPLOYEES[[#This Row],[LOCATION]],L_LOCATION,0))</f>
        <v/>
      </c>
      <c r="AI516">
        <f>IF(T_EMPLOYEES[[#This Row],[EMPLOYEE NUMBER]]="","",MATCH(T_EMPLOYEES[[#This Row],[DEPARTMENT]],L_DEPARTMENT,0))</f>
        <v/>
      </c>
      <c r="AJ516">
        <f>IF(T_EMPLOYEES[[#This Row],[EMPLOYEE NUMBER]]="","",MATCH(T_EMPLOYEES[[#This Row],[JOB TYPE]],L_JOBTYPE,0))</f>
        <v/>
      </c>
      <c r="AK516">
        <f>IF(T_EMPLOYEES[[#This Row],[EMPLOYEE NUMBER]]="","",MATCH(T_EMPLOYEES[[#This Row],[JOB CATEGORY]],L_JOBCATEGORY,0))</f>
        <v/>
      </c>
      <c r="AL516">
        <f>IF(T_EMPLOYEES[[#This Row],[EMPLOYEE NUMBER]]="","",MATCH(T_EMPLOYEES[[#This Row],[JOB LEVEL]],L_JOBLEVEL,0))</f>
        <v/>
      </c>
      <c r="AM516">
        <f>IF(T_EMPLOYEES[[#This Row],[EMPLOYEE NUMBER]]="","",MATCH(T_EMPLOYEES[[#This Row],[JOB TITLE]],L_JOBTITLE,0))</f>
        <v/>
      </c>
      <c r="AN516">
        <f>IF(T_EMPLOYEES[[#This Row],[EMPLOYEE NUMBER]]="","",MATCH(T_EMPLOYEES[[#This Row],[MANAGER]],L_EMPLABELS,0))</f>
        <v/>
      </c>
      <c r="AO516">
        <f>IF(T_EMPLOYEES[[#This Row],[EMPLOYEE NUMBER]]="","",IF(T_EMPLOYEES[[#This Row],[ERROR]]="",0,1))</f>
        <v/>
      </c>
      <c r="AP51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7">
      <c r="A517" t="inlineStr">
        <is>
          <t>M</t>
        </is>
      </c>
      <c r="B517" t="inlineStr">
        <is>
          <t>S Thimmaiah</t>
        </is>
      </c>
      <c r="C517" t="n">
        <v>1033134</v>
      </c>
      <c r="D517" t="inlineStr">
        <is>
          <t>Thimmaiah.Suraj@infinite.com</t>
        </is>
      </c>
      <c r="E517" s="26" t="n">
        <v>36882</v>
      </c>
      <c r="F517" s="26" t="n">
        <v>45140</v>
      </c>
      <c r="H517" t="inlineStr">
        <is>
          <t>Male</t>
        </is>
      </c>
      <c r="I517" t="inlineStr">
        <is>
          <t>Asian</t>
        </is>
      </c>
      <c r="J517" t="inlineStr">
        <is>
          <t>WEBSITE</t>
        </is>
      </c>
      <c r="K517" t="inlineStr">
        <is>
          <t>Bangalore</t>
        </is>
      </c>
      <c r="L517" s="27" t="inlineStr">
        <is>
          <t>IT</t>
        </is>
      </c>
      <c r="M517" t="inlineStr">
        <is>
          <t>Full-Time</t>
        </is>
      </c>
      <c r="N517" t="inlineStr">
        <is>
          <t>Associate Support Engineer</t>
        </is>
      </c>
      <c r="O517" t="inlineStr">
        <is>
          <t>E1</t>
        </is>
      </c>
      <c r="P517" t="inlineStr">
        <is>
          <t>Associate Support Engineer</t>
        </is>
      </c>
      <c r="Q517" t="inlineStr">
        <is>
          <t>Santosh Kumar B (1033071)</t>
        </is>
      </c>
      <c r="R517" t="n">
        <v>0</v>
      </c>
      <c r="S517" s="1" t="n">
        <v>1200000</v>
      </c>
      <c r="T517" s="1">
        <f>ROUND(T_EMPLOYEES[[#This Row],[EMP_CTC1]]/12, 0)</f>
        <v/>
      </c>
      <c r="U517" s="1" t="n">
        <v>1000000</v>
      </c>
      <c r="V517" s="1" t="inlineStr">
        <is>
          <t>ND</t>
        </is>
      </c>
      <c r="W517" s="1" t="inlineStr">
        <is>
          <t>ND</t>
        </is>
      </c>
      <c r="X51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7" t="n">
        <v>120000</v>
      </c>
      <c r="Z517" s="29">
        <f>(S517 - U517)/S517 * 100</f>
        <v/>
      </c>
      <c r="AA517">
        <f>IF(T_EMPLOYEES[[#This Row],[EMPLOYEE NUMBER]]="","",ROW(T_EMPLOYEES[[#This Row],[EMPLOYEE LABEL]])-ROW(T_EMPLOYEES[[#Headers],[EMPLOYEE LABEL]]))</f>
        <v/>
      </c>
      <c r="AB517">
        <f>IF(T_EMPLOYEES[[#This Row],[EMPLOYEE NUMBER]]="","",IF(COUNTIF(T_EMPLOYEES[EMPLOYEE NUMBER],T_EMPLOYEES[[#This Row],[EMPLOYEE NUMBER]])&gt;1,1,0))</f>
        <v/>
      </c>
      <c r="AC517">
        <f>IF(T_EMPLOYEES[[#This Row],[EMPLOYEE NUMBER]]="","",IF(AND(T_EMPLOYEES[[#This Row],[DATE OF BIRTH]]&gt;0,T_EMPLOYEES[[#This Row],[DATE OF BIRTH]]&lt;TODAY()),0,1))</f>
        <v/>
      </c>
      <c r="AD517">
        <f>IF(T_EMPLOYEES[[#This Row],[EMPLOYEE NUMBER]]="","",IF(AND(T_EMPLOYEES[[#This Row],[START DATE]]&gt;0,T_EMPLOYEES[[#This Row],[START DATE]]&lt;TODAY()+60),0,1))</f>
        <v/>
      </c>
      <c r="AE517">
        <f>IF(T_EMPLOYEES[[#This Row],[EMPLOYEE NUMBER]]="","",MATCH(T_EMPLOYEES[[#This Row],[GENDER]],L_GENDER,0))</f>
        <v/>
      </c>
      <c r="AF517">
        <f>IF(T_EMPLOYEES[[#This Row],[EMPLOYEE NUMBER]]="","",MATCH(T_EMPLOYEES[[#This Row],[HIRE SOURCE]],L_HIRESOURCE,0))</f>
        <v/>
      </c>
      <c r="AG517">
        <f>IF(T_EMPLOYEES[[#This Row],[EMPLOYEE NUMBER]]="","",MATCH(T_EMPLOYEES[[#This Row],[ETHNICITY]],L_ETHNICITY,0))</f>
        <v/>
      </c>
      <c r="AH517">
        <f>IF(T_EMPLOYEES[[#This Row],[EMPLOYEE NUMBER]]="","",MATCH(T_EMPLOYEES[[#This Row],[LOCATION]],L_LOCATION,0))</f>
        <v/>
      </c>
      <c r="AI517">
        <f>IF(T_EMPLOYEES[[#This Row],[EMPLOYEE NUMBER]]="","",MATCH(T_EMPLOYEES[[#This Row],[DEPARTMENT]],L_DEPARTMENT,0))</f>
        <v/>
      </c>
      <c r="AJ517">
        <f>IF(T_EMPLOYEES[[#This Row],[EMPLOYEE NUMBER]]="","",MATCH(T_EMPLOYEES[[#This Row],[JOB TYPE]],L_JOBTYPE,0))</f>
        <v/>
      </c>
      <c r="AK517">
        <f>IF(T_EMPLOYEES[[#This Row],[EMPLOYEE NUMBER]]="","",MATCH(T_EMPLOYEES[[#This Row],[JOB CATEGORY]],L_JOBCATEGORY,0))</f>
        <v/>
      </c>
      <c r="AL517">
        <f>IF(T_EMPLOYEES[[#This Row],[EMPLOYEE NUMBER]]="","",MATCH(T_EMPLOYEES[[#This Row],[JOB LEVEL]],L_JOBLEVEL,0))</f>
        <v/>
      </c>
      <c r="AM517">
        <f>IF(T_EMPLOYEES[[#This Row],[EMPLOYEE NUMBER]]="","",MATCH(T_EMPLOYEES[[#This Row],[JOB TITLE]],L_JOBTITLE,0))</f>
        <v/>
      </c>
      <c r="AN517">
        <f>IF(T_EMPLOYEES[[#This Row],[EMPLOYEE NUMBER]]="","",MATCH(T_EMPLOYEES[[#This Row],[MANAGER]],L_EMPLABELS,0))</f>
        <v/>
      </c>
      <c r="AO517">
        <f>IF(T_EMPLOYEES[[#This Row],[EMPLOYEE NUMBER]]="","",IF(T_EMPLOYEES[[#This Row],[ERROR]]="",0,1))</f>
        <v/>
      </c>
      <c r="AP51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8">
      <c r="A518" t="inlineStr">
        <is>
          <t>Kedarisetty</t>
        </is>
      </c>
      <c r="B518" t="inlineStr">
        <is>
          <t>Sruthi</t>
        </is>
      </c>
      <c r="C518" t="n">
        <v>1032869</v>
      </c>
      <c r="D518" t="inlineStr">
        <is>
          <t>Sruthi.Kedarisetty@infinite.com</t>
        </is>
      </c>
      <c r="E518" s="26" t="n">
        <v>36890</v>
      </c>
      <c r="F518" s="26" t="n">
        <v>45075</v>
      </c>
      <c r="H518" t="inlineStr">
        <is>
          <t>Female</t>
        </is>
      </c>
      <c r="I518" t="inlineStr">
        <is>
          <t>Asian</t>
        </is>
      </c>
      <c r="J518" t="inlineStr">
        <is>
          <t>WEBSITE</t>
        </is>
      </c>
      <c r="K518" t="inlineStr">
        <is>
          <t>Bangalore</t>
        </is>
      </c>
      <c r="L518" s="27" t="inlineStr">
        <is>
          <t>IT</t>
        </is>
      </c>
      <c r="M518" t="inlineStr">
        <is>
          <t>Full-Time</t>
        </is>
      </c>
      <c r="N518" t="inlineStr">
        <is>
          <t>Associate Software Engineer</t>
        </is>
      </c>
      <c r="O518" t="inlineStr">
        <is>
          <t>E1</t>
        </is>
      </c>
      <c r="P518" t="inlineStr">
        <is>
          <t>Associate Software Engineer</t>
        </is>
      </c>
      <c r="Q518" t="inlineStr">
        <is>
          <t>Santosh Kumar B (1033071)</t>
        </is>
      </c>
      <c r="R518" s="27" t="n">
        <v>0</v>
      </c>
      <c r="S518" s="1" t="n">
        <v>1200000</v>
      </c>
      <c r="T518" s="1">
        <f>ROUND(T_EMPLOYEES[[#This Row],[EMP_CTC1]]/12, 0)</f>
        <v/>
      </c>
      <c r="U518" s="1" t="n">
        <v>1000000</v>
      </c>
      <c r="V518" s="1" t="inlineStr">
        <is>
          <t>ND</t>
        </is>
      </c>
      <c r="W518" s="1" t="inlineStr">
        <is>
          <t>ND</t>
        </is>
      </c>
      <c r="X51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8" t="n">
        <v>120000</v>
      </c>
      <c r="Z518" s="29">
        <f>(S518 - U518)/S518 * 100</f>
        <v/>
      </c>
      <c r="AA518">
        <f>IF(T_EMPLOYEES[[#This Row],[EMPLOYEE NUMBER]]="","",ROW(T_EMPLOYEES[[#This Row],[EMPLOYEE LABEL]])-ROW(T_EMPLOYEES[[#Headers],[EMPLOYEE LABEL]]))</f>
        <v/>
      </c>
      <c r="AB518">
        <f>IF(T_EMPLOYEES[[#This Row],[EMPLOYEE NUMBER]]="","",IF(COUNTIF(T_EMPLOYEES[EMPLOYEE NUMBER],T_EMPLOYEES[[#This Row],[EMPLOYEE NUMBER]])&gt;1,1,0))</f>
        <v/>
      </c>
      <c r="AC518">
        <f>IF(T_EMPLOYEES[[#This Row],[EMPLOYEE NUMBER]]="","",IF(AND(T_EMPLOYEES[[#This Row],[DATE OF BIRTH]]&gt;0,T_EMPLOYEES[[#This Row],[DATE OF BIRTH]]&lt;TODAY()),0,1))</f>
        <v/>
      </c>
      <c r="AD518">
        <f>IF(T_EMPLOYEES[[#This Row],[EMPLOYEE NUMBER]]="","",IF(AND(T_EMPLOYEES[[#This Row],[START DATE]]&gt;0,T_EMPLOYEES[[#This Row],[START DATE]]&lt;TODAY()+60),0,1))</f>
        <v/>
      </c>
      <c r="AE518">
        <f>IF(T_EMPLOYEES[[#This Row],[EMPLOYEE NUMBER]]="","",MATCH(T_EMPLOYEES[[#This Row],[GENDER]],L_GENDER,0))</f>
        <v/>
      </c>
      <c r="AF518">
        <f>IF(T_EMPLOYEES[[#This Row],[EMPLOYEE NUMBER]]="","",MATCH(T_EMPLOYEES[[#This Row],[HIRE SOURCE]],L_HIRESOURCE,0))</f>
        <v/>
      </c>
      <c r="AG518">
        <f>IF(T_EMPLOYEES[[#This Row],[EMPLOYEE NUMBER]]="","",MATCH(T_EMPLOYEES[[#This Row],[ETHNICITY]],L_ETHNICITY,0))</f>
        <v/>
      </c>
      <c r="AH518">
        <f>IF(T_EMPLOYEES[[#This Row],[EMPLOYEE NUMBER]]="","",MATCH(T_EMPLOYEES[[#This Row],[LOCATION]],L_LOCATION,0))</f>
        <v/>
      </c>
      <c r="AI518">
        <f>IF(T_EMPLOYEES[[#This Row],[EMPLOYEE NUMBER]]="","",MATCH(T_EMPLOYEES[[#This Row],[DEPARTMENT]],L_DEPARTMENT,0))</f>
        <v/>
      </c>
      <c r="AJ518">
        <f>IF(T_EMPLOYEES[[#This Row],[EMPLOYEE NUMBER]]="","",MATCH(T_EMPLOYEES[[#This Row],[JOB TYPE]],L_JOBTYPE,0))</f>
        <v/>
      </c>
      <c r="AK518">
        <f>IF(T_EMPLOYEES[[#This Row],[EMPLOYEE NUMBER]]="","",MATCH(T_EMPLOYEES[[#This Row],[JOB CATEGORY]],L_JOBCATEGORY,0))</f>
        <v/>
      </c>
      <c r="AL518">
        <f>IF(T_EMPLOYEES[[#This Row],[EMPLOYEE NUMBER]]="","",MATCH(T_EMPLOYEES[[#This Row],[JOB LEVEL]],L_JOBLEVEL,0))</f>
        <v/>
      </c>
      <c r="AM518">
        <f>IF(T_EMPLOYEES[[#This Row],[EMPLOYEE NUMBER]]="","",MATCH(T_EMPLOYEES[[#This Row],[JOB TITLE]],L_JOBTITLE,0))</f>
        <v/>
      </c>
      <c r="AN518">
        <f>IF(T_EMPLOYEES[[#This Row],[EMPLOYEE NUMBER]]="","",MATCH(T_EMPLOYEES[[#This Row],[MANAGER]],L_EMPLABELS,0))</f>
        <v/>
      </c>
      <c r="AO518">
        <f>IF(T_EMPLOYEES[[#This Row],[EMPLOYEE NUMBER]]="","",IF(T_EMPLOYEES[[#This Row],[ERROR]]="",0,1))</f>
        <v/>
      </c>
      <c r="AP51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19">
      <c r="A519" t="inlineStr">
        <is>
          <t>Vijay</t>
        </is>
      </c>
      <c r="B519" t="inlineStr">
        <is>
          <t>Kumar S</t>
        </is>
      </c>
      <c r="C519" t="n">
        <v>1030219</v>
      </c>
      <c r="D519" t="inlineStr">
        <is>
          <t>VijayKumar.Subramanyam@infinite.com</t>
        </is>
      </c>
      <c r="E519" s="26" t="n">
        <v>36901</v>
      </c>
      <c r="F519" s="26" t="n">
        <v>44819</v>
      </c>
      <c r="H519" t="inlineStr">
        <is>
          <t>Male</t>
        </is>
      </c>
      <c r="I519" t="inlineStr">
        <is>
          <t>Asian</t>
        </is>
      </c>
      <c r="J519" t="inlineStr">
        <is>
          <t>WEBSITE</t>
        </is>
      </c>
      <c r="K519" t="inlineStr">
        <is>
          <t>Bangalore</t>
        </is>
      </c>
      <c r="L519" s="27" t="inlineStr">
        <is>
          <t>Core</t>
        </is>
      </c>
      <c r="M519" t="inlineStr">
        <is>
          <t>Full-Time</t>
        </is>
      </c>
      <c r="N519" t="inlineStr">
        <is>
          <t>Associate Software Engineer</t>
        </is>
      </c>
      <c r="O519" t="inlineStr">
        <is>
          <t>E1</t>
        </is>
      </c>
      <c r="P519" t="inlineStr">
        <is>
          <t>Associate Software Engineer</t>
        </is>
      </c>
      <c r="Q519" t="inlineStr">
        <is>
          <t>Anil Kumar Khamari (1013201)</t>
        </is>
      </c>
      <c r="R519" t="n">
        <v>0</v>
      </c>
      <c r="S519" s="1" t="n">
        <v>1200000</v>
      </c>
      <c r="T519" s="1">
        <f>ROUND(T_EMPLOYEES[[#This Row],[EMP_CTC1]]/12, 0)</f>
        <v/>
      </c>
      <c r="U519" s="1" t="n">
        <v>1000000</v>
      </c>
      <c r="V519" s="1" t="inlineStr">
        <is>
          <t>ND</t>
        </is>
      </c>
      <c r="W519" s="1" t="inlineStr">
        <is>
          <t>ND</t>
        </is>
      </c>
      <c r="X51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19" t="n">
        <v>120000</v>
      </c>
      <c r="Z519" s="29">
        <f>(S519 - U519)/S519 * 100</f>
        <v/>
      </c>
      <c r="AA519">
        <f>IF(T_EMPLOYEES[[#This Row],[EMPLOYEE NUMBER]]="","",ROW(T_EMPLOYEES[[#This Row],[EMPLOYEE LABEL]])-ROW(T_EMPLOYEES[[#Headers],[EMPLOYEE LABEL]]))</f>
        <v/>
      </c>
      <c r="AB519">
        <f>IF(T_EMPLOYEES[[#This Row],[EMPLOYEE NUMBER]]="","",IF(COUNTIF(T_EMPLOYEES[EMPLOYEE NUMBER],T_EMPLOYEES[[#This Row],[EMPLOYEE NUMBER]])&gt;1,1,0))</f>
        <v/>
      </c>
      <c r="AC519">
        <f>IF(T_EMPLOYEES[[#This Row],[EMPLOYEE NUMBER]]="","",IF(AND(T_EMPLOYEES[[#This Row],[DATE OF BIRTH]]&gt;0,T_EMPLOYEES[[#This Row],[DATE OF BIRTH]]&lt;TODAY()),0,1))</f>
        <v/>
      </c>
      <c r="AD519">
        <f>IF(T_EMPLOYEES[[#This Row],[EMPLOYEE NUMBER]]="","",IF(AND(T_EMPLOYEES[[#This Row],[START DATE]]&gt;0,T_EMPLOYEES[[#This Row],[START DATE]]&lt;TODAY()+60),0,1))</f>
        <v/>
      </c>
      <c r="AE519">
        <f>IF(T_EMPLOYEES[[#This Row],[EMPLOYEE NUMBER]]="","",MATCH(T_EMPLOYEES[[#This Row],[GENDER]],L_GENDER,0))</f>
        <v/>
      </c>
      <c r="AF519">
        <f>IF(T_EMPLOYEES[[#This Row],[EMPLOYEE NUMBER]]="","",MATCH(T_EMPLOYEES[[#This Row],[HIRE SOURCE]],L_HIRESOURCE,0))</f>
        <v/>
      </c>
      <c r="AG519">
        <f>IF(T_EMPLOYEES[[#This Row],[EMPLOYEE NUMBER]]="","",MATCH(T_EMPLOYEES[[#This Row],[ETHNICITY]],L_ETHNICITY,0))</f>
        <v/>
      </c>
      <c r="AH519">
        <f>IF(T_EMPLOYEES[[#This Row],[EMPLOYEE NUMBER]]="","",MATCH(T_EMPLOYEES[[#This Row],[LOCATION]],L_LOCATION,0))</f>
        <v/>
      </c>
      <c r="AI519">
        <f>IF(T_EMPLOYEES[[#This Row],[EMPLOYEE NUMBER]]="","",MATCH(T_EMPLOYEES[[#This Row],[DEPARTMENT]],L_DEPARTMENT,0))</f>
        <v/>
      </c>
      <c r="AJ519">
        <f>IF(T_EMPLOYEES[[#This Row],[EMPLOYEE NUMBER]]="","",MATCH(T_EMPLOYEES[[#This Row],[JOB TYPE]],L_JOBTYPE,0))</f>
        <v/>
      </c>
      <c r="AK519">
        <f>IF(T_EMPLOYEES[[#This Row],[EMPLOYEE NUMBER]]="","",MATCH(T_EMPLOYEES[[#This Row],[JOB CATEGORY]],L_JOBCATEGORY,0))</f>
        <v/>
      </c>
      <c r="AL519">
        <f>IF(T_EMPLOYEES[[#This Row],[EMPLOYEE NUMBER]]="","",MATCH(T_EMPLOYEES[[#This Row],[JOB LEVEL]],L_JOBLEVEL,0))</f>
        <v/>
      </c>
      <c r="AM519">
        <f>IF(T_EMPLOYEES[[#This Row],[EMPLOYEE NUMBER]]="","",MATCH(T_EMPLOYEES[[#This Row],[JOB TITLE]],L_JOBTITLE,0))</f>
        <v/>
      </c>
      <c r="AN519">
        <f>IF(T_EMPLOYEES[[#This Row],[EMPLOYEE NUMBER]]="","",MATCH(T_EMPLOYEES[[#This Row],[MANAGER]],L_EMPLABELS,0))</f>
        <v/>
      </c>
      <c r="AO519">
        <f>IF(T_EMPLOYEES[[#This Row],[EMPLOYEE NUMBER]]="","",IF(T_EMPLOYEES[[#This Row],[ERROR]]="",0,1))</f>
        <v/>
      </c>
      <c r="AP51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0">
      <c r="A520" t="inlineStr">
        <is>
          <t>Gaurav</t>
        </is>
      </c>
      <c r="B520" t="inlineStr">
        <is>
          <t>Sharma</t>
        </is>
      </c>
      <c r="C520" t="n">
        <v>1029867</v>
      </c>
      <c r="D520" t="inlineStr">
        <is>
          <t>Gaurav.Sharma3@infinite.com</t>
        </is>
      </c>
      <c r="E520" s="26" t="n">
        <v>36903</v>
      </c>
      <c r="F520" s="26" t="n">
        <v>44791</v>
      </c>
      <c r="H520" t="inlineStr">
        <is>
          <t>Male</t>
        </is>
      </c>
      <c r="I520" t="inlineStr">
        <is>
          <t>Asian</t>
        </is>
      </c>
      <c r="J520" t="inlineStr">
        <is>
          <t>WEBSITE</t>
        </is>
      </c>
      <c r="K520" t="inlineStr">
        <is>
          <t>Bangalore</t>
        </is>
      </c>
      <c r="L520" s="27" t="inlineStr">
        <is>
          <t>Core</t>
        </is>
      </c>
      <c r="M520" t="inlineStr">
        <is>
          <t>Full-Time</t>
        </is>
      </c>
      <c r="N520" t="inlineStr">
        <is>
          <t>Associate Software Engineer</t>
        </is>
      </c>
      <c r="O520" t="inlineStr">
        <is>
          <t>E1</t>
        </is>
      </c>
      <c r="P520" t="inlineStr">
        <is>
          <t>Associate Software Engineer</t>
        </is>
      </c>
      <c r="Q520" t="inlineStr">
        <is>
          <t>Kishore Kumar N (1019765)</t>
        </is>
      </c>
      <c r="R520" s="27" t="n">
        <v>0</v>
      </c>
      <c r="S520" s="1" t="n">
        <v>1200000</v>
      </c>
      <c r="T520" s="1">
        <f>ROUND(T_EMPLOYEES[[#This Row],[EMP_CTC1]]/12, 0)</f>
        <v/>
      </c>
      <c r="U520" s="1" t="n">
        <v>1000000</v>
      </c>
      <c r="V520" s="1" t="inlineStr">
        <is>
          <t>ND</t>
        </is>
      </c>
      <c r="W520" s="1" t="inlineStr">
        <is>
          <t>ND</t>
        </is>
      </c>
      <c r="X52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0" t="n">
        <v>120000</v>
      </c>
      <c r="Z520" s="29">
        <f>(S520 - U520)/S520 * 100</f>
        <v/>
      </c>
      <c r="AA520">
        <f>IF(T_EMPLOYEES[[#This Row],[EMPLOYEE NUMBER]]="","",ROW(T_EMPLOYEES[[#This Row],[EMPLOYEE LABEL]])-ROW(T_EMPLOYEES[[#Headers],[EMPLOYEE LABEL]]))</f>
        <v/>
      </c>
      <c r="AB520">
        <f>IF(T_EMPLOYEES[[#This Row],[EMPLOYEE NUMBER]]="","",IF(COUNTIF(T_EMPLOYEES[EMPLOYEE NUMBER],T_EMPLOYEES[[#This Row],[EMPLOYEE NUMBER]])&gt;1,1,0))</f>
        <v/>
      </c>
      <c r="AC520">
        <f>IF(T_EMPLOYEES[[#This Row],[EMPLOYEE NUMBER]]="","",IF(AND(T_EMPLOYEES[[#This Row],[DATE OF BIRTH]]&gt;0,T_EMPLOYEES[[#This Row],[DATE OF BIRTH]]&lt;TODAY()),0,1))</f>
        <v/>
      </c>
      <c r="AD520">
        <f>IF(T_EMPLOYEES[[#This Row],[EMPLOYEE NUMBER]]="","",IF(AND(T_EMPLOYEES[[#This Row],[START DATE]]&gt;0,T_EMPLOYEES[[#This Row],[START DATE]]&lt;TODAY()+60),0,1))</f>
        <v/>
      </c>
      <c r="AE520">
        <f>IF(T_EMPLOYEES[[#This Row],[EMPLOYEE NUMBER]]="","",MATCH(T_EMPLOYEES[[#This Row],[GENDER]],L_GENDER,0))</f>
        <v/>
      </c>
      <c r="AF520">
        <f>IF(T_EMPLOYEES[[#This Row],[EMPLOYEE NUMBER]]="","",MATCH(T_EMPLOYEES[[#This Row],[HIRE SOURCE]],L_HIRESOURCE,0))</f>
        <v/>
      </c>
      <c r="AG520">
        <f>IF(T_EMPLOYEES[[#This Row],[EMPLOYEE NUMBER]]="","",MATCH(T_EMPLOYEES[[#This Row],[ETHNICITY]],L_ETHNICITY,0))</f>
        <v/>
      </c>
      <c r="AH520">
        <f>IF(T_EMPLOYEES[[#This Row],[EMPLOYEE NUMBER]]="","",MATCH(T_EMPLOYEES[[#This Row],[LOCATION]],L_LOCATION,0))</f>
        <v/>
      </c>
      <c r="AI520">
        <f>IF(T_EMPLOYEES[[#This Row],[EMPLOYEE NUMBER]]="","",MATCH(T_EMPLOYEES[[#This Row],[DEPARTMENT]],L_DEPARTMENT,0))</f>
        <v/>
      </c>
      <c r="AJ520">
        <f>IF(T_EMPLOYEES[[#This Row],[EMPLOYEE NUMBER]]="","",MATCH(T_EMPLOYEES[[#This Row],[JOB TYPE]],L_JOBTYPE,0))</f>
        <v/>
      </c>
      <c r="AK520">
        <f>IF(T_EMPLOYEES[[#This Row],[EMPLOYEE NUMBER]]="","",MATCH(T_EMPLOYEES[[#This Row],[JOB CATEGORY]],L_JOBCATEGORY,0))</f>
        <v/>
      </c>
      <c r="AL520">
        <f>IF(T_EMPLOYEES[[#This Row],[EMPLOYEE NUMBER]]="","",MATCH(T_EMPLOYEES[[#This Row],[JOB LEVEL]],L_JOBLEVEL,0))</f>
        <v/>
      </c>
      <c r="AM520">
        <f>IF(T_EMPLOYEES[[#This Row],[EMPLOYEE NUMBER]]="","",MATCH(T_EMPLOYEES[[#This Row],[JOB TITLE]],L_JOBTITLE,0))</f>
        <v/>
      </c>
      <c r="AN520">
        <f>IF(T_EMPLOYEES[[#This Row],[EMPLOYEE NUMBER]]="","",MATCH(T_EMPLOYEES[[#This Row],[MANAGER]],L_EMPLABELS,0))</f>
        <v/>
      </c>
      <c r="AO520">
        <f>IF(T_EMPLOYEES[[#This Row],[EMPLOYEE NUMBER]]="","",IF(T_EMPLOYEES[[#This Row],[ERROR]]="",0,1))</f>
        <v/>
      </c>
      <c r="AP52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1">
      <c r="A521" t="inlineStr">
        <is>
          <t>Dinesh</t>
        </is>
      </c>
      <c r="B521" t="inlineStr">
        <is>
          <t>Arjun T</t>
        </is>
      </c>
      <c r="C521" t="n">
        <v>1029303</v>
      </c>
      <c r="D521" t="inlineStr">
        <is>
          <t>Dinesh.Arjun@infinite.com</t>
        </is>
      </c>
      <c r="E521" s="26" t="n">
        <v>36909</v>
      </c>
      <c r="F521" s="26" t="n">
        <v>44729</v>
      </c>
      <c r="H521" t="inlineStr">
        <is>
          <t>Male</t>
        </is>
      </c>
      <c r="I521" t="inlineStr">
        <is>
          <t>Asian</t>
        </is>
      </c>
      <c r="J521" t="inlineStr">
        <is>
          <t>WEBSITE</t>
        </is>
      </c>
      <c r="K521" t="inlineStr">
        <is>
          <t>Bangalore</t>
        </is>
      </c>
      <c r="L521" s="27" t="inlineStr">
        <is>
          <t>Core</t>
        </is>
      </c>
      <c r="M521" t="inlineStr">
        <is>
          <t>Full-Time</t>
        </is>
      </c>
      <c r="N521" t="inlineStr">
        <is>
          <t>Associate Software Engineer</t>
        </is>
      </c>
      <c r="O521" t="inlineStr">
        <is>
          <t>E1</t>
        </is>
      </c>
      <c r="P521" t="inlineStr">
        <is>
          <t>Associate Software Engineer</t>
        </is>
      </c>
      <c r="Q521" t="inlineStr">
        <is>
          <t>Dipakbhai Motibhai Tandel (1027230)</t>
        </is>
      </c>
      <c r="R521" t="n">
        <v>0</v>
      </c>
      <c r="S521" s="1" t="n">
        <v>1200000</v>
      </c>
      <c r="T521" s="1">
        <f>ROUND(T_EMPLOYEES[[#This Row],[EMP_CTC1]]/12, 0)</f>
        <v/>
      </c>
      <c r="U521" s="1" t="n">
        <v>1000000</v>
      </c>
      <c r="V521" s="1" t="inlineStr">
        <is>
          <t>ND</t>
        </is>
      </c>
      <c r="W521" s="1" t="inlineStr">
        <is>
          <t>ND</t>
        </is>
      </c>
      <c r="X52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1" t="n">
        <v>120000</v>
      </c>
      <c r="Z521" s="29">
        <f>(S521 - U521)/S521 * 100</f>
        <v/>
      </c>
      <c r="AA521">
        <f>IF(T_EMPLOYEES[[#This Row],[EMPLOYEE NUMBER]]="","",ROW(T_EMPLOYEES[[#This Row],[EMPLOYEE LABEL]])-ROW(T_EMPLOYEES[[#Headers],[EMPLOYEE LABEL]]))</f>
        <v/>
      </c>
      <c r="AB521">
        <f>IF(T_EMPLOYEES[[#This Row],[EMPLOYEE NUMBER]]="","",IF(COUNTIF(T_EMPLOYEES[EMPLOYEE NUMBER],T_EMPLOYEES[[#This Row],[EMPLOYEE NUMBER]])&gt;1,1,0))</f>
        <v/>
      </c>
      <c r="AC521">
        <f>IF(T_EMPLOYEES[[#This Row],[EMPLOYEE NUMBER]]="","",IF(AND(T_EMPLOYEES[[#This Row],[DATE OF BIRTH]]&gt;0,T_EMPLOYEES[[#This Row],[DATE OF BIRTH]]&lt;TODAY()),0,1))</f>
        <v/>
      </c>
      <c r="AD521">
        <f>IF(T_EMPLOYEES[[#This Row],[EMPLOYEE NUMBER]]="","",IF(AND(T_EMPLOYEES[[#This Row],[START DATE]]&gt;0,T_EMPLOYEES[[#This Row],[START DATE]]&lt;TODAY()+60),0,1))</f>
        <v/>
      </c>
      <c r="AE521">
        <f>IF(T_EMPLOYEES[[#This Row],[EMPLOYEE NUMBER]]="","",MATCH(T_EMPLOYEES[[#This Row],[GENDER]],L_GENDER,0))</f>
        <v/>
      </c>
      <c r="AF521">
        <f>IF(T_EMPLOYEES[[#This Row],[EMPLOYEE NUMBER]]="","",MATCH(T_EMPLOYEES[[#This Row],[HIRE SOURCE]],L_HIRESOURCE,0))</f>
        <v/>
      </c>
      <c r="AG521">
        <f>IF(T_EMPLOYEES[[#This Row],[EMPLOYEE NUMBER]]="","",MATCH(T_EMPLOYEES[[#This Row],[ETHNICITY]],L_ETHNICITY,0))</f>
        <v/>
      </c>
      <c r="AH521">
        <f>IF(T_EMPLOYEES[[#This Row],[EMPLOYEE NUMBER]]="","",MATCH(T_EMPLOYEES[[#This Row],[LOCATION]],L_LOCATION,0))</f>
        <v/>
      </c>
      <c r="AI521">
        <f>IF(T_EMPLOYEES[[#This Row],[EMPLOYEE NUMBER]]="","",MATCH(T_EMPLOYEES[[#This Row],[DEPARTMENT]],L_DEPARTMENT,0))</f>
        <v/>
      </c>
      <c r="AJ521">
        <f>IF(T_EMPLOYEES[[#This Row],[EMPLOYEE NUMBER]]="","",MATCH(T_EMPLOYEES[[#This Row],[JOB TYPE]],L_JOBTYPE,0))</f>
        <v/>
      </c>
      <c r="AK521">
        <f>IF(T_EMPLOYEES[[#This Row],[EMPLOYEE NUMBER]]="","",MATCH(T_EMPLOYEES[[#This Row],[JOB CATEGORY]],L_JOBCATEGORY,0))</f>
        <v/>
      </c>
      <c r="AL521">
        <f>IF(T_EMPLOYEES[[#This Row],[EMPLOYEE NUMBER]]="","",MATCH(T_EMPLOYEES[[#This Row],[JOB LEVEL]],L_JOBLEVEL,0))</f>
        <v/>
      </c>
      <c r="AM521">
        <f>IF(T_EMPLOYEES[[#This Row],[EMPLOYEE NUMBER]]="","",MATCH(T_EMPLOYEES[[#This Row],[JOB TITLE]],L_JOBTITLE,0))</f>
        <v/>
      </c>
      <c r="AN521">
        <f>IF(T_EMPLOYEES[[#This Row],[EMPLOYEE NUMBER]]="","",MATCH(T_EMPLOYEES[[#This Row],[MANAGER]],L_EMPLABELS,0))</f>
        <v/>
      </c>
      <c r="AO521">
        <f>IF(T_EMPLOYEES[[#This Row],[EMPLOYEE NUMBER]]="","",IF(T_EMPLOYEES[[#This Row],[ERROR]]="",0,1))</f>
        <v/>
      </c>
      <c r="AP52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2">
      <c r="A522" t="inlineStr">
        <is>
          <t>Harsh</t>
        </is>
      </c>
      <c r="B522" t="inlineStr">
        <is>
          <t>Kumar</t>
        </is>
      </c>
      <c r="C522" t="n">
        <v>1033232</v>
      </c>
      <c r="D522" t="inlineStr">
        <is>
          <t>Harsh.kumar@infinite.com</t>
        </is>
      </c>
      <c r="E522" s="26" t="n">
        <v>36911</v>
      </c>
      <c r="F522" s="26" t="n">
        <v>45155</v>
      </c>
      <c r="H522" t="inlineStr">
        <is>
          <t>Male</t>
        </is>
      </c>
      <c r="I522" t="inlineStr">
        <is>
          <t>Asian</t>
        </is>
      </c>
      <c r="J522" t="inlineStr">
        <is>
          <t>WEBSITE</t>
        </is>
      </c>
      <c r="K522" t="inlineStr">
        <is>
          <t>Bangalore</t>
        </is>
      </c>
      <c r="L522" s="27" t="inlineStr">
        <is>
          <t>Core</t>
        </is>
      </c>
      <c r="M522" t="inlineStr">
        <is>
          <t>Full-Time</t>
        </is>
      </c>
      <c r="N522" t="inlineStr">
        <is>
          <t>Associate Software Engineer</t>
        </is>
      </c>
      <c r="O522" t="inlineStr">
        <is>
          <t>E1</t>
        </is>
      </c>
      <c r="P522" t="inlineStr">
        <is>
          <t>Associate Software Engineer</t>
        </is>
      </c>
      <c r="Q522" t="inlineStr">
        <is>
          <t>Kishore Kumar N (1019765)</t>
        </is>
      </c>
      <c r="R522" s="27" t="n">
        <v>0</v>
      </c>
      <c r="S522" s="1" t="n">
        <v>1200000</v>
      </c>
      <c r="T522" s="1">
        <f>ROUND(T_EMPLOYEES[[#This Row],[EMP_CTC1]]/12, 0)</f>
        <v/>
      </c>
      <c r="U522" s="1" t="n">
        <v>1000000</v>
      </c>
      <c r="V522" s="1" t="inlineStr">
        <is>
          <t>ND</t>
        </is>
      </c>
      <c r="W522" s="1" t="inlineStr">
        <is>
          <t>ND</t>
        </is>
      </c>
      <c r="X52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2" t="n">
        <v>120000</v>
      </c>
      <c r="Z522" s="29">
        <f>(S522 - U522)/S522 * 100</f>
        <v/>
      </c>
      <c r="AA522">
        <f>IF(T_EMPLOYEES[[#This Row],[EMPLOYEE NUMBER]]="","",ROW(T_EMPLOYEES[[#This Row],[EMPLOYEE LABEL]])-ROW(T_EMPLOYEES[[#Headers],[EMPLOYEE LABEL]]))</f>
        <v/>
      </c>
      <c r="AB522">
        <f>IF(T_EMPLOYEES[[#This Row],[EMPLOYEE NUMBER]]="","",IF(COUNTIF(T_EMPLOYEES[EMPLOYEE NUMBER],T_EMPLOYEES[[#This Row],[EMPLOYEE NUMBER]])&gt;1,1,0))</f>
        <v/>
      </c>
      <c r="AC522">
        <f>IF(T_EMPLOYEES[[#This Row],[EMPLOYEE NUMBER]]="","",IF(AND(T_EMPLOYEES[[#This Row],[DATE OF BIRTH]]&gt;0,T_EMPLOYEES[[#This Row],[DATE OF BIRTH]]&lt;TODAY()),0,1))</f>
        <v/>
      </c>
      <c r="AD522">
        <f>IF(T_EMPLOYEES[[#This Row],[EMPLOYEE NUMBER]]="","",IF(AND(T_EMPLOYEES[[#This Row],[START DATE]]&gt;0,T_EMPLOYEES[[#This Row],[START DATE]]&lt;TODAY()+60),0,1))</f>
        <v/>
      </c>
      <c r="AE522">
        <f>IF(T_EMPLOYEES[[#This Row],[EMPLOYEE NUMBER]]="","",MATCH(T_EMPLOYEES[[#This Row],[GENDER]],L_GENDER,0))</f>
        <v/>
      </c>
      <c r="AF522">
        <f>IF(T_EMPLOYEES[[#This Row],[EMPLOYEE NUMBER]]="","",MATCH(T_EMPLOYEES[[#This Row],[HIRE SOURCE]],L_HIRESOURCE,0))</f>
        <v/>
      </c>
      <c r="AG522">
        <f>IF(T_EMPLOYEES[[#This Row],[EMPLOYEE NUMBER]]="","",MATCH(T_EMPLOYEES[[#This Row],[ETHNICITY]],L_ETHNICITY,0))</f>
        <v/>
      </c>
      <c r="AH522">
        <f>IF(T_EMPLOYEES[[#This Row],[EMPLOYEE NUMBER]]="","",MATCH(T_EMPLOYEES[[#This Row],[LOCATION]],L_LOCATION,0))</f>
        <v/>
      </c>
      <c r="AI522">
        <f>IF(T_EMPLOYEES[[#This Row],[EMPLOYEE NUMBER]]="","",MATCH(T_EMPLOYEES[[#This Row],[DEPARTMENT]],L_DEPARTMENT,0))</f>
        <v/>
      </c>
      <c r="AJ522">
        <f>IF(T_EMPLOYEES[[#This Row],[EMPLOYEE NUMBER]]="","",MATCH(T_EMPLOYEES[[#This Row],[JOB TYPE]],L_JOBTYPE,0))</f>
        <v/>
      </c>
      <c r="AK522">
        <f>IF(T_EMPLOYEES[[#This Row],[EMPLOYEE NUMBER]]="","",MATCH(T_EMPLOYEES[[#This Row],[JOB CATEGORY]],L_JOBCATEGORY,0))</f>
        <v/>
      </c>
      <c r="AL522">
        <f>IF(T_EMPLOYEES[[#This Row],[EMPLOYEE NUMBER]]="","",MATCH(T_EMPLOYEES[[#This Row],[JOB LEVEL]],L_JOBLEVEL,0))</f>
        <v/>
      </c>
      <c r="AM522">
        <f>IF(T_EMPLOYEES[[#This Row],[EMPLOYEE NUMBER]]="","",MATCH(T_EMPLOYEES[[#This Row],[JOB TITLE]],L_JOBTITLE,0))</f>
        <v/>
      </c>
      <c r="AN522">
        <f>IF(T_EMPLOYEES[[#This Row],[EMPLOYEE NUMBER]]="","",MATCH(T_EMPLOYEES[[#This Row],[MANAGER]],L_EMPLABELS,0))</f>
        <v/>
      </c>
      <c r="AO522">
        <f>IF(T_EMPLOYEES[[#This Row],[EMPLOYEE NUMBER]]="","",IF(T_EMPLOYEES[[#This Row],[ERROR]]="",0,1))</f>
        <v/>
      </c>
      <c r="AP52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3">
      <c r="A523" t="inlineStr">
        <is>
          <t>Kodithyala</t>
        </is>
      </c>
      <c r="B523" t="inlineStr">
        <is>
          <t>Sumanth Chandra</t>
        </is>
      </c>
      <c r="C523" t="n">
        <v>1029909</v>
      </c>
      <c r="D523" t="inlineStr">
        <is>
          <t>Sumanth.Kodithyala@infinite.com</t>
        </is>
      </c>
      <c r="E523" s="26" t="n">
        <v>36913</v>
      </c>
      <c r="F523" s="26" t="n">
        <v>44791</v>
      </c>
      <c r="H523" t="inlineStr">
        <is>
          <t>Male</t>
        </is>
      </c>
      <c r="I523" t="inlineStr">
        <is>
          <t>Asian</t>
        </is>
      </c>
      <c r="J523" t="inlineStr">
        <is>
          <t>WEBSITE</t>
        </is>
      </c>
      <c r="K523" t="inlineStr">
        <is>
          <t>Bangalore</t>
        </is>
      </c>
      <c r="L523" s="27" t="inlineStr">
        <is>
          <t>Core</t>
        </is>
      </c>
      <c r="M523" t="inlineStr">
        <is>
          <t>Full-Time</t>
        </is>
      </c>
      <c r="N523" t="inlineStr">
        <is>
          <t>Associate Software Engineer</t>
        </is>
      </c>
      <c r="O523" t="inlineStr">
        <is>
          <t>E1</t>
        </is>
      </c>
      <c r="P523" t="inlineStr">
        <is>
          <t>Associate Software Engineer</t>
        </is>
      </c>
      <c r="Q523" t="inlineStr">
        <is>
          <t>Anil Kumar Khamari (1013201)</t>
        </is>
      </c>
      <c r="R523" t="n">
        <v>0</v>
      </c>
      <c r="S523" s="1" t="n">
        <v>1200000</v>
      </c>
      <c r="T523" s="1">
        <f>ROUND(T_EMPLOYEES[[#This Row],[EMP_CTC1]]/12, 0)</f>
        <v/>
      </c>
      <c r="U523" s="1" t="n">
        <v>1000000</v>
      </c>
      <c r="V523" s="1" t="inlineStr">
        <is>
          <t>ND</t>
        </is>
      </c>
      <c r="W523" s="1" t="inlineStr">
        <is>
          <t>ND</t>
        </is>
      </c>
      <c r="X52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3" t="n">
        <v>120000</v>
      </c>
      <c r="Z523" s="29">
        <f>(S523 - U523)/S523 * 100</f>
        <v/>
      </c>
      <c r="AA523">
        <f>IF(T_EMPLOYEES[[#This Row],[EMPLOYEE NUMBER]]="","",ROW(T_EMPLOYEES[[#This Row],[EMPLOYEE LABEL]])-ROW(T_EMPLOYEES[[#Headers],[EMPLOYEE LABEL]]))</f>
        <v/>
      </c>
      <c r="AB523">
        <f>IF(T_EMPLOYEES[[#This Row],[EMPLOYEE NUMBER]]="","",IF(COUNTIF(T_EMPLOYEES[EMPLOYEE NUMBER],T_EMPLOYEES[[#This Row],[EMPLOYEE NUMBER]])&gt;1,1,0))</f>
        <v/>
      </c>
      <c r="AC523">
        <f>IF(T_EMPLOYEES[[#This Row],[EMPLOYEE NUMBER]]="","",IF(AND(T_EMPLOYEES[[#This Row],[DATE OF BIRTH]]&gt;0,T_EMPLOYEES[[#This Row],[DATE OF BIRTH]]&lt;TODAY()),0,1))</f>
        <v/>
      </c>
      <c r="AD523">
        <f>IF(T_EMPLOYEES[[#This Row],[EMPLOYEE NUMBER]]="","",IF(AND(T_EMPLOYEES[[#This Row],[START DATE]]&gt;0,T_EMPLOYEES[[#This Row],[START DATE]]&lt;TODAY()+60),0,1))</f>
        <v/>
      </c>
      <c r="AE523">
        <f>IF(T_EMPLOYEES[[#This Row],[EMPLOYEE NUMBER]]="","",MATCH(T_EMPLOYEES[[#This Row],[GENDER]],L_GENDER,0))</f>
        <v/>
      </c>
      <c r="AF523">
        <f>IF(T_EMPLOYEES[[#This Row],[EMPLOYEE NUMBER]]="","",MATCH(T_EMPLOYEES[[#This Row],[HIRE SOURCE]],L_HIRESOURCE,0))</f>
        <v/>
      </c>
      <c r="AG523">
        <f>IF(T_EMPLOYEES[[#This Row],[EMPLOYEE NUMBER]]="","",MATCH(T_EMPLOYEES[[#This Row],[ETHNICITY]],L_ETHNICITY,0))</f>
        <v/>
      </c>
      <c r="AH523">
        <f>IF(T_EMPLOYEES[[#This Row],[EMPLOYEE NUMBER]]="","",MATCH(T_EMPLOYEES[[#This Row],[LOCATION]],L_LOCATION,0))</f>
        <v/>
      </c>
      <c r="AI523">
        <f>IF(T_EMPLOYEES[[#This Row],[EMPLOYEE NUMBER]]="","",MATCH(T_EMPLOYEES[[#This Row],[DEPARTMENT]],L_DEPARTMENT,0))</f>
        <v/>
      </c>
      <c r="AJ523">
        <f>IF(T_EMPLOYEES[[#This Row],[EMPLOYEE NUMBER]]="","",MATCH(T_EMPLOYEES[[#This Row],[JOB TYPE]],L_JOBTYPE,0))</f>
        <v/>
      </c>
      <c r="AK523">
        <f>IF(T_EMPLOYEES[[#This Row],[EMPLOYEE NUMBER]]="","",MATCH(T_EMPLOYEES[[#This Row],[JOB CATEGORY]],L_JOBCATEGORY,0))</f>
        <v/>
      </c>
      <c r="AL523">
        <f>IF(T_EMPLOYEES[[#This Row],[EMPLOYEE NUMBER]]="","",MATCH(T_EMPLOYEES[[#This Row],[JOB LEVEL]],L_JOBLEVEL,0))</f>
        <v/>
      </c>
      <c r="AM523">
        <f>IF(T_EMPLOYEES[[#This Row],[EMPLOYEE NUMBER]]="","",MATCH(T_EMPLOYEES[[#This Row],[JOB TITLE]],L_JOBTITLE,0))</f>
        <v/>
      </c>
      <c r="AN523">
        <f>IF(T_EMPLOYEES[[#This Row],[EMPLOYEE NUMBER]]="","",MATCH(T_EMPLOYEES[[#This Row],[MANAGER]],L_EMPLABELS,0))</f>
        <v/>
      </c>
      <c r="AO523">
        <f>IF(T_EMPLOYEES[[#This Row],[EMPLOYEE NUMBER]]="","",IF(T_EMPLOYEES[[#This Row],[ERROR]]="",0,1))</f>
        <v/>
      </c>
      <c r="AP52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4">
      <c r="A524" t="inlineStr">
        <is>
          <t>Yengali</t>
        </is>
      </c>
      <c r="B524" t="inlineStr">
        <is>
          <t>Vaishnavi</t>
        </is>
      </c>
      <c r="C524" t="n">
        <v>1029891</v>
      </c>
      <c r="D524" t="inlineStr">
        <is>
          <t>Vaishnavi.Yengali@infinite.com</t>
        </is>
      </c>
      <c r="E524" s="26" t="n">
        <v>36919</v>
      </c>
      <c r="F524" s="26" t="n">
        <v>44791</v>
      </c>
      <c r="H524" t="inlineStr">
        <is>
          <t>Female</t>
        </is>
      </c>
      <c r="I524" t="inlineStr">
        <is>
          <t>Asian</t>
        </is>
      </c>
      <c r="J524" t="inlineStr">
        <is>
          <t>WEBSITE</t>
        </is>
      </c>
      <c r="K524" t="inlineStr">
        <is>
          <t>Bangalore</t>
        </is>
      </c>
      <c r="L524" s="27" t="inlineStr">
        <is>
          <t>IT</t>
        </is>
      </c>
      <c r="M524" t="inlineStr">
        <is>
          <t>Full-Time</t>
        </is>
      </c>
      <c r="N524" t="inlineStr">
        <is>
          <t>Associate Software Engineer</t>
        </is>
      </c>
      <c r="O524" t="inlineStr">
        <is>
          <t>E1</t>
        </is>
      </c>
      <c r="P524" t="inlineStr">
        <is>
          <t>Associate Software Engineer</t>
        </is>
      </c>
      <c r="Q524" t="inlineStr">
        <is>
          <t>Shaik Jabeer Basha (1027017)</t>
        </is>
      </c>
      <c r="R524" s="27" t="n">
        <v>0</v>
      </c>
      <c r="S524" s="1" t="n">
        <v>1200000</v>
      </c>
      <c r="T524" s="1">
        <f>ROUND(T_EMPLOYEES[[#This Row],[EMP_CTC1]]/12, 0)</f>
        <v/>
      </c>
      <c r="U524" s="1" t="n">
        <v>1000000</v>
      </c>
      <c r="V524" s="1" t="inlineStr">
        <is>
          <t>ND</t>
        </is>
      </c>
      <c r="W524" s="1" t="inlineStr">
        <is>
          <t>ND</t>
        </is>
      </c>
      <c r="X52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4" t="n">
        <v>120000</v>
      </c>
      <c r="Z524" s="29">
        <f>(S524 - U524)/S524 * 100</f>
        <v/>
      </c>
      <c r="AA524">
        <f>IF(T_EMPLOYEES[[#This Row],[EMPLOYEE NUMBER]]="","",ROW(T_EMPLOYEES[[#This Row],[EMPLOYEE LABEL]])-ROW(T_EMPLOYEES[[#Headers],[EMPLOYEE LABEL]]))</f>
        <v/>
      </c>
      <c r="AB524">
        <f>IF(T_EMPLOYEES[[#This Row],[EMPLOYEE NUMBER]]="","",IF(COUNTIF(T_EMPLOYEES[EMPLOYEE NUMBER],T_EMPLOYEES[[#This Row],[EMPLOYEE NUMBER]])&gt;1,1,0))</f>
        <v/>
      </c>
      <c r="AC524">
        <f>IF(T_EMPLOYEES[[#This Row],[EMPLOYEE NUMBER]]="","",IF(AND(T_EMPLOYEES[[#This Row],[DATE OF BIRTH]]&gt;0,T_EMPLOYEES[[#This Row],[DATE OF BIRTH]]&lt;TODAY()),0,1))</f>
        <v/>
      </c>
      <c r="AD524">
        <f>IF(T_EMPLOYEES[[#This Row],[EMPLOYEE NUMBER]]="","",IF(AND(T_EMPLOYEES[[#This Row],[START DATE]]&gt;0,T_EMPLOYEES[[#This Row],[START DATE]]&lt;TODAY()+60),0,1))</f>
        <v/>
      </c>
      <c r="AE524">
        <f>IF(T_EMPLOYEES[[#This Row],[EMPLOYEE NUMBER]]="","",MATCH(T_EMPLOYEES[[#This Row],[GENDER]],L_GENDER,0))</f>
        <v/>
      </c>
      <c r="AF524">
        <f>IF(T_EMPLOYEES[[#This Row],[EMPLOYEE NUMBER]]="","",MATCH(T_EMPLOYEES[[#This Row],[HIRE SOURCE]],L_HIRESOURCE,0))</f>
        <v/>
      </c>
      <c r="AG524">
        <f>IF(T_EMPLOYEES[[#This Row],[EMPLOYEE NUMBER]]="","",MATCH(T_EMPLOYEES[[#This Row],[ETHNICITY]],L_ETHNICITY,0))</f>
        <v/>
      </c>
      <c r="AH524">
        <f>IF(T_EMPLOYEES[[#This Row],[EMPLOYEE NUMBER]]="","",MATCH(T_EMPLOYEES[[#This Row],[LOCATION]],L_LOCATION,0))</f>
        <v/>
      </c>
      <c r="AI524">
        <f>IF(T_EMPLOYEES[[#This Row],[EMPLOYEE NUMBER]]="","",MATCH(T_EMPLOYEES[[#This Row],[DEPARTMENT]],L_DEPARTMENT,0))</f>
        <v/>
      </c>
      <c r="AJ524">
        <f>IF(T_EMPLOYEES[[#This Row],[EMPLOYEE NUMBER]]="","",MATCH(T_EMPLOYEES[[#This Row],[JOB TYPE]],L_JOBTYPE,0))</f>
        <v/>
      </c>
      <c r="AK524">
        <f>IF(T_EMPLOYEES[[#This Row],[EMPLOYEE NUMBER]]="","",MATCH(T_EMPLOYEES[[#This Row],[JOB CATEGORY]],L_JOBCATEGORY,0))</f>
        <v/>
      </c>
      <c r="AL524">
        <f>IF(T_EMPLOYEES[[#This Row],[EMPLOYEE NUMBER]]="","",MATCH(T_EMPLOYEES[[#This Row],[JOB LEVEL]],L_JOBLEVEL,0))</f>
        <v/>
      </c>
      <c r="AM524">
        <f>IF(T_EMPLOYEES[[#This Row],[EMPLOYEE NUMBER]]="","",MATCH(T_EMPLOYEES[[#This Row],[JOB TITLE]],L_JOBTITLE,0))</f>
        <v/>
      </c>
      <c r="AN524">
        <f>IF(T_EMPLOYEES[[#This Row],[EMPLOYEE NUMBER]]="","",MATCH(T_EMPLOYEES[[#This Row],[MANAGER]],L_EMPLABELS,0))</f>
        <v/>
      </c>
      <c r="AO524">
        <f>IF(T_EMPLOYEES[[#This Row],[EMPLOYEE NUMBER]]="","",IF(T_EMPLOYEES[[#This Row],[ERROR]]="",0,1))</f>
        <v/>
      </c>
      <c r="AP52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5">
      <c r="A525" t="inlineStr">
        <is>
          <t>Thota</t>
        </is>
      </c>
      <c r="B525" t="inlineStr">
        <is>
          <t>Sai Kiran</t>
        </is>
      </c>
      <c r="C525" t="n">
        <v>1033257</v>
      </c>
      <c r="D525" t="inlineStr">
        <is>
          <t>Saikiran.Thota@infinite.com</t>
        </is>
      </c>
      <c r="E525" s="26" t="n">
        <v>36922</v>
      </c>
      <c r="F525" s="26" t="n">
        <v>45155</v>
      </c>
      <c r="H525" t="inlineStr">
        <is>
          <t>Male</t>
        </is>
      </c>
      <c r="I525" t="inlineStr">
        <is>
          <t>Asian</t>
        </is>
      </c>
      <c r="J525" t="inlineStr">
        <is>
          <t>WEBSITE</t>
        </is>
      </c>
      <c r="K525" t="inlineStr">
        <is>
          <t>Bangalore</t>
        </is>
      </c>
      <c r="L525" s="27" t="inlineStr">
        <is>
          <t>IT</t>
        </is>
      </c>
      <c r="M525" t="inlineStr">
        <is>
          <t>Full-Time</t>
        </is>
      </c>
      <c r="N525" t="inlineStr">
        <is>
          <t>Associate Software Engineer</t>
        </is>
      </c>
      <c r="O525" t="inlineStr">
        <is>
          <t>E1</t>
        </is>
      </c>
      <c r="P525" t="inlineStr">
        <is>
          <t>Associate Software Engineer</t>
        </is>
      </c>
      <c r="Q525" t="inlineStr">
        <is>
          <t>Arnav  Chattopadhyay (1025126)</t>
        </is>
      </c>
      <c r="R525" t="n">
        <v>0</v>
      </c>
      <c r="S525" s="1" t="n">
        <v>1200000</v>
      </c>
      <c r="T525" s="1">
        <f>ROUND(T_EMPLOYEES[[#This Row],[EMP_CTC1]]/12, 0)</f>
        <v/>
      </c>
      <c r="U525" s="1" t="n">
        <v>1000000</v>
      </c>
      <c r="V525" s="1" t="inlineStr">
        <is>
          <t>ND</t>
        </is>
      </c>
      <c r="W525" s="1" t="inlineStr">
        <is>
          <t>ND</t>
        </is>
      </c>
      <c r="X52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5" t="n">
        <v>120000</v>
      </c>
      <c r="Z525" s="29">
        <f>(S525 - U525)/S525 * 100</f>
        <v/>
      </c>
      <c r="AA525">
        <f>IF(T_EMPLOYEES[[#This Row],[EMPLOYEE NUMBER]]="","",ROW(T_EMPLOYEES[[#This Row],[EMPLOYEE LABEL]])-ROW(T_EMPLOYEES[[#Headers],[EMPLOYEE LABEL]]))</f>
        <v/>
      </c>
      <c r="AB525">
        <f>IF(T_EMPLOYEES[[#This Row],[EMPLOYEE NUMBER]]="","",IF(COUNTIF(T_EMPLOYEES[EMPLOYEE NUMBER],T_EMPLOYEES[[#This Row],[EMPLOYEE NUMBER]])&gt;1,1,0))</f>
        <v/>
      </c>
      <c r="AC525">
        <f>IF(T_EMPLOYEES[[#This Row],[EMPLOYEE NUMBER]]="","",IF(AND(T_EMPLOYEES[[#This Row],[DATE OF BIRTH]]&gt;0,T_EMPLOYEES[[#This Row],[DATE OF BIRTH]]&lt;TODAY()),0,1))</f>
        <v/>
      </c>
      <c r="AD525">
        <f>IF(T_EMPLOYEES[[#This Row],[EMPLOYEE NUMBER]]="","",IF(AND(T_EMPLOYEES[[#This Row],[START DATE]]&gt;0,T_EMPLOYEES[[#This Row],[START DATE]]&lt;TODAY()+60),0,1))</f>
        <v/>
      </c>
      <c r="AE525">
        <f>IF(T_EMPLOYEES[[#This Row],[EMPLOYEE NUMBER]]="","",MATCH(T_EMPLOYEES[[#This Row],[GENDER]],L_GENDER,0))</f>
        <v/>
      </c>
      <c r="AF525">
        <f>IF(T_EMPLOYEES[[#This Row],[EMPLOYEE NUMBER]]="","",MATCH(T_EMPLOYEES[[#This Row],[HIRE SOURCE]],L_HIRESOURCE,0))</f>
        <v/>
      </c>
      <c r="AG525">
        <f>IF(T_EMPLOYEES[[#This Row],[EMPLOYEE NUMBER]]="","",MATCH(T_EMPLOYEES[[#This Row],[ETHNICITY]],L_ETHNICITY,0))</f>
        <v/>
      </c>
      <c r="AH525">
        <f>IF(T_EMPLOYEES[[#This Row],[EMPLOYEE NUMBER]]="","",MATCH(T_EMPLOYEES[[#This Row],[LOCATION]],L_LOCATION,0))</f>
        <v/>
      </c>
      <c r="AI525">
        <f>IF(T_EMPLOYEES[[#This Row],[EMPLOYEE NUMBER]]="","",MATCH(T_EMPLOYEES[[#This Row],[DEPARTMENT]],L_DEPARTMENT,0))</f>
        <v/>
      </c>
      <c r="AJ525">
        <f>IF(T_EMPLOYEES[[#This Row],[EMPLOYEE NUMBER]]="","",MATCH(T_EMPLOYEES[[#This Row],[JOB TYPE]],L_JOBTYPE,0))</f>
        <v/>
      </c>
      <c r="AK525">
        <f>IF(T_EMPLOYEES[[#This Row],[EMPLOYEE NUMBER]]="","",MATCH(T_EMPLOYEES[[#This Row],[JOB CATEGORY]],L_JOBCATEGORY,0))</f>
        <v/>
      </c>
      <c r="AL525">
        <f>IF(T_EMPLOYEES[[#This Row],[EMPLOYEE NUMBER]]="","",MATCH(T_EMPLOYEES[[#This Row],[JOB LEVEL]],L_JOBLEVEL,0))</f>
        <v/>
      </c>
      <c r="AM525">
        <f>IF(T_EMPLOYEES[[#This Row],[EMPLOYEE NUMBER]]="","",MATCH(T_EMPLOYEES[[#This Row],[JOB TITLE]],L_JOBTITLE,0))</f>
        <v/>
      </c>
      <c r="AN525">
        <f>IF(T_EMPLOYEES[[#This Row],[EMPLOYEE NUMBER]]="","",MATCH(T_EMPLOYEES[[#This Row],[MANAGER]],L_EMPLABELS,0))</f>
        <v/>
      </c>
      <c r="AO525">
        <f>IF(T_EMPLOYEES[[#This Row],[EMPLOYEE NUMBER]]="","",IF(T_EMPLOYEES[[#This Row],[ERROR]]="",0,1))</f>
        <v/>
      </c>
      <c r="AP52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6">
      <c r="A526" t="inlineStr">
        <is>
          <t>Rallapalli</t>
        </is>
      </c>
      <c r="B526" t="inlineStr">
        <is>
          <t xml:space="preserve"> Lashareef</t>
        </is>
      </c>
      <c r="C526" t="n">
        <v>1030213</v>
      </c>
      <c r="D526" t="inlineStr">
        <is>
          <t>Lashareef.Rallapalli@infinite.com</t>
        </is>
      </c>
      <c r="E526" s="26" t="n">
        <v>36934</v>
      </c>
      <c r="F526" s="26" t="n">
        <v>44819</v>
      </c>
      <c r="H526" t="inlineStr">
        <is>
          <t>Male</t>
        </is>
      </c>
      <c r="I526" t="inlineStr">
        <is>
          <t>Asian</t>
        </is>
      </c>
      <c r="J526" t="inlineStr">
        <is>
          <t>WEBSITE</t>
        </is>
      </c>
      <c r="K526" t="inlineStr">
        <is>
          <t>Bangalore</t>
        </is>
      </c>
      <c r="L526" s="27" t="inlineStr">
        <is>
          <t>Core</t>
        </is>
      </c>
      <c r="M526" t="inlineStr">
        <is>
          <t>Full-Time</t>
        </is>
      </c>
      <c r="N526" t="inlineStr">
        <is>
          <t>Associate Software Engineer</t>
        </is>
      </c>
      <c r="O526" t="inlineStr">
        <is>
          <t>E1</t>
        </is>
      </c>
      <c r="P526" t="inlineStr">
        <is>
          <t>Associate Software Engineer</t>
        </is>
      </c>
      <c r="Q526" t="inlineStr">
        <is>
          <t>Kishore Kumar N (1019765)</t>
        </is>
      </c>
      <c r="R526" s="27" t="n">
        <v>0</v>
      </c>
      <c r="S526" s="1" t="n">
        <v>1200000</v>
      </c>
      <c r="T526" s="1">
        <f>ROUND(T_EMPLOYEES[[#This Row],[EMP_CTC1]]/12, 0)</f>
        <v/>
      </c>
      <c r="U526" s="1" t="n">
        <v>1000000</v>
      </c>
      <c r="V526" s="1" t="inlineStr">
        <is>
          <t>ND</t>
        </is>
      </c>
      <c r="W526" s="1" t="inlineStr">
        <is>
          <t>ND</t>
        </is>
      </c>
      <c r="X52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6" t="n">
        <v>120000</v>
      </c>
      <c r="Z526" s="29">
        <f>(S526 - U526)/S526 * 100</f>
        <v/>
      </c>
      <c r="AA526">
        <f>IF(T_EMPLOYEES[[#This Row],[EMPLOYEE NUMBER]]="","",ROW(T_EMPLOYEES[[#This Row],[EMPLOYEE LABEL]])-ROW(T_EMPLOYEES[[#Headers],[EMPLOYEE LABEL]]))</f>
        <v/>
      </c>
      <c r="AB526">
        <f>IF(T_EMPLOYEES[[#This Row],[EMPLOYEE NUMBER]]="","",IF(COUNTIF(T_EMPLOYEES[EMPLOYEE NUMBER],T_EMPLOYEES[[#This Row],[EMPLOYEE NUMBER]])&gt;1,1,0))</f>
        <v/>
      </c>
      <c r="AC526">
        <f>IF(T_EMPLOYEES[[#This Row],[EMPLOYEE NUMBER]]="","",IF(AND(T_EMPLOYEES[[#This Row],[DATE OF BIRTH]]&gt;0,T_EMPLOYEES[[#This Row],[DATE OF BIRTH]]&lt;TODAY()),0,1))</f>
        <v/>
      </c>
      <c r="AD526">
        <f>IF(T_EMPLOYEES[[#This Row],[EMPLOYEE NUMBER]]="","",IF(AND(T_EMPLOYEES[[#This Row],[START DATE]]&gt;0,T_EMPLOYEES[[#This Row],[START DATE]]&lt;TODAY()+60),0,1))</f>
        <v/>
      </c>
      <c r="AE526">
        <f>IF(T_EMPLOYEES[[#This Row],[EMPLOYEE NUMBER]]="","",MATCH(T_EMPLOYEES[[#This Row],[GENDER]],L_GENDER,0))</f>
        <v/>
      </c>
      <c r="AF526">
        <f>IF(T_EMPLOYEES[[#This Row],[EMPLOYEE NUMBER]]="","",MATCH(T_EMPLOYEES[[#This Row],[HIRE SOURCE]],L_HIRESOURCE,0))</f>
        <v/>
      </c>
      <c r="AG526">
        <f>IF(T_EMPLOYEES[[#This Row],[EMPLOYEE NUMBER]]="","",MATCH(T_EMPLOYEES[[#This Row],[ETHNICITY]],L_ETHNICITY,0))</f>
        <v/>
      </c>
      <c r="AH526">
        <f>IF(T_EMPLOYEES[[#This Row],[EMPLOYEE NUMBER]]="","",MATCH(T_EMPLOYEES[[#This Row],[LOCATION]],L_LOCATION,0))</f>
        <v/>
      </c>
      <c r="AI526">
        <f>IF(T_EMPLOYEES[[#This Row],[EMPLOYEE NUMBER]]="","",MATCH(T_EMPLOYEES[[#This Row],[DEPARTMENT]],L_DEPARTMENT,0))</f>
        <v/>
      </c>
      <c r="AJ526">
        <f>IF(T_EMPLOYEES[[#This Row],[EMPLOYEE NUMBER]]="","",MATCH(T_EMPLOYEES[[#This Row],[JOB TYPE]],L_JOBTYPE,0))</f>
        <v/>
      </c>
      <c r="AK526">
        <f>IF(T_EMPLOYEES[[#This Row],[EMPLOYEE NUMBER]]="","",MATCH(T_EMPLOYEES[[#This Row],[JOB CATEGORY]],L_JOBCATEGORY,0))</f>
        <v/>
      </c>
      <c r="AL526">
        <f>IF(T_EMPLOYEES[[#This Row],[EMPLOYEE NUMBER]]="","",MATCH(T_EMPLOYEES[[#This Row],[JOB LEVEL]],L_JOBLEVEL,0))</f>
        <v/>
      </c>
      <c r="AM526">
        <f>IF(T_EMPLOYEES[[#This Row],[EMPLOYEE NUMBER]]="","",MATCH(T_EMPLOYEES[[#This Row],[JOB TITLE]],L_JOBTITLE,0))</f>
        <v/>
      </c>
      <c r="AN526">
        <f>IF(T_EMPLOYEES[[#This Row],[EMPLOYEE NUMBER]]="","",MATCH(T_EMPLOYEES[[#This Row],[MANAGER]],L_EMPLABELS,0))</f>
        <v/>
      </c>
      <c r="AO526">
        <f>IF(T_EMPLOYEES[[#This Row],[EMPLOYEE NUMBER]]="","",IF(T_EMPLOYEES[[#This Row],[ERROR]]="",0,1))</f>
        <v/>
      </c>
      <c r="AP52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7">
      <c r="A527" t="inlineStr">
        <is>
          <t>Vootla</t>
        </is>
      </c>
      <c r="B527" t="inlineStr">
        <is>
          <t>Bhanuchander</t>
        </is>
      </c>
      <c r="C527" t="n">
        <v>1033258</v>
      </c>
      <c r="D527" t="inlineStr">
        <is>
          <t>Bhanuchander.vootla@infinite.com</t>
        </is>
      </c>
      <c r="E527" s="26" t="n">
        <v>36941</v>
      </c>
      <c r="F527" s="26" t="n">
        <v>45155</v>
      </c>
      <c r="H527" t="inlineStr">
        <is>
          <t>Male</t>
        </is>
      </c>
      <c r="I527" t="inlineStr">
        <is>
          <t>Asian</t>
        </is>
      </c>
      <c r="J527" t="inlineStr">
        <is>
          <t>WEBSITE</t>
        </is>
      </c>
      <c r="K527" t="inlineStr">
        <is>
          <t>Bangalore</t>
        </is>
      </c>
      <c r="L527" s="27" t="inlineStr">
        <is>
          <t>IT</t>
        </is>
      </c>
      <c r="M527" t="inlineStr">
        <is>
          <t>Full-Time</t>
        </is>
      </c>
      <c r="N527" t="inlineStr">
        <is>
          <t>Associate Software Engineer</t>
        </is>
      </c>
      <c r="O527" t="inlineStr">
        <is>
          <t>E1</t>
        </is>
      </c>
      <c r="P527" t="inlineStr">
        <is>
          <t>Associate Software Engineer</t>
        </is>
      </c>
      <c r="Q527" t="inlineStr">
        <is>
          <t>Anupam Lal (1033431)</t>
        </is>
      </c>
      <c r="R527" t="n">
        <v>0</v>
      </c>
      <c r="S527" s="1" t="n">
        <v>1200000</v>
      </c>
      <c r="T527" s="1">
        <f>ROUND(T_EMPLOYEES[[#This Row],[EMP_CTC1]]/12, 0)</f>
        <v/>
      </c>
      <c r="U527" s="1" t="n">
        <v>1000000</v>
      </c>
      <c r="V527" s="1" t="inlineStr">
        <is>
          <t>ND</t>
        </is>
      </c>
      <c r="W527" s="1" t="inlineStr">
        <is>
          <t>ND</t>
        </is>
      </c>
      <c r="X52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7" t="n">
        <v>120000</v>
      </c>
      <c r="Z527" s="29">
        <f>(S527 - U527)/S527 * 100</f>
        <v/>
      </c>
      <c r="AA527">
        <f>IF(T_EMPLOYEES[[#This Row],[EMPLOYEE NUMBER]]="","",ROW(T_EMPLOYEES[[#This Row],[EMPLOYEE LABEL]])-ROW(T_EMPLOYEES[[#Headers],[EMPLOYEE LABEL]]))</f>
        <v/>
      </c>
      <c r="AB527">
        <f>IF(T_EMPLOYEES[[#This Row],[EMPLOYEE NUMBER]]="","",IF(COUNTIF(T_EMPLOYEES[EMPLOYEE NUMBER],T_EMPLOYEES[[#This Row],[EMPLOYEE NUMBER]])&gt;1,1,0))</f>
        <v/>
      </c>
      <c r="AC527">
        <f>IF(T_EMPLOYEES[[#This Row],[EMPLOYEE NUMBER]]="","",IF(AND(T_EMPLOYEES[[#This Row],[DATE OF BIRTH]]&gt;0,T_EMPLOYEES[[#This Row],[DATE OF BIRTH]]&lt;TODAY()),0,1))</f>
        <v/>
      </c>
      <c r="AD527">
        <f>IF(T_EMPLOYEES[[#This Row],[EMPLOYEE NUMBER]]="","",IF(AND(T_EMPLOYEES[[#This Row],[START DATE]]&gt;0,T_EMPLOYEES[[#This Row],[START DATE]]&lt;TODAY()+60),0,1))</f>
        <v/>
      </c>
      <c r="AE527">
        <f>IF(T_EMPLOYEES[[#This Row],[EMPLOYEE NUMBER]]="","",MATCH(T_EMPLOYEES[[#This Row],[GENDER]],L_GENDER,0))</f>
        <v/>
      </c>
      <c r="AF527">
        <f>IF(T_EMPLOYEES[[#This Row],[EMPLOYEE NUMBER]]="","",MATCH(T_EMPLOYEES[[#This Row],[HIRE SOURCE]],L_HIRESOURCE,0))</f>
        <v/>
      </c>
      <c r="AG527">
        <f>IF(T_EMPLOYEES[[#This Row],[EMPLOYEE NUMBER]]="","",MATCH(T_EMPLOYEES[[#This Row],[ETHNICITY]],L_ETHNICITY,0))</f>
        <v/>
      </c>
      <c r="AH527">
        <f>IF(T_EMPLOYEES[[#This Row],[EMPLOYEE NUMBER]]="","",MATCH(T_EMPLOYEES[[#This Row],[LOCATION]],L_LOCATION,0))</f>
        <v/>
      </c>
      <c r="AI527">
        <f>IF(T_EMPLOYEES[[#This Row],[EMPLOYEE NUMBER]]="","",MATCH(T_EMPLOYEES[[#This Row],[DEPARTMENT]],L_DEPARTMENT,0))</f>
        <v/>
      </c>
      <c r="AJ527">
        <f>IF(T_EMPLOYEES[[#This Row],[EMPLOYEE NUMBER]]="","",MATCH(T_EMPLOYEES[[#This Row],[JOB TYPE]],L_JOBTYPE,0))</f>
        <v/>
      </c>
      <c r="AK527">
        <f>IF(T_EMPLOYEES[[#This Row],[EMPLOYEE NUMBER]]="","",MATCH(T_EMPLOYEES[[#This Row],[JOB CATEGORY]],L_JOBCATEGORY,0))</f>
        <v/>
      </c>
      <c r="AL527">
        <f>IF(T_EMPLOYEES[[#This Row],[EMPLOYEE NUMBER]]="","",MATCH(T_EMPLOYEES[[#This Row],[JOB LEVEL]],L_JOBLEVEL,0))</f>
        <v/>
      </c>
      <c r="AM527">
        <f>IF(T_EMPLOYEES[[#This Row],[EMPLOYEE NUMBER]]="","",MATCH(T_EMPLOYEES[[#This Row],[JOB TITLE]],L_JOBTITLE,0))</f>
        <v/>
      </c>
      <c r="AN527">
        <f>IF(T_EMPLOYEES[[#This Row],[EMPLOYEE NUMBER]]="","",MATCH(T_EMPLOYEES[[#This Row],[MANAGER]],L_EMPLABELS,0))</f>
        <v/>
      </c>
      <c r="AO527">
        <f>IF(T_EMPLOYEES[[#This Row],[EMPLOYEE NUMBER]]="","",IF(T_EMPLOYEES[[#This Row],[ERROR]]="",0,1))</f>
        <v/>
      </c>
      <c r="AP52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28">
      <c r="A528" t="inlineStr">
        <is>
          <t>Sourav</t>
        </is>
      </c>
      <c r="B528" t="inlineStr">
        <is>
          <t>Sahoo</t>
        </is>
      </c>
      <c r="C528" t="n">
        <v>1033212</v>
      </c>
      <c r="D528" t="inlineStr">
        <is>
          <t>Sourav.Sahoo@infinite.com</t>
        </is>
      </c>
      <c r="E528" s="26" t="n">
        <v>36953</v>
      </c>
      <c r="F528" s="26" t="n">
        <v>45155</v>
      </c>
      <c r="H528" t="inlineStr">
        <is>
          <t>Male</t>
        </is>
      </c>
      <c r="I528" t="inlineStr">
        <is>
          <t>Asian</t>
        </is>
      </c>
      <c r="J528" t="inlineStr">
        <is>
          <t>WEBSITE</t>
        </is>
      </c>
      <c r="K528" t="inlineStr">
        <is>
          <t>Bangalore</t>
        </is>
      </c>
      <c r="L528" s="27" t="inlineStr">
        <is>
          <t>Core</t>
        </is>
      </c>
      <c r="M528" t="inlineStr">
        <is>
          <t>Full-Time</t>
        </is>
      </c>
      <c r="N528" t="inlineStr">
        <is>
          <t>Associate Software Engineer</t>
        </is>
      </c>
      <c r="O528" t="inlineStr">
        <is>
          <t>E1</t>
        </is>
      </c>
      <c r="P528" t="inlineStr">
        <is>
          <t>Associate Software Engineer</t>
        </is>
      </c>
      <c r="Q528" t="inlineStr">
        <is>
          <t>Kishore Kumar N (1019765)</t>
        </is>
      </c>
      <c r="R528" s="27" t="n">
        <v>0</v>
      </c>
      <c r="S528" s="1" t="n">
        <v>1200000</v>
      </c>
      <c r="T528" s="1">
        <f>ROUND(T_EMPLOYEES[[#This Row],[EMP_CTC1]]/12, 0)</f>
        <v/>
      </c>
      <c r="U528" s="1" t="n">
        <v>1000000</v>
      </c>
      <c r="V528" s="1" t="inlineStr">
        <is>
          <t>NH</t>
        </is>
      </c>
      <c r="W528" s="1" t="inlineStr">
        <is>
          <t>NH</t>
        </is>
      </c>
      <c r="X52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8" t="n">
        <v>120000</v>
      </c>
      <c r="Z528" s="29">
        <f>(S528 - U528)/S528 * 100</f>
        <v/>
      </c>
      <c r="AA528">
        <f>IF(T_EMPLOYEES[[#This Row],[EMPLOYEE NUMBER]]="","",ROW(T_EMPLOYEES[[#This Row],[EMPLOYEE LABEL]])-ROW(T_EMPLOYEES[[#Headers],[EMPLOYEE LABEL]]))</f>
        <v/>
      </c>
      <c r="AB528">
        <f>IF(T_EMPLOYEES[[#This Row],[EMPLOYEE NUMBER]]="","",IF(COUNTIF(T_EMPLOYEES[EMPLOYEE NUMBER],T_EMPLOYEES[[#This Row],[EMPLOYEE NUMBER]])&gt;1,1,0))</f>
        <v/>
      </c>
      <c r="AC528">
        <f>IF(T_EMPLOYEES[[#This Row],[EMPLOYEE NUMBER]]="","",IF(AND(T_EMPLOYEES[[#This Row],[DATE OF BIRTH]]&gt;0,T_EMPLOYEES[[#This Row],[DATE OF BIRTH]]&lt;TODAY()),0,1))</f>
        <v/>
      </c>
      <c r="AD528">
        <f>IF(T_EMPLOYEES[[#This Row],[EMPLOYEE NUMBER]]="","",IF(AND(T_EMPLOYEES[[#This Row],[START DATE]]&gt;0,T_EMPLOYEES[[#This Row],[START DATE]]&lt;TODAY()+60),0,1))</f>
        <v/>
      </c>
      <c r="AE528">
        <f>IF(T_EMPLOYEES[[#This Row],[EMPLOYEE NUMBER]]="","",MATCH(T_EMPLOYEES[[#This Row],[GENDER]],L_GENDER,0))</f>
        <v/>
      </c>
      <c r="AF528">
        <f>IF(T_EMPLOYEES[[#This Row],[EMPLOYEE NUMBER]]="","",MATCH(T_EMPLOYEES[[#This Row],[HIRE SOURCE]],L_HIRESOURCE,0))</f>
        <v/>
      </c>
      <c r="AG528">
        <f>IF(T_EMPLOYEES[[#This Row],[EMPLOYEE NUMBER]]="","",MATCH(T_EMPLOYEES[[#This Row],[ETHNICITY]],L_ETHNICITY,0))</f>
        <v/>
      </c>
      <c r="AH528">
        <f>IF(T_EMPLOYEES[[#This Row],[EMPLOYEE NUMBER]]="","",MATCH(T_EMPLOYEES[[#This Row],[LOCATION]],L_LOCATION,0))</f>
        <v/>
      </c>
      <c r="AI528">
        <f>IF(T_EMPLOYEES[[#This Row],[EMPLOYEE NUMBER]]="","",MATCH(T_EMPLOYEES[[#This Row],[DEPARTMENT]],L_DEPARTMENT,0))</f>
        <v/>
      </c>
      <c r="AJ528">
        <f>IF(T_EMPLOYEES[[#This Row],[EMPLOYEE NUMBER]]="","",MATCH(T_EMPLOYEES[[#This Row],[JOB TYPE]],L_JOBTYPE,0))</f>
        <v/>
      </c>
      <c r="AK528">
        <f>IF(T_EMPLOYEES[[#This Row],[EMPLOYEE NUMBER]]="","",MATCH(T_EMPLOYEES[[#This Row],[JOB CATEGORY]],L_JOBCATEGORY,0))</f>
        <v/>
      </c>
      <c r="AL528">
        <f>IF(T_EMPLOYEES[[#This Row],[EMPLOYEE NUMBER]]="","",MATCH(T_EMPLOYEES[[#This Row],[JOB LEVEL]],L_JOBLEVEL,0))</f>
        <v/>
      </c>
      <c r="AM528">
        <f>IF(T_EMPLOYEES[[#This Row],[EMPLOYEE NUMBER]]="","",MATCH(T_EMPLOYEES[[#This Row],[JOB TITLE]],L_JOBTITLE,0))</f>
        <v/>
      </c>
      <c r="AN528">
        <f>IF(T_EMPLOYEES[[#This Row],[EMPLOYEE NUMBER]]="","",MATCH(T_EMPLOYEES[[#This Row],[MANAGER]],L_EMPLABELS,0))</f>
        <v/>
      </c>
      <c r="AO528">
        <f>IF(T_EMPLOYEES[[#This Row],[EMPLOYEE NUMBER]]="","",IF(T_EMPLOYEES[[#This Row],[ERROR]]="",0,1))</f>
        <v/>
      </c>
      <c r="AP52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28" t="inlineStr">
        <is>
          <t>TMSIS</t>
        </is>
      </c>
    </row>
    <row r="529">
      <c r="A529" t="inlineStr">
        <is>
          <t>S</t>
        </is>
      </c>
      <c r="B529" t="inlineStr">
        <is>
          <t xml:space="preserve"> Gowtham</t>
        </is>
      </c>
      <c r="C529" t="n">
        <v>1027423</v>
      </c>
      <c r="D529" t="inlineStr">
        <is>
          <t>Gowtham.Sekar@infinite.com</t>
        </is>
      </c>
      <c r="E529" s="26" t="n">
        <v>36954</v>
      </c>
      <c r="F529" s="26" t="n">
        <v>44531</v>
      </c>
      <c r="H529" t="inlineStr">
        <is>
          <t>Male</t>
        </is>
      </c>
      <c r="I529" t="inlineStr">
        <is>
          <t>Asian</t>
        </is>
      </c>
      <c r="J529" t="inlineStr">
        <is>
          <t>WEBSITE</t>
        </is>
      </c>
      <c r="K529" t="inlineStr">
        <is>
          <t>Bangalore</t>
        </is>
      </c>
      <c r="L529" s="27" t="inlineStr">
        <is>
          <t>Core</t>
        </is>
      </c>
      <c r="M529" t="inlineStr">
        <is>
          <t>Full-Time</t>
        </is>
      </c>
      <c r="N529" t="inlineStr">
        <is>
          <t>Software Engineer</t>
        </is>
      </c>
      <c r="O529" t="inlineStr">
        <is>
          <t>E2</t>
        </is>
      </c>
      <c r="P529" t="inlineStr">
        <is>
          <t>Software Engineer</t>
        </is>
      </c>
      <c r="Q529" t="inlineStr">
        <is>
          <t>Dipakbhai Motibhai Tandel (1027230)</t>
        </is>
      </c>
      <c r="R529" t="n">
        <v>4</v>
      </c>
      <c r="S529" s="1" t="n">
        <v>1200000</v>
      </c>
      <c r="T529" s="1">
        <f>ROUND(T_EMPLOYEES[[#This Row],[EMP_CTC1]]/12, 0)</f>
        <v/>
      </c>
      <c r="U529" s="1" t="n">
        <v>1000000</v>
      </c>
      <c r="V529" s="1" t="inlineStr">
        <is>
          <t>NH</t>
        </is>
      </c>
      <c r="W529" s="1" t="inlineStr">
        <is>
          <t>NH</t>
        </is>
      </c>
      <c r="X52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29" t="n">
        <v>120000</v>
      </c>
      <c r="Z529" s="29">
        <f>(S529 - U529)/S529 * 100</f>
        <v/>
      </c>
      <c r="AA529">
        <f>IF(T_EMPLOYEES[[#This Row],[EMPLOYEE NUMBER]]="","",ROW(T_EMPLOYEES[[#This Row],[EMPLOYEE LABEL]])-ROW(T_EMPLOYEES[[#Headers],[EMPLOYEE LABEL]]))</f>
        <v/>
      </c>
      <c r="AB529">
        <f>IF(T_EMPLOYEES[[#This Row],[EMPLOYEE NUMBER]]="","",IF(COUNTIF(T_EMPLOYEES[EMPLOYEE NUMBER],T_EMPLOYEES[[#This Row],[EMPLOYEE NUMBER]])&gt;1,1,0))</f>
        <v/>
      </c>
      <c r="AC529">
        <f>IF(T_EMPLOYEES[[#This Row],[EMPLOYEE NUMBER]]="","",IF(AND(T_EMPLOYEES[[#This Row],[DATE OF BIRTH]]&gt;0,T_EMPLOYEES[[#This Row],[DATE OF BIRTH]]&lt;TODAY()),0,1))</f>
        <v/>
      </c>
      <c r="AD529">
        <f>IF(T_EMPLOYEES[[#This Row],[EMPLOYEE NUMBER]]="","",IF(AND(T_EMPLOYEES[[#This Row],[START DATE]]&gt;0,T_EMPLOYEES[[#This Row],[START DATE]]&lt;TODAY()+60),0,1))</f>
        <v/>
      </c>
      <c r="AE529">
        <f>IF(T_EMPLOYEES[[#This Row],[EMPLOYEE NUMBER]]="","",MATCH(T_EMPLOYEES[[#This Row],[GENDER]],L_GENDER,0))</f>
        <v/>
      </c>
      <c r="AF529">
        <f>IF(T_EMPLOYEES[[#This Row],[EMPLOYEE NUMBER]]="","",MATCH(T_EMPLOYEES[[#This Row],[HIRE SOURCE]],L_HIRESOURCE,0))</f>
        <v/>
      </c>
      <c r="AG529">
        <f>IF(T_EMPLOYEES[[#This Row],[EMPLOYEE NUMBER]]="","",MATCH(T_EMPLOYEES[[#This Row],[ETHNICITY]],L_ETHNICITY,0))</f>
        <v/>
      </c>
      <c r="AH529">
        <f>IF(T_EMPLOYEES[[#This Row],[EMPLOYEE NUMBER]]="","",MATCH(T_EMPLOYEES[[#This Row],[LOCATION]],L_LOCATION,0))</f>
        <v/>
      </c>
      <c r="AI529">
        <f>IF(T_EMPLOYEES[[#This Row],[EMPLOYEE NUMBER]]="","",MATCH(T_EMPLOYEES[[#This Row],[DEPARTMENT]],L_DEPARTMENT,0))</f>
        <v/>
      </c>
      <c r="AJ529">
        <f>IF(T_EMPLOYEES[[#This Row],[EMPLOYEE NUMBER]]="","",MATCH(T_EMPLOYEES[[#This Row],[JOB TYPE]],L_JOBTYPE,0))</f>
        <v/>
      </c>
      <c r="AK529">
        <f>IF(T_EMPLOYEES[[#This Row],[EMPLOYEE NUMBER]]="","",MATCH(T_EMPLOYEES[[#This Row],[JOB CATEGORY]],L_JOBCATEGORY,0))</f>
        <v/>
      </c>
      <c r="AL529">
        <f>IF(T_EMPLOYEES[[#This Row],[EMPLOYEE NUMBER]]="","",MATCH(T_EMPLOYEES[[#This Row],[JOB LEVEL]],L_JOBLEVEL,0))</f>
        <v/>
      </c>
      <c r="AM529">
        <f>IF(T_EMPLOYEES[[#This Row],[EMPLOYEE NUMBER]]="","",MATCH(T_EMPLOYEES[[#This Row],[JOB TITLE]],L_JOBTITLE,0))</f>
        <v/>
      </c>
      <c r="AN529">
        <f>IF(T_EMPLOYEES[[#This Row],[EMPLOYEE NUMBER]]="","",MATCH(T_EMPLOYEES[[#This Row],[MANAGER]],L_EMPLABELS,0))</f>
        <v/>
      </c>
      <c r="AO529">
        <f>IF(T_EMPLOYEES[[#This Row],[EMPLOYEE NUMBER]]="","",IF(T_EMPLOYEES[[#This Row],[ERROR]]="",0,1))</f>
        <v/>
      </c>
      <c r="AP52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0">
      <c r="A530" t="inlineStr">
        <is>
          <t>Basina</t>
        </is>
      </c>
      <c r="B530" t="inlineStr">
        <is>
          <t>Rohit Kumar</t>
        </is>
      </c>
      <c r="C530" t="n">
        <v>1029524</v>
      </c>
      <c r="D530" t="inlineStr">
        <is>
          <t>Basin.Kumar@infinite.com</t>
        </is>
      </c>
      <c r="E530" s="26" t="n">
        <v>36956</v>
      </c>
      <c r="F530" s="26" t="n">
        <v>44757</v>
      </c>
      <c r="H530" t="inlineStr">
        <is>
          <t>Male</t>
        </is>
      </c>
      <c r="I530" t="inlineStr">
        <is>
          <t>Asian</t>
        </is>
      </c>
      <c r="J530" t="inlineStr">
        <is>
          <t>WEBSITE</t>
        </is>
      </c>
      <c r="K530" t="inlineStr">
        <is>
          <t>Bangalore</t>
        </is>
      </c>
      <c r="L530" s="27" t="inlineStr">
        <is>
          <t>IT</t>
        </is>
      </c>
      <c r="M530" t="inlineStr">
        <is>
          <t>Full-Time</t>
        </is>
      </c>
      <c r="N530" t="inlineStr">
        <is>
          <t>Associate Software Engineer</t>
        </is>
      </c>
      <c r="O530" t="inlineStr">
        <is>
          <t>E1</t>
        </is>
      </c>
      <c r="P530" t="inlineStr">
        <is>
          <t>Associate Software Engineer</t>
        </is>
      </c>
      <c r="Q530" t="inlineStr">
        <is>
          <t>Kalyana Raju C S (1003859)</t>
        </is>
      </c>
      <c r="R530" s="27" t="n">
        <v>0</v>
      </c>
      <c r="S530" s="1" t="n">
        <v>1200000</v>
      </c>
      <c r="T530" s="1">
        <f>ROUND(T_EMPLOYEES[[#This Row],[EMP_CTC1]]/12, 0)</f>
        <v/>
      </c>
      <c r="U530" s="1" t="n">
        <v>1000000</v>
      </c>
      <c r="V530" s="1" t="inlineStr">
        <is>
          <t>NH</t>
        </is>
      </c>
      <c r="W530" s="1" t="inlineStr">
        <is>
          <t>NH</t>
        </is>
      </c>
      <c r="X53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0" t="n">
        <v>120000</v>
      </c>
      <c r="Z530" s="29">
        <f>(S530 - U530)/S530 * 100</f>
        <v/>
      </c>
      <c r="AA530">
        <f>IF(T_EMPLOYEES[[#This Row],[EMPLOYEE NUMBER]]="","",ROW(T_EMPLOYEES[[#This Row],[EMPLOYEE LABEL]])-ROW(T_EMPLOYEES[[#Headers],[EMPLOYEE LABEL]]))</f>
        <v/>
      </c>
      <c r="AB530">
        <f>IF(T_EMPLOYEES[[#This Row],[EMPLOYEE NUMBER]]="","",IF(COUNTIF(T_EMPLOYEES[EMPLOYEE NUMBER],T_EMPLOYEES[[#This Row],[EMPLOYEE NUMBER]])&gt;1,1,0))</f>
        <v/>
      </c>
      <c r="AC530">
        <f>IF(T_EMPLOYEES[[#This Row],[EMPLOYEE NUMBER]]="","",IF(AND(T_EMPLOYEES[[#This Row],[DATE OF BIRTH]]&gt;0,T_EMPLOYEES[[#This Row],[DATE OF BIRTH]]&lt;TODAY()),0,1))</f>
        <v/>
      </c>
      <c r="AD530">
        <f>IF(T_EMPLOYEES[[#This Row],[EMPLOYEE NUMBER]]="","",IF(AND(T_EMPLOYEES[[#This Row],[START DATE]]&gt;0,T_EMPLOYEES[[#This Row],[START DATE]]&lt;TODAY()+60),0,1))</f>
        <v/>
      </c>
      <c r="AE530">
        <f>IF(T_EMPLOYEES[[#This Row],[EMPLOYEE NUMBER]]="","",MATCH(T_EMPLOYEES[[#This Row],[GENDER]],L_GENDER,0))</f>
        <v/>
      </c>
      <c r="AF530">
        <f>IF(T_EMPLOYEES[[#This Row],[EMPLOYEE NUMBER]]="","",MATCH(T_EMPLOYEES[[#This Row],[HIRE SOURCE]],L_HIRESOURCE,0))</f>
        <v/>
      </c>
      <c r="AG530">
        <f>IF(T_EMPLOYEES[[#This Row],[EMPLOYEE NUMBER]]="","",MATCH(T_EMPLOYEES[[#This Row],[ETHNICITY]],L_ETHNICITY,0))</f>
        <v/>
      </c>
      <c r="AH530">
        <f>IF(T_EMPLOYEES[[#This Row],[EMPLOYEE NUMBER]]="","",MATCH(T_EMPLOYEES[[#This Row],[LOCATION]],L_LOCATION,0))</f>
        <v/>
      </c>
      <c r="AI530">
        <f>IF(T_EMPLOYEES[[#This Row],[EMPLOYEE NUMBER]]="","",MATCH(T_EMPLOYEES[[#This Row],[DEPARTMENT]],L_DEPARTMENT,0))</f>
        <v/>
      </c>
      <c r="AJ530">
        <f>IF(T_EMPLOYEES[[#This Row],[EMPLOYEE NUMBER]]="","",MATCH(T_EMPLOYEES[[#This Row],[JOB TYPE]],L_JOBTYPE,0))</f>
        <v/>
      </c>
      <c r="AK530">
        <f>IF(T_EMPLOYEES[[#This Row],[EMPLOYEE NUMBER]]="","",MATCH(T_EMPLOYEES[[#This Row],[JOB CATEGORY]],L_JOBCATEGORY,0))</f>
        <v/>
      </c>
      <c r="AL530">
        <f>IF(T_EMPLOYEES[[#This Row],[EMPLOYEE NUMBER]]="","",MATCH(T_EMPLOYEES[[#This Row],[JOB LEVEL]],L_JOBLEVEL,0))</f>
        <v/>
      </c>
      <c r="AM530">
        <f>IF(T_EMPLOYEES[[#This Row],[EMPLOYEE NUMBER]]="","",MATCH(T_EMPLOYEES[[#This Row],[JOB TITLE]],L_JOBTITLE,0))</f>
        <v/>
      </c>
      <c r="AN530">
        <f>IF(T_EMPLOYEES[[#This Row],[EMPLOYEE NUMBER]]="","",MATCH(T_EMPLOYEES[[#This Row],[MANAGER]],L_EMPLABELS,0))</f>
        <v/>
      </c>
      <c r="AO530">
        <f>IF(T_EMPLOYEES[[#This Row],[EMPLOYEE NUMBER]]="","",IF(T_EMPLOYEES[[#This Row],[ERROR]]="",0,1))</f>
        <v/>
      </c>
      <c r="AP53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1">
      <c r="A531" t="inlineStr">
        <is>
          <t>Sarath</t>
        </is>
      </c>
      <c r="B531" t="inlineStr">
        <is>
          <t>Madugula</t>
        </is>
      </c>
      <c r="C531" t="n">
        <v>1029527</v>
      </c>
      <c r="D531" t="inlineStr">
        <is>
          <t>Madugula.Sarath@infinite.com</t>
        </is>
      </c>
      <c r="E531" s="26" t="n">
        <v>36965</v>
      </c>
      <c r="F531" s="26" t="n">
        <v>44757</v>
      </c>
      <c r="H531" t="inlineStr">
        <is>
          <t>Male</t>
        </is>
      </c>
      <c r="I531" t="inlineStr">
        <is>
          <t>Asian</t>
        </is>
      </c>
      <c r="J531" t="inlineStr">
        <is>
          <t>WEBSITE</t>
        </is>
      </c>
      <c r="K531" t="inlineStr">
        <is>
          <t>Bangalore</t>
        </is>
      </c>
      <c r="L531" s="27" t="inlineStr">
        <is>
          <t>Cognos</t>
        </is>
      </c>
      <c r="M531" t="inlineStr">
        <is>
          <t>Full-Time</t>
        </is>
      </c>
      <c r="N531" t="inlineStr">
        <is>
          <t>Associate Software Engineer</t>
        </is>
      </c>
      <c r="O531" t="inlineStr">
        <is>
          <t>E1</t>
        </is>
      </c>
      <c r="P531" t="inlineStr">
        <is>
          <t>Associate Software Engineer</t>
        </is>
      </c>
      <c r="Q531" t="inlineStr">
        <is>
          <t>Peernayakgari Irfan Basha (1017291)</t>
        </is>
      </c>
      <c r="R531" t="n">
        <v>0</v>
      </c>
      <c r="S531" s="1" t="n">
        <v>1200000</v>
      </c>
      <c r="T531" s="1">
        <f>ROUND(T_EMPLOYEES[[#This Row],[EMP_CTC1]]/12, 0)</f>
        <v/>
      </c>
      <c r="U531" s="1" t="n">
        <v>1000000</v>
      </c>
      <c r="V531" s="1" t="inlineStr">
        <is>
          <t>NH</t>
        </is>
      </c>
      <c r="W531" s="1" t="inlineStr">
        <is>
          <t>NH</t>
        </is>
      </c>
      <c r="X53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1" t="n">
        <v>120000</v>
      </c>
      <c r="Z531" s="29">
        <f>(S531 - U531)/S531 * 100</f>
        <v/>
      </c>
      <c r="AA531">
        <f>IF(T_EMPLOYEES[[#This Row],[EMPLOYEE NUMBER]]="","",ROW(T_EMPLOYEES[[#This Row],[EMPLOYEE LABEL]])-ROW(T_EMPLOYEES[[#Headers],[EMPLOYEE LABEL]]))</f>
        <v/>
      </c>
      <c r="AB531">
        <f>IF(T_EMPLOYEES[[#This Row],[EMPLOYEE NUMBER]]="","",IF(COUNTIF(T_EMPLOYEES[EMPLOYEE NUMBER],T_EMPLOYEES[[#This Row],[EMPLOYEE NUMBER]])&gt;1,1,0))</f>
        <v/>
      </c>
      <c r="AC531">
        <f>IF(T_EMPLOYEES[[#This Row],[EMPLOYEE NUMBER]]="","",IF(AND(T_EMPLOYEES[[#This Row],[DATE OF BIRTH]]&gt;0,T_EMPLOYEES[[#This Row],[DATE OF BIRTH]]&lt;TODAY()),0,1))</f>
        <v/>
      </c>
      <c r="AD531">
        <f>IF(T_EMPLOYEES[[#This Row],[EMPLOYEE NUMBER]]="","",IF(AND(T_EMPLOYEES[[#This Row],[START DATE]]&gt;0,T_EMPLOYEES[[#This Row],[START DATE]]&lt;TODAY()+60),0,1))</f>
        <v/>
      </c>
      <c r="AE531">
        <f>IF(T_EMPLOYEES[[#This Row],[EMPLOYEE NUMBER]]="","",MATCH(T_EMPLOYEES[[#This Row],[GENDER]],L_GENDER,0))</f>
        <v/>
      </c>
      <c r="AF531">
        <f>IF(T_EMPLOYEES[[#This Row],[EMPLOYEE NUMBER]]="","",MATCH(T_EMPLOYEES[[#This Row],[HIRE SOURCE]],L_HIRESOURCE,0))</f>
        <v/>
      </c>
      <c r="AG531">
        <f>IF(T_EMPLOYEES[[#This Row],[EMPLOYEE NUMBER]]="","",MATCH(T_EMPLOYEES[[#This Row],[ETHNICITY]],L_ETHNICITY,0))</f>
        <v/>
      </c>
      <c r="AH531">
        <f>IF(T_EMPLOYEES[[#This Row],[EMPLOYEE NUMBER]]="","",MATCH(T_EMPLOYEES[[#This Row],[LOCATION]],L_LOCATION,0))</f>
        <v/>
      </c>
      <c r="AI531">
        <f>IF(T_EMPLOYEES[[#This Row],[EMPLOYEE NUMBER]]="","",MATCH(T_EMPLOYEES[[#This Row],[DEPARTMENT]],L_DEPARTMENT,0))</f>
        <v/>
      </c>
      <c r="AJ531">
        <f>IF(T_EMPLOYEES[[#This Row],[EMPLOYEE NUMBER]]="","",MATCH(T_EMPLOYEES[[#This Row],[JOB TYPE]],L_JOBTYPE,0))</f>
        <v/>
      </c>
      <c r="AK531">
        <f>IF(T_EMPLOYEES[[#This Row],[EMPLOYEE NUMBER]]="","",MATCH(T_EMPLOYEES[[#This Row],[JOB CATEGORY]],L_JOBCATEGORY,0))</f>
        <v/>
      </c>
      <c r="AL531">
        <f>IF(T_EMPLOYEES[[#This Row],[EMPLOYEE NUMBER]]="","",MATCH(T_EMPLOYEES[[#This Row],[JOB LEVEL]],L_JOBLEVEL,0))</f>
        <v/>
      </c>
      <c r="AM531">
        <f>IF(T_EMPLOYEES[[#This Row],[EMPLOYEE NUMBER]]="","",MATCH(T_EMPLOYEES[[#This Row],[JOB TITLE]],L_JOBTITLE,0))</f>
        <v/>
      </c>
      <c r="AN531">
        <f>IF(T_EMPLOYEES[[#This Row],[EMPLOYEE NUMBER]]="","",MATCH(T_EMPLOYEES[[#This Row],[MANAGER]],L_EMPLABELS,0))</f>
        <v/>
      </c>
      <c r="AO531">
        <f>IF(T_EMPLOYEES[[#This Row],[EMPLOYEE NUMBER]]="","",IF(T_EMPLOYEES[[#This Row],[ERROR]]="",0,1))</f>
        <v/>
      </c>
      <c r="AP53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2">
      <c r="A532" t="inlineStr">
        <is>
          <t>Lata</t>
        </is>
      </c>
      <c r="B532" t="inlineStr">
        <is>
          <t>Sharma</t>
        </is>
      </c>
      <c r="C532" t="n">
        <v>1030923</v>
      </c>
      <c r="D532" t="inlineStr">
        <is>
          <t>Lata.Sharma@infinite.com</t>
        </is>
      </c>
      <c r="E532" s="26" t="n">
        <v>36971</v>
      </c>
      <c r="F532" s="26" t="n">
        <v>44876</v>
      </c>
      <c r="H532" t="inlineStr">
        <is>
          <t>Female</t>
        </is>
      </c>
      <c r="I532" t="inlineStr">
        <is>
          <t>Asian</t>
        </is>
      </c>
      <c r="J532" t="inlineStr">
        <is>
          <t>WEBSITE</t>
        </is>
      </c>
      <c r="K532" t="inlineStr">
        <is>
          <t>Bangalore</t>
        </is>
      </c>
      <c r="L532" s="27" t="inlineStr">
        <is>
          <t>Core</t>
        </is>
      </c>
      <c r="M532" t="inlineStr">
        <is>
          <t>Full-Time</t>
        </is>
      </c>
      <c r="N532" t="inlineStr">
        <is>
          <t>Associate Software Engineer</t>
        </is>
      </c>
      <c r="O532" t="inlineStr">
        <is>
          <t>E1</t>
        </is>
      </c>
      <c r="P532" t="inlineStr">
        <is>
          <t>Associate Software Engineer</t>
        </is>
      </c>
      <c r="Q532" t="inlineStr">
        <is>
          <t>Anil Kumar Khamari (1013201)</t>
        </is>
      </c>
      <c r="R532" s="27" t="n">
        <v>0</v>
      </c>
      <c r="S532" s="1" t="n">
        <v>1200000</v>
      </c>
      <c r="T532" s="1">
        <f>ROUND(T_EMPLOYEES[[#This Row],[EMP_CTC1]]/12, 0)</f>
        <v/>
      </c>
      <c r="U532" s="1" t="n">
        <v>1000000</v>
      </c>
      <c r="V532" s="1" t="inlineStr">
        <is>
          <t>NH</t>
        </is>
      </c>
      <c r="W532" s="1" t="inlineStr">
        <is>
          <t>NH</t>
        </is>
      </c>
      <c r="X53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2" t="n">
        <v>120000</v>
      </c>
      <c r="Z532" s="29">
        <f>(S532 - U532)/S532 * 100</f>
        <v/>
      </c>
      <c r="AA532">
        <f>IF(T_EMPLOYEES[[#This Row],[EMPLOYEE NUMBER]]="","",ROW(T_EMPLOYEES[[#This Row],[EMPLOYEE LABEL]])-ROW(T_EMPLOYEES[[#Headers],[EMPLOYEE LABEL]]))</f>
        <v/>
      </c>
      <c r="AB532">
        <f>IF(T_EMPLOYEES[[#This Row],[EMPLOYEE NUMBER]]="","",IF(COUNTIF(T_EMPLOYEES[EMPLOYEE NUMBER],T_EMPLOYEES[[#This Row],[EMPLOYEE NUMBER]])&gt;1,1,0))</f>
        <v/>
      </c>
      <c r="AC532">
        <f>IF(T_EMPLOYEES[[#This Row],[EMPLOYEE NUMBER]]="","",IF(AND(T_EMPLOYEES[[#This Row],[DATE OF BIRTH]]&gt;0,T_EMPLOYEES[[#This Row],[DATE OF BIRTH]]&lt;TODAY()),0,1))</f>
        <v/>
      </c>
      <c r="AD532">
        <f>IF(T_EMPLOYEES[[#This Row],[EMPLOYEE NUMBER]]="","",IF(AND(T_EMPLOYEES[[#This Row],[START DATE]]&gt;0,T_EMPLOYEES[[#This Row],[START DATE]]&lt;TODAY()+60),0,1))</f>
        <v/>
      </c>
      <c r="AE532">
        <f>IF(T_EMPLOYEES[[#This Row],[EMPLOYEE NUMBER]]="","",MATCH(T_EMPLOYEES[[#This Row],[GENDER]],L_GENDER,0))</f>
        <v/>
      </c>
      <c r="AF532">
        <f>IF(T_EMPLOYEES[[#This Row],[EMPLOYEE NUMBER]]="","",MATCH(T_EMPLOYEES[[#This Row],[HIRE SOURCE]],L_HIRESOURCE,0))</f>
        <v/>
      </c>
      <c r="AG532">
        <f>IF(T_EMPLOYEES[[#This Row],[EMPLOYEE NUMBER]]="","",MATCH(T_EMPLOYEES[[#This Row],[ETHNICITY]],L_ETHNICITY,0))</f>
        <v/>
      </c>
      <c r="AH532">
        <f>IF(T_EMPLOYEES[[#This Row],[EMPLOYEE NUMBER]]="","",MATCH(T_EMPLOYEES[[#This Row],[LOCATION]],L_LOCATION,0))</f>
        <v/>
      </c>
      <c r="AI532">
        <f>IF(T_EMPLOYEES[[#This Row],[EMPLOYEE NUMBER]]="","",MATCH(T_EMPLOYEES[[#This Row],[DEPARTMENT]],L_DEPARTMENT,0))</f>
        <v/>
      </c>
      <c r="AJ532">
        <f>IF(T_EMPLOYEES[[#This Row],[EMPLOYEE NUMBER]]="","",MATCH(T_EMPLOYEES[[#This Row],[JOB TYPE]],L_JOBTYPE,0))</f>
        <v/>
      </c>
      <c r="AK532">
        <f>IF(T_EMPLOYEES[[#This Row],[EMPLOYEE NUMBER]]="","",MATCH(T_EMPLOYEES[[#This Row],[JOB CATEGORY]],L_JOBCATEGORY,0))</f>
        <v/>
      </c>
      <c r="AL532">
        <f>IF(T_EMPLOYEES[[#This Row],[EMPLOYEE NUMBER]]="","",MATCH(T_EMPLOYEES[[#This Row],[JOB LEVEL]],L_JOBLEVEL,0))</f>
        <v/>
      </c>
      <c r="AM532">
        <f>IF(T_EMPLOYEES[[#This Row],[EMPLOYEE NUMBER]]="","",MATCH(T_EMPLOYEES[[#This Row],[JOB TITLE]],L_JOBTITLE,0))</f>
        <v/>
      </c>
      <c r="AN532">
        <f>IF(T_EMPLOYEES[[#This Row],[EMPLOYEE NUMBER]]="","",MATCH(T_EMPLOYEES[[#This Row],[MANAGER]],L_EMPLABELS,0))</f>
        <v/>
      </c>
      <c r="AO532">
        <f>IF(T_EMPLOYEES[[#This Row],[EMPLOYEE NUMBER]]="","",IF(T_EMPLOYEES[[#This Row],[ERROR]]="",0,1))</f>
        <v/>
      </c>
      <c r="AP53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3">
      <c r="A533" t="inlineStr">
        <is>
          <t>Aiatharappa</t>
        </is>
      </c>
      <c r="B533" t="inlineStr">
        <is>
          <t>Gari Sindhu</t>
        </is>
      </c>
      <c r="C533" t="n">
        <v>1029883</v>
      </c>
      <c r="D533" t="inlineStr">
        <is>
          <t>Alatharappa.Sindhu@infinite.com</t>
        </is>
      </c>
      <c r="E533" s="26" t="n">
        <v>36980</v>
      </c>
      <c r="F533" s="26" t="n">
        <v>44791</v>
      </c>
      <c r="H533" t="inlineStr">
        <is>
          <t>Female</t>
        </is>
      </c>
      <c r="I533" t="inlineStr">
        <is>
          <t>Asian</t>
        </is>
      </c>
      <c r="J533" t="inlineStr">
        <is>
          <t>WEBSITE</t>
        </is>
      </c>
      <c r="K533" t="inlineStr">
        <is>
          <t>Hyderabad</t>
        </is>
      </c>
      <c r="L533" s="27" t="inlineStr">
        <is>
          <t>Core</t>
        </is>
      </c>
      <c r="M533" t="inlineStr">
        <is>
          <t>Full-Time</t>
        </is>
      </c>
      <c r="N533" t="inlineStr">
        <is>
          <t>Associate Software Engineer</t>
        </is>
      </c>
      <c r="O533" t="inlineStr">
        <is>
          <t>E1</t>
        </is>
      </c>
      <c r="P533" t="inlineStr">
        <is>
          <t>Associate Software Engineer</t>
        </is>
      </c>
      <c r="Q533" t="inlineStr">
        <is>
          <t>Anil Kumar Khamari (1013201)</t>
        </is>
      </c>
      <c r="R533" t="n">
        <v>0</v>
      </c>
      <c r="S533" s="1" t="n">
        <v>1200000</v>
      </c>
      <c r="T533" s="1">
        <f>ROUND(T_EMPLOYEES[[#This Row],[EMP_CTC1]]/12, 0)</f>
        <v/>
      </c>
      <c r="U533" s="1" t="n">
        <v>1000000</v>
      </c>
      <c r="V533" s="1" t="inlineStr">
        <is>
          <t>NH</t>
        </is>
      </c>
      <c r="W533" s="1" t="inlineStr">
        <is>
          <t>NH</t>
        </is>
      </c>
      <c r="X53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3" t="n">
        <v>120000</v>
      </c>
      <c r="Z533" s="29">
        <f>(S533 - U533)/S533 * 100</f>
        <v/>
      </c>
      <c r="AA533">
        <f>IF(T_EMPLOYEES[[#This Row],[EMPLOYEE NUMBER]]="","",ROW(T_EMPLOYEES[[#This Row],[EMPLOYEE LABEL]])-ROW(T_EMPLOYEES[[#Headers],[EMPLOYEE LABEL]]))</f>
        <v/>
      </c>
      <c r="AB533">
        <f>IF(T_EMPLOYEES[[#This Row],[EMPLOYEE NUMBER]]="","",IF(COUNTIF(T_EMPLOYEES[EMPLOYEE NUMBER],T_EMPLOYEES[[#This Row],[EMPLOYEE NUMBER]])&gt;1,1,0))</f>
        <v/>
      </c>
      <c r="AC533">
        <f>IF(T_EMPLOYEES[[#This Row],[EMPLOYEE NUMBER]]="","",IF(AND(T_EMPLOYEES[[#This Row],[DATE OF BIRTH]]&gt;0,T_EMPLOYEES[[#This Row],[DATE OF BIRTH]]&lt;TODAY()),0,1))</f>
        <v/>
      </c>
      <c r="AD533">
        <f>IF(T_EMPLOYEES[[#This Row],[EMPLOYEE NUMBER]]="","",IF(AND(T_EMPLOYEES[[#This Row],[START DATE]]&gt;0,T_EMPLOYEES[[#This Row],[START DATE]]&lt;TODAY()+60),0,1))</f>
        <v/>
      </c>
      <c r="AE533">
        <f>IF(T_EMPLOYEES[[#This Row],[EMPLOYEE NUMBER]]="","",MATCH(T_EMPLOYEES[[#This Row],[GENDER]],L_GENDER,0))</f>
        <v/>
      </c>
      <c r="AF533">
        <f>IF(T_EMPLOYEES[[#This Row],[EMPLOYEE NUMBER]]="","",MATCH(T_EMPLOYEES[[#This Row],[HIRE SOURCE]],L_HIRESOURCE,0))</f>
        <v/>
      </c>
      <c r="AG533">
        <f>IF(T_EMPLOYEES[[#This Row],[EMPLOYEE NUMBER]]="","",MATCH(T_EMPLOYEES[[#This Row],[ETHNICITY]],L_ETHNICITY,0))</f>
        <v/>
      </c>
      <c r="AH533">
        <f>IF(T_EMPLOYEES[[#This Row],[EMPLOYEE NUMBER]]="","",MATCH(T_EMPLOYEES[[#This Row],[LOCATION]],L_LOCATION,0))</f>
        <v/>
      </c>
      <c r="AI533">
        <f>IF(T_EMPLOYEES[[#This Row],[EMPLOYEE NUMBER]]="","",MATCH(T_EMPLOYEES[[#This Row],[DEPARTMENT]],L_DEPARTMENT,0))</f>
        <v/>
      </c>
      <c r="AJ533">
        <f>IF(T_EMPLOYEES[[#This Row],[EMPLOYEE NUMBER]]="","",MATCH(T_EMPLOYEES[[#This Row],[JOB TYPE]],L_JOBTYPE,0))</f>
        <v/>
      </c>
      <c r="AK533">
        <f>IF(T_EMPLOYEES[[#This Row],[EMPLOYEE NUMBER]]="","",MATCH(T_EMPLOYEES[[#This Row],[JOB CATEGORY]],L_JOBCATEGORY,0))</f>
        <v/>
      </c>
      <c r="AL533">
        <f>IF(T_EMPLOYEES[[#This Row],[EMPLOYEE NUMBER]]="","",MATCH(T_EMPLOYEES[[#This Row],[JOB LEVEL]],L_JOBLEVEL,0))</f>
        <v/>
      </c>
      <c r="AM533">
        <f>IF(T_EMPLOYEES[[#This Row],[EMPLOYEE NUMBER]]="","",MATCH(T_EMPLOYEES[[#This Row],[JOB TITLE]],L_JOBTITLE,0))</f>
        <v/>
      </c>
      <c r="AN533">
        <f>IF(T_EMPLOYEES[[#This Row],[EMPLOYEE NUMBER]]="","",MATCH(T_EMPLOYEES[[#This Row],[MANAGER]],L_EMPLABELS,0))</f>
        <v/>
      </c>
      <c r="AO533">
        <f>IF(T_EMPLOYEES[[#This Row],[EMPLOYEE NUMBER]]="","",IF(T_EMPLOYEES[[#This Row],[ERROR]]="",0,1))</f>
        <v/>
      </c>
      <c r="AP53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4">
      <c r="A534" t="inlineStr">
        <is>
          <t>Pramita</t>
        </is>
      </c>
      <c r="B534" t="inlineStr">
        <is>
          <t>Dash</t>
        </is>
      </c>
      <c r="C534" t="n">
        <v>1033233</v>
      </c>
      <c r="D534" t="inlineStr">
        <is>
          <t>Pramita.Dash@infinite.com</t>
        </is>
      </c>
      <c r="E534" s="26" t="n">
        <v>36984</v>
      </c>
      <c r="F534" s="26" t="n">
        <v>45155</v>
      </c>
      <c r="H534" t="inlineStr">
        <is>
          <t>Female</t>
        </is>
      </c>
      <c r="I534" t="inlineStr">
        <is>
          <t>Asian</t>
        </is>
      </c>
      <c r="J534" t="inlineStr">
        <is>
          <t>WEBSITE</t>
        </is>
      </c>
      <c r="K534" t="inlineStr">
        <is>
          <t>Bangalore</t>
        </is>
      </c>
      <c r="L534" s="27" t="inlineStr">
        <is>
          <t>Core</t>
        </is>
      </c>
      <c r="M534" t="inlineStr">
        <is>
          <t>Full-Time</t>
        </is>
      </c>
      <c r="N534" t="inlineStr">
        <is>
          <t>Associate Software Engineer</t>
        </is>
      </c>
      <c r="O534" t="inlineStr">
        <is>
          <t>E1</t>
        </is>
      </c>
      <c r="P534" t="inlineStr">
        <is>
          <t>Associate Software Engineer</t>
        </is>
      </c>
      <c r="Q534" t="inlineStr">
        <is>
          <t>Kishore Kumar N (1019765)</t>
        </is>
      </c>
      <c r="R534" s="27" t="n">
        <v>0</v>
      </c>
      <c r="S534" s="1" t="n">
        <v>1200000</v>
      </c>
      <c r="T534" s="1">
        <f>ROUND(T_EMPLOYEES[[#This Row],[EMP_CTC1]]/12, 0)</f>
        <v/>
      </c>
      <c r="U534" s="1" t="n">
        <v>1000000</v>
      </c>
      <c r="V534" s="1" t="inlineStr">
        <is>
          <t>NH</t>
        </is>
      </c>
      <c r="W534" s="1" t="inlineStr">
        <is>
          <t>NH</t>
        </is>
      </c>
      <c r="X53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4" t="n">
        <v>120000</v>
      </c>
      <c r="Z534" s="29">
        <f>(S534 - U534)/S534 * 100</f>
        <v/>
      </c>
      <c r="AA534">
        <f>IF(T_EMPLOYEES[[#This Row],[EMPLOYEE NUMBER]]="","",ROW(T_EMPLOYEES[[#This Row],[EMPLOYEE LABEL]])-ROW(T_EMPLOYEES[[#Headers],[EMPLOYEE LABEL]]))</f>
        <v/>
      </c>
      <c r="AB534">
        <f>IF(T_EMPLOYEES[[#This Row],[EMPLOYEE NUMBER]]="","",IF(COUNTIF(T_EMPLOYEES[EMPLOYEE NUMBER],T_EMPLOYEES[[#This Row],[EMPLOYEE NUMBER]])&gt;1,1,0))</f>
        <v/>
      </c>
      <c r="AC534">
        <f>IF(T_EMPLOYEES[[#This Row],[EMPLOYEE NUMBER]]="","",IF(AND(T_EMPLOYEES[[#This Row],[DATE OF BIRTH]]&gt;0,T_EMPLOYEES[[#This Row],[DATE OF BIRTH]]&lt;TODAY()),0,1))</f>
        <v/>
      </c>
      <c r="AD534">
        <f>IF(T_EMPLOYEES[[#This Row],[EMPLOYEE NUMBER]]="","",IF(AND(T_EMPLOYEES[[#This Row],[START DATE]]&gt;0,T_EMPLOYEES[[#This Row],[START DATE]]&lt;TODAY()+60),0,1))</f>
        <v/>
      </c>
      <c r="AE534">
        <f>IF(T_EMPLOYEES[[#This Row],[EMPLOYEE NUMBER]]="","",MATCH(T_EMPLOYEES[[#This Row],[GENDER]],L_GENDER,0))</f>
        <v/>
      </c>
      <c r="AF534">
        <f>IF(T_EMPLOYEES[[#This Row],[EMPLOYEE NUMBER]]="","",MATCH(T_EMPLOYEES[[#This Row],[HIRE SOURCE]],L_HIRESOURCE,0))</f>
        <v/>
      </c>
      <c r="AG534">
        <f>IF(T_EMPLOYEES[[#This Row],[EMPLOYEE NUMBER]]="","",MATCH(T_EMPLOYEES[[#This Row],[ETHNICITY]],L_ETHNICITY,0))</f>
        <v/>
      </c>
      <c r="AH534">
        <f>IF(T_EMPLOYEES[[#This Row],[EMPLOYEE NUMBER]]="","",MATCH(T_EMPLOYEES[[#This Row],[LOCATION]],L_LOCATION,0))</f>
        <v/>
      </c>
      <c r="AI534">
        <f>IF(T_EMPLOYEES[[#This Row],[EMPLOYEE NUMBER]]="","",MATCH(T_EMPLOYEES[[#This Row],[DEPARTMENT]],L_DEPARTMENT,0))</f>
        <v/>
      </c>
      <c r="AJ534">
        <f>IF(T_EMPLOYEES[[#This Row],[EMPLOYEE NUMBER]]="","",MATCH(T_EMPLOYEES[[#This Row],[JOB TYPE]],L_JOBTYPE,0))</f>
        <v/>
      </c>
      <c r="AK534">
        <f>IF(T_EMPLOYEES[[#This Row],[EMPLOYEE NUMBER]]="","",MATCH(T_EMPLOYEES[[#This Row],[JOB CATEGORY]],L_JOBCATEGORY,0))</f>
        <v/>
      </c>
      <c r="AL534">
        <f>IF(T_EMPLOYEES[[#This Row],[EMPLOYEE NUMBER]]="","",MATCH(T_EMPLOYEES[[#This Row],[JOB LEVEL]],L_JOBLEVEL,0))</f>
        <v/>
      </c>
      <c r="AM534">
        <f>IF(T_EMPLOYEES[[#This Row],[EMPLOYEE NUMBER]]="","",MATCH(T_EMPLOYEES[[#This Row],[JOB TITLE]],L_JOBTITLE,0))</f>
        <v/>
      </c>
      <c r="AN534">
        <f>IF(T_EMPLOYEES[[#This Row],[EMPLOYEE NUMBER]]="","",MATCH(T_EMPLOYEES[[#This Row],[MANAGER]],L_EMPLABELS,0))</f>
        <v/>
      </c>
      <c r="AO534">
        <f>IF(T_EMPLOYEES[[#This Row],[EMPLOYEE NUMBER]]="","",IF(T_EMPLOYEES[[#This Row],[ERROR]]="",0,1))</f>
        <v/>
      </c>
      <c r="AP53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5">
      <c r="A535" t="inlineStr">
        <is>
          <t>K</t>
        </is>
      </c>
      <c r="B535" t="inlineStr">
        <is>
          <t>Gowri Shankar</t>
        </is>
      </c>
      <c r="C535" t="n">
        <v>1029306</v>
      </c>
      <c r="D535" t="inlineStr">
        <is>
          <t>Gowri.Shankar@infinite.com</t>
        </is>
      </c>
      <c r="E535" s="26" t="n">
        <v>37000</v>
      </c>
      <c r="F535" s="26" t="n">
        <v>44729</v>
      </c>
      <c r="H535" t="inlineStr">
        <is>
          <t>Male</t>
        </is>
      </c>
      <c r="I535" t="inlineStr">
        <is>
          <t>Asian</t>
        </is>
      </c>
      <c r="J535" t="inlineStr">
        <is>
          <t>WEBSITE</t>
        </is>
      </c>
      <c r="K535" t="inlineStr">
        <is>
          <t>Hyderabad</t>
        </is>
      </c>
      <c r="L535" s="27" t="inlineStr">
        <is>
          <t>Core</t>
        </is>
      </c>
      <c r="M535" t="inlineStr">
        <is>
          <t>Full-Time</t>
        </is>
      </c>
      <c r="N535" t="inlineStr">
        <is>
          <t>Associate Software Engineer</t>
        </is>
      </c>
      <c r="O535" t="inlineStr">
        <is>
          <t>E1</t>
        </is>
      </c>
      <c r="P535" t="inlineStr">
        <is>
          <t>Associate Software Engineer</t>
        </is>
      </c>
      <c r="Q535" t="inlineStr">
        <is>
          <t>Anil Kumar Khamari (1013201)</t>
        </is>
      </c>
      <c r="R535" t="n">
        <v>0</v>
      </c>
      <c r="S535" s="1" t="n">
        <v>1200000</v>
      </c>
      <c r="T535" s="1">
        <f>ROUND(T_EMPLOYEES[[#This Row],[EMP_CTC1]]/12, 0)</f>
        <v/>
      </c>
      <c r="U535" s="1" t="n">
        <v>1000000</v>
      </c>
      <c r="V535" s="1" t="inlineStr">
        <is>
          <t>NH</t>
        </is>
      </c>
      <c r="W535" s="1" t="inlineStr">
        <is>
          <t>NH</t>
        </is>
      </c>
      <c r="X53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5" t="n">
        <v>120000</v>
      </c>
      <c r="Z535" s="29">
        <f>(S535 - U535)/S535 * 100</f>
        <v/>
      </c>
      <c r="AA535">
        <f>IF(T_EMPLOYEES[[#This Row],[EMPLOYEE NUMBER]]="","",ROW(T_EMPLOYEES[[#This Row],[EMPLOYEE LABEL]])-ROW(T_EMPLOYEES[[#Headers],[EMPLOYEE LABEL]]))</f>
        <v/>
      </c>
      <c r="AB535">
        <f>IF(T_EMPLOYEES[[#This Row],[EMPLOYEE NUMBER]]="","",IF(COUNTIF(T_EMPLOYEES[EMPLOYEE NUMBER],T_EMPLOYEES[[#This Row],[EMPLOYEE NUMBER]])&gt;1,1,0))</f>
        <v/>
      </c>
      <c r="AC535">
        <f>IF(T_EMPLOYEES[[#This Row],[EMPLOYEE NUMBER]]="","",IF(AND(T_EMPLOYEES[[#This Row],[DATE OF BIRTH]]&gt;0,T_EMPLOYEES[[#This Row],[DATE OF BIRTH]]&lt;TODAY()),0,1))</f>
        <v/>
      </c>
      <c r="AD535">
        <f>IF(T_EMPLOYEES[[#This Row],[EMPLOYEE NUMBER]]="","",IF(AND(T_EMPLOYEES[[#This Row],[START DATE]]&gt;0,T_EMPLOYEES[[#This Row],[START DATE]]&lt;TODAY()+60),0,1))</f>
        <v/>
      </c>
      <c r="AE535">
        <f>IF(T_EMPLOYEES[[#This Row],[EMPLOYEE NUMBER]]="","",MATCH(T_EMPLOYEES[[#This Row],[GENDER]],L_GENDER,0))</f>
        <v/>
      </c>
      <c r="AF535">
        <f>IF(T_EMPLOYEES[[#This Row],[EMPLOYEE NUMBER]]="","",MATCH(T_EMPLOYEES[[#This Row],[HIRE SOURCE]],L_HIRESOURCE,0))</f>
        <v/>
      </c>
      <c r="AG535">
        <f>IF(T_EMPLOYEES[[#This Row],[EMPLOYEE NUMBER]]="","",MATCH(T_EMPLOYEES[[#This Row],[ETHNICITY]],L_ETHNICITY,0))</f>
        <v/>
      </c>
      <c r="AH535">
        <f>IF(T_EMPLOYEES[[#This Row],[EMPLOYEE NUMBER]]="","",MATCH(T_EMPLOYEES[[#This Row],[LOCATION]],L_LOCATION,0))</f>
        <v/>
      </c>
      <c r="AI535">
        <f>IF(T_EMPLOYEES[[#This Row],[EMPLOYEE NUMBER]]="","",MATCH(T_EMPLOYEES[[#This Row],[DEPARTMENT]],L_DEPARTMENT,0))</f>
        <v/>
      </c>
      <c r="AJ535">
        <f>IF(T_EMPLOYEES[[#This Row],[EMPLOYEE NUMBER]]="","",MATCH(T_EMPLOYEES[[#This Row],[JOB TYPE]],L_JOBTYPE,0))</f>
        <v/>
      </c>
      <c r="AK535">
        <f>IF(T_EMPLOYEES[[#This Row],[EMPLOYEE NUMBER]]="","",MATCH(T_EMPLOYEES[[#This Row],[JOB CATEGORY]],L_JOBCATEGORY,0))</f>
        <v/>
      </c>
      <c r="AL535">
        <f>IF(T_EMPLOYEES[[#This Row],[EMPLOYEE NUMBER]]="","",MATCH(T_EMPLOYEES[[#This Row],[JOB LEVEL]],L_JOBLEVEL,0))</f>
        <v/>
      </c>
      <c r="AM535">
        <f>IF(T_EMPLOYEES[[#This Row],[EMPLOYEE NUMBER]]="","",MATCH(T_EMPLOYEES[[#This Row],[JOB TITLE]],L_JOBTITLE,0))</f>
        <v/>
      </c>
      <c r="AN535">
        <f>IF(T_EMPLOYEES[[#This Row],[EMPLOYEE NUMBER]]="","",MATCH(T_EMPLOYEES[[#This Row],[MANAGER]],L_EMPLABELS,0))</f>
        <v/>
      </c>
      <c r="AO535">
        <f>IF(T_EMPLOYEES[[#This Row],[EMPLOYEE NUMBER]]="","",IF(T_EMPLOYEES[[#This Row],[ERROR]]="",0,1))</f>
        <v/>
      </c>
      <c r="AP53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35" t="inlineStr">
        <is>
          <t>Claims Financial</t>
        </is>
      </c>
    </row>
    <row r="536">
      <c r="A536" t="inlineStr">
        <is>
          <t>Devara</t>
        </is>
      </c>
      <c r="B536" t="inlineStr">
        <is>
          <t>Sireesha</t>
        </is>
      </c>
      <c r="C536" t="n">
        <v>1029917</v>
      </c>
      <c r="D536" t="inlineStr">
        <is>
          <t>Sireesha.Devara@infinite.com</t>
        </is>
      </c>
      <c r="E536" s="26" t="n">
        <v>37024</v>
      </c>
      <c r="F536" s="26" t="n">
        <v>44791</v>
      </c>
      <c r="H536" t="inlineStr">
        <is>
          <t>Female</t>
        </is>
      </c>
      <c r="I536" t="inlineStr">
        <is>
          <t>Asian</t>
        </is>
      </c>
      <c r="J536" t="inlineStr">
        <is>
          <t>WEBSITE</t>
        </is>
      </c>
      <c r="K536" t="inlineStr">
        <is>
          <t>Hyderabad</t>
        </is>
      </c>
      <c r="L536" s="27" t="inlineStr">
        <is>
          <t>Core</t>
        </is>
      </c>
      <c r="M536" t="inlineStr">
        <is>
          <t>Full-Time</t>
        </is>
      </c>
      <c r="N536" t="inlineStr">
        <is>
          <t>Associate Software Engineer</t>
        </is>
      </c>
      <c r="O536" t="inlineStr">
        <is>
          <t>E1</t>
        </is>
      </c>
      <c r="P536" t="inlineStr">
        <is>
          <t>Associate Software Engineer</t>
        </is>
      </c>
      <c r="Q536" t="inlineStr">
        <is>
          <t>Dipakbhai Motibhai Tandel (1027230)</t>
        </is>
      </c>
      <c r="R536" s="27" t="n">
        <v>0</v>
      </c>
      <c r="S536" s="1" t="n">
        <v>1200000</v>
      </c>
      <c r="T536" s="1">
        <f>ROUND(T_EMPLOYEES[[#This Row],[EMP_CTC1]]/12, 0)</f>
        <v/>
      </c>
      <c r="U536" s="1" t="n">
        <v>1000000</v>
      </c>
      <c r="V536" s="1" t="inlineStr">
        <is>
          <t>NH</t>
        </is>
      </c>
      <c r="W536" s="1" t="inlineStr">
        <is>
          <t>NH</t>
        </is>
      </c>
      <c r="X53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6" t="n">
        <v>120000</v>
      </c>
      <c r="Z536" s="29">
        <f>(S536 - U536)/S536 * 100</f>
        <v/>
      </c>
      <c r="AA536">
        <f>IF(T_EMPLOYEES[[#This Row],[EMPLOYEE NUMBER]]="","",ROW(T_EMPLOYEES[[#This Row],[EMPLOYEE LABEL]])-ROW(T_EMPLOYEES[[#Headers],[EMPLOYEE LABEL]]))</f>
        <v/>
      </c>
      <c r="AB536">
        <f>IF(T_EMPLOYEES[[#This Row],[EMPLOYEE NUMBER]]="","",IF(COUNTIF(T_EMPLOYEES[EMPLOYEE NUMBER],T_EMPLOYEES[[#This Row],[EMPLOYEE NUMBER]])&gt;1,1,0))</f>
        <v/>
      </c>
      <c r="AC536">
        <f>IF(T_EMPLOYEES[[#This Row],[EMPLOYEE NUMBER]]="","",IF(AND(T_EMPLOYEES[[#This Row],[DATE OF BIRTH]]&gt;0,T_EMPLOYEES[[#This Row],[DATE OF BIRTH]]&lt;TODAY()),0,1))</f>
        <v/>
      </c>
      <c r="AD536">
        <f>IF(T_EMPLOYEES[[#This Row],[EMPLOYEE NUMBER]]="","",IF(AND(T_EMPLOYEES[[#This Row],[START DATE]]&gt;0,T_EMPLOYEES[[#This Row],[START DATE]]&lt;TODAY()+60),0,1))</f>
        <v/>
      </c>
      <c r="AE536">
        <f>IF(T_EMPLOYEES[[#This Row],[EMPLOYEE NUMBER]]="","",MATCH(T_EMPLOYEES[[#This Row],[GENDER]],L_GENDER,0))</f>
        <v/>
      </c>
      <c r="AF536">
        <f>IF(T_EMPLOYEES[[#This Row],[EMPLOYEE NUMBER]]="","",MATCH(T_EMPLOYEES[[#This Row],[HIRE SOURCE]],L_HIRESOURCE,0))</f>
        <v/>
      </c>
      <c r="AG536">
        <f>IF(T_EMPLOYEES[[#This Row],[EMPLOYEE NUMBER]]="","",MATCH(T_EMPLOYEES[[#This Row],[ETHNICITY]],L_ETHNICITY,0))</f>
        <v/>
      </c>
      <c r="AH536">
        <f>IF(T_EMPLOYEES[[#This Row],[EMPLOYEE NUMBER]]="","",MATCH(T_EMPLOYEES[[#This Row],[LOCATION]],L_LOCATION,0))</f>
        <v/>
      </c>
      <c r="AI536">
        <f>IF(T_EMPLOYEES[[#This Row],[EMPLOYEE NUMBER]]="","",MATCH(T_EMPLOYEES[[#This Row],[DEPARTMENT]],L_DEPARTMENT,0))</f>
        <v/>
      </c>
      <c r="AJ536">
        <f>IF(T_EMPLOYEES[[#This Row],[EMPLOYEE NUMBER]]="","",MATCH(T_EMPLOYEES[[#This Row],[JOB TYPE]],L_JOBTYPE,0))</f>
        <v/>
      </c>
      <c r="AK536">
        <f>IF(T_EMPLOYEES[[#This Row],[EMPLOYEE NUMBER]]="","",MATCH(T_EMPLOYEES[[#This Row],[JOB CATEGORY]],L_JOBCATEGORY,0))</f>
        <v/>
      </c>
      <c r="AL536">
        <f>IF(T_EMPLOYEES[[#This Row],[EMPLOYEE NUMBER]]="","",MATCH(T_EMPLOYEES[[#This Row],[JOB LEVEL]],L_JOBLEVEL,0))</f>
        <v/>
      </c>
      <c r="AM536">
        <f>IF(T_EMPLOYEES[[#This Row],[EMPLOYEE NUMBER]]="","",MATCH(T_EMPLOYEES[[#This Row],[JOB TITLE]],L_JOBTITLE,0))</f>
        <v/>
      </c>
      <c r="AN536">
        <f>IF(T_EMPLOYEES[[#This Row],[EMPLOYEE NUMBER]]="","",MATCH(T_EMPLOYEES[[#This Row],[MANAGER]],L_EMPLABELS,0))</f>
        <v/>
      </c>
      <c r="AO536">
        <f>IF(T_EMPLOYEES[[#This Row],[EMPLOYEE NUMBER]]="","",IF(T_EMPLOYEES[[#This Row],[ERROR]]="",0,1))</f>
        <v/>
      </c>
      <c r="AP53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7">
      <c r="A537" t="inlineStr">
        <is>
          <t>Ansal</t>
        </is>
      </c>
      <c r="B537" t="inlineStr">
        <is>
          <t>Prajnadeepta</t>
        </is>
      </c>
      <c r="C537" t="n">
        <v>1033207</v>
      </c>
      <c r="D537" t="inlineStr">
        <is>
          <t>Ansal.Prajnadeepta@infinite.com</t>
        </is>
      </c>
      <c r="E537" s="26" t="n">
        <v>37024</v>
      </c>
      <c r="F537" s="26" t="n">
        <v>45155</v>
      </c>
      <c r="H537" t="inlineStr">
        <is>
          <t>Male</t>
        </is>
      </c>
      <c r="I537" t="inlineStr">
        <is>
          <t>Asian</t>
        </is>
      </c>
      <c r="J537" t="inlineStr">
        <is>
          <t>WEBSITE</t>
        </is>
      </c>
      <c r="K537" t="inlineStr">
        <is>
          <t>Bangalore</t>
        </is>
      </c>
      <c r="L537" s="27" t="inlineStr">
        <is>
          <t>Core</t>
        </is>
      </c>
      <c r="M537" t="inlineStr">
        <is>
          <t>Full-Time</t>
        </is>
      </c>
      <c r="N537" t="inlineStr">
        <is>
          <t>Associate Software Engineer</t>
        </is>
      </c>
      <c r="O537" t="inlineStr">
        <is>
          <t>E1</t>
        </is>
      </c>
      <c r="P537" t="inlineStr">
        <is>
          <t>Associate Software Engineer</t>
        </is>
      </c>
      <c r="Q537" t="inlineStr">
        <is>
          <t>Dipakbhai Motibhai Tandel (1027230)</t>
        </is>
      </c>
      <c r="R537" t="n">
        <v>0</v>
      </c>
      <c r="S537" s="1" t="n">
        <v>1200000</v>
      </c>
      <c r="T537" s="1">
        <f>ROUND(T_EMPLOYEES[[#This Row],[EMP_CTC1]]/12, 0)</f>
        <v/>
      </c>
      <c r="U537" s="1" t="n">
        <v>1000000</v>
      </c>
      <c r="V537" s="1" t="inlineStr">
        <is>
          <t>NH</t>
        </is>
      </c>
      <c r="W537" s="1" t="inlineStr">
        <is>
          <t>NH</t>
        </is>
      </c>
      <c r="X53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7" t="n">
        <v>120000</v>
      </c>
      <c r="Z537" s="29">
        <f>(S537 - U537)/S537 * 100</f>
        <v/>
      </c>
      <c r="AA537">
        <f>IF(T_EMPLOYEES[[#This Row],[EMPLOYEE NUMBER]]="","",ROW(T_EMPLOYEES[[#This Row],[EMPLOYEE LABEL]])-ROW(T_EMPLOYEES[[#Headers],[EMPLOYEE LABEL]]))</f>
        <v/>
      </c>
      <c r="AB537">
        <f>IF(T_EMPLOYEES[[#This Row],[EMPLOYEE NUMBER]]="","",IF(COUNTIF(T_EMPLOYEES[EMPLOYEE NUMBER],T_EMPLOYEES[[#This Row],[EMPLOYEE NUMBER]])&gt;1,1,0))</f>
        <v/>
      </c>
      <c r="AC537">
        <f>IF(T_EMPLOYEES[[#This Row],[EMPLOYEE NUMBER]]="","",IF(AND(T_EMPLOYEES[[#This Row],[DATE OF BIRTH]]&gt;0,T_EMPLOYEES[[#This Row],[DATE OF BIRTH]]&lt;TODAY()),0,1))</f>
        <v/>
      </c>
      <c r="AD537">
        <f>IF(T_EMPLOYEES[[#This Row],[EMPLOYEE NUMBER]]="","",IF(AND(T_EMPLOYEES[[#This Row],[START DATE]]&gt;0,T_EMPLOYEES[[#This Row],[START DATE]]&lt;TODAY()+60),0,1))</f>
        <v/>
      </c>
      <c r="AE537">
        <f>IF(T_EMPLOYEES[[#This Row],[EMPLOYEE NUMBER]]="","",MATCH(T_EMPLOYEES[[#This Row],[GENDER]],L_GENDER,0))</f>
        <v/>
      </c>
      <c r="AF537">
        <f>IF(T_EMPLOYEES[[#This Row],[EMPLOYEE NUMBER]]="","",MATCH(T_EMPLOYEES[[#This Row],[HIRE SOURCE]],L_HIRESOURCE,0))</f>
        <v/>
      </c>
      <c r="AG537">
        <f>IF(T_EMPLOYEES[[#This Row],[EMPLOYEE NUMBER]]="","",MATCH(T_EMPLOYEES[[#This Row],[ETHNICITY]],L_ETHNICITY,0))</f>
        <v/>
      </c>
      <c r="AH537">
        <f>IF(T_EMPLOYEES[[#This Row],[EMPLOYEE NUMBER]]="","",MATCH(T_EMPLOYEES[[#This Row],[LOCATION]],L_LOCATION,0))</f>
        <v/>
      </c>
      <c r="AI537">
        <f>IF(T_EMPLOYEES[[#This Row],[EMPLOYEE NUMBER]]="","",MATCH(T_EMPLOYEES[[#This Row],[DEPARTMENT]],L_DEPARTMENT,0))</f>
        <v/>
      </c>
      <c r="AJ537">
        <f>IF(T_EMPLOYEES[[#This Row],[EMPLOYEE NUMBER]]="","",MATCH(T_EMPLOYEES[[#This Row],[JOB TYPE]],L_JOBTYPE,0))</f>
        <v/>
      </c>
      <c r="AK537">
        <f>IF(T_EMPLOYEES[[#This Row],[EMPLOYEE NUMBER]]="","",MATCH(T_EMPLOYEES[[#This Row],[JOB CATEGORY]],L_JOBCATEGORY,0))</f>
        <v/>
      </c>
      <c r="AL537">
        <f>IF(T_EMPLOYEES[[#This Row],[EMPLOYEE NUMBER]]="","",MATCH(T_EMPLOYEES[[#This Row],[JOB LEVEL]],L_JOBLEVEL,0))</f>
        <v/>
      </c>
      <c r="AM537">
        <f>IF(T_EMPLOYEES[[#This Row],[EMPLOYEE NUMBER]]="","",MATCH(T_EMPLOYEES[[#This Row],[JOB TITLE]],L_JOBTITLE,0))</f>
        <v/>
      </c>
      <c r="AN537">
        <f>IF(T_EMPLOYEES[[#This Row],[EMPLOYEE NUMBER]]="","",MATCH(T_EMPLOYEES[[#This Row],[MANAGER]],L_EMPLABELS,0))</f>
        <v/>
      </c>
      <c r="AO537">
        <f>IF(T_EMPLOYEES[[#This Row],[EMPLOYEE NUMBER]]="","",IF(T_EMPLOYEES[[#This Row],[ERROR]]="",0,1))</f>
        <v/>
      </c>
      <c r="AP53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8">
      <c r="A538" t="inlineStr">
        <is>
          <t>Ananya</t>
        </is>
      </c>
      <c r="B538" t="inlineStr">
        <is>
          <t>Routray</t>
        </is>
      </c>
      <c r="C538" t="n">
        <v>1033215</v>
      </c>
      <c r="D538" t="inlineStr">
        <is>
          <t>Ananya.Routray@infinite.com</t>
        </is>
      </c>
      <c r="E538" s="26" t="n">
        <v>37029</v>
      </c>
      <c r="F538" s="26" t="n">
        <v>45155</v>
      </c>
      <c r="H538" t="inlineStr">
        <is>
          <t>Female</t>
        </is>
      </c>
      <c r="I538" t="inlineStr">
        <is>
          <t>Asian</t>
        </is>
      </c>
      <c r="J538" t="inlineStr">
        <is>
          <t>WEBSITE</t>
        </is>
      </c>
      <c r="K538" t="inlineStr">
        <is>
          <t>Bangalore</t>
        </is>
      </c>
      <c r="L538" s="27" t="inlineStr">
        <is>
          <t>Core</t>
        </is>
      </c>
      <c r="M538" t="inlineStr">
        <is>
          <t>Full-Time</t>
        </is>
      </c>
      <c r="N538" t="inlineStr">
        <is>
          <t>Associate Software Engineer</t>
        </is>
      </c>
      <c r="O538" t="inlineStr">
        <is>
          <t>E1</t>
        </is>
      </c>
      <c r="P538" t="inlineStr">
        <is>
          <t>Associate Software Engineer</t>
        </is>
      </c>
      <c r="Q538" t="inlineStr">
        <is>
          <t>Dipakbhai Motibhai Tandel (1027230)</t>
        </is>
      </c>
      <c r="R538" s="27" t="n">
        <v>0</v>
      </c>
      <c r="S538" s="1" t="n">
        <v>1200000</v>
      </c>
      <c r="T538" s="1">
        <f>ROUND(T_EMPLOYEES[[#This Row],[EMP_CTC1]]/12, 0)</f>
        <v/>
      </c>
      <c r="U538" s="1" t="n">
        <v>1000000</v>
      </c>
      <c r="V538" s="1" t="inlineStr">
        <is>
          <t>NH</t>
        </is>
      </c>
      <c r="W538" s="1" t="inlineStr">
        <is>
          <t>NH</t>
        </is>
      </c>
      <c r="X53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8" t="n">
        <v>120000</v>
      </c>
      <c r="Z538" s="29">
        <f>(S538 - U538)/S538 * 100</f>
        <v/>
      </c>
      <c r="AA538">
        <f>IF(T_EMPLOYEES[[#This Row],[EMPLOYEE NUMBER]]="","",ROW(T_EMPLOYEES[[#This Row],[EMPLOYEE LABEL]])-ROW(T_EMPLOYEES[[#Headers],[EMPLOYEE LABEL]]))</f>
        <v/>
      </c>
      <c r="AB538">
        <f>IF(T_EMPLOYEES[[#This Row],[EMPLOYEE NUMBER]]="","",IF(COUNTIF(T_EMPLOYEES[EMPLOYEE NUMBER],T_EMPLOYEES[[#This Row],[EMPLOYEE NUMBER]])&gt;1,1,0))</f>
        <v/>
      </c>
      <c r="AC538">
        <f>IF(T_EMPLOYEES[[#This Row],[EMPLOYEE NUMBER]]="","",IF(AND(T_EMPLOYEES[[#This Row],[DATE OF BIRTH]]&gt;0,T_EMPLOYEES[[#This Row],[DATE OF BIRTH]]&lt;TODAY()),0,1))</f>
        <v/>
      </c>
      <c r="AD538">
        <f>IF(T_EMPLOYEES[[#This Row],[EMPLOYEE NUMBER]]="","",IF(AND(T_EMPLOYEES[[#This Row],[START DATE]]&gt;0,T_EMPLOYEES[[#This Row],[START DATE]]&lt;TODAY()+60),0,1))</f>
        <v/>
      </c>
      <c r="AE538">
        <f>IF(T_EMPLOYEES[[#This Row],[EMPLOYEE NUMBER]]="","",MATCH(T_EMPLOYEES[[#This Row],[GENDER]],L_GENDER,0))</f>
        <v/>
      </c>
      <c r="AF538">
        <f>IF(T_EMPLOYEES[[#This Row],[EMPLOYEE NUMBER]]="","",MATCH(T_EMPLOYEES[[#This Row],[HIRE SOURCE]],L_HIRESOURCE,0))</f>
        <v/>
      </c>
      <c r="AG538">
        <f>IF(T_EMPLOYEES[[#This Row],[EMPLOYEE NUMBER]]="","",MATCH(T_EMPLOYEES[[#This Row],[ETHNICITY]],L_ETHNICITY,0))</f>
        <v/>
      </c>
      <c r="AH538">
        <f>IF(T_EMPLOYEES[[#This Row],[EMPLOYEE NUMBER]]="","",MATCH(T_EMPLOYEES[[#This Row],[LOCATION]],L_LOCATION,0))</f>
        <v/>
      </c>
      <c r="AI538">
        <f>IF(T_EMPLOYEES[[#This Row],[EMPLOYEE NUMBER]]="","",MATCH(T_EMPLOYEES[[#This Row],[DEPARTMENT]],L_DEPARTMENT,0))</f>
        <v/>
      </c>
      <c r="AJ538">
        <f>IF(T_EMPLOYEES[[#This Row],[EMPLOYEE NUMBER]]="","",MATCH(T_EMPLOYEES[[#This Row],[JOB TYPE]],L_JOBTYPE,0))</f>
        <v/>
      </c>
      <c r="AK538">
        <f>IF(T_EMPLOYEES[[#This Row],[EMPLOYEE NUMBER]]="","",MATCH(T_EMPLOYEES[[#This Row],[JOB CATEGORY]],L_JOBCATEGORY,0))</f>
        <v/>
      </c>
      <c r="AL538">
        <f>IF(T_EMPLOYEES[[#This Row],[EMPLOYEE NUMBER]]="","",MATCH(T_EMPLOYEES[[#This Row],[JOB LEVEL]],L_JOBLEVEL,0))</f>
        <v/>
      </c>
      <c r="AM538">
        <f>IF(T_EMPLOYEES[[#This Row],[EMPLOYEE NUMBER]]="","",MATCH(T_EMPLOYEES[[#This Row],[JOB TITLE]],L_JOBTITLE,0))</f>
        <v/>
      </c>
      <c r="AN538">
        <f>IF(T_EMPLOYEES[[#This Row],[EMPLOYEE NUMBER]]="","",MATCH(T_EMPLOYEES[[#This Row],[MANAGER]],L_EMPLABELS,0))</f>
        <v/>
      </c>
      <c r="AO538">
        <f>IF(T_EMPLOYEES[[#This Row],[EMPLOYEE NUMBER]]="","",IF(T_EMPLOYEES[[#This Row],[ERROR]]="",0,1))</f>
        <v/>
      </c>
      <c r="AP53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39">
      <c r="A539" t="inlineStr">
        <is>
          <t>Gumma</t>
        </is>
      </c>
      <c r="B539" t="inlineStr">
        <is>
          <t>Bhargavi</t>
        </is>
      </c>
      <c r="C539" t="n">
        <v>1030240</v>
      </c>
      <c r="D539" t="inlineStr">
        <is>
          <t>Gumma.Bhargavi@infinite.com</t>
        </is>
      </c>
      <c r="E539" s="26" t="n">
        <v>37030</v>
      </c>
      <c r="F539" s="26" t="n">
        <v>44819</v>
      </c>
      <c r="H539" t="inlineStr">
        <is>
          <t>Female</t>
        </is>
      </c>
      <c r="I539" t="inlineStr">
        <is>
          <t>Asian</t>
        </is>
      </c>
      <c r="J539" t="inlineStr">
        <is>
          <t>WEBSITE</t>
        </is>
      </c>
      <c r="K539" t="inlineStr">
        <is>
          <t>Bangalore</t>
        </is>
      </c>
      <c r="L539" s="27" t="inlineStr">
        <is>
          <t>Core</t>
        </is>
      </c>
      <c r="M539" t="inlineStr">
        <is>
          <t>Full-Time</t>
        </is>
      </c>
      <c r="N539" t="inlineStr">
        <is>
          <t>Associate Software Engineer</t>
        </is>
      </c>
      <c r="O539" t="inlineStr">
        <is>
          <t>E1</t>
        </is>
      </c>
      <c r="P539" t="inlineStr">
        <is>
          <t>Associate Software Engineer</t>
        </is>
      </c>
      <c r="Q539" t="inlineStr">
        <is>
          <t>Anil Kumar Khamari (1013201)</t>
        </is>
      </c>
      <c r="R539" t="n">
        <v>0</v>
      </c>
      <c r="S539" s="1" t="n">
        <v>1200000</v>
      </c>
      <c r="T539" s="1">
        <f>ROUND(T_EMPLOYEES[[#This Row],[EMP_CTC1]]/12, 0)</f>
        <v/>
      </c>
      <c r="U539" s="1" t="n">
        <v>1000000</v>
      </c>
      <c r="V539" s="1" t="inlineStr">
        <is>
          <t>NH</t>
        </is>
      </c>
      <c r="W539" s="1" t="inlineStr">
        <is>
          <t>NH</t>
        </is>
      </c>
      <c r="X53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39" t="n">
        <v>120000</v>
      </c>
      <c r="Z539" s="29">
        <f>(S539 - U539)/S539 * 100</f>
        <v/>
      </c>
      <c r="AA539">
        <f>IF(T_EMPLOYEES[[#This Row],[EMPLOYEE NUMBER]]="","",ROW(T_EMPLOYEES[[#This Row],[EMPLOYEE LABEL]])-ROW(T_EMPLOYEES[[#Headers],[EMPLOYEE LABEL]]))</f>
        <v/>
      </c>
      <c r="AB539">
        <f>IF(T_EMPLOYEES[[#This Row],[EMPLOYEE NUMBER]]="","",IF(COUNTIF(T_EMPLOYEES[EMPLOYEE NUMBER],T_EMPLOYEES[[#This Row],[EMPLOYEE NUMBER]])&gt;1,1,0))</f>
        <v/>
      </c>
      <c r="AC539">
        <f>IF(T_EMPLOYEES[[#This Row],[EMPLOYEE NUMBER]]="","",IF(AND(T_EMPLOYEES[[#This Row],[DATE OF BIRTH]]&gt;0,T_EMPLOYEES[[#This Row],[DATE OF BIRTH]]&lt;TODAY()),0,1))</f>
        <v/>
      </c>
      <c r="AD539">
        <f>IF(T_EMPLOYEES[[#This Row],[EMPLOYEE NUMBER]]="","",IF(AND(T_EMPLOYEES[[#This Row],[START DATE]]&gt;0,T_EMPLOYEES[[#This Row],[START DATE]]&lt;TODAY()+60),0,1))</f>
        <v/>
      </c>
      <c r="AE539">
        <f>IF(T_EMPLOYEES[[#This Row],[EMPLOYEE NUMBER]]="","",MATCH(T_EMPLOYEES[[#This Row],[GENDER]],L_GENDER,0))</f>
        <v/>
      </c>
      <c r="AF539">
        <f>IF(T_EMPLOYEES[[#This Row],[EMPLOYEE NUMBER]]="","",MATCH(T_EMPLOYEES[[#This Row],[HIRE SOURCE]],L_HIRESOURCE,0))</f>
        <v/>
      </c>
      <c r="AG539">
        <f>IF(T_EMPLOYEES[[#This Row],[EMPLOYEE NUMBER]]="","",MATCH(T_EMPLOYEES[[#This Row],[ETHNICITY]],L_ETHNICITY,0))</f>
        <v/>
      </c>
      <c r="AH539">
        <f>IF(T_EMPLOYEES[[#This Row],[EMPLOYEE NUMBER]]="","",MATCH(T_EMPLOYEES[[#This Row],[LOCATION]],L_LOCATION,0))</f>
        <v/>
      </c>
      <c r="AI539">
        <f>IF(T_EMPLOYEES[[#This Row],[EMPLOYEE NUMBER]]="","",MATCH(T_EMPLOYEES[[#This Row],[DEPARTMENT]],L_DEPARTMENT,0))</f>
        <v/>
      </c>
      <c r="AJ539">
        <f>IF(T_EMPLOYEES[[#This Row],[EMPLOYEE NUMBER]]="","",MATCH(T_EMPLOYEES[[#This Row],[JOB TYPE]],L_JOBTYPE,0))</f>
        <v/>
      </c>
      <c r="AK539">
        <f>IF(T_EMPLOYEES[[#This Row],[EMPLOYEE NUMBER]]="","",MATCH(T_EMPLOYEES[[#This Row],[JOB CATEGORY]],L_JOBCATEGORY,0))</f>
        <v/>
      </c>
      <c r="AL539">
        <f>IF(T_EMPLOYEES[[#This Row],[EMPLOYEE NUMBER]]="","",MATCH(T_EMPLOYEES[[#This Row],[JOB LEVEL]],L_JOBLEVEL,0))</f>
        <v/>
      </c>
      <c r="AM539">
        <f>IF(T_EMPLOYEES[[#This Row],[EMPLOYEE NUMBER]]="","",MATCH(T_EMPLOYEES[[#This Row],[JOB TITLE]],L_JOBTITLE,0))</f>
        <v/>
      </c>
      <c r="AN539">
        <f>IF(T_EMPLOYEES[[#This Row],[EMPLOYEE NUMBER]]="","",MATCH(T_EMPLOYEES[[#This Row],[MANAGER]],L_EMPLABELS,0))</f>
        <v/>
      </c>
      <c r="AO539">
        <f>IF(T_EMPLOYEES[[#This Row],[EMPLOYEE NUMBER]]="","",IF(T_EMPLOYEES[[#This Row],[ERROR]]="",0,1))</f>
        <v/>
      </c>
      <c r="AP53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0">
      <c r="A540" t="inlineStr">
        <is>
          <t>Shirisha</t>
        </is>
      </c>
      <c r="B540" t="inlineStr">
        <is>
          <t>Paloju</t>
        </is>
      </c>
      <c r="C540" t="n">
        <v>1033266</v>
      </c>
      <c r="D540" t="inlineStr">
        <is>
          <t>Shirisha.Paloju@infinite.com</t>
        </is>
      </c>
      <c r="E540" s="26" t="n">
        <v>37031</v>
      </c>
      <c r="F540" s="26" t="n">
        <v>45155</v>
      </c>
      <c r="H540" t="inlineStr">
        <is>
          <t>Female</t>
        </is>
      </c>
      <c r="I540" t="inlineStr">
        <is>
          <t>Asian</t>
        </is>
      </c>
      <c r="J540" t="inlineStr">
        <is>
          <t>WEBSITE</t>
        </is>
      </c>
      <c r="K540" t="inlineStr">
        <is>
          <t>Bangalore</t>
        </is>
      </c>
      <c r="L540" s="27" t="inlineStr">
        <is>
          <t>Core</t>
        </is>
      </c>
      <c r="M540" t="inlineStr">
        <is>
          <t>Full-Time</t>
        </is>
      </c>
      <c r="N540" t="inlineStr">
        <is>
          <t>Associate Software Engineer</t>
        </is>
      </c>
      <c r="O540" t="inlineStr">
        <is>
          <t>E1</t>
        </is>
      </c>
      <c r="P540" t="inlineStr">
        <is>
          <t>Associate Software Engineer</t>
        </is>
      </c>
      <c r="Q540" t="inlineStr">
        <is>
          <t>Dipakbhai Motibhai Tandel (1027230)</t>
        </is>
      </c>
      <c r="R540" s="27" t="n">
        <v>0</v>
      </c>
      <c r="S540" s="1" t="n">
        <v>1200000</v>
      </c>
      <c r="T540" s="1">
        <f>ROUND(T_EMPLOYEES[[#This Row],[EMP_CTC1]]/12, 0)</f>
        <v/>
      </c>
      <c r="U540" s="1" t="n">
        <v>1000000</v>
      </c>
      <c r="V540" s="1" t="inlineStr">
        <is>
          <t>NH</t>
        </is>
      </c>
      <c r="W540" s="1" t="inlineStr">
        <is>
          <t>NH</t>
        </is>
      </c>
      <c r="X54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0" t="n">
        <v>120000</v>
      </c>
      <c r="Z540" s="29">
        <f>(S540 - U540)/S540 * 100</f>
        <v/>
      </c>
      <c r="AA540">
        <f>IF(T_EMPLOYEES[[#This Row],[EMPLOYEE NUMBER]]="","",ROW(T_EMPLOYEES[[#This Row],[EMPLOYEE LABEL]])-ROW(T_EMPLOYEES[[#Headers],[EMPLOYEE LABEL]]))</f>
        <v/>
      </c>
      <c r="AB540">
        <f>IF(T_EMPLOYEES[[#This Row],[EMPLOYEE NUMBER]]="","",IF(COUNTIF(T_EMPLOYEES[EMPLOYEE NUMBER],T_EMPLOYEES[[#This Row],[EMPLOYEE NUMBER]])&gt;1,1,0))</f>
        <v/>
      </c>
      <c r="AC540">
        <f>IF(T_EMPLOYEES[[#This Row],[EMPLOYEE NUMBER]]="","",IF(AND(T_EMPLOYEES[[#This Row],[DATE OF BIRTH]]&gt;0,T_EMPLOYEES[[#This Row],[DATE OF BIRTH]]&lt;TODAY()),0,1))</f>
        <v/>
      </c>
      <c r="AD540">
        <f>IF(T_EMPLOYEES[[#This Row],[EMPLOYEE NUMBER]]="","",IF(AND(T_EMPLOYEES[[#This Row],[START DATE]]&gt;0,T_EMPLOYEES[[#This Row],[START DATE]]&lt;TODAY()+60),0,1))</f>
        <v/>
      </c>
      <c r="AE540">
        <f>IF(T_EMPLOYEES[[#This Row],[EMPLOYEE NUMBER]]="","",MATCH(T_EMPLOYEES[[#This Row],[GENDER]],L_GENDER,0))</f>
        <v/>
      </c>
      <c r="AF540">
        <f>IF(T_EMPLOYEES[[#This Row],[EMPLOYEE NUMBER]]="","",MATCH(T_EMPLOYEES[[#This Row],[HIRE SOURCE]],L_HIRESOURCE,0))</f>
        <v/>
      </c>
      <c r="AG540">
        <f>IF(T_EMPLOYEES[[#This Row],[EMPLOYEE NUMBER]]="","",MATCH(T_EMPLOYEES[[#This Row],[ETHNICITY]],L_ETHNICITY,0))</f>
        <v/>
      </c>
      <c r="AH540">
        <f>IF(T_EMPLOYEES[[#This Row],[EMPLOYEE NUMBER]]="","",MATCH(T_EMPLOYEES[[#This Row],[LOCATION]],L_LOCATION,0))</f>
        <v/>
      </c>
      <c r="AI540">
        <f>IF(T_EMPLOYEES[[#This Row],[EMPLOYEE NUMBER]]="","",MATCH(T_EMPLOYEES[[#This Row],[DEPARTMENT]],L_DEPARTMENT,0))</f>
        <v/>
      </c>
      <c r="AJ540">
        <f>IF(T_EMPLOYEES[[#This Row],[EMPLOYEE NUMBER]]="","",MATCH(T_EMPLOYEES[[#This Row],[JOB TYPE]],L_JOBTYPE,0))</f>
        <v/>
      </c>
      <c r="AK540">
        <f>IF(T_EMPLOYEES[[#This Row],[EMPLOYEE NUMBER]]="","",MATCH(T_EMPLOYEES[[#This Row],[JOB CATEGORY]],L_JOBCATEGORY,0))</f>
        <v/>
      </c>
      <c r="AL540">
        <f>IF(T_EMPLOYEES[[#This Row],[EMPLOYEE NUMBER]]="","",MATCH(T_EMPLOYEES[[#This Row],[JOB LEVEL]],L_JOBLEVEL,0))</f>
        <v/>
      </c>
      <c r="AM540">
        <f>IF(T_EMPLOYEES[[#This Row],[EMPLOYEE NUMBER]]="","",MATCH(T_EMPLOYEES[[#This Row],[JOB TITLE]],L_JOBTITLE,0))</f>
        <v/>
      </c>
      <c r="AN540">
        <f>IF(T_EMPLOYEES[[#This Row],[EMPLOYEE NUMBER]]="","",MATCH(T_EMPLOYEES[[#This Row],[MANAGER]],L_EMPLABELS,0))</f>
        <v/>
      </c>
      <c r="AO540">
        <f>IF(T_EMPLOYEES[[#This Row],[EMPLOYEE NUMBER]]="","",IF(T_EMPLOYEES[[#This Row],[ERROR]]="",0,1))</f>
        <v/>
      </c>
      <c r="AP54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40" t="inlineStr">
        <is>
          <t>EDI</t>
        </is>
      </c>
    </row>
    <row r="541">
      <c r="A541" t="inlineStr">
        <is>
          <t>Rajesh</t>
        </is>
      </c>
      <c r="B541" t="inlineStr">
        <is>
          <t>Kumar M</t>
        </is>
      </c>
      <c r="C541" t="n">
        <v>1027422</v>
      </c>
      <c r="D541" t="inlineStr">
        <is>
          <t>Rajesh.Mohan@infinite.com</t>
        </is>
      </c>
      <c r="E541" s="26" t="n">
        <v>37039</v>
      </c>
      <c r="F541" s="26" t="n">
        <v>44531</v>
      </c>
      <c r="H541" t="inlineStr">
        <is>
          <t>Male</t>
        </is>
      </c>
      <c r="I541" t="inlineStr">
        <is>
          <t>Asian</t>
        </is>
      </c>
      <c r="J541" t="inlineStr">
        <is>
          <t>WEBSITE</t>
        </is>
      </c>
      <c r="K541" t="inlineStr">
        <is>
          <t>Bangalore</t>
        </is>
      </c>
      <c r="L541" s="27" t="inlineStr">
        <is>
          <t>Core</t>
        </is>
      </c>
      <c r="M541" t="inlineStr">
        <is>
          <t>Full-Time</t>
        </is>
      </c>
      <c r="N541" t="inlineStr">
        <is>
          <t>Software Engineer</t>
        </is>
      </c>
      <c r="O541" t="inlineStr">
        <is>
          <t>E2</t>
        </is>
      </c>
      <c r="P541" t="inlineStr">
        <is>
          <t>Software Engineer</t>
        </is>
      </c>
      <c r="Q541" t="inlineStr">
        <is>
          <t>Kishore Kumar N (1019765)</t>
        </is>
      </c>
      <c r="R541" t="n">
        <v>4</v>
      </c>
      <c r="S541" s="1" t="n">
        <v>1200000</v>
      </c>
      <c r="T541" s="1">
        <f>ROUND(T_EMPLOYEES[[#This Row],[EMP_CTC1]]/12, 0)</f>
        <v/>
      </c>
      <c r="U541" s="1" t="n">
        <v>1000000</v>
      </c>
      <c r="V541" s="1" t="inlineStr">
        <is>
          <t>NH</t>
        </is>
      </c>
      <c r="W541" s="1" t="inlineStr">
        <is>
          <t>NH</t>
        </is>
      </c>
      <c r="X54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1" t="n">
        <v>120000</v>
      </c>
      <c r="Z541" s="29">
        <f>(S541 - U541)/S541 * 100</f>
        <v/>
      </c>
      <c r="AA541">
        <f>IF(T_EMPLOYEES[[#This Row],[EMPLOYEE NUMBER]]="","",ROW(T_EMPLOYEES[[#This Row],[EMPLOYEE LABEL]])-ROW(T_EMPLOYEES[[#Headers],[EMPLOYEE LABEL]]))</f>
        <v/>
      </c>
      <c r="AB541">
        <f>IF(T_EMPLOYEES[[#This Row],[EMPLOYEE NUMBER]]="","",IF(COUNTIF(T_EMPLOYEES[EMPLOYEE NUMBER],T_EMPLOYEES[[#This Row],[EMPLOYEE NUMBER]])&gt;1,1,0))</f>
        <v/>
      </c>
      <c r="AC541">
        <f>IF(T_EMPLOYEES[[#This Row],[EMPLOYEE NUMBER]]="","",IF(AND(T_EMPLOYEES[[#This Row],[DATE OF BIRTH]]&gt;0,T_EMPLOYEES[[#This Row],[DATE OF BIRTH]]&lt;TODAY()),0,1))</f>
        <v/>
      </c>
      <c r="AD541">
        <f>IF(T_EMPLOYEES[[#This Row],[EMPLOYEE NUMBER]]="","",IF(AND(T_EMPLOYEES[[#This Row],[START DATE]]&gt;0,T_EMPLOYEES[[#This Row],[START DATE]]&lt;TODAY()+60),0,1))</f>
        <v/>
      </c>
      <c r="AE541">
        <f>IF(T_EMPLOYEES[[#This Row],[EMPLOYEE NUMBER]]="","",MATCH(T_EMPLOYEES[[#This Row],[GENDER]],L_GENDER,0))</f>
        <v/>
      </c>
      <c r="AF541">
        <f>IF(T_EMPLOYEES[[#This Row],[EMPLOYEE NUMBER]]="","",MATCH(T_EMPLOYEES[[#This Row],[HIRE SOURCE]],L_HIRESOURCE,0))</f>
        <v/>
      </c>
      <c r="AG541">
        <f>IF(T_EMPLOYEES[[#This Row],[EMPLOYEE NUMBER]]="","",MATCH(T_EMPLOYEES[[#This Row],[ETHNICITY]],L_ETHNICITY,0))</f>
        <v/>
      </c>
      <c r="AH541">
        <f>IF(T_EMPLOYEES[[#This Row],[EMPLOYEE NUMBER]]="","",MATCH(T_EMPLOYEES[[#This Row],[LOCATION]],L_LOCATION,0))</f>
        <v/>
      </c>
      <c r="AI541">
        <f>IF(T_EMPLOYEES[[#This Row],[EMPLOYEE NUMBER]]="","",MATCH(T_EMPLOYEES[[#This Row],[DEPARTMENT]],L_DEPARTMENT,0))</f>
        <v/>
      </c>
      <c r="AJ541">
        <f>IF(T_EMPLOYEES[[#This Row],[EMPLOYEE NUMBER]]="","",MATCH(T_EMPLOYEES[[#This Row],[JOB TYPE]],L_JOBTYPE,0))</f>
        <v/>
      </c>
      <c r="AK541">
        <f>IF(T_EMPLOYEES[[#This Row],[EMPLOYEE NUMBER]]="","",MATCH(T_EMPLOYEES[[#This Row],[JOB CATEGORY]],L_JOBCATEGORY,0))</f>
        <v/>
      </c>
      <c r="AL541">
        <f>IF(T_EMPLOYEES[[#This Row],[EMPLOYEE NUMBER]]="","",MATCH(T_EMPLOYEES[[#This Row],[JOB LEVEL]],L_JOBLEVEL,0))</f>
        <v/>
      </c>
      <c r="AM541">
        <f>IF(T_EMPLOYEES[[#This Row],[EMPLOYEE NUMBER]]="","",MATCH(T_EMPLOYEES[[#This Row],[JOB TITLE]],L_JOBTITLE,0))</f>
        <v/>
      </c>
      <c r="AN541">
        <f>IF(T_EMPLOYEES[[#This Row],[EMPLOYEE NUMBER]]="","",MATCH(T_EMPLOYEES[[#This Row],[MANAGER]],L_EMPLABELS,0))</f>
        <v/>
      </c>
      <c r="AO541">
        <f>IF(T_EMPLOYEES[[#This Row],[EMPLOYEE NUMBER]]="","",IF(T_EMPLOYEES[[#This Row],[ERROR]]="",0,1))</f>
        <v/>
      </c>
      <c r="AP54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41" t="inlineStr">
        <is>
          <t>Data Management</t>
        </is>
      </c>
    </row>
    <row r="542">
      <c r="A542" t="inlineStr">
        <is>
          <t>Kunche</t>
        </is>
      </c>
      <c r="B542" t="inlineStr">
        <is>
          <t>sai kamala</t>
        </is>
      </c>
      <c r="C542" t="n">
        <v>1029901</v>
      </c>
      <c r="D542" t="inlineStr">
        <is>
          <t>Sai.Kunche@infinite.com</t>
        </is>
      </c>
      <c r="E542" s="26" t="n">
        <v>37042</v>
      </c>
      <c r="F542" s="26" t="n">
        <v>44791</v>
      </c>
      <c r="H542" t="inlineStr">
        <is>
          <t>Female</t>
        </is>
      </c>
      <c r="I542" t="inlineStr">
        <is>
          <t>Asian</t>
        </is>
      </c>
      <c r="J542" t="inlineStr">
        <is>
          <t>WEBSITE</t>
        </is>
      </c>
      <c r="K542" t="inlineStr">
        <is>
          <t>Bangalore</t>
        </is>
      </c>
      <c r="L542" s="27" t="inlineStr">
        <is>
          <t>IT</t>
        </is>
      </c>
      <c r="M542" t="inlineStr">
        <is>
          <t>Full-Time</t>
        </is>
      </c>
      <c r="N542" t="inlineStr">
        <is>
          <t>Associate Software Engineer</t>
        </is>
      </c>
      <c r="O542" t="inlineStr">
        <is>
          <t>E1</t>
        </is>
      </c>
      <c r="P542" t="inlineStr">
        <is>
          <t>Associate Software Engineer</t>
        </is>
      </c>
      <c r="Q542" t="inlineStr">
        <is>
          <t>Sunny Bhattacharjee (1025863)</t>
        </is>
      </c>
      <c r="R542" s="27" t="n">
        <v>0</v>
      </c>
      <c r="S542" s="1" t="n">
        <v>1200000</v>
      </c>
      <c r="T542" s="1">
        <f>ROUND(T_EMPLOYEES[[#This Row],[EMP_CTC1]]/12, 0)</f>
        <v/>
      </c>
      <c r="U542" s="1" t="n">
        <v>1000000</v>
      </c>
      <c r="V542" s="1" t="inlineStr">
        <is>
          <t>NH</t>
        </is>
      </c>
      <c r="W542" s="1" t="inlineStr">
        <is>
          <t>NH</t>
        </is>
      </c>
      <c r="X54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2" t="n">
        <v>120000</v>
      </c>
      <c r="Z542" s="29">
        <f>(S542 - U542)/S542 * 100</f>
        <v/>
      </c>
      <c r="AA542">
        <f>IF(T_EMPLOYEES[[#This Row],[EMPLOYEE NUMBER]]="","",ROW(T_EMPLOYEES[[#This Row],[EMPLOYEE LABEL]])-ROW(T_EMPLOYEES[[#Headers],[EMPLOYEE LABEL]]))</f>
        <v/>
      </c>
      <c r="AB542">
        <f>IF(T_EMPLOYEES[[#This Row],[EMPLOYEE NUMBER]]="","",IF(COUNTIF(T_EMPLOYEES[EMPLOYEE NUMBER],T_EMPLOYEES[[#This Row],[EMPLOYEE NUMBER]])&gt;1,1,0))</f>
        <v/>
      </c>
      <c r="AC542">
        <f>IF(T_EMPLOYEES[[#This Row],[EMPLOYEE NUMBER]]="","",IF(AND(T_EMPLOYEES[[#This Row],[DATE OF BIRTH]]&gt;0,T_EMPLOYEES[[#This Row],[DATE OF BIRTH]]&lt;TODAY()),0,1))</f>
        <v/>
      </c>
      <c r="AD542">
        <f>IF(T_EMPLOYEES[[#This Row],[EMPLOYEE NUMBER]]="","",IF(AND(T_EMPLOYEES[[#This Row],[START DATE]]&gt;0,T_EMPLOYEES[[#This Row],[START DATE]]&lt;TODAY()+60),0,1))</f>
        <v/>
      </c>
      <c r="AE542">
        <f>IF(T_EMPLOYEES[[#This Row],[EMPLOYEE NUMBER]]="","",MATCH(T_EMPLOYEES[[#This Row],[GENDER]],L_GENDER,0))</f>
        <v/>
      </c>
      <c r="AF542">
        <f>IF(T_EMPLOYEES[[#This Row],[EMPLOYEE NUMBER]]="","",MATCH(T_EMPLOYEES[[#This Row],[HIRE SOURCE]],L_HIRESOURCE,0))</f>
        <v/>
      </c>
      <c r="AG542">
        <f>IF(T_EMPLOYEES[[#This Row],[EMPLOYEE NUMBER]]="","",MATCH(T_EMPLOYEES[[#This Row],[ETHNICITY]],L_ETHNICITY,0))</f>
        <v/>
      </c>
      <c r="AH542">
        <f>IF(T_EMPLOYEES[[#This Row],[EMPLOYEE NUMBER]]="","",MATCH(T_EMPLOYEES[[#This Row],[LOCATION]],L_LOCATION,0))</f>
        <v/>
      </c>
      <c r="AI542">
        <f>IF(T_EMPLOYEES[[#This Row],[EMPLOYEE NUMBER]]="","",MATCH(T_EMPLOYEES[[#This Row],[DEPARTMENT]],L_DEPARTMENT,0))</f>
        <v/>
      </c>
      <c r="AJ542">
        <f>IF(T_EMPLOYEES[[#This Row],[EMPLOYEE NUMBER]]="","",MATCH(T_EMPLOYEES[[#This Row],[JOB TYPE]],L_JOBTYPE,0))</f>
        <v/>
      </c>
      <c r="AK542">
        <f>IF(T_EMPLOYEES[[#This Row],[EMPLOYEE NUMBER]]="","",MATCH(T_EMPLOYEES[[#This Row],[JOB CATEGORY]],L_JOBCATEGORY,0))</f>
        <v/>
      </c>
      <c r="AL542">
        <f>IF(T_EMPLOYEES[[#This Row],[EMPLOYEE NUMBER]]="","",MATCH(T_EMPLOYEES[[#This Row],[JOB LEVEL]],L_JOBLEVEL,0))</f>
        <v/>
      </c>
      <c r="AM542">
        <f>IF(T_EMPLOYEES[[#This Row],[EMPLOYEE NUMBER]]="","",MATCH(T_EMPLOYEES[[#This Row],[JOB TITLE]],L_JOBTITLE,0))</f>
        <v/>
      </c>
      <c r="AN542">
        <f>IF(T_EMPLOYEES[[#This Row],[EMPLOYEE NUMBER]]="","",MATCH(T_EMPLOYEES[[#This Row],[MANAGER]],L_EMPLABELS,0))</f>
        <v/>
      </c>
      <c r="AO542">
        <f>IF(T_EMPLOYEES[[#This Row],[EMPLOYEE NUMBER]]="","",IF(T_EMPLOYEES[[#This Row],[ERROR]]="",0,1))</f>
        <v/>
      </c>
      <c r="AP54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3">
      <c r="A543" t="inlineStr">
        <is>
          <t>Madhu</t>
        </is>
      </c>
      <c r="B543" t="inlineStr">
        <is>
          <t>Gandham</t>
        </is>
      </c>
      <c r="C543" t="n">
        <v>1029876</v>
      </c>
      <c r="D543" t="inlineStr">
        <is>
          <t>Madhu.Gandham@infinite.com</t>
        </is>
      </c>
      <c r="E543" s="26" t="n">
        <v>37058</v>
      </c>
      <c r="F543" s="26" t="n">
        <v>44791</v>
      </c>
      <c r="H543" t="inlineStr">
        <is>
          <t>Male</t>
        </is>
      </c>
      <c r="I543" t="inlineStr">
        <is>
          <t>Asian</t>
        </is>
      </c>
      <c r="J543" t="inlineStr">
        <is>
          <t>WEBSITE</t>
        </is>
      </c>
      <c r="K543" t="inlineStr">
        <is>
          <t>Bangalore</t>
        </is>
      </c>
      <c r="L543" s="27" t="inlineStr">
        <is>
          <t>Core</t>
        </is>
      </c>
      <c r="M543" t="inlineStr">
        <is>
          <t>Full-Time</t>
        </is>
      </c>
      <c r="N543" t="inlineStr">
        <is>
          <t>Associate Software Engineer</t>
        </is>
      </c>
      <c r="O543" t="inlineStr">
        <is>
          <t>E1</t>
        </is>
      </c>
      <c r="P543" t="inlineStr">
        <is>
          <t>Associate Software Engineer</t>
        </is>
      </c>
      <c r="Q543" t="inlineStr">
        <is>
          <t>Kishore Kumar N (1019765)</t>
        </is>
      </c>
      <c r="R543" t="n">
        <v>0</v>
      </c>
      <c r="S543" s="1" t="n">
        <v>1200000</v>
      </c>
      <c r="T543" s="1">
        <f>ROUND(T_EMPLOYEES[[#This Row],[EMP_CTC1]]/12, 0)</f>
        <v/>
      </c>
      <c r="U543" s="1" t="n">
        <v>1000000</v>
      </c>
      <c r="V543" s="1" t="inlineStr">
        <is>
          <t>NH</t>
        </is>
      </c>
      <c r="W543" s="1" t="inlineStr">
        <is>
          <t>NH</t>
        </is>
      </c>
      <c r="X54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3" t="n">
        <v>120000</v>
      </c>
      <c r="Z543" s="29">
        <f>(S543 - U543)/S543 * 100</f>
        <v/>
      </c>
      <c r="AA543">
        <f>IF(T_EMPLOYEES[[#This Row],[EMPLOYEE NUMBER]]="","",ROW(T_EMPLOYEES[[#This Row],[EMPLOYEE LABEL]])-ROW(T_EMPLOYEES[[#Headers],[EMPLOYEE LABEL]]))</f>
        <v/>
      </c>
      <c r="AB543">
        <f>IF(T_EMPLOYEES[[#This Row],[EMPLOYEE NUMBER]]="","",IF(COUNTIF(T_EMPLOYEES[EMPLOYEE NUMBER],T_EMPLOYEES[[#This Row],[EMPLOYEE NUMBER]])&gt;1,1,0))</f>
        <v/>
      </c>
      <c r="AC543">
        <f>IF(T_EMPLOYEES[[#This Row],[EMPLOYEE NUMBER]]="","",IF(AND(T_EMPLOYEES[[#This Row],[DATE OF BIRTH]]&gt;0,T_EMPLOYEES[[#This Row],[DATE OF BIRTH]]&lt;TODAY()),0,1))</f>
        <v/>
      </c>
      <c r="AD543">
        <f>IF(T_EMPLOYEES[[#This Row],[EMPLOYEE NUMBER]]="","",IF(AND(T_EMPLOYEES[[#This Row],[START DATE]]&gt;0,T_EMPLOYEES[[#This Row],[START DATE]]&lt;TODAY()+60),0,1))</f>
        <v/>
      </c>
      <c r="AE543">
        <f>IF(T_EMPLOYEES[[#This Row],[EMPLOYEE NUMBER]]="","",MATCH(T_EMPLOYEES[[#This Row],[GENDER]],L_GENDER,0))</f>
        <v/>
      </c>
      <c r="AF543">
        <f>IF(T_EMPLOYEES[[#This Row],[EMPLOYEE NUMBER]]="","",MATCH(T_EMPLOYEES[[#This Row],[HIRE SOURCE]],L_HIRESOURCE,0))</f>
        <v/>
      </c>
      <c r="AG543">
        <f>IF(T_EMPLOYEES[[#This Row],[EMPLOYEE NUMBER]]="","",MATCH(T_EMPLOYEES[[#This Row],[ETHNICITY]],L_ETHNICITY,0))</f>
        <v/>
      </c>
      <c r="AH543">
        <f>IF(T_EMPLOYEES[[#This Row],[EMPLOYEE NUMBER]]="","",MATCH(T_EMPLOYEES[[#This Row],[LOCATION]],L_LOCATION,0))</f>
        <v/>
      </c>
      <c r="AI543">
        <f>IF(T_EMPLOYEES[[#This Row],[EMPLOYEE NUMBER]]="","",MATCH(T_EMPLOYEES[[#This Row],[DEPARTMENT]],L_DEPARTMENT,0))</f>
        <v/>
      </c>
      <c r="AJ543">
        <f>IF(T_EMPLOYEES[[#This Row],[EMPLOYEE NUMBER]]="","",MATCH(T_EMPLOYEES[[#This Row],[JOB TYPE]],L_JOBTYPE,0))</f>
        <v/>
      </c>
      <c r="AK543">
        <f>IF(T_EMPLOYEES[[#This Row],[EMPLOYEE NUMBER]]="","",MATCH(T_EMPLOYEES[[#This Row],[JOB CATEGORY]],L_JOBCATEGORY,0))</f>
        <v/>
      </c>
      <c r="AL543">
        <f>IF(T_EMPLOYEES[[#This Row],[EMPLOYEE NUMBER]]="","",MATCH(T_EMPLOYEES[[#This Row],[JOB LEVEL]],L_JOBLEVEL,0))</f>
        <v/>
      </c>
      <c r="AM543">
        <f>IF(T_EMPLOYEES[[#This Row],[EMPLOYEE NUMBER]]="","",MATCH(T_EMPLOYEES[[#This Row],[JOB TITLE]],L_JOBTITLE,0))</f>
        <v/>
      </c>
      <c r="AN543">
        <f>IF(T_EMPLOYEES[[#This Row],[EMPLOYEE NUMBER]]="","",MATCH(T_EMPLOYEES[[#This Row],[MANAGER]],L_EMPLABELS,0))</f>
        <v/>
      </c>
      <c r="AO543">
        <f>IF(T_EMPLOYEES[[#This Row],[EMPLOYEE NUMBER]]="","",IF(T_EMPLOYEES[[#This Row],[ERROR]]="",0,1))</f>
        <v/>
      </c>
      <c r="AP54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43" t="inlineStr">
        <is>
          <t>TMSIS</t>
        </is>
      </c>
    </row>
    <row r="544">
      <c r="A544" t="inlineStr">
        <is>
          <t>Gorrela</t>
        </is>
      </c>
      <c r="B544" t="inlineStr">
        <is>
          <t>Madhenu</t>
        </is>
      </c>
      <c r="C544" t="n">
        <v>1030295</v>
      </c>
      <c r="D544" t="inlineStr">
        <is>
          <t>Gorrela.Madhenu@infinite.com</t>
        </is>
      </c>
      <c r="E544" s="26" t="n">
        <v>37062</v>
      </c>
      <c r="F544" s="26" t="n">
        <v>44819</v>
      </c>
      <c r="H544" t="inlineStr">
        <is>
          <t>Male</t>
        </is>
      </c>
      <c r="I544" t="inlineStr">
        <is>
          <t>Asian</t>
        </is>
      </c>
      <c r="J544" t="inlineStr">
        <is>
          <t>WEBSITE</t>
        </is>
      </c>
      <c r="K544" t="inlineStr">
        <is>
          <t>Bangalore</t>
        </is>
      </c>
      <c r="L544" t="inlineStr">
        <is>
          <t>Infra</t>
        </is>
      </c>
      <c r="M544" t="inlineStr">
        <is>
          <t>Full-Time</t>
        </is>
      </c>
      <c r="N544" t="inlineStr">
        <is>
          <t>Associate Software Engineer</t>
        </is>
      </c>
      <c r="O544" t="inlineStr">
        <is>
          <t>E1</t>
        </is>
      </c>
      <c r="P544" t="inlineStr">
        <is>
          <t>Associate Software Engineer</t>
        </is>
      </c>
      <c r="Q544" t="inlineStr">
        <is>
          <t>K  Saikumar (1026864)</t>
        </is>
      </c>
      <c r="R544" s="27" t="n">
        <v>0</v>
      </c>
      <c r="S544" s="1" t="n">
        <v>1200000</v>
      </c>
      <c r="T544" s="1">
        <f>ROUND(T_EMPLOYEES[[#This Row],[EMP_CTC1]]/12, 0)</f>
        <v/>
      </c>
      <c r="U544" s="1" t="n">
        <v>1000000</v>
      </c>
      <c r="V544" s="1" t="inlineStr">
        <is>
          <t>NH</t>
        </is>
      </c>
      <c r="W544" s="1" t="inlineStr">
        <is>
          <t>NH</t>
        </is>
      </c>
      <c r="X54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4" t="n">
        <v>120000</v>
      </c>
      <c r="Z544" s="29">
        <f>(S544 - U544)/S544 * 100</f>
        <v/>
      </c>
      <c r="AA544">
        <f>IF(T_EMPLOYEES[[#This Row],[EMPLOYEE NUMBER]]="","",ROW(T_EMPLOYEES[[#This Row],[EMPLOYEE LABEL]])-ROW(T_EMPLOYEES[[#Headers],[EMPLOYEE LABEL]]))</f>
        <v/>
      </c>
      <c r="AB544">
        <f>IF(T_EMPLOYEES[[#This Row],[EMPLOYEE NUMBER]]="","",IF(COUNTIF(T_EMPLOYEES[EMPLOYEE NUMBER],T_EMPLOYEES[[#This Row],[EMPLOYEE NUMBER]])&gt;1,1,0))</f>
        <v/>
      </c>
      <c r="AC544">
        <f>IF(T_EMPLOYEES[[#This Row],[EMPLOYEE NUMBER]]="","",IF(AND(T_EMPLOYEES[[#This Row],[DATE OF BIRTH]]&gt;0,T_EMPLOYEES[[#This Row],[DATE OF BIRTH]]&lt;TODAY()),0,1))</f>
        <v/>
      </c>
      <c r="AD544">
        <f>IF(T_EMPLOYEES[[#This Row],[EMPLOYEE NUMBER]]="","",IF(AND(T_EMPLOYEES[[#This Row],[START DATE]]&gt;0,T_EMPLOYEES[[#This Row],[START DATE]]&lt;TODAY()+60),0,1))</f>
        <v/>
      </c>
      <c r="AE544">
        <f>IF(T_EMPLOYEES[[#This Row],[EMPLOYEE NUMBER]]="","",MATCH(T_EMPLOYEES[[#This Row],[GENDER]],L_GENDER,0))</f>
        <v/>
      </c>
      <c r="AF544">
        <f>IF(T_EMPLOYEES[[#This Row],[EMPLOYEE NUMBER]]="","",MATCH(T_EMPLOYEES[[#This Row],[HIRE SOURCE]],L_HIRESOURCE,0))</f>
        <v/>
      </c>
      <c r="AG544">
        <f>IF(T_EMPLOYEES[[#This Row],[EMPLOYEE NUMBER]]="","",MATCH(T_EMPLOYEES[[#This Row],[ETHNICITY]],L_ETHNICITY,0))</f>
        <v/>
      </c>
      <c r="AH544">
        <f>IF(T_EMPLOYEES[[#This Row],[EMPLOYEE NUMBER]]="","",MATCH(T_EMPLOYEES[[#This Row],[LOCATION]],L_LOCATION,0))</f>
        <v/>
      </c>
      <c r="AI544">
        <f>IF(T_EMPLOYEES[[#This Row],[EMPLOYEE NUMBER]]="","",MATCH(T_EMPLOYEES[[#This Row],[DEPARTMENT]],L_DEPARTMENT,0))</f>
        <v/>
      </c>
      <c r="AJ544">
        <f>IF(T_EMPLOYEES[[#This Row],[EMPLOYEE NUMBER]]="","",MATCH(T_EMPLOYEES[[#This Row],[JOB TYPE]],L_JOBTYPE,0))</f>
        <v/>
      </c>
      <c r="AK544">
        <f>IF(T_EMPLOYEES[[#This Row],[EMPLOYEE NUMBER]]="","",MATCH(T_EMPLOYEES[[#This Row],[JOB CATEGORY]],L_JOBCATEGORY,0))</f>
        <v/>
      </c>
      <c r="AL544">
        <f>IF(T_EMPLOYEES[[#This Row],[EMPLOYEE NUMBER]]="","",MATCH(T_EMPLOYEES[[#This Row],[JOB LEVEL]],L_JOBLEVEL,0))</f>
        <v/>
      </c>
      <c r="AM544">
        <f>IF(T_EMPLOYEES[[#This Row],[EMPLOYEE NUMBER]]="","",MATCH(T_EMPLOYEES[[#This Row],[JOB TITLE]],L_JOBTITLE,0))</f>
        <v/>
      </c>
      <c r="AN544">
        <f>IF(T_EMPLOYEES[[#This Row],[EMPLOYEE NUMBER]]="","",MATCH(T_EMPLOYEES[[#This Row],[MANAGER]],L_EMPLABELS,0))</f>
        <v/>
      </c>
      <c r="AO544">
        <f>IF(T_EMPLOYEES[[#This Row],[EMPLOYEE NUMBER]]="","",IF(T_EMPLOYEES[[#This Row],[ERROR]]="",0,1))</f>
        <v/>
      </c>
      <c r="AP54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5">
      <c r="A545" t="inlineStr">
        <is>
          <t>Unmesha</t>
        </is>
      </c>
      <c r="B545" t="inlineStr">
        <is>
          <t>Jena</t>
        </is>
      </c>
      <c r="C545" t="n">
        <v>1033214</v>
      </c>
      <c r="D545" t="inlineStr">
        <is>
          <t>Unmesha.Jena@infinite.com</t>
        </is>
      </c>
      <c r="E545" s="26" t="n">
        <v>37070</v>
      </c>
      <c r="F545" s="26" t="n">
        <v>45155</v>
      </c>
      <c r="H545" t="inlineStr">
        <is>
          <t>Female</t>
        </is>
      </c>
      <c r="I545" t="inlineStr">
        <is>
          <t>Asian</t>
        </is>
      </c>
      <c r="J545" t="inlineStr">
        <is>
          <t>WEBSITE</t>
        </is>
      </c>
      <c r="K545" t="inlineStr">
        <is>
          <t>Bangalore</t>
        </is>
      </c>
      <c r="L545" s="27" t="inlineStr">
        <is>
          <t>Core</t>
        </is>
      </c>
      <c r="M545" t="inlineStr">
        <is>
          <t>Full-Time</t>
        </is>
      </c>
      <c r="N545" t="inlineStr">
        <is>
          <t>Associate Software Engineer</t>
        </is>
      </c>
      <c r="O545" t="inlineStr">
        <is>
          <t>E1</t>
        </is>
      </c>
      <c r="P545" t="inlineStr">
        <is>
          <t>Associate Software Engineer</t>
        </is>
      </c>
      <c r="Q545" t="inlineStr">
        <is>
          <t>Kishore Kumar N (1019765)</t>
        </is>
      </c>
      <c r="R545" t="n">
        <v>0</v>
      </c>
      <c r="S545" s="1" t="n">
        <v>1200000</v>
      </c>
      <c r="T545" s="1">
        <f>ROUND(T_EMPLOYEES[[#This Row],[EMP_CTC1]]/12, 0)</f>
        <v/>
      </c>
      <c r="U545" s="1" t="n">
        <v>1000000</v>
      </c>
      <c r="V545" s="1" t="inlineStr">
        <is>
          <t>NH</t>
        </is>
      </c>
      <c r="W545" s="1" t="inlineStr">
        <is>
          <t>NH</t>
        </is>
      </c>
      <c r="X54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5" t="n">
        <v>120000</v>
      </c>
      <c r="Z545" s="29">
        <f>(S545 - U545)/S545 * 100</f>
        <v/>
      </c>
      <c r="AA545">
        <f>IF(T_EMPLOYEES[[#This Row],[EMPLOYEE NUMBER]]="","",ROW(T_EMPLOYEES[[#This Row],[EMPLOYEE LABEL]])-ROW(T_EMPLOYEES[[#Headers],[EMPLOYEE LABEL]]))</f>
        <v/>
      </c>
      <c r="AB545">
        <f>IF(T_EMPLOYEES[[#This Row],[EMPLOYEE NUMBER]]="","",IF(COUNTIF(T_EMPLOYEES[EMPLOYEE NUMBER],T_EMPLOYEES[[#This Row],[EMPLOYEE NUMBER]])&gt;1,1,0))</f>
        <v/>
      </c>
      <c r="AC545">
        <f>IF(T_EMPLOYEES[[#This Row],[EMPLOYEE NUMBER]]="","",IF(AND(T_EMPLOYEES[[#This Row],[DATE OF BIRTH]]&gt;0,T_EMPLOYEES[[#This Row],[DATE OF BIRTH]]&lt;TODAY()),0,1))</f>
        <v/>
      </c>
      <c r="AD545">
        <f>IF(T_EMPLOYEES[[#This Row],[EMPLOYEE NUMBER]]="","",IF(AND(T_EMPLOYEES[[#This Row],[START DATE]]&gt;0,T_EMPLOYEES[[#This Row],[START DATE]]&lt;TODAY()+60),0,1))</f>
        <v/>
      </c>
      <c r="AE545">
        <f>IF(T_EMPLOYEES[[#This Row],[EMPLOYEE NUMBER]]="","",MATCH(T_EMPLOYEES[[#This Row],[GENDER]],L_GENDER,0))</f>
        <v/>
      </c>
      <c r="AF545">
        <f>IF(T_EMPLOYEES[[#This Row],[EMPLOYEE NUMBER]]="","",MATCH(T_EMPLOYEES[[#This Row],[HIRE SOURCE]],L_HIRESOURCE,0))</f>
        <v/>
      </c>
      <c r="AG545">
        <f>IF(T_EMPLOYEES[[#This Row],[EMPLOYEE NUMBER]]="","",MATCH(T_EMPLOYEES[[#This Row],[ETHNICITY]],L_ETHNICITY,0))</f>
        <v/>
      </c>
      <c r="AH545">
        <f>IF(T_EMPLOYEES[[#This Row],[EMPLOYEE NUMBER]]="","",MATCH(T_EMPLOYEES[[#This Row],[LOCATION]],L_LOCATION,0))</f>
        <v/>
      </c>
      <c r="AI545">
        <f>IF(T_EMPLOYEES[[#This Row],[EMPLOYEE NUMBER]]="","",MATCH(T_EMPLOYEES[[#This Row],[DEPARTMENT]],L_DEPARTMENT,0))</f>
        <v/>
      </c>
      <c r="AJ545">
        <f>IF(T_EMPLOYEES[[#This Row],[EMPLOYEE NUMBER]]="","",MATCH(T_EMPLOYEES[[#This Row],[JOB TYPE]],L_JOBTYPE,0))</f>
        <v/>
      </c>
      <c r="AK545">
        <f>IF(T_EMPLOYEES[[#This Row],[EMPLOYEE NUMBER]]="","",MATCH(T_EMPLOYEES[[#This Row],[JOB CATEGORY]],L_JOBCATEGORY,0))</f>
        <v/>
      </c>
      <c r="AL545">
        <f>IF(T_EMPLOYEES[[#This Row],[EMPLOYEE NUMBER]]="","",MATCH(T_EMPLOYEES[[#This Row],[JOB LEVEL]],L_JOBLEVEL,0))</f>
        <v/>
      </c>
      <c r="AM545">
        <f>IF(T_EMPLOYEES[[#This Row],[EMPLOYEE NUMBER]]="","",MATCH(T_EMPLOYEES[[#This Row],[JOB TITLE]],L_JOBTITLE,0))</f>
        <v/>
      </c>
      <c r="AN545">
        <f>IF(T_EMPLOYEES[[#This Row],[EMPLOYEE NUMBER]]="","",MATCH(T_EMPLOYEES[[#This Row],[MANAGER]],L_EMPLABELS,0))</f>
        <v/>
      </c>
      <c r="AO545">
        <f>IF(T_EMPLOYEES[[#This Row],[EMPLOYEE NUMBER]]="","",IF(T_EMPLOYEES[[#This Row],[ERROR]]="",0,1))</f>
        <v/>
      </c>
      <c r="AP54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6">
      <c r="A546" t="inlineStr">
        <is>
          <t>Rajan</t>
        </is>
      </c>
      <c r="B546" t="inlineStr">
        <is>
          <t>Kumar Tiwari</t>
        </is>
      </c>
      <c r="C546" t="n">
        <v>1030921</v>
      </c>
      <c r="D546" t="inlineStr">
        <is>
          <t>Rajankumar.Tiwari@infinite.com</t>
        </is>
      </c>
      <c r="E546" s="26" t="n">
        <v>37073</v>
      </c>
      <c r="F546" s="26" t="n">
        <v>44876</v>
      </c>
      <c r="H546" t="inlineStr">
        <is>
          <t>Male</t>
        </is>
      </c>
      <c r="I546" t="inlineStr">
        <is>
          <t>Asian</t>
        </is>
      </c>
      <c r="J546" t="inlineStr">
        <is>
          <t>WEBSITE</t>
        </is>
      </c>
      <c r="K546" t="inlineStr">
        <is>
          <t>Bangalore</t>
        </is>
      </c>
      <c r="L546" s="27" t="inlineStr">
        <is>
          <t>Core</t>
        </is>
      </c>
      <c r="M546" t="inlineStr">
        <is>
          <t>Full-Time</t>
        </is>
      </c>
      <c r="N546" t="inlineStr">
        <is>
          <t>Associate Software Engineer</t>
        </is>
      </c>
      <c r="O546" t="inlineStr">
        <is>
          <t>E1</t>
        </is>
      </c>
      <c r="P546" t="inlineStr">
        <is>
          <t>Associate Software Engineer</t>
        </is>
      </c>
      <c r="Q546" t="inlineStr">
        <is>
          <t>Anil Kumar Khamari (1013201)</t>
        </is>
      </c>
      <c r="R546" s="27" t="n">
        <v>0</v>
      </c>
      <c r="S546" s="1" t="n">
        <v>1200000</v>
      </c>
      <c r="T546" s="1">
        <f>ROUND(T_EMPLOYEES[[#This Row],[EMP_CTC1]]/12, 0)</f>
        <v/>
      </c>
      <c r="U546" s="1" t="n">
        <v>1000000</v>
      </c>
      <c r="V546" s="1" t="inlineStr">
        <is>
          <t>NH</t>
        </is>
      </c>
      <c r="W546" s="1" t="inlineStr">
        <is>
          <t>NH</t>
        </is>
      </c>
      <c r="X54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6" t="n">
        <v>120000</v>
      </c>
      <c r="Z546" s="29">
        <f>(S546 - U546)/S546 * 100</f>
        <v/>
      </c>
      <c r="AA546">
        <f>IF(T_EMPLOYEES[[#This Row],[EMPLOYEE NUMBER]]="","",ROW(T_EMPLOYEES[[#This Row],[EMPLOYEE LABEL]])-ROW(T_EMPLOYEES[[#Headers],[EMPLOYEE LABEL]]))</f>
        <v/>
      </c>
      <c r="AB546">
        <f>IF(T_EMPLOYEES[[#This Row],[EMPLOYEE NUMBER]]="","",IF(COUNTIF(T_EMPLOYEES[EMPLOYEE NUMBER],T_EMPLOYEES[[#This Row],[EMPLOYEE NUMBER]])&gt;1,1,0))</f>
        <v/>
      </c>
      <c r="AC546">
        <f>IF(T_EMPLOYEES[[#This Row],[EMPLOYEE NUMBER]]="","",IF(AND(T_EMPLOYEES[[#This Row],[DATE OF BIRTH]]&gt;0,T_EMPLOYEES[[#This Row],[DATE OF BIRTH]]&lt;TODAY()),0,1))</f>
        <v/>
      </c>
      <c r="AD546">
        <f>IF(T_EMPLOYEES[[#This Row],[EMPLOYEE NUMBER]]="","",IF(AND(T_EMPLOYEES[[#This Row],[START DATE]]&gt;0,T_EMPLOYEES[[#This Row],[START DATE]]&lt;TODAY()+60),0,1))</f>
        <v/>
      </c>
      <c r="AE546">
        <f>IF(T_EMPLOYEES[[#This Row],[EMPLOYEE NUMBER]]="","",MATCH(T_EMPLOYEES[[#This Row],[GENDER]],L_GENDER,0))</f>
        <v/>
      </c>
      <c r="AF546">
        <f>IF(T_EMPLOYEES[[#This Row],[EMPLOYEE NUMBER]]="","",MATCH(T_EMPLOYEES[[#This Row],[HIRE SOURCE]],L_HIRESOURCE,0))</f>
        <v/>
      </c>
      <c r="AG546">
        <f>IF(T_EMPLOYEES[[#This Row],[EMPLOYEE NUMBER]]="","",MATCH(T_EMPLOYEES[[#This Row],[ETHNICITY]],L_ETHNICITY,0))</f>
        <v/>
      </c>
      <c r="AH546">
        <f>IF(T_EMPLOYEES[[#This Row],[EMPLOYEE NUMBER]]="","",MATCH(T_EMPLOYEES[[#This Row],[LOCATION]],L_LOCATION,0))</f>
        <v/>
      </c>
      <c r="AI546">
        <f>IF(T_EMPLOYEES[[#This Row],[EMPLOYEE NUMBER]]="","",MATCH(T_EMPLOYEES[[#This Row],[DEPARTMENT]],L_DEPARTMENT,0))</f>
        <v/>
      </c>
      <c r="AJ546">
        <f>IF(T_EMPLOYEES[[#This Row],[EMPLOYEE NUMBER]]="","",MATCH(T_EMPLOYEES[[#This Row],[JOB TYPE]],L_JOBTYPE,0))</f>
        <v/>
      </c>
      <c r="AK546">
        <f>IF(T_EMPLOYEES[[#This Row],[EMPLOYEE NUMBER]]="","",MATCH(T_EMPLOYEES[[#This Row],[JOB CATEGORY]],L_JOBCATEGORY,0))</f>
        <v/>
      </c>
      <c r="AL546">
        <f>IF(T_EMPLOYEES[[#This Row],[EMPLOYEE NUMBER]]="","",MATCH(T_EMPLOYEES[[#This Row],[JOB LEVEL]],L_JOBLEVEL,0))</f>
        <v/>
      </c>
      <c r="AM546">
        <f>IF(T_EMPLOYEES[[#This Row],[EMPLOYEE NUMBER]]="","",MATCH(T_EMPLOYEES[[#This Row],[JOB TITLE]],L_JOBTITLE,0))</f>
        <v/>
      </c>
      <c r="AN546">
        <f>IF(T_EMPLOYEES[[#This Row],[EMPLOYEE NUMBER]]="","",MATCH(T_EMPLOYEES[[#This Row],[MANAGER]],L_EMPLABELS,0))</f>
        <v/>
      </c>
      <c r="AO546">
        <f>IF(T_EMPLOYEES[[#This Row],[EMPLOYEE NUMBER]]="","",IF(T_EMPLOYEES[[#This Row],[ERROR]]="",0,1))</f>
        <v/>
      </c>
      <c r="AP54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7">
      <c r="A547" t="inlineStr">
        <is>
          <t>Mareedu</t>
        </is>
      </c>
      <c r="B547" t="inlineStr">
        <is>
          <t>Swetha Priya</t>
        </is>
      </c>
      <c r="C547" t="n">
        <v>1030900</v>
      </c>
      <c r="D547" t="inlineStr">
        <is>
          <t>Swethapriya.Mareedu@infinite.com</t>
        </is>
      </c>
      <c r="E547" s="26" t="n">
        <v>37074</v>
      </c>
      <c r="F547" s="26" t="n">
        <v>44876</v>
      </c>
      <c r="H547" t="inlineStr">
        <is>
          <t>Female</t>
        </is>
      </c>
      <c r="I547" t="inlineStr">
        <is>
          <t>Asian</t>
        </is>
      </c>
      <c r="J547" t="inlineStr">
        <is>
          <t>WEBSITE</t>
        </is>
      </c>
      <c r="K547" t="inlineStr">
        <is>
          <t>Bangalore</t>
        </is>
      </c>
      <c r="L547" s="27" t="inlineStr">
        <is>
          <t>IT</t>
        </is>
      </c>
      <c r="M547" t="inlineStr">
        <is>
          <t>Full-Time</t>
        </is>
      </c>
      <c r="N547" t="inlineStr">
        <is>
          <t>Associate Software Engineer</t>
        </is>
      </c>
      <c r="O547" t="inlineStr">
        <is>
          <t>E1</t>
        </is>
      </c>
      <c r="P547" t="inlineStr">
        <is>
          <t>Associate Software Engineer</t>
        </is>
      </c>
      <c r="Q547" t="inlineStr">
        <is>
          <t>Shaik Jabeer Basha (1027017)</t>
        </is>
      </c>
      <c r="R547" t="n">
        <v>0</v>
      </c>
      <c r="S547" s="1" t="n">
        <v>1200000</v>
      </c>
      <c r="T547" s="1">
        <f>ROUND(T_EMPLOYEES[[#This Row],[EMP_CTC1]]/12, 0)</f>
        <v/>
      </c>
      <c r="U547" s="1" t="n">
        <v>1000000</v>
      </c>
      <c r="V547" s="1" t="inlineStr">
        <is>
          <t>NH</t>
        </is>
      </c>
      <c r="W547" s="1" t="inlineStr">
        <is>
          <t>NH</t>
        </is>
      </c>
      <c r="X54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7" t="n">
        <v>120000</v>
      </c>
      <c r="Z547" s="29">
        <f>(S547 - U547)/S547 * 100</f>
        <v/>
      </c>
      <c r="AA547">
        <f>IF(T_EMPLOYEES[[#This Row],[EMPLOYEE NUMBER]]="","",ROW(T_EMPLOYEES[[#This Row],[EMPLOYEE LABEL]])-ROW(T_EMPLOYEES[[#Headers],[EMPLOYEE LABEL]]))</f>
        <v/>
      </c>
      <c r="AB547">
        <f>IF(T_EMPLOYEES[[#This Row],[EMPLOYEE NUMBER]]="","",IF(COUNTIF(T_EMPLOYEES[EMPLOYEE NUMBER],T_EMPLOYEES[[#This Row],[EMPLOYEE NUMBER]])&gt;1,1,0))</f>
        <v/>
      </c>
      <c r="AC547">
        <f>IF(T_EMPLOYEES[[#This Row],[EMPLOYEE NUMBER]]="","",IF(AND(T_EMPLOYEES[[#This Row],[DATE OF BIRTH]]&gt;0,T_EMPLOYEES[[#This Row],[DATE OF BIRTH]]&lt;TODAY()),0,1))</f>
        <v/>
      </c>
      <c r="AD547">
        <f>IF(T_EMPLOYEES[[#This Row],[EMPLOYEE NUMBER]]="","",IF(AND(T_EMPLOYEES[[#This Row],[START DATE]]&gt;0,T_EMPLOYEES[[#This Row],[START DATE]]&lt;TODAY()+60),0,1))</f>
        <v/>
      </c>
      <c r="AE547">
        <f>IF(T_EMPLOYEES[[#This Row],[EMPLOYEE NUMBER]]="","",MATCH(T_EMPLOYEES[[#This Row],[GENDER]],L_GENDER,0))</f>
        <v/>
      </c>
      <c r="AF547">
        <f>IF(T_EMPLOYEES[[#This Row],[EMPLOYEE NUMBER]]="","",MATCH(T_EMPLOYEES[[#This Row],[HIRE SOURCE]],L_HIRESOURCE,0))</f>
        <v/>
      </c>
      <c r="AG547">
        <f>IF(T_EMPLOYEES[[#This Row],[EMPLOYEE NUMBER]]="","",MATCH(T_EMPLOYEES[[#This Row],[ETHNICITY]],L_ETHNICITY,0))</f>
        <v/>
      </c>
      <c r="AH547">
        <f>IF(T_EMPLOYEES[[#This Row],[EMPLOYEE NUMBER]]="","",MATCH(T_EMPLOYEES[[#This Row],[LOCATION]],L_LOCATION,0))</f>
        <v/>
      </c>
      <c r="AI547">
        <f>IF(T_EMPLOYEES[[#This Row],[EMPLOYEE NUMBER]]="","",MATCH(T_EMPLOYEES[[#This Row],[DEPARTMENT]],L_DEPARTMENT,0))</f>
        <v/>
      </c>
      <c r="AJ547">
        <f>IF(T_EMPLOYEES[[#This Row],[EMPLOYEE NUMBER]]="","",MATCH(T_EMPLOYEES[[#This Row],[JOB TYPE]],L_JOBTYPE,0))</f>
        <v/>
      </c>
      <c r="AK547">
        <f>IF(T_EMPLOYEES[[#This Row],[EMPLOYEE NUMBER]]="","",MATCH(T_EMPLOYEES[[#This Row],[JOB CATEGORY]],L_JOBCATEGORY,0))</f>
        <v/>
      </c>
      <c r="AL547">
        <f>IF(T_EMPLOYEES[[#This Row],[EMPLOYEE NUMBER]]="","",MATCH(T_EMPLOYEES[[#This Row],[JOB LEVEL]],L_JOBLEVEL,0))</f>
        <v/>
      </c>
      <c r="AM547">
        <f>IF(T_EMPLOYEES[[#This Row],[EMPLOYEE NUMBER]]="","",MATCH(T_EMPLOYEES[[#This Row],[JOB TITLE]],L_JOBTITLE,0))</f>
        <v/>
      </c>
      <c r="AN547">
        <f>IF(T_EMPLOYEES[[#This Row],[EMPLOYEE NUMBER]]="","",MATCH(T_EMPLOYEES[[#This Row],[MANAGER]],L_EMPLABELS,0))</f>
        <v/>
      </c>
      <c r="AO547">
        <f>IF(T_EMPLOYEES[[#This Row],[EMPLOYEE NUMBER]]="","",IF(T_EMPLOYEES[[#This Row],[ERROR]]="",0,1))</f>
        <v/>
      </c>
      <c r="AP54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8">
      <c r="A548" t="inlineStr">
        <is>
          <t>Kunal</t>
        </is>
      </c>
      <c r="B548" t="inlineStr">
        <is>
          <t>Kosala</t>
        </is>
      </c>
      <c r="C548" t="n">
        <v>1033243</v>
      </c>
      <c r="D548" t="inlineStr">
        <is>
          <t>Kunal.Kosala@infinite.com</t>
        </is>
      </c>
      <c r="E548" s="26" t="n">
        <v>37074</v>
      </c>
      <c r="F548" s="26" t="n">
        <v>45155</v>
      </c>
      <c r="H548" t="inlineStr">
        <is>
          <t>Male</t>
        </is>
      </c>
      <c r="I548" t="inlineStr">
        <is>
          <t>Asian</t>
        </is>
      </c>
      <c r="J548" t="inlineStr">
        <is>
          <t>WEBSITE</t>
        </is>
      </c>
      <c r="K548" t="inlineStr">
        <is>
          <t>Hyderabad</t>
        </is>
      </c>
      <c r="L548" s="27" t="inlineStr">
        <is>
          <t>IT</t>
        </is>
      </c>
      <c r="M548" t="inlineStr">
        <is>
          <t>Full-Time</t>
        </is>
      </c>
      <c r="N548" t="inlineStr">
        <is>
          <t>Associate Software Engineer</t>
        </is>
      </c>
      <c r="O548" t="inlineStr">
        <is>
          <t>E1</t>
        </is>
      </c>
      <c r="P548" t="inlineStr">
        <is>
          <t>Associate Software Engineer</t>
        </is>
      </c>
      <c r="Q548" t="inlineStr">
        <is>
          <t>Arnav  Chattopadhyay (1025126)</t>
        </is>
      </c>
      <c r="R548" s="27" t="n">
        <v>0</v>
      </c>
      <c r="S548" s="1" t="n">
        <v>1200000</v>
      </c>
      <c r="T548" s="1">
        <f>ROUND(T_EMPLOYEES[[#This Row],[EMP_CTC1]]/12, 0)</f>
        <v/>
      </c>
      <c r="U548" s="1" t="n">
        <v>1000000</v>
      </c>
      <c r="V548" s="1" t="inlineStr">
        <is>
          <t>NH</t>
        </is>
      </c>
      <c r="W548" s="1" t="inlineStr">
        <is>
          <t>NH</t>
        </is>
      </c>
      <c r="X54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8" t="n">
        <v>120000</v>
      </c>
      <c r="Z548" s="29">
        <f>(S548 - U548)/S548 * 100</f>
        <v/>
      </c>
      <c r="AA548">
        <f>IF(T_EMPLOYEES[[#This Row],[EMPLOYEE NUMBER]]="","",ROW(T_EMPLOYEES[[#This Row],[EMPLOYEE LABEL]])-ROW(T_EMPLOYEES[[#Headers],[EMPLOYEE LABEL]]))</f>
        <v/>
      </c>
      <c r="AB548">
        <f>IF(T_EMPLOYEES[[#This Row],[EMPLOYEE NUMBER]]="","",IF(COUNTIF(T_EMPLOYEES[EMPLOYEE NUMBER],T_EMPLOYEES[[#This Row],[EMPLOYEE NUMBER]])&gt;1,1,0))</f>
        <v/>
      </c>
      <c r="AC548">
        <f>IF(T_EMPLOYEES[[#This Row],[EMPLOYEE NUMBER]]="","",IF(AND(T_EMPLOYEES[[#This Row],[DATE OF BIRTH]]&gt;0,T_EMPLOYEES[[#This Row],[DATE OF BIRTH]]&lt;TODAY()),0,1))</f>
        <v/>
      </c>
      <c r="AD548">
        <f>IF(T_EMPLOYEES[[#This Row],[EMPLOYEE NUMBER]]="","",IF(AND(T_EMPLOYEES[[#This Row],[START DATE]]&gt;0,T_EMPLOYEES[[#This Row],[START DATE]]&lt;TODAY()+60),0,1))</f>
        <v/>
      </c>
      <c r="AE548">
        <f>IF(T_EMPLOYEES[[#This Row],[EMPLOYEE NUMBER]]="","",MATCH(T_EMPLOYEES[[#This Row],[GENDER]],L_GENDER,0))</f>
        <v/>
      </c>
      <c r="AF548">
        <f>IF(T_EMPLOYEES[[#This Row],[EMPLOYEE NUMBER]]="","",MATCH(T_EMPLOYEES[[#This Row],[HIRE SOURCE]],L_HIRESOURCE,0))</f>
        <v/>
      </c>
      <c r="AG548">
        <f>IF(T_EMPLOYEES[[#This Row],[EMPLOYEE NUMBER]]="","",MATCH(T_EMPLOYEES[[#This Row],[ETHNICITY]],L_ETHNICITY,0))</f>
        <v/>
      </c>
      <c r="AH548">
        <f>IF(T_EMPLOYEES[[#This Row],[EMPLOYEE NUMBER]]="","",MATCH(T_EMPLOYEES[[#This Row],[LOCATION]],L_LOCATION,0))</f>
        <v/>
      </c>
      <c r="AI548">
        <f>IF(T_EMPLOYEES[[#This Row],[EMPLOYEE NUMBER]]="","",MATCH(T_EMPLOYEES[[#This Row],[DEPARTMENT]],L_DEPARTMENT,0))</f>
        <v/>
      </c>
      <c r="AJ548">
        <f>IF(T_EMPLOYEES[[#This Row],[EMPLOYEE NUMBER]]="","",MATCH(T_EMPLOYEES[[#This Row],[JOB TYPE]],L_JOBTYPE,0))</f>
        <v/>
      </c>
      <c r="AK548">
        <f>IF(T_EMPLOYEES[[#This Row],[EMPLOYEE NUMBER]]="","",MATCH(T_EMPLOYEES[[#This Row],[JOB CATEGORY]],L_JOBCATEGORY,0))</f>
        <v/>
      </c>
      <c r="AL548">
        <f>IF(T_EMPLOYEES[[#This Row],[EMPLOYEE NUMBER]]="","",MATCH(T_EMPLOYEES[[#This Row],[JOB LEVEL]],L_JOBLEVEL,0))</f>
        <v/>
      </c>
      <c r="AM548">
        <f>IF(T_EMPLOYEES[[#This Row],[EMPLOYEE NUMBER]]="","",MATCH(T_EMPLOYEES[[#This Row],[JOB TITLE]],L_JOBTITLE,0))</f>
        <v/>
      </c>
      <c r="AN548">
        <f>IF(T_EMPLOYEES[[#This Row],[EMPLOYEE NUMBER]]="","",MATCH(T_EMPLOYEES[[#This Row],[MANAGER]],L_EMPLABELS,0))</f>
        <v/>
      </c>
      <c r="AO548">
        <f>IF(T_EMPLOYEES[[#This Row],[EMPLOYEE NUMBER]]="","",IF(T_EMPLOYEES[[#This Row],[ERROR]]="",0,1))</f>
        <v/>
      </c>
      <c r="AP54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49">
      <c r="A549" t="inlineStr">
        <is>
          <t>Chandra</t>
        </is>
      </c>
      <c r="B549" t="inlineStr">
        <is>
          <t>Sekhar Bethanapalli</t>
        </is>
      </c>
      <c r="C549" t="n">
        <v>1029529</v>
      </c>
      <c r="D549" t="inlineStr">
        <is>
          <t>Bethanapalli.Sekhar@infinite.com</t>
        </is>
      </c>
      <c r="E549" s="26" t="n">
        <v>37082</v>
      </c>
      <c r="F549" s="26" t="n">
        <v>44757</v>
      </c>
      <c r="H549" t="inlineStr">
        <is>
          <t>Male</t>
        </is>
      </c>
      <c r="I549" t="inlineStr">
        <is>
          <t>Asian</t>
        </is>
      </c>
      <c r="J549" t="inlineStr">
        <is>
          <t>WEBSITE</t>
        </is>
      </c>
      <c r="K549" t="inlineStr">
        <is>
          <t>Bangalore</t>
        </is>
      </c>
      <c r="L549" s="27" t="inlineStr">
        <is>
          <t>Core</t>
        </is>
      </c>
      <c r="M549" t="inlineStr">
        <is>
          <t>Full-Time</t>
        </is>
      </c>
      <c r="N549" t="inlineStr">
        <is>
          <t>Associate Software Engineer</t>
        </is>
      </c>
      <c r="O549" t="inlineStr">
        <is>
          <t>E1</t>
        </is>
      </c>
      <c r="P549" t="inlineStr">
        <is>
          <t>Associate Software Engineer</t>
        </is>
      </c>
      <c r="Q549" t="inlineStr">
        <is>
          <t>Anil Kumar Khamari (1013201)</t>
        </is>
      </c>
      <c r="R549" t="n">
        <v>0</v>
      </c>
      <c r="S549" s="1" t="n">
        <v>1200000</v>
      </c>
      <c r="T549" s="1">
        <f>ROUND(T_EMPLOYEES[[#This Row],[EMP_CTC1]]/12, 0)</f>
        <v/>
      </c>
      <c r="U549" s="1" t="n">
        <v>1000000</v>
      </c>
      <c r="V549" s="1" t="inlineStr">
        <is>
          <t>NH</t>
        </is>
      </c>
      <c r="W549" s="1" t="inlineStr">
        <is>
          <t>NH</t>
        </is>
      </c>
      <c r="X54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49" t="n">
        <v>120000</v>
      </c>
      <c r="Z549" s="29">
        <f>(S549 - U549)/S549 * 100</f>
        <v/>
      </c>
      <c r="AA549">
        <f>IF(T_EMPLOYEES[[#This Row],[EMPLOYEE NUMBER]]="","",ROW(T_EMPLOYEES[[#This Row],[EMPLOYEE LABEL]])-ROW(T_EMPLOYEES[[#Headers],[EMPLOYEE LABEL]]))</f>
        <v/>
      </c>
      <c r="AB549">
        <f>IF(T_EMPLOYEES[[#This Row],[EMPLOYEE NUMBER]]="","",IF(COUNTIF(T_EMPLOYEES[EMPLOYEE NUMBER],T_EMPLOYEES[[#This Row],[EMPLOYEE NUMBER]])&gt;1,1,0))</f>
        <v/>
      </c>
      <c r="AC549">
        <f>IF(T_EMPLOYEES[[#This Row],[EMPLOYEE NUMBER]]="","",IF(AND(T_EMPLOYEES[[#This Row],[DATE OF BIRTH]]&gt;0,T_EMPLOYEES[[#This Row],[DATE OF BIRTH]]&lt;TODAY()),0,1))</f>
        <v/>
      </c>
      <c r="AD549">
        <f>IF(T_EMPLOYEES[[#This Row],[EMPLOYEE NUMBER]]="","",IF(AND(T_EMPLOYEES[[#This Row],[START DATE]]&gt;0,T_EMPLOYEES[[#This Row],[START DATE]]&lt;TODAY()+60),0,1))</f>
        <v/>
      </c>
      <c r="AE549">
        <f>IF(T_EMPLOYEES[[#This Row],[EMPLOYEE NUMBER]]="","",MATCH(T_EMPLOYEES[[#This Row],[GENDER]],L_GENDER,0))</f>
        <v/>
      </c>
      <c r="AF549">
        <f>IF(T_EMPLOYEES[[#This Row],[EMPLOYEE NUMBER]]="","",MATCH(T_EMPLOYEES[[#This Row],[HIRE SOURCE]],L_HIRESOURCE,0))</f>
        <v/>
      </c>
      <c r="AG549">
        <f>IF(T_EMPLOYEES[[#This Row],[EMPLOYEE NUMBER]]="","",MATCH(T_EMPLOYEES[[#This Row],[ETHNICITY]],L_ETHNICITY,0))</f>
        <v/>
      </c>
      <c r="AH549">
        <f>IF(T_EMPLOYEES[[#This Row],[EMPLOYEE NUMBER]]="","",MATCH(T_EMPLOYEES[[#This Row],[LOCATION]],L_LOCATION,0))</f>
        <v/>
      </c>
      <c r="AI549">
        <f>IF(T_EMPLOYEES[[#This Row],[EMPLOYEE NUMBER]]="","",MATCH(T_EMPLOYEES[[#This Row],[DEPARTMENT]],L_DEPARTMENT,0))</f>
        <v/>
      </c>
      <c r="AJ549">
        <f>IF(T_EMPLOYEES[[#This Row],[EMPLOYEE NUMBER]]="","",MATCH(T_EMPLOYEES[[#This Row],[JOB TYPE]],L_JOBTYPE,0))</f>
        <v/>
      </c>
      <c r="AK549">
        <f>IF(T_EMPLOYEES[[#This Row],[EMPLOYEE NUMBER]]="","",MATCH(T_EMPLOYEES[[#This Row],[JOB CATEGORY]],L_JOBCATEGORY,0))</f>
        <v/>
      </c>
      <c r="AL549">
        <f>IF(T_EMPLOYEES[[#This Row],[EMPLOYEE NUMBER]]="","",MATCH(T_EMPLOYEES[[#This Row],[JOB LEVEL]],L_JOBLEVEL,0))</f>
        <v/>
      </c>
      <c r="AM549">
        <f>IF(T_EMPLOYEES[[#This Row],[EMPLOYEE NUMBER]]="","",MATCH(T_EMPLOYEES[[#This Row],[JOB TITLE]],L_JOBTITLE,0))</f>
        <v/>
      </c>
      <c r="AN549">
        <f>IF(T_EMPLOYEES[[#This Row],[EMPLOYEE NUMBER]]="","",MATCH(T_EMPLOYEES[[#This Row],[MANAGER]],L_EMPLABELS,0))</f>
        <v/>
      </c>
      <c r="AO549">
        <f>IF(T_EMPLOYEES[[#This Row],[EMPLOYEE NUMBER]]="","",IF(T_EMPLOYEES[[#This Row],[ERROR]]="",0,1))</f>
        <v/>
      </c>
      <c r="AP54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0">
      <c r="A550" t="inlineStr">
        <is>
          <t>Mohamed</t>
        </is>
      </c>
      <c r="B550" t="inlineStr">
        <is>
          <t>Thaga A</t>
        </is>
      </c>
      <c r="C550" t="n">
        <v>1029305</v>
      </c>
      <c r="D550" t="inlineStr">
        <is>
          <t>Mohamed.Thaga@infinite.com</t>
        </is>
      </c>
      <c r="E550" s="26" t="n">
        <v>37096</v>
      </c>
      <c r="F550" s="26" t="n">
        <v>44729</v>
      </c>
      <c r="H550" t="inlineStr">
        <is>
          <t>Male</t>
        </is>
      </c>
      <c r="I550" t="inlineStr">
        <is>
          <t>Asian</t>
        </is>
      </c>
      <c r="J550" t="inlineStr">
        <is>
          <t>WEBSITE</t>
        </is>
      </c>
      <c r="K550" t="inlineStr">
        <is>
          <t>Bangalore</t>
        </is>
      </c>
      <c r="L550" s="27" t="inlineStr">
        <is>
          <t>Core</t>
        </is>
      </c>
      <c r="M550" t="inlineStr">
        <is>
          <t>Full-Time</t>
        </is>
      </c>
      <c r="N550" t="inlineStr">
        <is>
          <t>Associate Software Engineer</t>
        </is>
      </c>
      <c r="O550" t="inlineStr">
        <is>
          <t>E1</t>
        </is>
      </c>
      <c r="P550" t="inlineStr">
        <is>
          <t>Associate Software Engineer</t>
        </is>
      </c>
      <c r="Q550" t="inlineStr">
        <is>
          <t>Dipakbhai Motibhai Tandel (1027230)</t>
        </is>
      </c>
      <c r="R550" s="27" t="n">
        <v>0</v>
      </c>
      <c r="S550" s="1" t="n">
        <v>1200000</v>
      </c>
      <c r="T550" s="1">
        <f>ROUND(T_EMPLOYEES[[#This Row],[EMP_CTC1]]/12, 0)</f>
        <v/>
      </c>
      <c r="U550" s="1" t="n">
        <v>1000000</v>
      </c>
      <c r="V550" s="1" t="inlineStr">
        <is>
          <t>NH</t>
        </is>
      </c>
      <c r="W550" s="1" t="inlineStr">
        <is>
          <t>NH</t>
        </is>
      </c>
      <c r="X55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0" t="n">
        <v>120000</v>
      </c>
      <c r="Z550" s="29">
        <f>(S550 - U550)/S550 * 100</f>
        <v/>
      </c>
      <c r="AA550">
        <f>IF(T_EMPLOYEES[[#This Row],[EMPLOYEE NUMBER]]="","",ROW(T_EMPLOYEES[[#This Row],[EMPLOYEE LABEL]])-ROW(T_EMPLOYEES[[#Headers],[EMPLOYEE LABEL]]))</f>
        <v/>
      </c>
      <c r="AB550">
        <f>IF(T_EMPLOYEES[[#This Row],[EMPLOYEE NUMBER]]="","",IF(COUNTIF(T_EMPLOYEES[EMPLOYEE NUMBER],T_EMPLOYEES[[#This Row],[EMPLOYEE NUMBER]])&gt;1,1,0))</f>
        <v/>
      </c>
      <c r="AC550">
        <f>IF(T_EMPLOYEES[[#This Row],[EMPLOYEE NUMBER]]="","",IF(AND(T_EMPLOYEES[[#This Row],[DATE OF BIRTH]]&gt;0,T_EMPLOYEES[[#This Row],[DATE OF BIRTH]]&lt;TODAY()),0,1))</f>
        <v/>
      </c>
      <c r="AD550">
        <f>IF(T_EMPLOYEES[[#This Row],[EMPLOYEE NUMBER]]="","",IF(AND(T_EMPLOYEES[[#This Row],[START DATE]]&gt;0,T_EMPLOYEES[[#This Row],[START DATE]]&lt;TODAY()+60),0,1))</f>
        <v/>
      </c>
      <c r="AE550">
        <f>IF(T_EMPLOYEES[[#This Row],[EMPLOYEE NUMBER]]="","",MATCH(T_EMPLOYEES[[#This Row],[GENDER]],L_GENDER,0))</f>
        <v/>
      </c>
      <c r="AF550">
        <f>IF(T_EMPLOYEES[[#This Row],[EMPLOYEE NUMBER]]="","",MATCH(T_EMPLOYEES[[#This Row],[HIRE SOURCE]],L_HIRESOURCE,0))</f>
        <v/>
      </c>
      <c r="AG550">
        <f>IF(T_EMPLOYEES[[#This Row],[EMPLOYEE NUMBER]]="","",MATCH(T_EMPLOYEES[[#This Row],[ETHNICITY]],L_ETHNICITY,0))</f>
        <v/>
      </c>
      <c r="AH550">
        <f>IF(T_EMPLOYEES[[#This Row],[EMPLOYEE NUMBER]]="","",MATCH(T_EMPLOYEES[[#This Row],[LOCATION]],L_LOCATION,0))</f>
        <v/>
      </c>
      <c r="AI550">
        <f>IF(T_EMPLOYEES[[#This Row],[EMPLOYEE NUMBER]]="","",MATCH(T_EMPLOYEES[[#This Row],[DEPARTMENT]],L_DEPARTMENT,0))</f>
        <v/>
      </c>
      <c r="AJ550">
        <f>IF(T_EMPLOYEES[[#This Row],[EMPLOYEE NUMBER]]="","",MATCH(T_EMPLOYEES[[#This Row],[JOB TYPE]],L_JOBTYPE,0))</f>
        <v/>
      </c>
      <c r="AK550">
        <f>IF(T_EMPLOYEES[[#This Row],[EMPLOYEE NUMBER]]="","",MATCH(T_EMPLOYEES[[#This Row],[JOB CATEGORY]],L_JOBCATEGORY,0))</f>
        <v/>
      </c>
      <c r="AL550">
        <f>IF(T_EMPLOYEES[[#This Row],[EMPLOYEE NUMBER]]="","",MATCH(T_EMPLOYEES[[#This Row],[JOB LEVEL]],L_JOBLEVEL,0))</f>
        <v/>
      </c>
      <c r="AM550">
        <f>IF(T_EMPLOYEES[[#This Row],[EMPLOYEE NUMBER]]="","",MATCH(T_EMPLOYEES[[#This Row],[JOB TITLE]],L_JOBTITLE,0))</f>
        <v/>
      </c>
      <c r="AN550">
        <f>IF(T_EMPLOYEES[[#This Row],[EMPLOYEE NUMBER]]="","",MATCH(T_EMPLOYEES[[#This Row],[MANAGER]],L_EMPLABELS,0))</f>
        <v/>
      </c>
      <c r="AO550">
        <f>IF(T_EMPLOYEES[[#This Row],[EMPLOYEE NUMBER]]="","",IF(T_EMPLOYEES[[#This Row],[ERROR]]="",0,1))</f>
        <v/>
      </c>
      <c r="AP55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1">
      <c r="A551" t="inlineStr">
        <is>
          <t>Gunji</t>
        </is>
      </c>
      <c r="B551" t="inlineStr">
        <is>
          <t>Usha Sri</t>
        </is>
      </c>
      <c r="C551" t="n">
        <v>1029914</v>
      </c>
      <c r="D551" t="inlineStr">
        <is>
          <t>Gunji.Ushasri@infinite.com</t>
        </is>
      </c>
      <c r="E551" s="26" t="n">
        <v>37112</v>
      </c>
      <c r="F551" s="26" t="n">
        <v>44791</v>
      </c>
      <c r="H551" t="inlineStr">
        <is>
          <t>Female</t>
        </is>
      </c>
      <c r="I551" t="inlineStr">
        <is>
          <t>Asian</t>
        </is>
      </c>
      <c r="J551" t="inlineStr">
        <is>
          <t>WEBSITE</t>
        </is>
      </c>
      <c r="K551" t="inlineStr">
        <is>
          <t>Bangalore</t>
        </is>
      </c>
      <c r="L551" s="27" t="inlineStr">
        <is>
          <t>Core</t>
        </is>
      </c>
      <c r="M551" t="inlineStr">
        <is>
          <t>Full-Time</t>
        </is>
      </c>
      <c r="N551" t="inlineStr">
        <is>
          <t>Associate Software Engineer</t>
        </is>
      </c>
      <c r="O551" t="inlineStr">
        <is>
          <t>E1</t>
        </is>
      </c>
      <c r="P551" t="inlineStr">
        <is>
          <t>Associate Software Engineer</t>
        </is>
      </c>
      <c r="Q551" t="inlineStr">
        <is>
          <t>Dipakbhai Motibhai Tandel (1027230)</t>
        </is>
      </c>
      <c r="R551" t="n">
        <v>0</v>
      </c>
      <c r="S551" s="1" t="n">
        <v>1200000</v>
      </c>
      <c r="T551" s="1">
        <f>ROUND(T_EMPLOYEES[[#This Row],[EMP_CTC1]]/12, 0)</f>
        <v/>
      </c>
      <c r="U551" s="1" t="n">
        <v>1000000</v>
      </c>
      <c r="V551" s="1" t="inlineStr">
        <is>
          <t>NH</t>
        </is>
      </c>
      <c r="W551" s="1" t="inlineStr">
        <is>
          <t>NH</t>
        </is>
      </c>
      <c r="X55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1" t="n">
        <v>120000</v>
      </c>
      <c r="Z551" s="29">
        <f>(S551 - U551)/S551 * 100</f>
        <v/>
      </c>
      <c r="AA551">
        <f>IF(T_EMPLOYEES[[#This Row],[EMPLOYEE NUMBER]]="","",ROW(T_EMPLOYEES[[#This Row],[EMPLOYEE LABEL]])-ROW(T_EMPLOYEES[[#Headers],[EMPLOYEE LABEL]]))</f>
        <v/>
      </c>
      <c r="AB551">
        <f>IF(T_EMPLOYEES[[#This Row],[EMPLOYEE NUMBER]]="","",IF(COUNTIF(T_EMPLOYEES[EMPLOYEE NUMBER],T_EMPLOYEES[[#This Row],[EMPLOYEE NUMBER]])&gt;1,1,0))</f>
        <v/>
      </c>
      <c r="AC551">
        <f>IF(T_EMPLOYEES[[#This Row],[EMPLOYEE NUMBER]]="","",IF(AND(T_EMPLOYEES[[#This Row],[DATE OF BIRTH]]&gt;0,T_EMPLOYEES[[#This Row],[DATE OF BIRTH]]&lt;TODAY()),0,1))</f>
        <v/>
      </c>
      <c r="AD551">
        <f>IF(T_EMPLOYEES[[#This Row],[EMPLOYEE NUMBER]]="","",IF(AND(T_EMPLOYEES[[#This Row],[START DATE]]&gt;0,T_EMPLOYEES[[#This Row],[START DATE]]&lt;TODAY()+60),0,1))</f>
        <v/>
      </c>
      <c r="AE551">
        <f>IF(T_EMPLOYEES[[#This Row],[EMPLOYEE NUMBER]]="","",MATCH(T_EMPLOYEES[[#This Row],[GENDER]],L_GENDER,0))</f>
        <v/>
      </c>
      <c r="AF551">
        <f>IF(T_EMPLOYEES[[#This Row],[EMPLOYEE NUMBER]]="","",MATCH(T_EMPLOYEES[[#This Row],[HIRE SOURCE]],L_HIRESOURCE,0))</f>
        <v/>
      </c>
      <c r="AG551">
        <f>IF(T_EMPLOYEES[[#This Row],[EMPLOYEE NUMBER]]="","",MATCH(T_EMPLOYEES[[#This Row],[ETHNICITY]],L_ETHNICITY,0))</f>
        <v/>
      </c>
      <c r="AH551">
        <f>IF(T_EMPLOYEES[[#This Row],[EMPLOYEE NUMBER]]="","",MATCH(T_EMPLOYEES[[#This Row],[LOCATION]],L_LOCATION,0))</f>
        <v/>
      </c>
      <c r="AI551">
        <f>IF(T_EMPLOYEES[[#This Row],[EMPLOYEE NUMBER]]="","",MATCH(T_EMPLOYEES[[#This Row],[DEPARTMENT]],L_DEPARTMENT,0))</f>
        <v/>
      </c>
      <c r="AJ551">
        <f>IF(T_EMPLOYEES[[#This Row],[EMPLOYEE NUMBER]]="","",MATCH(T_EMPLOYEES[[#This Row],[JOB TYPE]],L_JOBTYPE,0))</f>
        <v/>
      </c>
      <c r="AK551">
        <f>IF(T_EMPLOYEES[[#This Row],[EMPLOYEE NUMBER]]="","",MATCH(T_EMPLOYEES[[#This Row],[JOB CATEGORY]],L_JOBCATEGORY,0))</f>
        <v/>
      </c>
      <c r="AL551">
        <f>IF(T_EMPLOYEES[[#This Row],[EMPLOYEE NUMBER]]="","",MATCH(T_EMPLOYEES[[#This Row],[JOB LEVEL]],L_JOBLEVEL,0))</f>
        <v/>
      </c>
      <c r="AM551">
        <f>IF(T_EMPLOYEES[[#This Row],[EMPLOYEE NUMBER]]="","",MATCH(T_EMPLOYEES[[#This Row],[JOB TITLE]],L_JOBTITLE,0))</f>
        <v/>
      </c>
      <c r="AN551">
        <f>IF(T_EMPLOYEES[[#This Row],[EMPLOYEE NUMBER]]="","",MATCH(T_EMPLOYEES[[#This Row],[MANAGER]],L_EMPLABELS,0))</f>
        <v/>
      </c>
      <c r="AO551">
        <f>IF(T_EMPLOYEES[[#This Row],[EMPLOYEE NUMBER]]="","",IF(T_EMPLOYEES[[#This Row],[ERROR]]="",0,1))</f>
        <v/>
      </c>
      <c r="AP55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2">
      <c r="A552" t="inlineStr">
        <is>
          <t>Himanshu</t>
        </is>
      </c>
      <c r="B552" t="inlineStr">
        <is>
          <t>Kumar Ray</t>
        </is>
      </c>
      <c r="C552" t="n">
        <v>1033208</v>
      </c>
      <c r="D552" t="inlineStr">
        <is>
          <t>Himanshu.Ray@infinite.com</t>
        </is>
      </c>
      <c r="E552" s="26" t="n">
        <v>37123</v>
      </c>
      <c r="F552" s="26" t="n">
        <v>45155</v>
      </c>
      <c r="H552" t="inlineStr">
        <is>
          <t>Male</t>
        </is>
      </c>
      <c r="I552" t="inlineStr">
        <is>
          <t>Asian</t>
        </is>
      </c>
      <c r="J552" t="inlineStr">
        <is>
          <t>WEBSITE</t>
        </is>
      </c>
      <c r="K552" t="inlineStr">
        <is>
          <t>Bangalore</t>
        </is>
      </c>
      <c r="L552" s="27" t="inlineStr">
        <is>
          <t>Core</t>
        </is>
      </c>
      <c r="M552" t="inlineStr">
        <is>
          <t>Full-Time</t>
        </is>
      </c>
      <c r="N552" t="inlineStr">
        <is>
          <t>Associate Software Engineer</t>
        </is>
      </c>
      <c r="O552" t="inlineStr">
        <is>
          <t>E1</t>
        </is>
      </c>
      <c r="P552" t="inlineStr">
        <is>
          <t>Associate Software Engineer</t>
        </is>
      </c>
      <c r="Q552" t="inlineStr">
        <is>
          <t>Anil Kumar Khamari (1013201)</t>
        </is>
      </c>
      <c r="R552" s="27" t="n">
        <v>0</v>
      </c>
      <c r="S552" s="1" t="n">
        <v>1200000</v>
      </c>
      <c r="T552" s="1">
        <f>ROUND(T_EMPLOYEES[[#This Row],[EMP_CTC1]]/12, 0)</f>
        <v/>
      </c>
      <c r="U552" s="1" t="n">
        <v>1000000</v>
      </c>
      <c r="V552" s="1" t="inlineStr">
        <is>
          <t>NH</t>
        </is>
      </c>
      <c r="W552" s="1" t="inlineStr">
        <is>
          <t>NH</t>
        </is>
      </c>
      <c r="X55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2" t="n">
        <v>120000</v>
      </c>
      <c r="Z552" s="29">
        <f>(S552 - U552)/S552 * 100</f>
        <v/>
      </c>
      <c r="AA552">
        <f>IF(T_EMPLOYEES[[#This Row],[EMPLOYEE NUMBER]]="","",ROW(T_EMPLOYEES[[#This Row],[EMPLOYEE LABEL]])-ROW(T_EMPLOYEES[[#Headers],[EMPLOYEE LABEL]]))</f>
        <v/>
      </c>
      <c r="AB552">
        <f>IF(T_EMPLOYEES[[#This Row],[EMPLOYEE NUMBER]]="","",IF(COUNTIF(T_EMPLOYEES[EMPLOYEE NUMBER],T_EMPLOYEES[[#This Row],[EMPLOYEE NUMBER]])&gt;1,1,0))</f>
        <v/>
      </c>
      <c r="AC552">
        <f>IF(T_EMPLOYEES[[#This Row],[EMPLOYEE NUMBER]]="","",IF(AND(T_EMPLOYEES[[#This Row],[DATE OF BIRTH]]&gt;0,T_EMPLOYEES[[#This Row],[DATE OF BIRTH]]&lt;TODAY()),0,1))</f>
        <v/>
      </c>
      <c r="AD552">
        <f>IF(T_EMPLOYEES[[#This Row],[EMPLOYEE NUMBER]]="","",IF(AND(T_EMPLOYEES[[#This Row],[START DATE]]&gt;0,T_EMPLOYEES[[#This Row],[START DATE]]&lt;TODAY()+60),0,1))</f>
        <v/>
      </c>
      <c r="AE552">
        <f>IF(T_EMPLOYEES[[#This Row],[EMPLOYEE NUMBER]]="","",MATCH(T_EMPLOYEES[[#This Row],[GENDER]],L_GENDER,0))</f>
        <v/>
      </c>
      <c r="AF552">
        <f>IF(T_EMPLOYEES[[#This Row],[EMPLOYEE NUMBER]]="","",MATCH(T_EMPLOYEES[[#This Row],[HIRE SOURCE]],L_HIRESOURCE,0))</f>
        <v/>
      </c>
      <c r="AG552">
        <f>IF(T_EMPLOYEES[[#This Row],[EMPLOYEE NUMBER]]="","",MATCH(T_EMPLOYEES[[#This Row],[ETHNICITY]],L_ETHNICITY,0))</f>
        <v/>
      </c>
      <c r="AH552">
        <f>IF(T_EMPLOYEES[[#This Row],[EMPLOYEE NUMBER]]="","",MATCH(T_EMPLOYEES[[#This Row],[LOCATION]],L_LOCATION,0))</f>
        <v/>
      </c>
      <c r="AI552">
        <f>IF(T_EMPLOYEES[[#This Row],[EMPLOYEE NUMBER]]="","",MATCH(T_EMPLOYEES[[#This Row],[DEPARTMENT]],L_DEPARTMENT,0))</f>
        <v/>
      </c>
      <c r="AJ552">
        <f>IF(T_EMPLOYEES[[#This Row],[EMPLOYEE NUMBER]]="","",MATCH(T_EMPLOYEES[[#This Row],[JOB TYPE]],L_JOBTYPE,0))</f>
        <v/>
      </c>
      <c r="AK552">
        <f>IF(T_EMPLOYEES[[#This Row],[EMPLOYEE NUMBER]]="","",MATCH(T_EMPLOYEES[[#This Row],[JOB CATEGORY]],L_JOBCATEGORY,0))</f>
        <v/>
      </c>
      <c r="AL552">
        <f>IF(T_EMPLOYEES[[#This Row],[EMPLOYEE NUMBER]]="","",MATCH(T_EMPLOYEES[[#This Row],[JOB LEVEL]],L_JOBLEVEL,0))</f>
        <v/>
      </c>
      <c r="AM552">
        <f>IF(T_EMPLOYEES[[#This Row],[EMPLOYEE NUMBER]]="","",MATCH(T_EMPLOYEES[[#This Row],[JOB TITLE]],L_JOBTITLE,0))</f>
        <v/>
      </c>
      <c r="AN552">
        <f>IF(T_EMPLOYEES[[#This Row],[EMPLOYEE NUMBER]]="","",MATCH(T_EMPLOYEES[[#This Row],[MANAGER]],L_EMPLABELS,0))</f>
        <v/>
      </c>
      <c r="AO552">
        <f>IF(T_EMPLOYEES[[#This Row],[EMPLOYEE NUMBER]]="","",IF(T_EMPLOYEES[[#This Row],[ERROR]]="",0,1))</f>
        <v/>
      </c>
      <c r="AP55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3">
      <c r="A553" t="inlineStr">
        <is>
          <t>Rangabhatla</t>
        </is>
      </c>
      <c r="B553" t="inlineStr">
        <is>
          <t>Sai Harish</t>
        </is>
      </c>
      <c r="C553" t="n">
        <v>1029533</v>
      </c>
      <c r="D553" t="inlineStr">
        <is>
          <t>Sai.Harish@infinite.com</t>
        </is>
      </c>
      <c r="E553" s="26" t="n">
        <v>37128</v>
      </c>
      <c r="F553" s="26" t="n">
        <v>44757</v>
      </c>
      <c r="H553" t="inlineStr">
        <is>
          <t>Male</t>
        </is>
      </c>
      <c r="I553" t="inlineStr">
        <is>
          <t>Asian</t>
        </is>
      </c>
      <c r="J553" t="inlineStr">
        <is>
          <t>WEBSITE</t>
        </is>
      </c>
      <c r="K553" t="inlineStr">
        <is>
          <t>Hyderabad</t>
        </is>
      </c>
      <c r="L553" s="27" t="inlineStr">
        <is>
          <t>Core</t>
        </is>
      </c>
      <c r="M553" t="inlineStr">
        <is>
          <t>Full-Time</t>
        </is>
      </c>
      <c r="N553" t="inlineStr">
        <is>
          <t>Associate Software Engineer</t>
        </is>
      </c>
      <c r="O553" t="inlineStr">
        <is>
          <t>E1</t>
        </is>
      </c>
      <c r="P553" t="inlineStr">
        <is>
          <t>Associate Software Engineer</t>
        </is>
      </c>
      <c r="Q553" t="inlineStr">
        <is>
          <t>Kishore Kumar N (1019765)</t>
        </is>
      </c>
      <c r="R553" t="n">
        <v>0</v>
      </c>
      <c r="S553" s="1" t="n">
        <v>1200000</v>
      </c>
      <c r="T553" s="1">
        <f>ROUND(T_EMPLOYEES[[#This Row],[EMP_CTC1]]/12, 0)</f>
        <v/>
      </c>
      <c r="U553" s="1" t="n">
        <v>1000000</v>
      </c>
      <c r="V553" s="1" t="inlineStr">
        <is>
          <t>NH</t>
        </is>
      </c>
      <c r="W553" s="1" t="inlineStr">
        <is>
          <t>NH</t>
        </is>
      </c>
      <c r="X55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3" t="n">
        <v>120000</v>
      </c>
      <c r="Z553" s="29">
        <f>(S553 - U553)/S553 * 100</f>
        <v/>
      </c>
      <c r="AA553">
        <f>IF(T_EMPLOYEES[[#This Row],[EMPLOYEE NUMBER]]="","",ROW(T_EMPLOYEES[[#This Row],[EMPLOYEE LABEL]])-ROW(T_EMPLOYEES[[#Headers],[EMPLOYEE LABEL]]))</f>
        <v/>
      </c>
      <c r="AB553">
        <f>IF(T_EMPLOYEES[[#This Row],[EMPLOYEE NUMBER]]="","",IF(COUNTIF(T_EMPLOYEES[EMPLOYEE NUMBER],T_EMPLOYEES[[#This Row],[EMPLOYEE NUMBER]])&gt;1,1,0))</f>
        <v/>
      </c>
      <c r="AC553">
        <f>IF(T_EMPLOYEES[[#This Row],[EMPLOYEE NUMBER]]="","",IF(AND(T_EMPLOYEES[[#This Row],[DATE OF BIRTH]]&gt;0,T_EMPLOYEES[[#This Row],[DATE OF BIRTH]]&lt;TODAY()),0,1))</f>
        <v/>
      </c>
      <c r="AD553">
        <f>IF(T_EMPLOYEES[[#This Row],[EMPLOYEE NUMBER]]="","",IF(AND(T_EMPLOYEES[[#This Row],[START DATE]]&gt;0,T_EMPLOYEES[[#This Row],[START DATE]]&lt;TODAY()+60),0,1))</f>
        <v/>
      </c>
      <c r="AE553">
        <f>IF(T_EMPLOYEES[[#This Row],[EMPLOYEE NUMBER]]="","",MATCH(T_EMPLOYEES[[#This Row],[GENDER]],L_GENDER,0))</f>
        <v/>
      </c>
      <c r="AF553">
        <f>IF(T_EMPLOYEES[[#This Row],[EMPLOYEE NUMBER]]="","",MATCH(T_EMPLOYEES[[#This Row],[HIRE SOURCE]],L_HIRESOURCE,0))</f>
        <v/>
      </c>
      <c r="AG553">
        <f>IF(T_EMPLOYEES[[#This Row],[EMPLOYEE NUMBER]]="","",MATCH(T_EMPLOYEES[[#This Row],[ETHNICITY]],L_ETHNICITY,0))</f>
        <v/>
      </c>
      <c r="AH553">
        <f>IF(T_EMPLOYEES[[#This Row],[EMPLOYEE NUMBER]]="","",MATCH(T_EMPLOYEES[[#This Row],[LOCATION]],L_LOCATION,0))</f>
        <v/>
      </c>
      <c r="AI553">
        <f>IF(T_EMPLOYEES[[#This Row],[EMPLOYEE NUMBER]]="","",MATCH(T_EMPLOYEES[[#This Row],[DEPARTMENT]],L_DEPARTMENT,0))</f>
        <v/>
      </c>
      <c r="AJ553">
        <f>IF(T_EMPLOYEES[[#This Row],[EMPLOYEE NUMBER]]="","",MATCH(T_EMPLOYEES[[#This Row],[JOB TYPE]],L_JOBTYPE,0))</f>
        <v/>
      </c>
      <c r="AK553">
        <f>IF(T_EMPLOYEES[[#This Row],[EMPLOYEE NUMBER]]="","",MATCH(T_EMPLOYEES[[#This Row],[JOB CATEGORY]],L_JOBCATEGORY,0))</f>
        <v/>
      </c>
      <c r="AL553">
        <f>IF(T_EMPLOYEES[[#This Row],[EMPLOYEE NUMBER]]="","",MATCH(T_EMPLOYEES[[#This Row],[JOB LEVEL]],L_JOBLEVEL,0))</f>
        <v/>
      </c>
      <c r="AM553">
        <f>IF(T_EMPLOYEES[[#This Row],[EMPLOYEE NUMBER]]="","",MATCH(T_EMPLOYEES[[#This Row],[JOB TITLE]],L_JOBTITLE,0))</f>
        <v/>
      </c>
      <c r="AN553">
        <f>IF(T_EMPLOYEES[[#This Row],[EMPLOYEE NUMBER]]="","",MATCH(T_EMPLOYEES[[#This Row],[MANAGER]],L_EMPLABELS,0))</f>
        <v/>
      </c>
      <c r="AO553">
        <f>IF(T_EMPLOYEES[[#This Row],[EMPLOYEE NUMBER]]="","",IF(T_EMPLOYEES[[#This Row],[ERROR]]="",0,1))</f>
        <v/>
      </c>
      <c r="AP55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4">
      <c r="A554" t="inlineStr">
        <is>
          <t>Yanamadala</t>
        </is>
      </c>
      <c r="B554" t="inlineStr">
        <is>
          <t>Likhitha Sree</t>
        </is>
      </c>
      <c r="C554" t="n">
        <v>1029868</v>
      </c>
      <c r="D554" t="inlineStr">
        <is>
          <t>Yanamadala.Likhithasree@infinite.com</t>
        </is>
      </c>
      <c r="E554" s="26" t="n">
        <v>37128</v>
      </c>
      <c r="F554" s="26" t="n">
        <v>44791</v>
      </c>
      <c r="H554" t="inlineStr">
        <is>
          <t>Female</t>
        </is>
      </c>
      <c r="I554" t="inlineStr">
        <is>
          <t>Asian</t>
        </is>
      </c>
      <c r="J554" t="inlineStr">
        <is>
          <t>WEBSITE</t>
        </is>
      </c>
      <c r="K554" t="inlineStr">
        <is>
          <t>Bangalore</t>
        </is>
      </c>
      <c r="L554" s="27" t="inlineStr">
        <is>
          <t>Core</t>
        </is>
      </c>
      <c r="M554" t="inlineStr">
        <is>
          <t>Full-Time</t>
        </is>
      </c>
      <c r="N554" t="inlineStr">
        <is>
          <t>Associate Software Engineer</t>
        </is>
      </c>
      <c r="O554" t="inlineStr">
        <is>
          <t>E1</t>
        </is>
      </c>
      <c r="P554" t="inlineStr">
        <is>
          <t>Associate Software Engineer</t>
        </is>
      </c>
      <c r="Q554" t="inlineStr">
        <is>
          <t>Kishore Kumar N (1019765)</t>
        </is>
      </c>
      <c r="R554" s="27" t="n">
        <v>0</v>
      </c>
      <c r="S554" s="1" t="n">
        <v>1200000</v>
      </c>
      <c r="T554" s="1">
        <f>ROUND(T_EMPLOYEES[[#This Row],[EMP_CTC1]]/12, 0)</f>
        <v/>
      </c>
      <c r="U554" s="1" t="n">
        <v>1000000</v>
      </c>
      <c r="V554" s="1" t="inlineStr">
        <is>
          <t>NH</t>
        </is>
      </c>
      <c r="W554" s="1" t="inlineStr">
        <is>
          <t>NH</t>
        </is>
      </c>
      <c r="X55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4" t="n">
        <v>120000</v>
      </c>
      <c r="Z554" s="29">
        <f>(S554 - U554)/S554 * 100</f>
        <v/>
      </c>
      <c r="AA554">
        <f>IF(T_EMPLOYEES[[#This Row],[EMPLOYEE NUMBER]]="","",ROW(T_EMPLOYEES[[#This Row],[EMPLOYEE LABEL]])-ROW(T_EMPLOYEES[[#Headers],[EMPLOYEE LABEL]]))</f>
        <v/>
      </c>
      <c r="AB554">
        <f>IF(T_EMPLOYEES[[#This Row],[EMPLOYEE NUMBER]]="","",IF(COUNTIF(T_EMPLOYEES[EMPLOYEE NUMBER],T_EMPLOYEES[[#This Row],[EMPLOYEE NUMBER]])&gt;1,1,0))</f>
        <v/>
      </c>
      <c r="AC554">
        <f>IF(T_EMPLOYEES[[#This Row],[EMPLOYEE NUMBER]]="","",IF(AND(T_EMPLOYEES[[#This Row],[DATE OF BIRTH]]&gt;0,T_EMPLOYEES[[#This Row],[DATE OF BIRTH]]&lt;TODAY()),0,1))</f>
        <v/>
      </c>
      <c r="AD554">
        <f>IF(T_EMPLOYEES[[#This Row],[EMPLOYEE NUMBER]]="","",IF(AND(T_EMPLOYEES[[#This Row],[START DATE]]&gt;0,T_EMPLOYEES[[#This Row],[START DATE]]&lt;TODAY()+60),0,1))</f>
        <v/>
      </c>
      <c r="AE554">
        <f>IF(T_EMPLOYEES[[#This Row],[EMPLOYEE NUMBER]]="","",MATCH(T_EMPLOYEES[[#This Row],[GENDER]],L_GENDER,0))</f>
        <v/>
      </c>
      <c r="AF554">
        <f>IF(T_EMPLOYEES[[#This Row],[EMPLOYEE NUMBER]]="","",MATCH(T_EMPLOYEES[[#This Row],[HIRE SOURCE]],L_HIRESOURCE,0))</f>
        <v/>
      </c>
      <c r="AG554">
        <f>IF(T_EMPLOYEES[[#This Row],[EMPLOYEE NUMBER]]="","",MATCH(T_EMPLOYEES[[#This Row],[ETHNICITY]],L_ETHNICITY,0))</f>
        <v/>
      </c>
      <c r="AH554">
        <f>IF(T_EMPLOYEES[[#This Row],[EMPLOYEE NUMBER]]="","",MATCH(T_EMPLOYEES[[#This Row],[LOCATION]],L_LOCATION,0))</f>
        <v/>
      </c>
      <c r="AI554">
        <f>IF(T_EMPLOYEES[[#This Row],[EMPLOYEE NUMBER]]="","",MATCH(T_EMPLOYEES[[#This Row],[DEPARTMENT]],L_DEPARTMENT,0))</f>
        <v/>
      </c>
      <c r="AJ554">
        <f>IF(T_EMPLOYEES[[#This Row],[EMPLOYEE NUMBER]]="","",MATCH(T_EMPLOYEES[[#This Row],[JOB TYPE]],L_JOBTYPE,0))</f>
        <v/>
      </c>
      <c r="AK554">
        <f>IF(T_EMPLOYEES[[#This Row],[EMPLOYEE NUMBER]]="","",MATCH(T_EMPLOYEES[[#This Row],[JOB CATEGORY]],L_JOBCATEGORY,0))</f>
        <v/>
      </c>
      <c r="AL554">
        <f>IF(T_EMPLOYEES[[#This Row],[EMPLOYEE NUMBER]]="","",MATCH(T_EMPLOYEES[[#This Row],[JOB LEVEL]],L_JOBLEVEL,0))</f>
        <v/>
      </c>
      <c r="AM554">
        <f>IF(T_EMPLOYEES[[#This Row],[EMPLOYEE NUMBER]]="","",MATCH(T_EMPLOYEES[[#This Row],[JOB TITLE]],L_JOBTITLE,0))</f>
        <v/>
      </c>
      <c r="AN554">
        <f>IF(T_EMPLOYEES[[#This Row],[EMPLOYEE NUMBER]]="","",MATCH(T_EMPLOYEES[[#This Row],[MANAGER]],L_EMPLABELS,0))</f>
        <v/>
      </c>
      <c r="AO554">
        <f>IF(T_EMPLOYEES[[#This Row],[EMPLOYEE NUMBER]]="","",IF(T_EMPLOYEES[[#This Row],[ERROR]]="",0,1))</f>
        <v/>
      </c>
      <c r="AP55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5">
      <c r="A555" t="inlineStr">
        <is>
          <t>Vemula</t>
        </is>
      </c>
      <c r="B555" t="inlineStr">
        <is>
          <t>Sanjay Kumar</t>
        </is>
      </c>
      <c r="C555" t="n">
        <v>1033263</v>
      </c>
      <c r="D555" t="inlineStr">
        <is>
          <t>Sanjaykumar.Vemula@infinite.com</t>
        </is>
      </c>
      <c r="E555" s="26" t="n">
        <v>37130</v>
      </c>
      <c r="F555" s="26" t="n">
        <v>45155</v>
      </c>
      <c r="H555" t="inlineStr">
        <is>
          <t>Male</t>
        </is>
      </c>
      <c r="I555" t="inlineStr">
        <is>
          <t>Asian</t>
        </is>
      </c>
      <c r="J555" t="inlineStr">
        <is>
          <t>WEBSITE</t>
        </is>
      </c>
      <c r="K555" t="inlineStr">
        <is>
          <t>Bangalore</t>
        </is>
      </c>
      <c r="L555" s="27" t="inlineStr">
        <is>
          <t>Core</t>
        </is>
      </c>
      <c r="M555" t="inlineStr">
        <is>
          <t>Full-Time</t>
        </is>
      </c>
      <c r="N555" t="inlineStr">
        <is>
          <t>Associate Software Engineer</t>
        </is>
      </c>
      <c r="O555" t="inlineStr">
        <is>
          <t>E1</t>
        </is>
      </c>
      <c r="P555" t="inlineStr">
        <is>
          <t>Associate Software Engineer</t>
        </is>
      </c>
      <c r="Q555" t="inlineStr">
        <is>
          <t>Anil Kumar Khamari (1013201)</t>
        </is>
      </c>
      <c r="R555" t="n">
        <v>0</v>
      </c>
      <c r="S555" s="1" t="n">
        <v>1200000</v>
      </c>
      <c r="T555" s="1">
        <f>ROUND(T_EMPLOYEES[[#This Row],[EMP_CTC1]]/12, 0)</f>
        <v/>
      </c>
      <c r="U555" s="1" t="n">
        <v>1000000</v>
      </c>
      <c r="V555" s="1" t="inlineStr">
        <is>
          <t>NH</t>
        </is>
      </c>
      <c r="W555" s="1" t="inlineStr">
        <is>
          <t>NH</t>
        </is>
      </c>
      <c r="X55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5" t="n">
        <v>120000</v>
      </c>
      <c r="Z555" s="29">
        <f>(S555 - U555)/S555 * 100</f>
        <v/>
      </c>
      <c r="AA555">
        <f>IF(T_EMPLOYEES[[#This Row],[EMPLOYEE NUMBER]]="","",ROW(T_EMPLOYEES[[#This Row],[EMPLOYEE LABEL]])-ROW(T_EMPLOYEES[[#Headers],[EMPLOYEE LABEL]]))</f>
        <v/>
      </c>
      <c r="AB555">
        <f>IF(T_EMPLOYEES[[#This Row],[EMPLOYEE NUMBER]]="","",IF(COUNTIF(T_EMPLOYEES[EMPLOYEE NUMBER],T_EMPLOYEES[[#This Row],[EMPLOYEE NUMBER]])&gt;1,1,0))</f>
        <v/>
      </c>
      <c r="AC555">
        <f>IF(T_EMPLOYEES[[#This Row],[EMPLOYEE NUMBER]]="","",IF(AND(T_EMPLOYEES[[#This Row],[DATE OF BIRTH]]&gt;0,T_EMPLOYEES[[#This Row],[DATE OF BIRTH]]&lt;TODAY()),0,1))</f>
        <v/>
      </c>
      <c r="AD555">
        <f>IF(T_EMPLOYEES[[#This Row],[EMPLOYEE NUMBER]]="","",IF(AND(T_EMPLOYEES[[#This Row],[START DATE]]&gt;0,T_EMPLOYEES[[#This Row],[START DATE]]&lt;TODAY()+60),0,1))</f>
        <v/>
      </c>
      <c r="AE555">
        <f>IF(T_EMPLOYEES[[#This Row],[EMPLOYEE NUMBER]]="","",MATCH(T_EMPLOYEES[[#This Row],[GENDER]],L_GENDER,0))</f>
        <v/>
      </c>
      <c r="AF555">
        <f>IF(T_EMPLOYEES[[#This Row],[EMPLOYEE NUMBER]]="","",MATCH(T_EMPLOYEES[[#This Row],[HIRE SOURCE]],L_HIRESOURCE,0))</f>
        <v/>
      </c>
      <c r="AG555">
        <f>IF(T_EMPLOYEES[[#This Row],[EMPLOYEE NUMBER]]="","",MATCH(T_EMPLOYEES[[#This Row],[ETHNICITY]],L_ETHNICITY,0))</f>
        <v/>
      </c>
      <c r="AH555">
        <f>IF(T_EMPLOYEES[[#This Row],[EMPLOYEE NUMBER]]="","",MATCH(T_EMPLOYEES[[#This Row],[LOCATION]],L_LOCATION,0))</f>
        <v/>
      </c>
      <c r="AI555">
        <f>IF(T_EMPLOYEES[[#This Row],[EMPLOYEE NUMBER]]="","",MATCH(T_EMPLOYEES[[#This Row],[DEPARTMENT]],L_DEPARTMENT,0))</f>
        <v/>
      </c>
      <c r="AJ555">
        <f>IF(T_EMPLOYEES[[#This Row],[EMPLOYEE NUMBER]]="","",MATCH(T_EMPLOYEES[[#This Row],[JOB TYPE]],L_JOBTYPE,0))</f>
        <v/>
      </c>
      <c r="AK555">
        <f>IF(T_EMPLOYEES[[#This Row],[EMPLOYEE NUMBER]]="","",MATCH(T_EMPLOYEES[[#This Row],[JOB CATEGORY]],L_JOBCATEGORY,0))</f>
        <v/>
      </c>
      <c r="AL555">
        <f>IF(T_EMPLOYEES[[#This Row],[EMPLOYEE NUMBER]]="","",MATCH(T_EMPLOYEES[[#This Row],[JOB LEVEL]],L_JOBLEVEL,0))</f>
        <v/>
      </c>
      <c r="AM555">
        <f>IF(T_EMPLOYEES[[#This Row],[EMPLOYEE NUMBER]]="","",MATCH(T_EMPLOYEES[[#This Row],[JOB TITLE]],L_JOBTITLE,0))</f>
        <v/>
      </c>
      <c r="AN555">
        <f>IF(T_EMPLOYEES[[#This Row],[EMPLOYEE NUMBER]]="","",MATCH(T_EMPLOYEES[[#This Row],[MANAGER]],L_EMPLABELS,0))</f>
        <v/>
      </c>
      <c r="AO555">
        <f>IF(T_EMPLOYEES[[#This Row],[EMPLOYEE NUMBER]]="","",IF(T_EMPLOYEES[[#This Row],[ERROR]]="",0,1))</f>
        <v/>
      </c>
      <c r="AP55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6">
      <c r="A556" t="inlineStr">
        <is>
          <t>Sonali</t>
        </is>
      </c>
      <c r="B556" t="inlineStr">
        <is>
          <t>Sahu</t>
        </is>
      </c>
      <c r="C556" t="n">
        <v>1033225</v>
      </c>
      <c r="D556" t="inlineStr">
        <is>
          <t>Sonali.Sahu@infinite.com</t>
        </is>
      </c>
      <c r="E556" s="26" t="n">
        <v>37142</v>
      </c>
      <c r="F556" s="26" t="n">
        <v>45155</v>
      </c>
      <c r="H556" t="inlineStr">
        <is>
          <t>Female</t>
        </is>
      </c>
      <c r="I556" t="inlineStr">
        <is>
          <t>Asian</t>
        </is>
      </c>
      <c r="J556" t="inlineStr">
        <is>
          <t>WEBSITE</t>
        </is>
      </c>
      <c r="K556" t="inlineStr">
        <is>
          <t>Bangalore</t>
        </is>
      </c>
      <c r="L556" s="27" t="inlineStr">
        <is>
          <t>Core</t>
        </is>
      </c>
      <c r="M556" t="inlineStr">
        <is>
          <t>Full-Time</t>
        </is>
      </c>
      <c r="N556" t="inlineStr">
        <is>
          <t>Associate Software Engineer</t>
        </is>
      </c>
      <c r="O556" t="inlineStr">
        <is>
          <t>E1</t>
        </is>
      </c>
      <c r="P556" t="inlineStr">
        <is>
          <t>Associate Software Engineer</t>
        </is>
      </c>
      <c r="Q556" t="inlineStr">
        <is>
          <t>Kishore Kumar N (1019765)</t>
        </is>
      </c>
      <c r="R556" s="27" t="n">
        <v>0</v>
      </c>
      <c r="S556" s="1" t="n">
        <v>1200000</v>
      </c>
      <c r="T556" s="1">
        <f>ROUND(T_EMPLOYEES[[#This Row],[EMP_CTC1]]/12, 0)</f>
        <v/>
      </c>
      <c r="U556" s="1" t="n">
        <v>1000000</v>
      </c>
      <c r="V556" s="1" t="inlineStr">
        <is>
          <t>NH</t>
        </is>
      </c>
      <c r="W556" s="1" t="inlineStr">
        <is>
          <t>NH</t>
        </is>
      </c>
      <c r="X55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6" t="n">
        <v>120000</v>
      </c>
      <c r="Z556" s="29">
        <f>(S556 - U556)/S556 * 100</f>
        <v/>
      </c>
      <c r="AA556">
        <f>IF(T_EMPLOYEES[[#This Row],[EMPLOYEE NUMBER]]="","",ROW(T_EMPLOYEES[[#This Row],[EMPLOYEE LABEL]])-ROW(T_EMPLOYEES[[#Headers],[EMPLOYEE LABEL]]))</f>
        <v/>
      </c>
      <c r="AB556">
        <f>IF(T_EMPLOYEES[[#This Row],[EMPLOYEE NUMBER]]="","",IF(COUNTIF(T_EMPLOYEES[EMPLOYEE NUMBER],T_EMPLOYEES[[#This Row],[EMPLOYEE NUMBER]])&gt;1,1,0))</f>
        <v/>
      </c>
      <c r="AC556">
        <f>IF(T_EMPLOYEES[[#This Row],[EMPLOYEE NUMBER]]="","",IF(AND(T_EMPLOYEES[[#This Row],[DATE OF BIRTH]]&gt;0,T_EMPLOYEES[[#This Row],[DATE OF BIRTH]]&lt;TODAY()),0,1))</f>
        <v/>
      </c>
      <c r="AD556">
        <f>IF(T_EMPLOYEES[[#This Row],[EMPLOYEE NUMBER]]="","",IF(AND(T_EMPLOYEES[[#This Row],[START DATE]]&gt;0,T_EMPLOYEES[[#This Row],[START DATE]]&lt;TODAY()+60),0,1))</f>
        <v/>
      </c>
      <c r="AE556">
        <f>IF(T_EMPLOYEES[[#This Row],[EMPLOYEE NUMBER]]="","",MATCH(T_EMPLOYEES[[#This Row],[GENDER]],L_GENDER,0))</f>
        <v/>
      </c>
      <c r="AF556">
        <f>IF(T_EMPLOYEES[[#This Row],[EMPLOYEE NUMBER]]="","",MATCH(T_EMPLOYEES[[#This Row],[HIRE SOURCE]],L_HIRESOURCE,0))</f>
        <v/>
      </c>
      <c r="AG556">
        <f>IF(T_EMPLOYEES[[#This Row],[EMPLOYEE NUMBER]]="","",MATCH(T_EMPLOYEES[[#This Row],[ETHNICITY]],L_ETHNICITY,0))</f>
        <v/>
      </c>
      <c r="AH556">
        <f>IF(T_EMPLOYEES[[#This Row],[EMPLOYEE NUMBER]]="","",MATCH(T_EMPLOYEES[[#This Row],[LOCATION]],L_LOCATION,0))</f>
        <v/>
      </c>
      <c r="AI556">
        <f>IF(T_EMPLOYEES[[#This Row],[EMPLOYEE NUMBER]]="","",MATCH(T_EMPLOYEES[[#This Row],[DEPARTMENT]],L_DEPARTMENT,0))</f>
        <v/>
      </c>
      <c r="AJ556">
        <f>IF(T_EMPLOYEES[[#This Row],[EMPLOYEE NUMBER]]="","",MATCH(T_EMPLOYEES[[#This Row],[JOB TYPE]],L_JOBTYPE,0))</f>
        <v/>
      </c>
      <c r="AK556">
        <f>IF(T_EMPLOYEES[[#This Row],[EMPLOYEE NUMBER]]="","",MATCH(T_EMPLOYEES[[#This Row],[JOB CATEGORY]],L_JOBCATEGORY,0))</f>
        <v/>
      </c>
      <c r="AL556">
        <f>IF(T_EMPLOYEES[[#This Row],[EMPLOYEE NUMBER]]="","",MATCH(T_EMPLOYEES[[#This Row],[JOB LEVEL]],L_JOBLEVEL,0))</f>
        <v/>
      </c>
      <c r="AM556">
        <f>IF(T_EMPLOYEES[[#This Row],[EMPLOYEE NUMBER]]="","",MATCH(T_EMPLOYEES[[#This Row],[JOB TITLE]],L_JOBTITLE,0))</f>
        <v/>
      </c>
      <c r="AN556">
        <f>IF(T_EMPLOYEES[[#This Row],[EMPLOYEE NUMBER]]="","",MATCH(T_EMPLOYEES[[#This Row],[MANAGER]],L_EMPLABELS,0))</f>
        <v/>
      </c>
      <c r="AO556">
        <f>IF(T_EMPLOYEES[[#This Row],[EMPLOYEE NUMBER]]="","",IF(T_EMPLOYEES[[#This Row],[ERROR]]="",0,1))</f>
        <v/>
      </c>
      <c r="AP55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7">
      <c r="A557" t="inlineStr">
        <is>
          <t>Jadala</t>
        </is>
      </c>
      <c r="B557" t="inlineStr">
        <is>
          <t>Naveen Kumar</t>
        </is>
      </c>
      <c r="C557" t="n">
        <v>1033249</v>
      </c>
      <c r="D557" t="inlineStr">
        <is>
          <t>Naveenkumar.Jadala@infinite.com</t>
        </is>
      </c>
      <c r="E557" s="26" t="n">
        <v>37147</v>
      </c>
      <c r="F557" s="26" t="n">
        <v>45155</v>
      </c>
      <c r="H557" t="inlineStr">
        <is>
          <t>Male</t>
        </is>
      </c>
      <c r="I557" t="inlineStr">
        <is>
          <t>Asian</t>
        </is>
      </c>
      <c r="J557" t="inlineStr">
        <is>
          <t>WEBSITE</t>
        </is>
      </c>
      <c r="K557" t="inlineStr">
        <is>
          <t>Bangalore</t>
        </is>
      </c>
      <c r="L557" s="27" t="inlineStr">
        <is>
          <t>Core</t>
        </is>
      </c>
      <c r="M557" t="inlineStr">
        <is>
          <t>Full-Time</t>
        </is>
      </c>
      <c r="N557" t="inlineStr">
        <is>
          <t>Associate Software Engineer</t>
        </is>
      </c>
      <c r="O557" t="inlineStr">
        <is>
          <t>E1</t>
        </is>
      </c>
      <c r="P557" t="inlineStr">
        <is>
          <t>Associate Software Engineer</t>
        </is>
      </c>
      <c r="Q557" t="inlineStr">
        <is>
          <t>Dipakbhai Motibhai Tandel (1027230)</t>
        </is>
      </c>
      <c r="R557" t="n">
        <v>0</v>
      </c>
      <c r="S557" s="1" t="n">
        <v>1200000</v>
      </c>
      <c r="T557" s="1">
        <f>ROUND(T_EMPLOYEES[[#This Row],[EMP_CTC1]]/12, 0)</f>
        <v/>
      </c>
      <c r="U557" s="1" t="n">
        <v>1000000</v>
      </c>
      <c r="V557" s="1" t="inlineStr">
        <is>
          <t>NH</t>
        </is>
      </c>
      <c r="W557" s="1" t="inlineStr">
        <is>
          <t>NH</t>
        </is>
      </c>
      <c r="X55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7" t="n">
        <v>120000</v>
      </c>
      <c r="Z557" s="29">
        <f>(S557 - U557)/S557 * 100</f>
        <v/>
      </c>
      <c r="AA557">
        <f>IF(T_EMPLOYEES[[#This Row],[EMPLOYEE NUMBER]]="","",ROW(T_EMPLOYEES[[#This Row],[EMPLOYEE LABEL]])-ROW(T_EMPLOYEES[[#Headers],[EMPLOYEE LABEL]]))</f>
        <v/>
      </c>
      <c r="AB557">
        <f>IF(T_EMPLOYEES[[#This Row],[EMPLOYEE NUMBER]]="","",IF(COUNTIF(T_EMPLOYEES[EMPLOYEE NUMBER],T_EMPLOYEES[[#This Row],[EMPLOYEE NUMBER]])&gt;1,1,0))</f>
        <v/>
      </c>
      <c r="AC557">
        <f>IF(T_EMPLOYEES[[#This Row],[EMPLOYEE NUMBER]]="","",IF(AND(T_EMPLOYEES[[#This Row],[DATE OF BIRTH]]&gt;0,T_EMPLOYEES[[#This Row],[DATE OF BIRTH]]&lt;TODAY()),0,1))</f>
        <v/>
      </c>
      <c r="AD557">
        <f>IF(T_EMPLOYEES[[#This Row],[EMPLOYEE NUMBER]]="","",IF(AND(T_EMPLOYEES[[#This Row],[START DATE]]&gt;0,T_EMPLOYEES[[#This Row],[START DATE]]&lt;TODAY()+60),0,1))</f>
        <v/>
      </c>
      <c r="AE557">
        <f>IF(T_EMPLOYEES[[#This Row],[EMPLOYEE NUMBER]]="","",MATCH(T_EMPLOYEES[[#This Row],[GENDER]],L_GENDER,0))</f>
        <v/>
      </c>
      <c r="AF557">
        <f>IF(T_EMPLOYEES[[#This Row],[EMPLOYEE NUMBER]]="","",MATCH(T_EMPLOYEES[[#This Row],[HIRE SOURCE]],L_HIRESOURCE,0))</f>
        <v/>
      </c>
      <c r="AG557">
        <f>IF(T_EMPLOYEES[[#This Row],[EMPLOYEE NUMBER]]="","",MATCH(T_EMPLOYEES[[#This Row],[ETHNICITY]],L_ETHNICITY,0))</f>
        <v/>
      </c>
      <c r="AH557">
        <f>IF(T_EMPLOYEES[[#This Row],[EMPLOYEE NUMBER]]="","",MATCH(T_EMPLOYEES[[#This Row],[LOCATION]],L_LOCATION,0))</f>
        <v/>
      </c>
      <c r="AI557">
        <f>IF(T_EMPLOYEES[[#This Row],[EMPLOYEE NUMBER]]="","",MATCH(T_EMPLOYEES[[#This Row],[DEPARTMENT]],L_DEPARTMENT,0))</f>
        <v/>
      </c>
      <c r="AJ557">
        <f>IF(T_EMPLOYEES[[#This Row],[EMPLOYEE NUMBER]]="","",MATCH(T_EMPLOYEES[[#This Row],[JOB TYPE]],L_JOBTYPE,0))</f>
        <v/>
      </c>
      <c r="AK557">
        <f>IF(T_EMPLOYEES[[#This Row],[EMPLOYEE NUMBER]]="","",MATCH(T_EMPLOYEES[[#This Row],[JOB CATEGORY]],L_JOBCATEGORY,0))</f>
        <v/>
      </c>
      <c r="AL557">
        <f>IF(T_EMPLOYEES[[#This Row],[EMPLOYEE NUMBER]]="","",MATCH(T_EMPLOYEES[[#This Row],[JOB LEVEL]],L_JOBLEVEL,0))</f>
        <v/>
      </c>
      <c r="AM557">
        <f>IF(T_EMPLOYEES[[#This Row],[EMPLOYEE NUMBER]]="","",MATCH(T_EMPLOYEES[[#This Row],[JOB TITLE]],L_JOBTITLE,0))</f>
        <v/>
      </c>
      <c r="AN557">
        <f>IF(T_EMPLOYEES[[#This Row],[EMPLOYEE NUMBER]]="","",MATCH(T_EMPLOYEES[[#This Row],[MANAGER]],L_EMPLABELS,0))</f>
        <v/>
      </c>
      <c r="AO557">
        <f>IF(T_EMPLOYEES[[#This Row],[EMPLOYEE NUMBER]]="","",IF(T_EMPLOYEES[[#This Row],[ERROR]]="",0,1))</f>
        <v/>
      </c>
      <c r="AP55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8">
      <c r="A558" t="inlineStr">
        <is>
          <t>Khafia</t>
        </is>
      </c>
      <c r="B558" t="inlineStr">
        <is>
          <t>Ayyub</t>
        </is>
      </c>
      <c r="C558" t="n">
        <v>1033209</v>
      </c>
      <c r="D558" t="inlineStr">
        <is>
          <t>Khafia.Ayyub@infinite.com</t>
        </is>
      </c>
      <c r="E558" s="26" t="n">
        <v>37155</v>
      </c>
      <c r="F558" s="26" t="n">
        <v>45155</v>
      </c>
      <c r="H558" t="inlineStr">
        <is>
          <t>Female</t>
        </is>
      </c>
      <c r="I558" t="inlineStr">
        <is>
          <t>Asian</t>
        </is>
      </c>
      <c r="J558" t="inlineStr">
        <is>
          <t>WEBSITE</t>
        </is>
      </c>
      <c r="K558" t="inlineStr">
        <is>
          <t>Bangalore</t>
        </is>
      </c>
      <c r="L558" s="27" t="inlineStr">
        <is>
          <t>Core</t>
        </is>
      </c>
      <c r="M558" t="inlineStr">
        <is>
          <t>Full-Time</t>
        </is>
      </c>
      <c r="N558" t="inlineStr">
        <is>
          <t>Associate Software Engineer</t>
        </is>
      </c>
      <c r="O558" t="inlineStr">
        <is>
          <t>E1</t>
        </is>
      </c>
      <c r="P558" t="inlineStr">
        <is>
          <t>Associate Software Engineer</t>
        </is>
      </c>
      <c r="Q558" t="inlineStr">
        <is>
          <t>Dipakbhai Motibhai Tandel (1027230)</t>
        </is>
      </c>
      <c r="R558" s="27" t="n">
        <v>0</v>
      </c>
      <c r="S558" s="1" t="n">
        <v>1200000</v>
      </c>
      <c r="T558" s="1">
        <f>ROUND(T_EMPLOYEES[[#This Row],[EMP_CTC1]]/12, 0)</f>
        <v/>
      </c>
      <c r="U558" s="1" t="n">
        <v>1000000</v>
      </c>
      <c r="V558" s="1" t="inlineStr">
        <is>
          <t>NH</t>
        </is>
      </c>
      <c r="W558" s="1" t="inlineStr">
        <is>
          <t>NH</t>
        </is>
      </c>
      <c r="X55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8" t="n">
        <v>120000</v>
      </c>
      <c r="Z558" s="29">
        <f>(S558 - U558)/S558 * 100</f>
        <v/>
      </c>
      <c r="AA558">
        <f>IF(T_EMPLOYEES[[#This Row],[EMPLOYEE NUMBER]]="","",ROW(T_EMPLOYEES[[#This Row],[EMPLOYEE LABEL]])-ROW(T_EMPLOYEES[[#Headers],[EMPLOYEE LABEL]]))</f>
        <v/>
      </c>
      <c r="AB558">
        <f>IF(T_EMPLOYEES[[#This Row],[EMPLOYEE NUMBER]]="","",IF(COUNTIF(T_EMPLOYEES[EMPLOYEE NUMBER],T_EMPLOYEES[[#This Row],[EMPLOYEE NUMBER]])&gt;1,1,0))</f>
        <v/>
      </c>
      <c r="AC558">
        <f>IF(T_EMPLOYEES[[#This Row],[EMPLOYEE NUMBER]]="","",IF(AND(T_EMPLOYEES[[#This Row],[DATE OF BIRTH]]&gt;0,T_EMPLOYEES[[#This Row],[DATE OF BIRTH]]&lt;TODAY()),0,1))</f>
        <v/>
      </c>
      <c r="AD558">
        <f>IF(T_EMPLOYEES[[#This Row],[EMPLOYEE NUMBER]]="","",IF(AND(T_EMPLOYEES[[#This Row],[START DATE]]&gt;0,T_EMPLOYEES[[#This Row],[START DATE]]&lt;TODAY()+60),0,1))</f>
        <v/>
      </c>
      <c r="AE558">
        <f>IF(T_EMPLOYEES[[#This Row],[EMPLOYEE NUMBER]]="","",MATCH(T_EMPLOYEES[[#This Row],[GENDER]],L_GENDER,0))</f>
        <v/>
      </c>
      <c r="AF558">
        <f>IF(T_EMPLOYEES[[#This Row],[EMPLOYEE NUMBER]]="","",MATCH(T_EMPLOYEES[[#This Row],[HIRE SOURCE]],L_HIRESOURCE,0))</f>
        <v/>
      </c>
      <c r="AG558">
        <f>IF(T_EMPLOYEES[[#This Row],[EMPLOYEE NUMBER]]="","",MATCH(T_EMPLOYEES[[#This Row],[ETHNICITY]],L_ETHNICITY,0))</f>
        <v/>
      </c>
      <c r="AH558">
        <f>IF(T_EMPLOYEES[[#This Row],[EMPLOYEE NUMBER]]="","",MATCH(T_EMPLOYEES[[#This Row],[LOCATION]],L_LOCATION,0))</f>
        <v/>
      </c>
      <c r="AI558">
        <f>IF(T_EMPLOYEES[[#This Row],[EMPLOYEE NUMBER]]="","",MATCH(T_EMPLOYEES[[#This Row],[DEPARTMENT]],L_DEPARTMENT,0))</f>
        <v/>
      </c>
      <c r="AJ558">
        <f>IF(T_EMPLOYEES[[#This Row],[EMPLOYEE NUMBER]]="","",MATCH(T_EMPLOYEES[[#This Row],[JOB TYPE]],L_JOBTYPE,0))</f>
        <v/>
      </c>
      <c r="AK558">
        <f>IF(T_EMPLOYEES[[#This Row],[EMPLOYEE NUMBER]]="","",MATCH(T_EMPLOYEES[[#This Row],[JOB CATEGORY]],L_JOBCATEGORY,0))</f>
        <v/>
      </c>
      <c r="AL558">
        <f>IF(T_EMPLOYEES[[#This Row],[EMPLOYEE NUMBER]]="","",MATCH(T_EMPLOYEES[[#This Row],[JOB LEVEL]],L_JOBLEVEL,0))</f>
        <v/>
      </c>
      <c r="AM558">
        <f>IF(T_EMPLOYEES[[#This Row],[EMPLOYEE NUMBER]]="","",MATCH(T_EMPLOYEES[[#This Row],[JOB TITLE]],L_JOBTITLE,0))</f>
        <v/>
      </c>
      <c r="AN558">
        <f>IF(T_EMPLOYEES[[#This Row],[EMPLOYEE NUMBER]]="","",MATCH(T_EMPLOYEES[[#This Row],[MANAGER]],L_EMPLABELS,0))</f>
        <v/>
      </c>
      <c r="AO558">
        <f>IF(T_EMPLOYEES[[#This Row],[EMPLOYEE NUMBER]]="","",IF(T_EMPLOYEES[[#This Row],[ERROR]]="",0,1))</f>
        <v/>
      </c>
      <c r="AP55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59">
      <c r="A559" t="inlineStr">
        <is>
          <t>Javed</t>
        </is>
      </c>
      <c r="B559" t="inlineStr">
        <is>
          <t>Khan</t>
        </is>
      </c>
      <c r="C559" t="n">
        <v>1029906</v>
      </c>
      <c r="D559" t="inlineStr">
        <is>
          <t>Javed.Khan@infinite.com</t>
        </is>
      </c>
      <c r="E559" s="26" t="n">
        <v>37161</v>
      </c>
      <c r="F559" s="26" t="n">
        <v>44791</v>
      </c>
      <c r="H559" t="inlineStr">
        <is>
          <t>Male</t>
        </is>
      </c>
      <c r="I559" t="inlineStr">
        <is>
          <t>Asian</t>
        </is>
      </c>
      <c r="J559" t="inlineStr">
        <is>
          <t>WEBSITE</t>
        </is>
      </c>
      <c r="K559" t="inlineStr">
        <is>
          <t>Bangalore</t>
        </is>
      </c>
      <c r="L559" s="27" t="inlineStr">
        <is>
          <t>Core</t>
        </is>
      </c>
      <c r="M559" t="inlineStr">
        <is>
          <t>Full-Time</t>
        </is>
      </c>
      <c r="N559" t="inlineStr">
        <is>
          <t>Associate Software Engineer</t>
        </is>
      </c>
      <c r="O559" t="inlineStr">
        <is>
          <t>E1</t>
        </is>
      </c>
      <c r="P559" t="inlineStr">
        <is>
          <t>Associate Software Engineer</t>
        </is>
      </c>
      <c r="Q559" t="inlineStr">
        <is>
          <t>Dipakbhai Motibhai Tandel (1027230)</t>
        </is>
      </c>
      <c r="R559" t="n">
        <v>0</v>
      </c>
      <c r="S559" s="1" t="n">
        <v>1200000</v>
      </c>
      <c r="T559" s="1">
        <f>ROUND(T_EMPLOYEES[[#This Row],[EMP_CTC1]]/12, 0)</f>
        <v/>
      </c>
      <c r="U559" s="1" t="n">
        <v>1000000</v>
      </c>
      <c r="V559" s="1" t="inlineStr">
        <is>
          <t>NH</t>
        </is>
      </c>
      <c r="W559" s="1" t="inlineStr">
        <is>
          <t>NH</t>
        </is>
      </c>
      <c r="X55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59" t="n">
        <v>120000</v>
      </c>
      <c r="Z559" s="29">
        <f>(S559 - U559)/S559 * 100</f>
        <v/>
      </c>
      <c r="AA559">
        <f>IF(T_EMPLOYEES[[#This Row],[EMPLOYEE NUMBER]]="","",ROW(T_EMPLOYEES[[#This Row],[EMPLOYEE LABEL]])-ROW(T_EMPLOYEES[[#Headers],[EMPLOYEE LABEL]]))</f>
        <v/>
      </c>
      <c r="AB559">
        <f>IF(T_EMPLOYEES[[#This Row],[EMPLOYEE NUMBER]]="","",IF(COUNTIF(T_EMPLOYEES[EMPLOYEE NUMBER],T_EMPLOYEES[[#This Row],[EMPLOYEE NUMBER]])&gt;1,1,0))</f>
        <v/>
      </c>
      <c r="AC559">
        <f>IF(T_EMPLOYEES[[#This Row],[EMPLOYEE NUMBER]]="","",IF(AND(T_EMPLOYEES[[#This Row],[DATE OF BIRTH]]&gt;0,T_EMPLOYEES[[#This Row],[DATE OF BIRTH]]&lt;TODAY()),0,1))</f>
        <v/>
      </c>
      <c r="AD559">
        <f>IF(T_EMPLOYEES[[#This Row],[EMPLOYEE NUMBER]]="","",IF(AND(T_EMPLOYEES[[#This Row],[START DATE]]&gt;0,T_EMPLOYEES[[#This Row],[START DATE]]&lt;TODAY()+60),0,1))</f>
        <v/>
      </c>
      <c r="AE559">
        <f>IF(T_EMPLOYEES[[#This Row],[EMPLOYEE NUMBER]]="","",MATCH(T_EMPLOYEES[[#This Row],[GENDER]],L_GENDER,0))</f>
        <v/>
      </c>
      <c r="AF559">
        <f>IF(T_EMPLOYEES[[#This Row],[EMPLOYEE NUMBER]]="","",MATCH(T_EMPLOYEES[[#This Row],[HIRE SOURCE]],L_HIRESOURCE,0))</f>
        <v/>
      </c>
      <c r="AG559">
        <f>IF(T_EMPLOYEES[[#This Row],[EMPLOYEE NUMBER]]="","",MATCH(T_EMPLOYEES[[#This Row],[ETHNICITY]],L_ETHNICITY,0))</f>
        <v/>
      </c>
      <c r="AH559">
        <f>IF(T_EMPLOYEES[[#This Row],[EMPLOYEE NUMBER]]="","",MATCH(T_EMPLOYEES[[#This Row],[LOCATION]],L_LOCATION,0))</f>
        <v/>
      </c>
      <c r="AI559">
        <f>IF(T_EMPLOYEES[[#This Row],[EMPLOYEE NUMBER]]="","",MATCH(T_EMPLOYEES[[#This Row],[DEPARTMENT]],L_DEPARTMENT,0))</f>
        <v/>
      </c>
      <c r="AJ559">
        <f>IF(T_EMPLOYEES[[#This Row],[EMPLOYEE NUMBER]]="","",MATCH(T_EMPLOYEES[[#This Row],[JOB TYPE]],L_JOBTYPE,0))</f>
        <v/>
      </c>
      <c r="AK559">
        <f>IF(T_EMPLOYEES[[#This Row],[EMPLOYEE NUMBER]]="","",MATCH(T_EMPLOYEES[[#This Row],[JOB CATEGORY]],L_JOBCATEGORY,0))</f>
        <v/>
      </c>
      <c r="AL559">
        <f>IF(T_EMPLOYEES[[#This Row],[EMPLOYEE NUMBER]]="","",MATCH(T_EMPLOYEES[[#This Row],[JOB LEVEL]],L_JOBLEVEL,0))</f>
        <v/>
      </c>
      <c r="AM559">
        <f>IF(T_EMPLOYEES[[#This Row],[EMPLOYEE NUMBER]]="","",MATCH(T_EMPLOYEES[[#This Row],[JOB TITLE]],L_JOBTITLE,0))</f>
        <v/>
      </c>
      <c r="AN559">
        <f>IF(T_EMPLOYEES[[#This Row],[EMPLOYEE NUMBER]]="","",MATCH(T_EMPLOYEES[[#This Row],[MANAGER]],L_EMPLABELS,0))</f>
        <v/>
      </c>
      <c r="AO559">
        <f>IF(T_EMPLOYEES[[#This Row],[EMPLOYEE NUMBER]]="","",IF(T_EMPLOYEES[[#This Row],[ERROR]]="",0,1))</f>
        <v/>
      </c>
      <c r="AP55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59" t="inlineStr">
        <is>
          <t>Claims Payment</t>
        </is>
      </c>
    </row>
    <row r="560">
      <c r="A560" t="inlineStr">
        <is>
          <t>Amit</t>
        </is>
      </c>
      <c r="B560" t="inlineStr">
        <is>
          <t>Sai Basantara</t>
        </is>
      </c>
      <c r="C560" t="n">
        <v>1033223</v>
      </c>
      <c r="D560" t="inlineStr">
        <is>
          <t>AmitSai.Basantara@infinite.com</t>
        </is>
      </c>
      <c r="E560" s="26" t="n">
        <v>37176</v>
      </c>
      <c r="F560" s="26" t="n">
        <v>45155</v>
      </c>
      <c r="H560" t="inlineStr">
        <is>
          <t>Male</t>
        </is>
      </c>
      <c r="I560" t="inlineStr">
        <is>
          <t>Asian</t>
        </is>
      </c>
      <c r="J560" t="inlineStr">
        <is>
          <t>WEBSITE</t>
        </is>
      </c>
      <c r="K560" t="inlineStr">
        <is>
          <t>Bangalore</t>
        </is>
      </c>
      <c r="L560" s="27" t="inlineStr">
        <is>
          <t>Core</t>
        </is>
      </c>
      <c r="M560" t="inlineStr">
        <is>
          <t>Full-Time</t>
        </is>
      </c>
      <c r="N560" t="inlineStr">
        <is>
          <t>Associate Software Engineer</t>
        </is>
      </c>
      <c r="O560" t="inlineStr">
        <is>
          <t>E1</t>
        </is>
      </c>
      <c r="P560" t="inlineStr">
        <is>
          <t>Associate Software Engineer</t>
        </is>
      </c>
      <c r="Q560" t="inlineStr">
        <is>
          <t>Anil Kumar Khamari (1013201)</t>
        </is>
      </c>
      <c r="R560" s="27" t="n">
        <v>0</v>
      </c>
      <c r="S560" s="1" t="n">
        <v>1200000</v>
      </c>
      <c r="T560" s="1">
        <f>ROUND(T_EMPLOYEES[[#This Row],[EMP_CTC1]]/12, 0)</f>
        <v/>
      </c>
      <c r="U560" s="1" t="n">
        <v>1000000</v>
      </c>
      <c r="V560" s="1" t="inlineStr">
        <is>
          <t>NH</t>
        </is>
      </c>
      <c r="W560" s="1" t="inlineStr">
        <is>
          <t>NH</t>
        </is>
      </c>
      <c r="X56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0" t="n">
        <v>120000</v>
      </c>
      <c r="Z560" s="29">
        <f>(S560 - U560)/S560 * 100</f>
        <v/>
      </c>
      <c r="AA560">
        <f>IF(T_EMPLOYEES[[#This Row],[EMPLOYEE NUMBER]]="","",ROW(T_EMPLOYEES[[#This Row],[EMPLOYEE LABEL]])-ROW(T_EMPLOYEES[[#Headers],[EMPLOYEE LABEL]]))</f>
        <v/>
      </c>
      <c r="AB560">
        <f>IF(T_EMPLOYEES[[#This Row],[EMPLOYEE NUMBER]]="","",IF(COUNTIF(T_EMPLOYEES[EMPLOYEE NUMBER],T_EMPLOYEES[[#This Row],[EMPLOYEE NUMBER]])&gt;1,1,0))</f>
        <v/>
      </c>
      <c r="AC560">
        <f>IF(T_EMPLOYEES[[#This Row],[EMPLOYEE NUMBER]]="","",IF(AND(T_EMPLOYEES[[#This Row],[DATE OF BIRTH]]&gt;0,T_EMPLOYEES[[#This Row],[DATE OF BIRTH]]&lt;TODAY()),0,1))</f>
        <v/>
      </c>
      <c r="AD560">
        <f>IF(T_EMPLOYEES[[#This Row],[EMPLOYEE NUMBER]]="","",IF(AND(T_EMPLOYEES[[#This Row],[START DATE]]&gt;0,T_EMPLOYEES[[#This Row],[START DATE]]&lt;TODAY()+60),0,1))</f>
        <v/>
      </c>
      <c r="AE560">
        <f>IF(T_EMPLOYEES[[#This Row],[EMPLOYEE NUMBER]]="","",MATCH(T_EMPLOYEES[[#This Row],[GENDER]],L_GENDER,0))</f>
        <v/>
      </c>
      <c r="AF560">
        <f>IF(T_EMPLOYEES[[#This Row],[EMPLOYEE NUMBER]]="","",MATCH(T_EMPLOYEES[[#This Row],[HIRE SOURCE]],L_HIRESOURCE,0))</f>
        <v/>
      </c>
      <c r="AG560">
        <f>IF(T_EMPLOYEES[[#This Row],[EMPLOYEE NUMBER]]="","",MATCH(T_EMPLOYEES[[#This Row],[ETHNICITY]],L_ETHNICITY,0))</f>
        <v/>
      </c>
      <c r="AH560">
        <f>IF(T_EMPLOYEES[[#This Row],[EMPLOYEE NUMBER]]="","",MATCH(T_EMPLOYEES[[#This Row],[LOCATION]],L_LOCATION,0))</f>
        <v/>
      </c>
      <c r="AI560">
        <f>IF(T_EMPLOYEES[[#This Row],[EMPLOYEE NUMBER]]="","",MATCH(T_EMPLOYEES[[#This Row],[DEPARTMENT]],L_DEPARTMENT,0))</f>
        <v/>
      </c>
      <c r="AJ560">
        <f>IF(T_EMPLOYEES[[#This Row],[EMPLOYEE NUMBER]]="","",MATCH(T_EMPLOYEES[[#This Row],[JOB TYPE]],L_JOBTYPE,0))</f>
        <v/>
      </c>
      <c r="AK560">
        <f>IF(T_EMPLOYEES[[#This Row],[EMPLOYEE NUMBER]]="","",MATCH(T_EMPLOYEES[[#This Row],[JOB CATEGORY]],L_JOBCATEGORY,0))</f>
        <v/>
      </c>
      <c r="AL560">
        <f>IF(T_EMPLOYEES[[#This Row],[EMPLOYEE NUMBER]]="","",MATCH(T_EMPLOYEES[[#This Row],[JOB LEVEL]],L_JOBLEVEL,0))</f>
        <v/>
      </c>
      <c r="AM560">
        <f>IF(T_EMPLOYEES[[#This Row],[EMPLOYEE NUMBER]]="","",MATCH(T_EMPLOYEES[[#This Row],[JOB TITLE]],L_JOBTITLE,0))</f>
        <v/>
      </c>
      <c r="AN560">
        <f>IF(T_EMPLOYEES[[#This Row],[EMPLOYEE NUMBER]]="","",MATCH(T_EMPLOYEES[[#This Row],[MANAGER]],L_EMPLABELS,0))</f>
        <v/>
      </c>
      <c r="AO560">
        <f>IF(T_EMPLOYEES[[#This Row],[EMPLOYEE NUMBER]]="","",IF(T_EMPLOYEES[[#This Row],[ERROR]]="",0,1))</f>
        <v/>
      </c>
      <c r="AP56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1">
      <c r="A561" t="inlineStr">
        <is>
          <t>Mothi</t>
        </is>
      </c>
      <c r="B561" t="inlineStr">
        <is>
          <t>Tejaswini</t>
        </is>
      </c>
      <c r="C561" t="n">
        <v>1033264</v>
      </c>
      <c r="D561" t="inlineStr">
        <is>
          <t>Tejaswini.Mothi@infinite.com</t>
        </is>
      </c>
      <c r="E561" s="26" t="n">
        <v>37182</v>
      </c>
      <c r="F561" s="26" t="n">
        <v>45155</v>
      </c>
      <c r="H561" t="inlineStr">
        <is>
          <t>Female</t>
        </is>
      </c>
      <c r="I561" t="inlineStr">
        <is>
          <t>Asian</t>
        </is>
      </c>
      <c r="J561" t="inlineStr">
        <is>
          <t>WEBSITE</t>
        </is>
      </c>
      <c r="K561" t="inlineStr">
        <is>
          <t>Bangalore</t>
        </is>
      </c>
      <c r="L561" s="27" t="inlineStr">
        <is>
          <t>IT</t>
        </is>
      </c>
      <c r="M561" t="inlineStr">
        <is>
          <t>Full-Time</t>
        </is>
      </c>
      <c r="N561" t="inlineStr">
        <is>
          <t>Associate Software Engineer</t>
        </is>
      </c>
      <c r="O561" t="inlineStr">
        <is>
          <t>E1</t>
        </is>
      </c>
      <c r="P561" t="inlineStr">
        <is>
          <t>Associate Software Engineer</t>
        </is>
      </c>
      <c r="Q561" t="inlineStr">
        <is>
          <t>Anupam Lal (1033431)</t>
        </is>
      </c>
      <c r="R561" t="n">
        <v>0</v>
      </c>
      <c r="S561" s="1" t="n">
        <v>1200000</v>
      </c>
      <c r="T561" s="1">
        <f>ROUND(T_EMPLOYEES[[#This Row],[EMP_CTC1]]/12, 0)</f>
        <v/>
      </c>
      <c r="U561" s="1" t="n">
        <v>1000000</v>
      </c>
      <c r="V561" s="1" t="inlineStr">
        <is>
          <t>NH</t>
        </is>
      </c>
      <c r="W561" s="1" t="inlineStr">
        <is>
          <t>NH</t>
        </is>
      </c>
      <c r="X56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1" t="n">
        <v>120000</v>
      </c>
      <c r="Z561" s="29">
        <f>(S561 - U561)/S561 * 100</f>
        <v/>
      </c>
      <c r="AA561">
        <f>IF(T_EMPLOYEES[[#This Row],[EMPLOYEE NUMBER]]="","",ROW(T_EMPLOYEES[[#This Row],[EMPLOYEE LABEL]])-ROW(T_EMPLOYEES[[#Headers],[EMPLOYEE LABEL]]))</f>
        <v/>
      </c>
      <c r="AB561">
        <f>IF(T_EMPLOYEES[[#This Row],[EMPLOYEE NUMBER]]="","",IF(COUNTIF(T_EMPLOYEES[EMPLOYEE NUMBER],T_EMPLOYEES[[#This Row],[EMPLOYEE NUMBER]])&gt;1,1,0))</f>
        <v/>
      </c>
      <c r="AC561">
        <f>IF(T_EMPLOYEES[[#This Row],[EMPLOYEE NUMBER]]="","",IF(AND(T_EMPLOYEES[[#This Row],[DATE OF BIRTH]]&gt;0,T_EMPLOYEES[[#This Row],[DATE OF BIRTH]]&lt;TODAY()),0,1))</f>
        <v/>
      </c>
      <c r="AD561">
        <f>IF(T_EMPLOYEES[[#This Row],[EMPLOYEE NUMBER]]="","",IF(AND(T_EMPLOYEES[[#This Row],[START DATE]]&gt;0,T_EMPLOYEES[[#This Row],[START DATE]]&lt;TODAY()+60),0,1))</f>
        <v/>
      </c>
      <c r="AE561">
        <f>IF(T_EMPLOYEES[[#This Row],[EMPLOYEE NUMBER]]="","",MATCH(T_EMPLOYEES[[#This Row],[GENDER]],L_GENDER,0))</f>
        <v/>
      </c>
      <c r="AF561">
        <f>IF(T_EMPLOYEES[[#This Row],[EMPLOYEE NUMBER]]="","",MATCH(T_EMPLOYEES[[#This Row],[HIRE SOURCE]],L_HIRESOURCE,0))</f>
        <v/>
      </c>
      <c r="AG561">
        <f>IF(T_EMPLOYEES[[#This Row],[EMPLOYEE NUMBER]]="","",MATCH(T_EMPLOYEES[[#This Row],[ETHNICITY]],L_ETHNICITY,0))</f>
        <v/>
      </c>
      <c r="AH561">
        <f>IF(T_EMPLOYEES[[#This Row],[EMPLOYEE NUMBER]]="","",MATCH(T_EMPLOYEES[[#This Row],[LOCATION]],L_LOCATION,0))</f>
        <v/>
      </c>
      <c r="AI561">
        <f>IF(T_EMPLOYEES[[#This Row],[EMPLOYEE NUMBER]]="","",MATCH(T_EMPLOYEES[[#This Row],[DEPARTMENT]],L_DEPARTMENT,0))</f>
        <v/>
      </c>
      <c r="AJ561">
        <f>IF(T_EMPLOYEES[[#This Row],[EMPLOYEE NUMBER]]="","",MATCH(T_EMPLOYEES[[#This Row],[JOB TYPE]],L_JOBTYPE,0))</f>
        <v/>
      </c>
      <c r="AK561">
        <f>IF(T_EMPLOYEES[[#This Row],[EMPLOYEE NUMBER]]="","",MATCH(T_EMPLOYEES[[#This Row],[JOB CATEGORY]],L_JOBCATEGORY,0))</f>
        <v/>
      </c>
      <c r="AL561">
        <f>IF(T_EMPLOYEES[[#This Row],[EMPLOYEE NUMBER]]="","",MATCH(T_EMPLOYEES[[#This Row],[JOB LEVEL]],L_JOBLEVEL,0))</f>
        <v/>
      </c>
      <c r="AM561">
        <f>IF(T_EMPLOYEES[[#This Row],[EMPLOYEE NUMBER]]="","",MATCH(T_EMPLOYEES[[#This Row],[JOB TITLE]],L_JOBTITLE,0))</f>
        <v/>
      </c>
      <c r="AN561">
        <f>IF(T_EMPLOYEES[[#This Row],[EMPLOYEE NUMBER]]="","",MATCH(T_EMPLOYEES[[#This Row],[MANAGER]],L_EMPLABELS,0))</f>
        <v/>
      </c>
      <c r="AO561">
        <f>IF(T_EMPLOYEES[[#This Row],[EMPLOYEE NUMBER]]="","",IF(T_EMPLOYEES[[#This Row],[ERROR]]="",0,1))</f>
        <v/>
      </c>
      <c r="AP56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2">
      <c r="A562" t="inlineStr">
        <is>
          <t>Rohan</t>
        </is>
      </c>
      <c r="B562" t="inlineStr">
        <is>
          <t>Kumar Sahoo</t>
        </is>
      </c>
      <c r="C562" t="n">
        <v>1033231</v>
      </c>
      <c r="D562" t="inlineStr">
        <is>
          <t>RohanKumar.Sahoo@infinite.com</t>
        </is>
      </c>
      <c r="E562" s="26" t="n">
        <v>37194</v>
      </c>
      <c r="F562" s="26" t="n">
        <v>45155</v>
      </c>
      <c r="H562" t="inlineStr">
        <is>
          <t>Male</t>
        </is>
      </c>
      <c r="I562" t="inlineStr">
        <is>
          <t>Asian</t>
        </is>
      </c>
      <c r="J562" t="inlineStr">
        <is>
          <t>WEBSITE</t>
        </is>
      </c>
      <c r="K562" t="inlineStr">
        <is>
          <t>Bangalore</t>
        </is>
      </c>
      <c r="L562" s="27" t="inlineStr">
        <is>
          <t>Core</t>
        </is>
      </c>
      <c r="M562" t="inlineStr">
        <is>
          <t>Full-Time</t>
        </is>
      </c>
      <c r="N562" t="inlineStr">
        <is>
          <t>Associate Software Engineer</t>
        </is>
      </c>
      <c r="O562" t="inlineStr">
        <is>
          <t>E1</t>
        </is>
      </c>
      <c r="P562" t="inlineStr">
        <is>
          <t>Associate Software Engineer</t>
        </is>
      </c>
      <c r="Q562" t="inlineStr">
        <is>
          <t>Anil Kumar Khamari (1013201)</t>
        </is>
      </c>
      <c r="R562" s="27" t="n">
        <v>0</v>
      </c>
      <c r="S562" s="1" t="n">
        <v>1200000</v>
      </c>
      <c r="T562" s="1">
        <f>ROUND(T_EMPLOYEES[[#This Row],[EMP_CTC1]]/12, 0)</f>
        <v/>
      </c>
      <c r="U562" s="1" t="n">
        <v>1000000</v>
      </c>
      <c r="V562" s="1" t="inlineStr">
        <is>
          <t>NH</t>
        </is>
      </c>
      <c r="W562" s="1" t="inlineStr">
        <is>
          <t>NH</t>
        </is>
      </c>
      <c r="X56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2" t="n">
        <v>120000</v>
      </c>
      <c r="Z562" s="29">
        <f>(S562 - U562)/S562 * 100</f>
        <v/>
      </c>
      <c r="AA562">
        <f>IF(T_EMPLOYEES[[#This Row],[EMPLOYEE NUMBER]]="","",ROW(T_EMPLOYEES[[#This Row],[EMPLOYEE LABEL]])-ROW(T_EMPLOYEES[[#Headers],[EMPLOYEE LABEL]]))</f>
        <v/>
      </c>
      <c r="AB562">
        <f>IF(T_EMPLOYEES[[#This Row],[EMPLOYEE NUMBER]]="","",IF(COUNTIF(T_EMPLOYEES[EMPLOYEE NUMBER],T_EMPLOYEES[[#This Row],[EMPLOYEE NUMBER]])&gt;1,1,0))</f>
        <v/>
      </c>
      <c r="AC562">
        <f>IF(T_EMPLOYEES[[#This Row],[EMPLOYEE NUMBER]]="","",IF(AND(T_EMPLOYEES[[#This Row],[DATE OF BIRTH]]&gt;0,T_EMPLOYEES[[#This Row],[DATE OF BIRTH]]&lt;TODAY()),0,1))</f>
        <v/>
      </c>
      <c r="AD562">
        <f>IF(T_EMPLOYEES[[#This Row],[EMPLOYEE NUMBER]]="","",IF(AND(T_EMPLOYEES[[#This Row],[START DATE]]&gt;0,T_EMPLOYEES[[#This Row],[START DATE]]&lt;TODAY()+60),0,1))</f>
        <v/>
      </c>
      <c r="AE562">
        <f>IF(T_EMPLOYEES[[#This Row],[EMPLOYEE NUMBER]]="","",MATCH(T_EMPLOYEES[[#This Row],[GENDER]],L_GENDER,0))</f>
        <v/>
      </c>
      <c r="AF562">
        <f>IF(T_EMPLOYEES[[#This Row],[EMPLOYEE NUMBER]]="","",MATCH(T_EMPLOYEES[[#This Row],[HIRE SOURCE]],L_HIRESOURCE,0))</f>
        <v/>
      </c>
      <c r="AG562">
        <f>IF(T_EMPLOYEES[[#This Row],[EMPLOYEE NUMBER]]="","",MATCH(T_EMPLOYEES[[#This Row],[ETHNICITY]],L_ETHNICITY,0))</f>
        <v/>
      </c>
      <c r="AH562">
        <f>IF(T_EMPLOYEES[[#This Row],[EMPLOYEE NUMBER]]="","",MATCH(T_EMPLOYEES[[#This Row],[LOCATION]],L_LOCATION,0))</f>
        <v/>
      </c>
      <c r="AI562">
        <f>IF(T_EMPLOYEES[[#This Row],[EMPLOYEE NUMBER]]="","",MATCH(T_EMPLOYEES[[#This Row],[DEPARTMENT]],L_DEPARTMENT,0))</f>
        <v/>
      </c>
      <c r="AJ562">
        <f>IF(T_EMPLOYEES[[#This Row],[EMPLOYEE NUMBER]]="","",MATCH(T_EMPLOYEES[[#This Row],[JOB TYPE]],L_JOBTYPE,0))</f>
        <v/>
      </c>
      <c r="AK562">
        <f>IF(T_EMPLOYEES[[#This Row],[EMPLOYEE NUMBER]]="","",MATCH(T_EMPLOYEES[[#This Row],[JOB CATEGORY]],L_JOBCATEGORY,0))</f>
        <v/>
      </c>
      <c r="AL562">
        <f>IF(T_EMPLOYEES[[#This Row],[EMPLOYEE NUMBER]]="","",MATCH(T_EMPLOYEES[[#This Row],[JOB LEVEL]],L_JOBLEVEL,0))</f>
        <v/>
      </c>
      <c r="AM562">
        <f>IF(T_EMPLOYEES[[#This Row],[EMPLOYEE NUMBER]]="","",MATCH(T_EMPLOYEES[[#This Row],[JOB TITLE]],L_JOBTITLE,0))</f>
        <v/>
      </c>
      <c r="AN562">
        <f>IF(T_EMPLOYEES[[#This Row],[EMPLOYEE NUMBER]]="","",MATCH(T_EMPLOYEES[[#This Row],[MANAGER]],L_EMPLABELS,0))</f>
        <v/>
      </c>
      <c r="AO562">
        <f>IF(T_EMPLOYEES[[#This Row],[EMPLOYEE NUMBER]]="","",IF(T_EMPLOYEES[[#This Row],[ERROR]]="",0,1))</f>
        <v/>
      </c>
      <c r="AP56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3">
      <c r="A563" t="inlineStr">
        <is>
          <t>Tanya</t>
        </is>
      </c>
      <c r="B563" t="inlineStr">
        <is>
          <t>Arora</t>
        </is>
      </c>
      <c r="C563" t="n">
        <v>1033236</v>
      </c>
      <c r="D563" t="inlineStr">
        <is>
          <t>Tanya.Arora@infinite.com</t>
        </is>
      </c>
      <c r="E563" s="26" t="n">
        <v>37197</v>
      </c>
      <c r="F563" s="26" t="n">
        <v>45155</v>
      </c>
      <c r="H563" t="inlineStr">
        <is>
          <t>Female</t>
        </is>
      </c>
      <c r="I563" t="inlineStr">
        <is>
          <t>Asian</t>
        </is>
      </c>
      <c r="J563" t="inlineStr">
        <is>
          <t>WEBSITE</t>
        </is>
      </c>
      <c r="K563" t="inlineStr">
        <is>
          <t>Bangalore</t>
        </is>
      </c>
      <c r="L563" s="27" t="inlineStr">
        <is>
          <t>Core</t>
        </is>
      </c>
      <c r="M563" t="inlineStr">
        <is>
          <t>Full-Time</t>
        </is>
      </c>
      <c r="N563" t="inlineStr">
        <is>
          <t>Associate Software Engineer</t>
        </is>
      </c>
      <c r="O563" t="inlineStr">
        <is>
          <t>E1</t>
        </is>
      </c>
      <c r="P563" t="inlineStr">
        <is>
          <t>Associate Software Engineer</t>
        </is>
      </c>
      <c r="Q563" t="inlineStr">
        <is>
          <t>Dipakbhai Motibhai Tandel (1027230)</t>
        </is>
      </c>
      <c r="R563" t="n">
        <v>0</v>
      </c>
      <c r="S563" s="1" t="n">
        <v>1200000</v>
      </c>
      <c r="T563" s="1">
        <f>ROUND(T_EMPLOYEES[[#This Row],[EMP_CTC1]]/12, 0)</f>
        <v/>
      </c>
      <c r="U563" s="1" t="n">
        <v>1000000</v>
      </c>
      <c r="V563" s="1" t="inlineStr">
        <is>
          <t>NH</t>
        </is>
      </c>
      <c r="W563" s="1" t="inlineStr">
        <is>
          <t>NH</t>
        </is>
      </c>
      <c r="X56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3" t="n">
        <v>120000</v>
      </c>
      <c r="Z563" s="29">
        <f>(S563 - U563)/S563 * 100</f>
        <v/>
      </c>
      <c r="AA563">
        <f>IF(T_EMPLOYEES[[#This Row],[EMPLOYEE NUMBER]]="","",ROW(T_EMPLOYEES[[#This Row],[EMPLOYEE LABEL]])-ROW(T_EMPLOYEES[[#Headers],[EMPLOYEE LABEL]]))</f>
        <v/>
      </c>
      <c r="AB563">
        <f>IF(T_EMPLOYEES[[#This Row],[EMPLOYEE NUMBER]]="","",IF(COUNTIF(T_EMPLOYEES[EMPLOYEE NUMBER],T_EMPLOYEES[[#This Row],[EMPLOYEE NUMBER]])&gt;1,1,0))</f>
        <v/>
      </c>
      <c r="AC563">
        <f>IF(T_EMPLOYEES[[#This Row],[EMPLOYEE NUMBER]]="","",IF(AND(T_EMPLOYEES[[#This Row],[DATE OF BIRTH]]&gt;0,T_EMPLOYEES[[#This Row],[DATE OF BIRTH]]&lt;TODAY()),0,1))</f>
        <v/>
      </c>
      <c r="AD563">
        <f>IF(T_EMPLOYEES[[#This Row],[EMPLOYEE NUMBER]]="","",IF(AND(T_EMPLOYEES[[#This Row],[START DATE]]&gt;0,T_EMPLOYEES[[#This Row],[START DATE]]&lt;TODAY()+60),0,1))</f>
        <v/>
      </c>
      <c r="AE563">
        <f>IF(T_EMPLOYEES[[#This Row],[EMPLOYEE NUMBER]]="","",MATCH(T_EMPLOYEES[[#This Row],[GENDER]],L_GENDER,0))</f>
        <v/>
      </c>
      <c r="AF563">
        <f>IF(T_EMPLOYEES[[#This Row],[EMPLOYEE NUMBER]]="","",MATCH(T_EMPLOYEES[[#This Row],[HIRE SOURCE]],L_HIRESOURCE,0))</f>
        <v/>
      </c>
      <c r="AG563">
        <f>IF(T_EMPLOYEES[[#This Row],[EMPLOYEE NUMBER]]="","",MATCH(T_EMPLOYEES[[#This Row],[ETHNICITY]],L_ETHNICITY,0))</f>
        <v/>
      </c>
      <c r="AH563">
        <f>IF(T_EMPLOYEES[[#This Row],[EMPLOYEE NUMBER]]="","",MATCH(T_EMPLOYEES[[#This Row],[LOCATION]],L_LOCATION,0))</f>
        <v/>
      </c>
      <c r="AI563">
        <f>IF(T_EMPLOYEES[[#This Row],[EMPLOYEE NUMBER]]="","",MATCH(T_EMPLOYEES[[#This Row],[DEPARTMENT]],L_DEPARTMENT,0))</f>
        <v/>
      </c>
      <c r="AJ563">
        <f>IF(T_EMPLOYEES[[#This Row],[EMPLOYEE NUMBER]]="","",MATCH(T_EMPLOYEES[[#This Row],[JOB TYPE]],L_JOBTYPE,0))</f>
        <v/>
      </c>
      <c r="AK563">
        <f>IF(T_EMPLOYEES[[#This Row],[EMPLOYEE NUMBER]]="","",MATCH(T_EMPLOYEES[[#This Row],[JOB CATEGORY]],L_JOBCATEGORY,0))</f>
        <v/>
      </c>
      <c r="AL563">
        <f>IF(T_EMPLOYEES[[#This Row],[EMPLOYEE NUMBER]]="","",MATCH(T_EMPLOYEES[[#This Row],[JOB LEVEL]],L_JOBLEVEL,0))</f>
        <v/>
      </c>
      <c r="AM563">
        <f>IF(T_EMPLOYEES[[#This Row],[EMPLOYEE NUMBER]]="","",MATCH(T_EMPLOYEES[[#This Row],[JOB TITLE]],L_JOBTITLE,0))</f>
        <v/>
      </c>
      <c r="AN563">
        <f>IF(T_EMPLOYEES[[#This Row],[EMPLOYEE NUMBER]]="","",MATCH(T_EMPLOYEES[[#This Row],[MANAGER]],L_EMPLABELS,0))</f>
        <v/>
      </c>
      <c r="AO563">
        <f>IF(T_EMPLOYEES[[#This Row],[EMPLOYEE NUMBER]]="","",IF(T_EMPLOYEES[[#This Row],[ERROR]]="",0,1))</f>
        <v/>
      </c>
      <c r="AP56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63" t="inlineStr">
        <is>
          <t>EDI</t>
        </is>
      </c>
    </row>
    <row r="564">
      <c r="A564" t="inlineStr">
        <is>
          <t>Ganesh</t>
        </is>
      </c>
      <c r="B564" t="inlineStr">
        <is>
          <t>Mirda</t>
        </is>
      </c>
      <c r="C564" t="n">
        <v>1033237</v>
      </c>
      <c r="D564" t="inlineStr">
        <is>
          <t>Ganesh.mirda@infinite.com</t>
        </is>
      </c>
      <c r="E564" s="26" t="n">
        <v>37230</v>
      </c>
      <c r="F564" s="26" t="n">
        <v>45155</v>
      </c>
      <c r="H564" t="inlineStr">
        <is>
          <t>Male</t>
        </is>
      </c>
      <c r="I564" t="inlineStr">
        <is>
          <t>Asian</t>
        </is>
      </c>
      <c r="J564" t="inlineStr">
        <is>
          <t>WEBSITE</t>
        </is>
      </c>
      <c r="K564" t="inlineStr">
        <is>
          <t>Bangalore</t>
        </is>
      </c>
      <c r="L564" s="27" t="inlineStr">
        <is>
          <t>Core</t>
        </is>
      </c>
      <c r="M564" t="inlineStr">
        <is>
          <t>Full-Time</t>
        </is>
      </c>
      <c r="N564" t="inlineStr">
        <is>
          <t>Associate Software Engineer</t>
        </is>
      </c>
      <c r="O564" t="inlineStr">
        <is>
          <t>E1</t>
        </is>
      </c>
      <c r="P564" t="inlineStr">
        <is>
          <t>Associate Software Engineer</t>
        </is>
      </c>
      <c r="Q564" t="inlineStr">
        <is>
          <t>Anil Kumar Khamari (1013201)</t>
        </is>
      </c>
      <c r="R564" s="27" t="n">
        <v>0</v>
      </c>
      <c r="S564" s="1" t="n">
        <v>1200000</v>
      </c>
      <c r="T564" s="1">
        <f>ROUND(T_EMPLOYEES[[#This Row],[EMP_CTC1]]/12, 0)</f>
        <v/>
      </c>
      <c r="U564" s="1" t="n">
        <v>1000000</v>
      </c>
      <c r="V564" s="1" t="inlineStr">
        <is>
          <t>NH</t>
        </is>
      </c>
      <c r="W564" s="1" t="inlineStr">
        <is>
          <t>NH</t>
        </is>
      </c>
      <c r="X56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4" t="n">
        <v>120000</v>
      </c>
      <c r="Z564" s="29">
        <f>(S564 - U564)/S564 * 100</f>
        <v/>
      </c>
      <c r="AA564">
        <f>IF(T_EMPLOYEES[[#This Row],[EMPLOYEE NUMBER]]="","",ROW(T_EMPLOYEES[[#This Row],[EMPLOYEE LABEL]])-ROW(T_EMPLOYEES[[#Headers],[EMPLOYEE LABEL]]))</f>
        <v/>
      </c>
      <c r="AB564">
        <f>IF(T_EMPLOYEES[[#This Row],[EMPLOYEE NUMBER]]="","",IF(COUNTIF(T_EMPLOYEES[EMPLOYEE NUMBER],T_EMPLOYEES[[#This Row],[EMPLOYEE NUMBER]])&gt;1,1,0))</f>
        <v/>
      </c>
      <c r="AC564">
        <f>IF(T_EMPLOYEES[[#This Row],[EMPLOYEE NUMBER]]="","",IF(AND(T_EMPLOYEES[[#This Row],[DATE OF BIRTH]]&gt;0,T_EMPLOYEES[[#This Row],[DATE OF BIRTH]]&lt;TODAY()),0,1))</f>
        <v/>
      </c>
      <c r="AD564">
        <f>IF(T_EMPLOYEES[[#This Row],[EMPLOYEE NUMBER]]="","",IF(AND(T_EMPLOYEES[[#This Row],[START DATE]]&gt;0,T_EMPLOYEES[[#This Row],[START DATE]]&lt;TODAY()+60),0,1))</f>
        <v/>
      </c>
      <c r="AE564">
        <f>IF(T_EMPLOYEES[[#This Row],[EMPLOYEE NUMBER]]="","",MATCH(T_EMPLOYEES[[#This Row],[GENDER]],L_GENDER,0))</f>
        <v/>
      </c>
      <c r="AF564">
        <f>IF(T_EMPLOYEES[[#This Row],[EMPLOYEE NUMBER]]="","",MATCH(T_EMPLOYEES[[#This Row],[HIRE SOURCE]],L_HIRESOURCE,0))</f>
        <v/>
      </c>
      <c r="AG564">
        <f>IF(T_EMPLOYEES[[#This Row],[EMPLOYEE NUMBER]]="","",MATCH(T_EMPLOYEES[[#This Row],[ETHNICITY]],L_ETHNICITY,0))</f>
        <v/>
      </c>
      <c r="AH564">
        <f>IF(T_EMPLOYEES[[#This Row],[EMPLOYEE NUMBER]]="","",MATCH(T_EMPLOYEES[[#This Row],[LOCATION]],L_LOCATION,0))</f>
        <v/>
      </c>
      <c r="AI564">
        <f>IF(T_EMPLOYEES[[#This Row],[EMPLOYEE NUMBER]]="","",MATCH(T_EMPLOYEES[[#This Row],[DEPARTMENT]],L_DEPARTMENT,0))</f>
        <v/>
      </c>
      <c r="AJ564">
        <f>IF(T_EMPLOYEES[[#This Row],[EMPLOYEE NUMBER]]="","",MATCH(T_EMPLOYEES[[#This Row],[JOB TYPE]],L_JOBTYPE,0))</f>
        <v/>
      </c>
      <c r="AK564">
        <f>IF(T_EMPLOYEES[[#This Row],[EMPLOYEE NUMBER]]="","",MATCH(T_EMPLOYEES[[#This Row],[JOB CATEGORY]],L_JOBCATEGORY,0))</f>
        <v/>
      </c>
      <c r="AL564">
        <f>IF(T_EMPLOYEES[[#This Row],[EMPLOYEE NUMBER]]="","",MATCH(T_EMPLOYEES[[#This Row],[JOB LEVEL]],L_JOBLEVEL,0))</f>
        <v/>
      </c>
      <c r="AM564">
        <f>IF(T_EMPLOYEES[[#This Row],[EMPLOYEE NUMBER]]="","",MATCH(T_EMPLOYEES[[#This Row],[JOB TITLE]],L_JOBTITLE,0))</f>
        <v/>
      </c>
      <c r="AN564">
        <f>IF(T_EMPLOYEES[[#This Row],[EMPLOYEE NUMBER]]="","",MATCH(T_EMPLOYEES[[#This Row],[MANAGER]],L_EMPLABELS,0))</f>
        <v/>
      </c>
      <c r="AO564">
        <f>IF(T_EMPLOYEES[[#This Row],[EMPLOYEE NUMBER]]="","",IF(T_EMPLOYEES[[#This Row],[ERROR]]="",0,1))</f>
        <v/>
      </c>
      <c r="AP56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5">
      <c r="A565" t="inlineStr">
        <is>
          <t>Linga</t>
        </is>
      </c>
      <c r="B565" t="inlineStr">
        <is>
          <t>Avinash</t>
        </is>
      </c>
      <c r="C565" t="n">
        <v>1033245</v>
      </c>
      <c r="D565" t="inlineStr">
        <is>
          <t>Avinash.linga@infinite.com</t>
        </is>
      </c>
      <c r="E565" s="26" t="n">
        <v>37230</v>
      </c>
      <c r="F565" s="26" t="n">
        <v>45155</v>
      </c>
      <c r="H565" t="inlineStr">
        <is>
          <t>Male</t>
        </is>
      </c>
      <c r="I565" t="inlineStr">
        <is>
          <t>Asian</t>
        </is>
      </c>
      <c r="J565" t="inlineStr">
        <is>
          <t>WEBSITE</t>
        </is>
      </c>
      <c r="K565" t="inlineStr">
        <is>
          <t>Bangalore</t>
        </is>
      </c>
      <c r="L565" s="27" t="inlineStr">
        <is>
          <t>IT</t>
        </is>
      </c>
      <c r="M565" t="inlineStr">
        <is>
          <t>Full-Time</t>
        </is>
      </c>
      <c r="N565" t="inlineStr">
        <is>
          <t>Associate Software Engineer</t>
        </is>
      </c>
      <c r="O565" t="inlineStr">
        <is>
          <t>E1</t>
        </is>
      </c>
      <c r="P565" t="inlineStr">
        <is>
          <t>Associate Software Engineer</t>
        </is>
      </c>
      <c r="Q565" t="inlineStr">
        <is>
          <t>Anupam Lal (1033431)</t>
        </is>
      </c>
      <c r="R565" t="n">
        <v>0</v>
      </c>
      <c r="S565" s="1" t="n">
        <v>1200000</v>
      </c>
      <c r="T565" s="1">
        <f>ROUND(T_EMPLOYEES[[#This Row],[EMP_CTC1]]/12, 0)</f>
        <v/>
      </c>
      <c r="U565" s="1" t="n">
        <v>1000000</v>
      </c>
      <c r="V565" s="1" t="inlineStr">
        <is>
          <t>NH</t>
        </is>
      </c>
      <c r="W565" s="1" t="inlineStr">
        <is>
          <t>NH</t>
        </is>
      </c>
      <c r="X56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5" t="n">
        <v>120000</v>
      </c>
      <c r="Z565" s="29">
        <f>(S565 - U565)/S565 * 100</f>
        <v/>
      </c>
      <c r="AA565">
        <f>IF(T_EMPLOYEES[[#This Row],[EMPLOYEE NUMBER]]="","",ROW(T_EMPLOYEES[[#This Row],[EMPLOYEE LABEL]])-ROW(T_EMPLOYEES[[#Headers],[EMPLOYEE LABEL]]))</f>
        <v/>
      </c>
      <c r="AB565">
        <f>IF(T_EMPLOYEES[[#This Row],[EMPLOYEE NUMBER]]="","",IF(COUNTIF(T_EMPLOYEES[EMPLOYEE NUMBER],T_EMPLOYEES[[#This Row],[EMPLOYEE NUMBER]])&gt;1,1,0))</f>
        <v/>
      </c>
      <c r="AC565">
        <f>IF(T_EMPLOYEES[[#This Row],[EMPLOYEE NUMBER]]="","",IF(AND(T_EMPLOYEES[[#This Row],[DATE OF BIRTH]]&gt;0,T_EMPLOYEES[[#This Row],[DATE OF BIRTH]]&lt;TODAY()),0,1))</f>
        <v/>
      </c>
      <c r="AD565">
        <f>IF(T_EMPLOYEES[[#This Row],[EMPLOYEE NUMBER]]="","",IF(AND(T_EMPLOYEES[[#This Row],[START DATE]]&gt;0,T_EMPLOYEES[[#This Row],[START DATE]]&lt;TODAY()+60),0,1))</f>
        <v/>
      </c>
      <c r="AE565">
        <f>IF(T_EMPLOYEES[[#This Row],[EMPLOYEE NUMBER]]="","",MATCH(T_EMPLOYEES[[#This Row],[GENDER]],L_GENDER,0))</f>
        <v/>
      </c>
      <c r="AF565">
        <f>IF(T_EMPLOYEES[[#This Row],[EMPLOYEE NUMBER]]="","",MATCH(T_EMPLOYEES[[#This Row],[HIRE SOURCE]],L_HIRESOURCE,0))</f>
        <v/>
      </c>
      <c r="AG565">
        <f>IF(T_EMPLOYEES[[#This Row],[EMPLOYEE NUMBER]]="","",MATCH(T_EMPLOYEES[[#This Row],[ETHNICITY]],L_ETHNICITY,0))</f>
        <v/>
      </c>
      <c r="AH565">
        <f>IF(T_EMPLOYEES[[#This Row],[EMPLOYEE NUMBER]]="","",MATCH(T_EMPLOYEES[[#This Row],[LOCATION]],L_LOCATION,0))</f>
        <v/>
      </c>
      <c r="AI565">
        <f>IF(T_EMPLOYEES[[#This Row],[EMPLOYEE NUMBER]]="","",MATCH(T_EMPLOYEES[[#This Row],[DEPARTMENT]],L_DEPARTMENT,0))</f>
        <v/>
      </c>
      <c r="AJ565">
        <f>IF(T_EMPLOYEES[[#This Row],[EMPLOYEE NUMBER]]="","",MATCH(T_EMPLOYEES[[#This Row],[JOB TYPE]],L_JOBTYPE,0))</f>
        <v/>
      </c>
      <c r="AK565">
        <f>IF(T_EMPLOYEES[[#This Row],[EMPLOYEE NUMBER]]="","",MATCH(T_EMPLOYEES[[#This Row],[JOB CATEGORY]],L_JOBCATEGORY,0))</f>
        <v/>
      </c>
      <c r="AL565">
        <f>IF(T_EMPLOYEES[[#This Row],[EMPLOYEE NUMBER]]="","",MATCH(T_EMPLOYEES[[#This Row],[JOB LEVEL]],L_JOBLEVEL,0))</f>
        <v/>
      </c>
      <c r="AM565">
        <f>IF(T_EMPLOYEES[[#This Row],[EMPLOYEE NUMBER]]="","",MATCH(T_EMPLOYEES[[#This Row],[JOB TITLE]],L_JOBTITLE,0))</f>
        <v/>
      </c>
      <c r="AN565">
        <f>IF(T_EMPLOYEES[[#This Row],[EMPLOYEE NUMBER]]="","",MATCH(T_EMPLOYEES[[#This Row],[MANAGER]],L_EMPLABELS,0))</f>
        <v/>
      </c>
      <c r="AO565">
        <f>IF(T_EMPLOYEES[[#This Row],[EMPLOYEE NUMBER]]="","",IF(T_EMPLOYEES[[#This Row],[ERROR]]="",0,1))</f>
        <v/>
      </c>
      <c r="AP56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6">
      <c r="A566" t="inlineStr">
        <is>
          <t>Pedditi</t>
        </is>
      </c>
      <c r="B566" t="inlineStr">
        <is>
          <t>Nithin Reddy</t>
        </is>
      </c>
      <c r="C566" t="n">
        <v>1033260</v>
      </c>
      <c r="D566" t="inlineStr">
        <is>
          <t>Nithinreddy.Pedditi@infinite.com</t>
        </is>
      </c>
      <c r="E566" s="26" t="n">
        <v>37231</v>
      </c>
      <c r="F566" s="26" t="n">
        <v>45155</v>
      </c>
      <c r="H566" t="inlineStr">
        <is>
          <t>Male</t>
        </is>
      </c>
      <c r="I566" t="inlineStr">
        <is>
          <t>Asian</t>
        </is>
      </c>
      <c r="J566" t="inlineStr">
        <is>
          <t>WEBSITE</t>
        </is>
      </c>
      <c r="K566" t="inlineStr">
        <is>
          <t>Bangalore</t>
        </is>
      </c>
      <c r="L566" s="27" t="inlineStr">
        <is>
          <t>Core</t>
        </is>
      </c>
      <c r="M566" t="inlineStr">
        <is>
          <t>Full-Time</t>
        </is>
      </c>
      <c r="N566" t="inlineStr">
        <is>
          <t>Associate Software Engineer</t>
        </is>
      </c>
      <c r="O566" t="inlineStr">
        <is>
          <t>E1</t>
        </is>
      </c>
      <c r="P566" t="inlineStr">
        <is>
          <t>Associate Software Engineer</t>
        </is>
      </c>
      <c r="Q566" t="inlineStr">
        <is>
          <t>Kishore Kumar N (1019765)</t>
        </is>
      </c>
      <c r="R566" s="27" t="n">
        <v>0</v>
      </c>
      <c r="S566" s="1" t="n">
        <v>1200000</v>
      </c>
      <c r="T566" s="1">
        <f>ROUND(T_EMPLOYEES[[#This Row],[EMP_CTC1]]/12, 0)</f>
        <v/>
      </c>
      <c r="U566" s="1" t="n">
        <v>1000000</v>
      </c>
      <c r="V566" s="1" t="inlineStr">
        <is>
          <t>NH</t>
        </is>
      </c>
      <c r="W566" s="1" t="inlineStr">
        <is>
          <t>NH</t>
        </is>
      </c>
      <c r="X56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6" t="n">
        <v>120000</v>
      </c>
      <c r="Z566" s="29">
        <f>(S566 - U566)/S566 * 100</f>
        <v/>
      </c>
      <c r="AA566">
        <f>IF(T_EMPLOYEES[[#This Row],[EMPLOYEE NUMBER]]="","",ROW(T_EMPLOYEES[[#This Row],[EMPLOYEE LABEL]])-ROW(T_EMPLOYEES[[#Headers],[EMPLOYEE LABEL]]))</f>
        <v/>
      </c>
      <c r="AB566">
        <f>IF(T_EMPLOYEES[[#This Row],[EMPLOYEE NUMBER]]="","",IF(COUNTIF(T_EMPLOYEES[EMPLOYEE NUMBER],T_EMPLOYEES[[#This Row],[EMPLOYEE NUMBER]])&gt;1,1,0))</f>
        <v/>
      </c>
      <c r="AC566">
        <f>IF(T_EMPLOYEES[[#This Row],[EMPLOYEE NUMBER]]="","",IF(AND(T_EMPLOYEES[[#This Row],[DATE OF BIRTH]]&gt;0,T_EMPLOYEES[[#This Row],[DATE OF BIRTH]]&lt;TODAY()),0,1))</f>
        <v/>
      </c>
      <c r="AD566">
        <f>IF(T_EMPLOYEES[[#This Row],[EMPLOYEE NUMBER]]="","",IF(AND(T_EMPLOYEES[[#This Row],[START DATE]]&gt;0,T_EMPLOYEES[[#This Row],[START DATE]]&lt;TODAY()+60),0,1))</f>
        <v/>
      </c>
      <c r="AE566">
        <f>IF(T_EMPLOYEES[[#This Row],[EMPLOYEE NUMBER]]="","",MATCH(T_EMPLOYEES[[#This Row],[GENDER]],L_GENDER,0))</f>
        <v/>
      </c>
      <c r="AF566">
        <f>IF(T_EMPLOYEES[[#This Row],[EMPLOYEE NUMBER]]="","",MATCH(T_EMPLOYEES[[#This Row],[HIRE SOURCE]],L_HIRESOURCE,0))</f>
        <v/>
      </c>
      <c r="AG566">
        <f>IF(T_EMPLOYEES[[#This Row],[EMPLOYEE NUMBER]]="","",MATCH(T_EMPLOYEES[[#This Row],[ETHNICITY]],L_ETHNICITY,0))</f>
        <v/>
      </c>
      <c r="AH566">
        <f>IF(T_EMPLOYEES[[#This Row],[EMPLOYEE NUMBER]]="","",MATCH(T_EMPLOYEES[[#This Row],[LOCATION]],L_LOCATION,0))</f>
        <v/>
      </c>
      <c r="AI566">
        <f>IF(T_EMPLOYEES[[#This Row],[EMPLOYEE NUMBER]]="","",MATCH(T_EMPLOYEES[[#This Row],[DEPARTMENT]],L_DEPARTMENT,0))</f>
        <v/>
      </c>
      <c r="AJ566">
        <f>IF(T_EMPLOYEES[[#This Row],[EMPLOYEE NUMBER]]="","",MATCH(T_EMPLOYEES[[#This Row],[JOB TYPE]],L_JOBTYPE,0))</f>
        <v/>
      </c>
      <c r="AK566">
        <f>IF(T_EMPLOYEES[[#This Row],[EMPLOYEE NUMBER]]="","",MATCH(T_EMPLOYEES[[#This Row],[JOB CATEGORY]],L_JOBCATEGORY,0))</f>
        <v/>
      </c>
      <c r="AL566">
        <f>IF(T_EMPLOYEES[[#This Row],[EMPLOYEE NUMBER]]="","",MATCH(T_EMPLOYEES[[#This Row],[JOB LEVEL]],L_JOBLEVEL,0))</f>
        <v/>
      </c>
      <c r="AM566">
        <f>IF(T_EMPLOYEES[[#This Row],[EMPLOYEE NUMBER]]="","",MATCH(T_EMPLOYEES[[#This Row],[JOB TITLE]],L_JOBTITLE,0))</f>
        <v/>
      </c>
      <c r="AN566">
        <f>IF(T_EMPLOYEES[[#This Row],[EMPLOYEE NUMBER]]="","",MATCH(T_EMPLOYEES[[#This Row],[MANAGER]],L_EMPLABELS,0))</f>
        <v/>
      </c>
      <c r="AO566">
        <f>IF(T_EMPLOYEES[[#This Row],[EMPLOYEE NUMBER]]="","",IF(T_EMPLOYEES[[#This Row],[ERROR]]="",0,1))</f>
        <v/>
      </c>
      <c r="AP56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66" t="inlineStr">
        <is>
          <t>Data Management</t>
        </is>
      </c>
    </row>
    <row r="567">
      <c r="A567" t="inlineStr">
        <is>
          <t>Jitendra</t>
        </is>
      </c>
      <c r="B567" t="inlineStr">
        <is>
          <t>Sahoo</t>
        </is>
      </c>
      <c r="C567" t="n">
        <v>1033213</v>
      </c>
      <c r="D567" t="inlineStr">
        <is>
          <t>Jitendra.Sahoo@infinite.com</t>
        </is>
      </c>
      <c r="E567" s="26" t="n">
        <v>37242</v>
      </c>
      <c r="F567" s="26" t="n">
        <v>45155</v>
      </c>
      <c r="H567" t="inlineStr">
        <is>
          <t>Male</t>
        </is>
      </c>
      <c r="I567" t="inlineStr">
        <is>
          <t>Asian</t>
        </is>
      </c>
      <c r="J567" t="inlineStr">
        <is>
          <t>WEBSITE</t>
        </is>
      </c>
      <c r="K567" t="inlineStr">
        <is>
          <t>Bangalore</t>
        </is>
      </c>
      <c r="L567" s="27" t="inlineStr">
        <is>
          <t>Core</t>
        </is>
      </c>
      <c r="M567" t="inlineStr">
        <is>
          <t>Full-Time</t>
        </is>
      </c>
      <c r="N567" t="inlineStr">
        <is>
          <t>Associate Software Engineer</t>
        </is>
      </c>
      <c r="O567" t="inlineStr">
        <is>
          <t>E1</t>
        </is>
      </c>
      <c r="P567" t="inlineStr">
        <is>
          <t>Associate Software Engineer</t>
        </is>
      </c>
      <c r="Q567" t="inlineStr">
        <is>
          <t>Anil Kumar Khamari (1013201)</t>
        </is>
      </c>
      <c r="R567" t="n">
        <v>0</v>
      </c>
      <c r="S567" s="1" t="n">
        <v>1200000</v>
      </c>
      <c r="T567" s="1">
        <f>ROUND(T_EMPLOYEES[[#This Row],[EMP_CTC1]]/12, 0)</f>
        <v/>
      </c>
      <c r="U567" s="1" t="n">
        <v>1000000</v>
      </c>
      <c r="V567" s="1" t="inlineStr">
        <is>
          <t>NH</t>
        </is>
      </c>
      <c r="W567" s="1" t="inlineStr">
        <is>
          <t>NH</t>
        </is>
      </c>
      <c r="X56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7" t="n">
        <v>120000</v>
      </c>
      <c r="Z567" s="29">
        <f>(S567 - U567)/S567 * 100</f>
        <v/>
      </c>
      <c r="AA567">
        <f>IF(T_EMPLOYEES[[#This Row],[EMPLOYEE NUMBER]]="","",ROW(T_EMPLOYEES[[#This Row],[EMPLOYEE LABEL]])-ROW(T_EMPLOYEES[[#Headers],[EMPLOYEE LABEL]]))</f>
        <v/>
      </c>
      <c r="AB567">
        <f>IF(T_EMPLOYEES[[#This Row],[EMPLOYEE NUMBER]]="","",IF(COUNTIF(T_EMPLOYEES[EMPLOYEE NUMBER],T_EMPLOYEES[[#This Row],[EMPLOYEE NUMBER]])&gt;1,1,0))</f>
        <v/>
      </c>
      <c r="AC567">
        <f>IF(T_EMPLOYEES[[#This Row],[EMPLOYEE NUMBER]]="","",IF(AND(T_EMPLOYEES[[#This Row],[DATE OF BIRTH]]&gt;0,T_EMPLOYEES[[#This Row],[DATE OF BIRTH]]&lt;TODAY()),0,1))</f>
        <v/>
      </c>
      <c r="AD567">
        <f>IF(T_EMPLOYEES[[#This Row],[EMPLOYEE NUMBER]]="","",IF(AND(T_EMPLOYEES[[#This Row],[START DATE]]&gt;0,T_EMPLOYEES[[#This Row],[START DATE]]&lt;TODAY()+60),0,1))</f>
        <v/>
      </c>
      <c r="AE567">
        <f>IF(T_EMPLOYEES[[#This Row],[EMPLOYEE NUMBER]]="","",MATCH(T_EMPLOYEES[[#This Row],[GENDER]],L_GENDER,0))</f>
        <v/>
      </c>
      <c r="AF567">
        <f>IF(T_EMPLOYEES[[#This Row],[EMPLOYEE NUMBER]]="","",MATCH(T_EMPLOYEES[[#This Row],[HIRE SOURCE]],L_HIRESOURCE,0))</f>
        <v/>
      </c>
      <c r="AG567">
        <f>IF(T_EMPLOYEES[[#This Row],[EMPLOYEE NUMBER]]="","",MATCH(T_EMPLOYEES[[#This Row],[ETHNICITY]],L_ETHNICITY,0))</f>
        <v/>
      </c>
      <c r="AH567">
        <f>IF(T_EMPLOYEES[[#This Row],[EMPLOYEE NUMBER]]="","",MATCH(T_EMPLOYEES[[#This Row],[LOCATION]],L_LOCATION,0))</f>
        <v/>
      </c>
      <c r="AI567">
        <f>IF(T_EMPLOYEES[[#This Row],[EMPLOYEE NUMBER]]="","",MATCH(T_EMPLOYEES[[#This Row],[DEPARTMENT]],L_DEPARTMENT,0))</f>
        <v/>
      </c>
      <c r="AJ567">
        <f>IF(T_EMPLOYEES[[#This Row],[EMPLOYEE NUMBER]]="","",MATCH(T_EMPLOYEES[[#This Row],[JOB TYPE]],L_JOBTYPE,0))</f>
        <v/>
      </c>
      <c r="AK567">
        <f>IF(T_EMPLOYEES[[#This Row],[EMPLOYEE NUMBER]]="","",MATCH(T_EMPLOYEES[[#This Row],[JOB CATEGORY]],L_JOBCATEGORY,0))</f>
        <v/>
      </c>
      <c r="AL567">
        <f>IF(T_EMPLOYEES[[#This Row],[EMPLOYEE NUMBER]]="","",MATCH(T_EMPLOYEES[[#This Row],[JOB LEVEL]],L_JOBLEVEL,0))</f>
        <v/>
      </c>
      <c r="AM567">
        <f>IF(T_EMPLOYEES[[#This Row],[EMPLOYEE NUMBER]]="","",MATCH(T_EMPLOYEES[[#This Row],[JOB TITLE]],L_JOBTITLE,0))</f>
        <v/>
      </c>
      <c r="AN567">
        <f>IF(T_EMPLOYEES[[#This Row],[EMPLOYEE NUMBER]]="","",MATCH(T_EMPLOYEES[[#This Row],[MANAGER]],L_EMPLABELS,0))</f>
        <v/>
      </c>
      <c r="AO567">
        <f>IF(T_EMPLOYEES[[#This Row],[EMPLOYEE NUMBER]]="","",IF(T_EMPLOYEES[[#This Row],[ERROR]]="",0,1))</f>
        <v/>
      </c>
      <c r="AP56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8">
      <c r="A568" t="inlineStr">
        <is>
          <t>Katta</t>
        </is>
      </c>
      <c r="B568" t="inlineStr">
        <is>
          <t>Adhithya</t>
        </is>
      </c>
      <c r="C568" t="n">
        <v>1033255</v>
      </c>
      <c r="D568" t="inlineStr">
        <is>
          <t>Adhithya.Katta@infinite.com</t>
        </is>
      </c>
      <c r="E568" s="26" t="n">
        <v>37251</v>
      </c>
      <c r="F568" s="26" t="n">
        <v>45155</v>
      </c>
      <c r="H568" t="inlineStr">
        <is>
          <t>Male</t>
        </is>
      </c>
      <c r="I568" t="inlineStr">
        <is>
          <t>Asian</t>
        </is>
      </c>
      <c r="J568" t="inlineStr">
        <is>
          <t>WEBSITE</t>
        </is>
      </c>
      <c r="K568" t="inlineStr">
        <is>
          <t>Bangalore</t>
        </is>
      </c>
      <c r="L568" s="27" t="inlineStr">
        <is>
          <t>Cognos</t>
        </is>
      </c>
      <c r="M568" t="inlineStr">
        <is>
          <t>Full-Time</t>
        </is>
      </c>
      <c r="N568" t="inlineStr">
        <is>
          <t>Associate Software Engineer</t>
        </is>
      </c>
      <c r="O568" t="inlineStr">
        <is>
          <t>E1</t>
        </is>
      </c>
      <c r="P568" t="inlineStr">
        <is>
          <t>Associate Software Engineer</t>
        </is>
      </c>
      <c r="Q568" t="inlineStr">
        <is>
          <t>Peernayakgari Irfan Basha (1017291)</t>
        </is>
      </c>
      <c r="R568" s="27" t="n">
        <v>0</v>
      </c>
      <c r="S568" s="1" t="n">
        <v>1200000</v>
      </c>
      <c r="T568" s="1">
        <f>ROUND(T_EMPLOYEES[[#This Row],[EMP_CTC1]]/12, 0)</f>
        <v/>
      </c>
      <c r="U568" s="1" t="n">
        <v>1000000</v>
      </c>
      <c r="V568" s="1" t="inlineStr">
        <is>
          <t>NH</t>
        </is>
      </c>
      <c r="W568" s="1" t="inlineStr">
        <is>
          <t>NH</t>
        </is>
      </c>
      <c r="X56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8" t="n">
        <v>120000</v>
      </c>
      <c r="Z568" s="29">
        <f>(S568 - U568)/S568 * 100</f>
        <v/>
      </c>
      <c r="AA568">
        <f>IF(T_EMPLOYEES[[#This Row],[EMPLOYEE NUMBER]]="","",ROW(T_EMPLOYEES[[#This Row],[EMPLOYEE LABEL]])-ROW(T_EMPLOYEES[[#Headers],[EMPLOYEE LABEL]]))</f>
        <v/>
      </c>
      <c r="AB568">
        <f>IF(T_EMPLOYEES[[#This Row],[EMPLOYEE NUMBER]]="","",IF(COUNTIF(T_EMPLOYEES[EMPLOYEE NUMBER],T_EMPLOYEES[[#This Row],[EMPLOYEE NUMBER]])&gt;1,1,0))</f>
        <v/>
      </c>
      <c r="AC568">
        <f>IF(T_EMPLOYEES[[#This Row],[EMPLOYEE NUMBER]]="","",IF(AND(T_EMPLOYEES[[#This Row],[DATE OF BIRTH]]&gt;0,T_EMPLOYEES[[#This Row],[DATE OF BIRTH]]&lt;TODAY()),0,1))</f>
        <v/>
      </c>
      <c r="AD568">
        <f>IF(T_EMPLOYEES[[#This Row],[EMPLOYEE NUMBER]]="","",IF(AND(T_EMPLOYEES[[#This Row],[START DATE]]&gt;0,T_EMPLOYEES[[#This Row],[START DATE]]&lt;TODAY()+60),0,1))</f>
        <v/>
      </c>
      <c r="AE568">
        <f>IF(T_EMPLOYEES[[#This Row],[EMPLOYEE NUMBER]]="","",MATCH(T_EMPLOYEES[[#This Row],[GENDER]],L_GENDER,0))</f>
        <v/>
      </c>
      <c r="AF568">
        <f>IF(T_EMPLOYEES[[#This Row],[EMPLOYEE NUMBER]]="","",MATCH(T_EMPLOYEES[[#This Row],[HIRE SOURCE]],L_HIRESOURCE,0))</f>
        <v/>
      </c>
      <c r="AG568">
        <f>IF(T_EMPLOYEES[[#This Row],[EMPLOYEE NUMBER]]="","",MATCH(T_EMPLOYEES[[#This Row],[ETHNICITY]],L_ETHNICITY,0))</f>
        <v/>
      </c>
      <c r="AH568">
        <f>IF(T_EMPLOYEES[[#This Row],[EMPLOYEE NUMBER]]="","",MATCH(T_EMPLOYEES[[#This Row],[LOCATION]],L_LOCATION,0))</f>
        <v/>
      </c>
      <c r="AI568">
        <f>IF(T_EMPLOYEES[[#This Row],[EMPLOYEE NUMBER]]="","",MATCH(T_EMPLOYEES[[#This Row],[DEPARTMENT]],L_DEPARTMENT,0))</f>
        <v/>
      </c>
      <c r="AJ568">
        <f>IF(T_EMPLOYEES[[#This Row],[EMPLOYEE NUMBER]]="","",MATCH(T_EMPLOYEES[[#This Row],[JOB TYPE]],L_JOBTYPE,0))</f>
        <v/>
      </c>
      <c r="AK568">
        <f>IF(T_EMPLOYEES[[#This Row],[EMPLOYEE NUMBER]]="","",MATCH(T_EMPLOYEES[[#This Row],[JOB CATEGORY]],L_JOBCATEGORY,0))</f>
        <v/>
      </c>
      <c r="AL568">
        <f>IF(T_EMPLOYEES[[#This Row],[EMPLOYEE NUMBER]]="","",MATCH(T_EMPLOYEES[[#This Row],[JOB LEVEL]],L_JOBLEVEL,0))</f>
        <v/>
      </c>
      <c r="AM568">
        <f>IF(T_EMPLOYEES[[#This Row],[EMPLOYEE NUMBER]]="","",MATCH(T_EMPLOYEES[[#This Row],[JOB TITLE]],L_JOBTITLE,0))</f>
        <v/>
      </c>
      <c r="AN568">
        <f>IF(T_EMPLOYEES[[#This Row],[EMPLOYEE NUMBER]]="","",MATCH(T_EMPLOYEES[[#This Row],[MANAGER]],L_EMPLABELS,0))</f>
        <v/>
      </c>
      <c r="AO568">
        <f>IF(T_EMPLOYEES[[#This Row],[EMPLOYEE NUMBER]]="","",IF(T_EMPLOYEES[[#This Row],[ERROR]]="",0,1))</f>
        <v/>
      </c>
      <c r="AP56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69">
      <c r="A569" t="inlineStr">
        <is>
          <t>Pasham</t>
        </is>
      </c>
      <c r="B569" t="inlineStr">
        <is>
          <t>Sai Kishore Reddy</t>
        </is>
      </c>
      <c r="C569" t="n">
        <v>1033252</v>
      </c>
      <c r="D569" t="inlineStr">
        <is>
          <t>SaiKishore.Reddy2@infinite.com</t>
        </is>
      </c>
      <c r="E569" s="26" t="n">
        <v>37260</v>
      </c>
      <c r="F569" s="26" t="n">
        <v>45155</v>
      </c>
      <c r="H569" t="inlineStr">
        <is>
          <t>Male</t>
        </is>
      </c>
      <c r="I569" t="inlineStr">
        <is>
          <t>Asian</t>
        </is>
      </c>
      <c r="J569" t="inlineStr">
        <is>
          <t>WEBSITE</t>
        </is>
      </c>
      <c r="K569" t="inlineStr">
        <is>
          <t>Bangalore</t>
        </is>
      </c>
      <c r="L569" s="27" t="inlineStr">
        <is>
          <t>Core</t>
        </is>
      </c>
      <c r="M569" t="inlineStr">
        <is>
          <t>Full-Time</t>
        </is>
      </c>
      <c r="N569" t="inlineStr">
        <is>
          <t>Associate Software Engineer</t>
        </is>
      </c>
      <c r="O569" t="inlineStr">
        <is>
          <t>E1</t>
        </is>
      </c>
      <c r="P569" t="inlineStr">
        <is>
          <t>Associate Software Engineer</t>
        </is>
      </c>
      <c r="Q569" t="inlineStr">
        <is>
          <t>Kishore Kumar N (1019765)</t>
        </is>
      </c>
      <c r="R569" t="n">
        <v>0</v>
      </c>
      <c r="S569" s="1" t="n">
        <v>1200000</v>
      </c>
      <c r="T569" s="1">
        <f>ROUND(T_EMPLOYEES[[#This Row],[EMP_CTC1]]/12, 0)</f>
        <v/>
      </c>
      <c r="U569" s="1" t="n">
        <v>1000000</v>
      </c>
      <c r="V569" s="1" t="inlineStr">
        <is>
          <t>NH</t>
        </is>
      </c>
      <c r="W569" s="1" t="inlineStr">
        <is>
          <t>NH</t>
        </is>
      </c>
      <c r="X56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69" t="n">
        <v>120000</v>
      </c>
      <c r="Z569" s="29">
        <f>(S569 - U569)/S569 * 100</f>
        <v/>
      </c>
      <c r="AA569">
        <f>IF(T_EMPLOYEES[[#This Row],[EMPLOYEE NUMBER]]="","",ROW(T_EMPLOYEES[[#This Row],[EMPLOYEE LABEL]])-ROW(T_EMPLOYEES[[#Headers],[EMPLOYEE LABEL]]))</f>
        <v/>
      </c>
      <c r="AB569">
        <f>IF(T_EMPLOYEES[[#This Row],[EMPLOYEE NUMBER]]="","",IF(COUNTIF(T_EMPLOYEES[EMPLOYEE NUMBER],T_EMPLOYEES[[#This Row],[EMPLOYEE NUMBER]])&gt;1,1,0))</f>
        <v/>
      </c>
      <c r="AC569">
        <f>IF(T_EMPLOYEES[[#This Row],[EMPLOYEE NUMBER]]="","",IF(AND(T_EMPLOYEES[[#This Row],[DATE OF BIRTH]]&gt;0,T_EMPLOYEES[[#This Row],[DATE OF BIRTH]]&lt;TODAY()),0,1))</f>
        <v/>
      </c>
      <c r="AD569">
        <f>IF(T_EMPLOYEES[[#This Row],[EMPLOYEE NUMBER]]="","",IF(AND(T_EMPLOYEES[[#This Row],[START DATE]]&gt;0,T_EMPLOYEES[[#This Row],[START DATE]]&lt;TODAY()+60),0,1))</f>
        <v/>
      </c>
      <c r="AE569">
        <f>IF(T_EMPLOYEES[[#This Row],[EMPLOYEE NUMBER]]="","",MATCH(T_EMPLOYEES[[#This Row],[GENDER]],L_GENDER,0))</f>
        <v/>
      </c>
      <c r="AF569">
        <f>IF(T_EMPLOYEES[[#This Row],[EMPLOYEE NUMBER]]="","",MATCH(T_EMPLOYEES[[#This Row],[HIRE SOURCE]],L_HIRESOURCE,0))</f>
        <v/>
      </c>
      <c r="AG569">
        <f>IF(T_EMPLOYEES[[#This Row],[EMPLOYEE NUMBER]]="","",MATCH(T_EMPLOYEES[[#This Row],[ETHNICITY]],L_ETHNICITY,0))</f>
        <v/>
      </c>
      <c r="AH569">
        <f>IF(T_EMPLOYEES[[#This Row],[EMPLOYEE NUMBER]]="","",MATCH(T_EMPLOYEES[[#This Row],[LOCATION]],L_LOCATION,0))</f>
        <v/>
      </c>
      <c r="AI569">
        <f>IF(T_EMPLOYEES[[#This Row],[EMPLOYEE NUMBER]]="","",MATCH(T_EMPLOYEES[[#This Row],[DEPARTMENT]],L_DEPARTMENT,0))</f>
        <v/>
      </c>
      <c r="AJ569">
        <f>IF(T_EMPLOYEES[[#This Row],[EMPLOYEE NUMBER]]="","",MATCH(T_EMPLOYEES[[#This Row],[JOB TYPE]],L_JOBTYPE,0))</f>
        <v/>
      </c>
      <c r="AK569">
        <f>IF(T_EMPLOYEES[[#This Row],[EMPLOYEE NUMBER]]="","",MATCH(T_EMPLOYEES[[#This Row],[JOB CATEGORY]],L_JOBCATEGORY,0))</f>
        <v/>
      </c>
      <c r="AL569">
        <f>IF(T_EMPLOYEES[[#This Row],[EMPLOYEE NUMBER]]="","",MATCH(T_EMPLOYEES[[#This Row],[JOB LEVEL]],L_JOBLEVEL,0))</f>
        <v/>
      </c>
      <c r="AM569">
        <f>IF(T_EMPLOYEES[[#This Row],[EMPLOYEE NUMBER]]="","",MATCH(T_EMPLOYEES[[#This Row],[JOB TITLE]],L_JOBTITLE,0))</f>
        <v/>
      </c>
      <c r="AN569">
        <f>IF(T_EMPLOYEES[[#This Row],[EMPLOYEE NUMBER]]="","",MATCH(T_EMPLOYEES[[#This Row],[MANAGER]],L_EMPLABELS,0))</f>
        <v/>
      </c>
      <c r="AO569">
        <f>IF(T_EMPLOYEES[[#This Row],[EMPLOYEE NUMBER]]="","",IF(T_EMPLOYEES[[#This Row],[ERROR]]="",0,1))</f>
        <v/>
      </c>
      <c r="AP56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0">
      <c r="A570" t="inlineStr">
        <is>
          <t>Mekala</t>
        </is>
      </c>
      <c r="B570" t="inlineStr">
        <is>
          <t>Archutha</t>
        </is>
      </c>
      <c r="C570" t="n">
        <v>1033272</v>
      </c>
      <c r="D570" t="inlineStr">
        <is>
          <t>Archutha.Mekala@infinite.com</t>
        </is>
      </c>
      <c r="E570" s="26" t="n">
        <v>37268</v>
      </c>
      <c r="F570" s="26" t="n">
        <v>45155</v>
      </c>
      <c r="H570" t="inlineStr">
        <is>
          <t>Female</t>
        </is>
      </c>
      <c r="I570" t="inlineStr">
        <is>
          <t>Asian</t>
        </is>
      </c>
      <c r="J570" t="inlineStr">
        <is>
          <t>WEBSITE</t>
        </is>
      </c>
      <c r="K570" t="inlineStr">
        <is>
          <t>Hyderabad</t>
        </is>
      </c>
      <c r="L570" s="27" t="inlineStr">
        <is>
          <t>IT</t>
        </is>
      </c>
      <c r="M570" t="inlineStr">
        <is>
          <t>Full-Time</t>
        </is>
      </c>
      <c r="N570" t="inlineStr">
        <is>
          <t>Associate Software Engineer</t>
        </is>
      </c>
      <c r="O570" t="inlineStr">
        <is>
          <t>E1</t>
        </is>
      </c>
      <c r="P570" t="inlineStr">
        <is>
          <t>Associate Software Engineer</t>
        </is>
      </c>
      <c r="Q570" t="inlineStr">
        <is>
          <t>Anupam Lal (1033431)</t>
        </is>
      </c>
      <c r="R570" s="27" t="n">
        <v>0</v>
      </c>
      <c r="S570" s="1" t="n">
        <v>1200000</v>
      </c>
      <c r="T570" s="1">
        <f>ROUND(T_EMPLOYEES[[#This Row],[EMP_CTC1]]/12, 0)</f>
        <v/>
      </c>
      <c r="U570" s="1" t="n">
        <v>1000000</v>
      </c>
      <c r="V570" s="1" t="inlineStr">
        <is>
          <t>NH</t>
        </is>
      </c>
      <c r="W570" s="1" t="inlineStr">
        <is>
          <t>NH</t>
        </is>
      </c>
      <c r="X57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0" t="n">
        <v>120000</v>
      </c>
      <c r="Z570" s="29">
        <f>(S570 - U570)/S570 * 100</f>
        <v/>
      </c>
      <c r="AA570">
        <f>IF(T_EMPLOYEES[[#This Row],[EMPLOYEE NUMBER]]="","",ROW(T_EMPLOYEES[[#This Row],[EMPLOYEE LABEL]])-ROW(T_EMPLOYEES[[#Headers],[EMPLOYEE LABEL]]))</f>
        <v/>
      </c>
      <c r="AB570">
        <f>IF(T_EMPLOYEES[[#This Row],[EMPLOYEE NUMBER]]="","",IF(COUNTIF(T_EMPLOYEES[EMPLOYEE NUMBER],T_EMPLOYEES[[#This Row],[EMPLOYEE NUMBER]])&gt;1,1,0))</f>
        <v/>
      </c>
      <c r="AC570">
        <f>IF(T_EMPLOYEES[[#This Row],[EMPLOYEE NUMBER]]="","",IF(AND(T_EMPLOYEES[[#This Row],[DATE OF BIRTH]]&gt;0,T_EMPLOYEES[[#This Row],[DATE OF BIRTH]]&lt;TODAY()),0,1))</f>
        <v/>
      </c>
      <c r="AD570">
        <f>IF(T_EMPLOYEES[[#This Row],[EMPLOYEE NUMBER]]="","",IF(AND(T_EMPLOYEES[[#This Row],[START DATE]]&gt;0,T_EMPLOYEES[[#This Row],[START DATE]]&lt;TODAY()+60),0,1))</f>
        <v/>
      </c>
      <c r="AE570">
        <f>IF(T_EMPLOYEES[[#This Row],[EMPLOYEE NUMBER]]="","",MATCH(T_EMPLOYEES[[#This Row],[GENDER]],L_GENDER,0))</f>
        <v/>
      </c>
      <c r="AF570">
        <f>IF(T_EMPLOYEES[[#This Row],[EMPLOYEE NUMBER]]="","",MATCH(T_EMPLOYEES[[#This Row],[HIRE SOURCE]],L_HIRESOURCE,0))</f>
        <v/>
      </c>
      <c r="AG570">
        <f>IF(T_EMPLOYEES[[#This Row],[EMPLOYEE NUMBER]]="","",MATCH(T_EMPLOYEES[[#This Row],[ETHNICITY]],L_ETHNICITY,0))</f>
        <v/>
      </c>
      <c r="AH570">
        <f>IF(T_EMPLOYEES[[#This Row],[EMPLOYEE NUMBER]]="","",MATCH(T_EMPLOYEES[[#This Row],[LOCATION]],L_LOCATION,0))</f>
        <v/>
      </c>
      <c r="AI570">
        <f>IF(T_EMPLOYEES[[#This Row],[EMPLOYEE NUMBER]]="","",MATCH(T_EMPLOYEES[[#This Row],[DEPARTMENT]],L_DEPARTMENT,0))</f>
        <v/>
      </c>
      <c r="AJ570">
        <f>IF(T_EMPLOYEES[[#This Row],[EMPLOYEE NUMBER]]="","",MATCH(T_EMPLOYEES[[#This Row],[JOB TYPE]],L_JOBTYPE,0))</f>
        <v/>
      </c>
      <c r="AK570">
        <f>IF(T_EMPLOYEES[[#This Row],[EMPLOYEE NUMBER]]="","",MATCH(T_EMPLOYEES[[#This Row],[JOB CATEGORY]],L_JOBCATEGORY,0))</f>
        <v/>
      </c>
      <c r="AL570">
        <f>IF(T_EMPLOYEES[[#This Row],[EMPLOYEE NUMBER]]="","",MATCH(T_EMPLOYEES[[#This Row],[JOB LEVEL]],L_JOBLEVEL,0))</f>
        <v/>
      </c>
      <c r="AM570">
        <f>IF(T_EMPLOYEES[[#This Row],[EMPLOYEE NUMBER]]="","",MATCH(T_EMPLOYEES[[#This Row],[JOB TITLE]],L_JOBTITLE,0))</f>
        <v/>
      </c>
      <c r="AN570">
        <f>IF(T_EMPLOYEES[[#This Row],[EMPLOYEE NUMBER]]="","",MATCH(T_EMPLOYEES[[#This Row],[MANAGER]],L_EMPLABELS,0))</f>
        <v/>
      </c>
      <c r="AO570">
        <f>IF(T_EMPLOYEES[[#This Row],[EMPLOYEE NUMBER]]="","",IF(T_EMPLOYEES[[#This Row],[ERROR]]="",0,1))</f>
        <v/>
      </c>
      <c r="AP57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70" t="inlineStr">
        <is>
          <t>Claims Financial</t>
        </is>
      </c>
    </row>
    <row r="571">
      <c r="A571" t="inlineStr">
        <is>
          <t>Abhishek</t>
        </is>
      </c>
      <c r="B571" t="inlineStr">
        <is>
          <t>Kumar</t>
        </is>
      </c>
      <c r="C571" t="n">
        <v>1033229</v>
      </c>
      <c r="D571" t="inlineStr">
        <is>
          <t>Abhishek.Kumar15@infinite.com</t>
        </is>
      </c>
      <c r="E571" s="26" t="n">
        <v>37293</v>
      </c>
      <c r="F571" s="26" t="n">
        <v>45155</v>
      </c>
      <c r="H571" t="inlineStr">
        <is>
          <t>Male</t>
        </is>
      </c>
      <c r="I571" t="inlineStr">
        <is>
          <t>Asian</t>
        </is>
      </c>
      <c r="J571" t="inlineStr">
        <is>
          <t>WEBSITE</t>
        </is>
      </c>
      <c r="K571" t="inlineStr">
        <is>
          <t>Bangalore</t>
        </is>
      </c>
      <c r="L571" s="27" t="inlineStr">
        <is>
          <t>Core</t>
        </is>
      </c>
      <c r="M571" t="inlineStr">
        <is>
          <t>Full-Time</t>
        </is>
      </c>
      <c r="N571" t="inlineStr">
        <is>
          <t>Associate Software Engineer</t>
        </is>
      </c>
      <c r="O571" t="inlineStr">
        <is>
          <t>E1</t>
        </is>
      </c>
      <c r="P571" t="inlineStr">
        <is>
          <t>Associate Software Engineer</t>
        </is>
      </c>
      <c r="Q571" t="inlineStr">
        <is>
          <t>Dipakbhai Motibhai Tandel (1027230)</t>
        </is>
      </c>
      <c r="R571" t="n">
        <v>0</v>
      </c>
      <c r="S571" s="1" t="n">
        <v>1200000</v>
      </c>
      <c r="T571" s="1">
        <f>ROUND(T_EMPLOYEES[[#This Row],[EMP_CTC1]]/12, 0)</f>
        <v/>
      </c>
      <c r="U571" s="1" t="n">
        <v>1000000</v>
      </c>
      <c r="V571" s="1" t="inlineStr">
        <is>
          <t>NH</t>
        </is>
      </c>
      <c r="W571" s="1" t="inlineStr">
        <is>
          <t>NH</t>
        </is>
      </c>
      <c r="X57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1" t="n">
        <v>120000</v>
      </c>
      <c r="Z571" s="29">
        <f>(S571 - U571)/S571 * 100</f>
        <v/>
      </c>
      <c r="AA571">
        <f>IF(T_EMPLOYEES[[#This Row],[EMPLOYEE NUMBER]]="","",ROW(T_EMPLOYEES[[#This Row],[EMPLOYEE LABEL]])-ROW(T_EMPLOYEES[[#Headers],[EMPLOYEE LABEL]]))</f>
        <v/>
      </c>
      <c r="AB571">
        <f>IF(T_EMPLOYEES[[#This Row],[EMPLOYEE NUMBER]]="","",IF(COUNTIF(T_EMPLOYEES[EMPLOYEE NUMBER],T_EMPLOYEES[[#This Row],[EMPLOYEE NUMBER]])&gt;1,1,0))</f>
        <v/>
      </c>
      <c r="AC571">
        <f>IF(T_EMPLOYEES[[#This Row],[EMPLOYEE NUMBER]]="","",IF(AND(T_EMPLOYEES[[#This Row],[DATE OF BIRTH]]&gt;0,T_EMPLOYEES[[#This Row],[DATE OF BIRTH]]&lt;TODAY()),0,1))</f>
        <v/>
      </c>
      <c r="AD571">
        <f>IF(T_EMPLOYEES[[#This Row],[EMPLOYEE NUMBER]]="","",IF(AND(T_EMPLOYEES[[#This Row],[START DATE]]&gt;0,T_EMPLOYEES[[#This Row],[START DATE]]&lt;TODAY()+60),0,1))</f>
        <v/>
      </c>
      <c r="AE571">
        <f>IF(T_EMPLOYEES[[#This Row],[EMPLOYEE NUMBER]]="","",MATCH(T_EMPLOYEES[[#This Row],[GENDER]],L_GENDER,0))</f>
        <v/>
      </c>
      <c r="AF571">
        <f>IF(T_EMPLOYEES[[#This Row],[EMPLOYEE NUMBER]]="","",MATCH(T_EMPLOYEES[[#This Row],[HIRE SOURCE]],L_HIRESOURCE,0))</f>
        <v/>
      </c>
      <c r="AG571">
        <f>IF(T_EMPLOYEES[[#This Row],[EMPLOYEE NUMBER]]="","",MATCH(T_EMPLOYEES[[#This Row],[ETHNICITY]],L_ETHNICITY,0))</f>
        <v/>
      </c>
      <c r="AH571">
        <f>IF(T_EMPLOYEES[[#This Row],[EMPLOYEE NUMBER]]="","",MATCH(T_EMPLOYEES[[#This Row],[LOCATION]],L_LOCATION,0))</f>
        <v/>
      </c>
      <c r="AI571">
        <f>IF(T_EMPLOYEES[[#This Row],[EMPLOYEE NUMBER]]="","",MATCH(T_EMPLOYEES[[#This Row],[DEPARTMENT]],L_DEPARTMENT,0))</f>
        <v/>
      </c>
      <c r="AJ571">
        <f>IF(T_EMPLOYEES[[#This Row],[EMPLOYEE NUMBER]]="","",MATCH(T_EMPLOYEES[[#This Row],[JOB TYPE]],L_JOBTYPE,0))</f>
        <v/>
      </c>
      <c r="AK571">
        <f>IF(T_EMPLOYEES[[#This Row],[EMPLOYEE NUMBER]]="","",MATCH(T_EMPLOYEES[[#This Row],[JOB CATEGORY]],L_JOBCATEGORY,0))</f>
        <v/>
      </c>
      <c r="AL571">
        <f>IF(T_EMPLOYEES[[#This Row],[EMPLOYEE NUMBER]]="","",MATCH(T_EMPLOYEES[[#This Row],[JOB LEVEL]],L_JOBLEVEL,0))</f>
        <v/>
      </c>
      <c r="AM571">
        <f>IF(T_EMPLOYEES[[#This Row],[EMPLOYEE NUMBER]]="","",MATCH(T_EMPLOYEES[[#This Row],[JOB TITLE]],L_JOBTITLE,0))</f>
        <v/>
      </c>
      <c r="AN571">
        <f>IF(T_EMPLOYEES[[#This Row],[EMPLOYEE NUMBER]]="","",MATCH(T_EMPLOYEES[[#This Row],[MANAGER]],L_EMPLABELS,0))</f>
        <v/>
      </c>
      <c r="AO571">
        <f>IF(T_EMPLOYEES[[#This Row],[EMPLOYEE NUMBER]]="","",IF(T_EMPLOYEES[[#This Row],[ERROR]]="",0,1))</f>
        <v/>
      </c>
      <c r="AP57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2">
      <c r="A572" t="inlineStr">
        <is>
          <t>Murupoju</t>
        </is>
      </c>
      <c r="B572" t="inlineStr">
        <is>
          <t>Rajesh</t>
        </is>
      </c>
      <c r="C572" t="n">
        <v>1033267</v>
      </c>
      <c r="D572" t="inlineStr">
        <is>
          <t>Rajesh.Murupoju@infinite.com</t>
        </is>
      </c>
      <c r="E572" s="26" t="n">
        <v>37294</v>
      </c>
      <c r="F572" s="26" t="n">
        <v>45155</v>
      </c>
      <c r="H572" t="inlineStr">
        <is>
          <t>Male</t>
        </is>
      </c>
      <c r="I572" t="inlineStr">
        <is>
          <t>Asian</t>
        </is>
      </c>
      <c r="J572" t="inlineStr">
        <is>
          <t>WEBSITE</t>
        </is>
      </c>
      <c r="K572" t="inlineStr">
        <is>
          <t>Bangalore</t>
        </is>
      </c>
      <c r="L572" s="27" t="inlineStr">
        <is>
          <t>Core</t>
        </is>
      </c>
      <c r="M572" t="inlineStr">
        <is>
          <t>Full-Time</t>
        </is>
      </c>
      <c r="N572" t="inlineStr">
        <is>
          <t>Associate Software Engineer</t>
        </is>
      </c>
      <c r="O572" t="inlineStr">
        <is>
          <t>E1</t>
        </is>
      </c>
      <c r="P572" t="inlineStr">
        <is>
          <t>Associate Software Engineer</t>
        </is>
      </c>
      <c r="Q572" t="inlineStr">
        <is>
          <t>Kishore Kumar N (1019765)</t>
        </is>
      </c>
      <c r="R572" s="27" t="n">
        <v>0</v>
      </c>
      <c r="S572" s="1" t="n">
        <v>1200000</v>
      </c>
      <c r="T572" s="1">
        <f>ROUND(T_EMPLOYEES[[#This Row],[EMP_CTC1]]/12, 0)</f>
        <v/>
      </c>
      <c r="U572" s="1" t="n">
        <v>1000000</v>
      </c>
      <c r="V572" s="1" t="inlineStr">
        <is>
          <t>NH</t>
        </is>
      </c>
      <c r="W572" s="1" t="inlineStr">
        <is>
          <t>NH</t>
        </is>
      </c>
      <c r="X57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2" t="n">
        <v>120000</v>
      </c>
      <c r="Z572" s="29">
        <f>(S572 - U572)/S572 * 100</f>
        <v/>
      </c>
      <c r="AA572">
        <f>IF(T_EMPLOYEES[[#This Row],[EMPLOYEE NUMBER]]="","",ROW(T_EMPLOYEES[[#This Row],[EMPLOYEE LABEL]])-ROW(T_EMPLOYEES[[#Headers],[EMPLOYEE LABEL]]))</f>
        <v/>
      </c>
      <c r="AB572">
        <f>IF(T_EMPLOYEES[[#This Row],[EMPLOYEE NUMBER]]="","",IF(COUNTIF(T_EMPLOYEES[EMPLOYEE NUMBER],T_EMPLOYEES[[#This Row],[EMPLOYEE NUMBER]])&gt;1,1,0))</f>
        <v/>
      </c>
      <c r="AC572">
        <f>IF(T_EMPLOYEES[[#This Row],[EMPLOYEE NUMBER]]="","",IF(AND(T_EMPLOYEES[[#This Row],[DATE OF BIRTH]]&gt;0,T_EMPLOYEES[[#This Row],[DATE OF BIRTH]]&lt;TODAY()),0,1))</f>
        <v/>
      </c>
      <c r="AD572">
        <f>IF(T_EMPLOYEES[[#This Row],[EMPLOYEE NUMBER]]="","",IF(AND(T_EMPLOYEES[[#This Row],[START DATE]]&gt;0,T_EMPLOYEES[[#This Row],[START DATE]]&lt;TODAY()+60),0,1))</f>
        <v/>
      </c>
      <c r="AE572">
        <f>IF(T_EMPLOYEES[[#This Row],[EMPLOYEE NUMBER]]="","",MATCH(T_EMPLOYEES[[#This Row],[GENDER]],L_GENDER,0))</f>
        <v/>
      </c>
      <c r="AF572">
        <f>IF(T_EMPLOYEES[[#This Row],[EMPLOYEE NUMBER]]="","",MATCH(T_EMPLOYEES[[#This Row],[HIRE SOURCE]],L_HIRESOURCE,0))</f>
        <v/>
      </c>
      <c r="AG572">
        <f>IF(T_EMPLOYEES[[#This Row],[EMPLOYEE NUMBER]]="","",MATCH(T_EMPLOYEES[[#This Row],[ETHNICITY]],L_ETHNICITY,0))</f>
        <v/>
      </c>
      <c r="AH572">
        <f>IF(T_EMPLOYEES[[#This Row],[EMPLOYEE NUMBER]]="","",MATCH(T_EMPLOYEES[[#This Row],[LOCATION]],L_LOCATION,0))</f>
        <v/>
      </c>
      <c r="AI572">
        <f>IF(T_EMPLOYEES[[#This Row],[EMPLOYEE NUMBER]]="","",MATCH(T_EMPLOYEES[[#This Row],[DEPARTMENT]],L_DEPARTMENT,0))</f>
        <v/>
      </c>
      <c r="AJ572">
        <f>IF(T_EMPLOYEES[[#This Row],[EMPLOYEE NUMBER]]="","",MATCH(T_EMPLOYEES[[#This Row],[JOB TYPE]],L_JOBTYPE,0))</f>
        <v/>
      </c>
      <c r="AK572">
        <f>IF(T_EMPLOYEES[[#This Row],[EMPLOYEE NUMBER]]="","",MATCH(T_EMPLOYEES[[#This Row],[JOB CATEGORY]],L_JOBCATEGORY,0))</f>
        <v/>
      </c>
      <c r="AL572">
        <f>IF(T_EMPLOYEES[[#This Row],[EMPLOYEE NUMBER]]="","",MATCH(T_EMPLOYEES[[#This Row],[JOB LEVEL]],L_JOBLEVEL,0))</f>
        <v/>
      </c>
      <c r="AM572">
        <f>IF(T_EMPLOYEES[[#This Row],[EMPLOYEE NUMBER]]="","",MATCH(T_EMPLOYEES[[#This Row],[JOB TITLE]],L_JOBTITLE,0))</f>
        <v/>
      </c>
      <c r="AN572">
        <f>IF(T_EMPLOYEES[[#This Row],[EMPLOYEE NUMBER]]="","",MATCH(T_EMPLOYEES[[#This Row],[MANAGER]],L_EMPLABELS,0))</f>
        <v/>
      </c>
      <c r="AO572">
        <f>IF(T_EMPLOYEES[[#This Row],[EMPLOYEE NUMBER]]="","",IF(T_EMPLOYEES[[#This Row],[ERROR]]="",0,1))</f>
        <v/>
      </c>
      <c r="AP57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3">
      <c r="A573" t="inlineStr">
        <is>
          <t>Rahul</t>
        </is>
      </c>
      <c r="B573" t="inlineStr">
        <is>
          <t>Raman Dash</t>
        </is>
      </c>
      <c r="C573" t="n">
        <v>1033220</v>
      </c>
      <c r="D573" t="inlineStr">
        <is>
          <t>Rahul.Raman@infinite.com</t>
        </is>
      </c>
      <c r="E573" s="26" t="n">
        <v>37296</v>
      </c>
      <c r="F573" s="26" t="n">
        <v>45155</v>
      </c>
      <c r="H573" t="inlineStr">
        <is>
          <t>Male</t>
        </is>
      </c>
      <c r="I573" t="inlineStr">
        <is>
          <t>Asian</t>
        </is>
      </c>
      <c r="J573" t="inlineStr">
        <is>
          <t>WEBSITE</t>
        </is>
      </c>
      <c r="K573" t="inlineStr">
        <is>
          <t>Chennai</t>
        </is>
      </c>
      <c r="L573" s="27" t="inlineStr">
        <is>
          <t>Core</t>
        </is>
      </c>
      <c r="M573" t="inlineStr">
        <is>
          <t>Full-Time</t>
        </is>
      </c>
      <c r="N573" t="inlineStr">
        <is>
          <t>Associate Software Engineer</t>
        </is>
      </c>
      <c r="O573" t="inlineStr">
        <is>
          <t>E1</t>
        </is>
      </c>
      <c r="P573" t="inlineStr">
        <is>
          <t>Associate Software Engineer</t>
        </is>
      </c>
      <c r="Q573" t="inlineStr">
        <is>
          <t>Kishore Kumar N (1019765)</t>
        </is>
      </c>
      <c r="R573" t="n">
        <v>0</v>
      </c>
      <c r="S573" s="1" t="n">
        <v>1200000</v>
      </c>
      <c r="T573" s="1">
        <f>ROUND(T_EMPLOYEES[[#This Row],[EMP_CTC1]]/12, 0)</f>
        <v/>
      </c>
      <c r="U573" s="1" t="n">
        <v>1000000</v>
      </c>
      <c r="V573" s="1" t="inlineStr">
        <is>
          <t>NH</t>
        </is>
      </c>
      <c r="W573" s="1" t="inlineStr">
        <is>
          <t>NH</t>
        </is>
      </c>
      <c r="X57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3" t="n">
        <v>120000</v>
      </c>
      <c r="Z573" s="29">
        <f>(S573 - U573)/S573 * 100</f>
        <v/>
      </c>
      <c r="AA573">
        <f>IF(T_EMPLOYEES[[#This Row],[EMPLOYEE NUMBER]]="","",ROW(T_EMPLOYEES[[#This Row],[EMPLOYEE LABEL]])-ROW(T_EMPLOYEES[[#Headers],[EMPLOYEE LABEL]]))</f>
        <v/>
      </c>
      <c r="AB573">
        <f>IF(T_EMPLOYEES[[#This Row],[EMPLOYEE NUMBER]]="","",IF(COUNTIF(T_EMPLOYEES[EMPLOYEE NUMBER],T_EMPLOYEES[[#This Row],[EMPLOYEE NUMBER]])&gt;1,1,0))</f>
        <v/>
      </c>
      <c r="AC573">
        <f>IF(T_EMPLOYEES[[#This Row],[EMPLOYEE NUMBER]]="","",IF(AND(T_EMPLOYEES[[#This Row],[DATE OF BIRTH]]&gt;0,T_EMPLOYEES[[#This Row],[DATE OF BIRTH]]&lt;TODAY()),0,1))</f>
        <v/>
      </c>
      <c r="AD573">
        <f>IF(T_EMPLOYEES[[#This Row],[EMPLOYEE NUMBER]]="","",IF(AND(T_EMPLOYEES[[#This Row],[START DATE]]&gt;0,T_EMPLOYEES[[#This Row],[START DATE]]&lt;TODAY()+60),0,1))</f>
        <v/>
      </c>
      <c r="AE573">
        <f>IF(T_EMPLOYEES[[#This Row],[EMPLOYEE NUMBER]]="","",MATCH(T_EMPLOYEES[[#This Row],[GENDER]],L_GENDER,0))</f>
        <v/>
      </c>
      <c r="AF573">
        <f>IF(T_EMPLOYEES[[#This Row],[EMPLOYEE NUMBER]]="","",MATCH(T_EMPLOYEES[[#This Row],[HIRE SOURCE]],L_HIRESOURCE,0))</f>
        <v/>
      </c>
      <c r="AG573">
        <f>IF(T_EMPLOYEES[[#This Row],[EMPLOYEE NUMBER]]="","",MATCH(T_EMPLOYEES[[#This Row],[ETHNICITY]],L_ETHNICITY,0))</f>
        <v/>
      </c>
      <c r="AH573">
        <f>IF(T_EMPLOYEES[[#This Row],[EMPLOYEE NUMBER]]="","",MATCH(T_EMPLOYEES[[#This Row],[LOCATION]],L_LOCATION,0))</f>
        <v/>
      </c>
      <c r="AI573">
        <f>IF(T_EMPLOYEES[[#This Row],[EMPLOYEE NUMBER]]="","",MATCH(T_EMPLOYEES[[#This Row],[DEPARTMENT]],L_DEPARTMENT,0))</f>
        <v/>
      </c>
      <c r="AJ573">
        <f>IF(T_EMPLOYEES[[#This Row],[EMPLOYEE NUMBER]]="","",MATCH(T_EMPLOYEES[[#This Row],[JOB TYPE]],L_JOBTYPE,0))</f>
        <v/>
      </c>
      <c r="AK573">
        <f>IF(T_EMPLOYEES[[#This Row],[EMPLOYEE NUMBER]]="","",MATCH(T_EMPLOYEES[[#This Row],[JOB CATEGORY]],L_JOBCATEGORY,0))</f>
        <v/>
      </c>
      <c r="AL573">
        <f>IF(T_EMPLOYEES[[#This Row],[EMPLOYEE NUMBER]]="","",MATCH(T_EMPLOYEES[[#This Row],[JOB LEVEL]],L_JOBLEVEL,0))</f>
        <v/>
      </c>
      <c r="AM573">
        <f>IF(T_EMPLOYEES[[#This Row],[EMPLOYEE NUMBER]]="","",MATCH(T_EMPLOYEES[[#This Row],[JOB TITLE]],L_JOBTITLE,0))</f>
        <v/>
      </c>
      <c r="AN573">
        <f>IF(T_EMPLOYEES[[#This Row],[EMPLOYEE NUMBER]]="","",MATCH(T_EMPLOYEES[[#This Row],[MANAGER]],L_EMPLABELS,0))</f>
        <v/>
      </c>
      <c r="AO573">
        <f>IF(T_EMPLOYEES[[#This Row],[EMPLOYEE NUMBER]]="","",IF(T_EMPLOYEES[[#This Row],[ERROR]]="",0,1))</f>
        <v/>
      </c>
      <c r="AP57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4">
      <c r="A574" t="inlineStr">
        <is>
          <t>Nitish</t>
        </is>
      </c>
      <c r="B574" t="inlineStr">
        <is>
          <t>Kumar Nayak</t>
        </is>
      </c>
      <c r="C574" t="n">
        <v>1033224</v>
      </c>
      <c r="D574" t="inlineStr">
        <is>
          <t>Nitish.Nayak@infinite.com</t>
        </is>
      </c>
      <c r="E574" s="26" t="n">
        <v>37302</v>
      </c>
      <c r="F574" s="26" t="n">
        <v>45155</v>
      </c>
      <c r="H574" t="inlineStr">
        <is>
          <t>Male</t>
        </is>
      </c>
      <c r="I574" t="inlineStr">
        <is>
          <t>Asian</t>
        </is>
      </c>
      <c r="J574" t="inlineStr">
        <is>
          <t>WEBSITE</t>
        </is>
      </c>
      <c r="K574" t="inlineStr">
        <is>
          <t>Bangalore</t>
        </is>
      </c>
      <c r="L574" s="27" t="inlineStr">
        <is>
          <t>Core</t>
        </is>
      </c>
      <c r="M574" t="inlineStr">
        <is>
          <t>Full-Time</t>
        </is>
      </c>
      <c r="N574" t="inlineStr">
        <is>
          <t>Associate Software Engineer</t>
        </is>
      </c>
      <c r="O574" t="inlineStr">
        <is>
          <t>E1</t>
        </is>
      </c>
      <c r="P574" t="inlineStr">
        <is>
          <t>Associate Software Engineer</t>
        </is>
      </c>
      <c r="Q574" t="inlineStr">
        <is>
          <t>Dipakbhai Motibhai Tandel (1027230)</t>
        </is>
      </c>
      <c r="R574" s="27" t="n">
        <v>0</v>
      </c>
      <c r="S574" s="1" t="n">
        <v>1200000</v>
      </c>
      <c r="T574" s="1">
        <f>ROUND(T_EMPLOYEES[[#This Row],[EMP_CTC1]]/12, 0)</f>
        <v/>
      </c>
      <c r="U574" s="1" t="n">
        <v>1000000</v>
      </c>
      <c r="V574" s="1" t="inlineStr">
        <is>
          <t>NH</t>
        </is>
      </c>
      <c r="W574" s="1" t="inlineStr">
        <is>
          <t>NH</t>
        </is>
      </c>
      <c r="X57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4" t="n">
        <v>120000</v>
      </c>
      <c r="Z574" s="29">
        <f>(S574 - U574)/S574 * 100</f>
        <v/>
      </c>
      <c r="AA574">
        <f>IF(T_EMPLOYEES[[#This Row],[EMPLOYEE NUMBER]]="","",ROW(T_EMPLOYEES[[#This Row],[EMPLOYEE LABEL]])-ROW(T_EMPLOYEES[[#Headers],[EMPLOYEE LABEL]]))</f>
        <v/>
      </c>
      <c r="AB574">
        <f>IF(T_EMPLOYEES[[#This Row],[EMPLOYEE NUMBER]]="","",IF(COUNTIF(T_EMPLOYEES[EMPLOYEE NUMBER],T_EMPLOYEES[[#This Row],[EMPLOYEE NUMBER]])&gt;1,1,0))</f>
        <v/>
      </c>
      <c r="AC574">
        <f>IF(T_EMPLOYEES[[#This Row],[EMPLOYEE NUMBER]]="","",IF(AND(T_EMPLOYEES[[#This Row],[DATE OF BIRTH]]&gt;0,T_EMPLOYEES[[#This Row],[DATE OF BIRTH]]&lt;TODAY()),0,1))</f>
        <v/>
      </c>
      <c r="AD574">
        <f>IF(T_EMPLOYEES[[#This Row],[EMPLOYEE NUMBER]]="","",IF(AND(T_EMPLOYEES[[#This Row],[START DATE]]&gt;0,T_EMPLOYEES[[#This Row],[START DATE]]&lt;TODAY()+60),0,1))</f>
        <v/>
      </c>
      <c r="AE574">
        <f>IF(T_EMPLOYEES[[#This Row],[EMPLOYEE NUMBER]]="","",MATCH(T_EMPLOYEES[[#This Row],[GENDER]],L_GENDER,0))</f>
        <v/>
      </c>
      <c r="AF574">
        <f>IF(T_EMPLOYEES[[#This Row],[EMPLOYEE NUMBER]]="","",MATCH(T_EMPLOYEES[[#This Row],[HIRE SOURCE]],L_HIRESOURCE,0))</f>
        <v/>
      </c>
      <c r="AG574">
        <f>IF(T_EMPLOYEES[[#This Row],[EMPLOYEE NUMBER]]="","",MATCH(T_EMPLOYEES[[#This Row],[ETHNICITY]],L_ETHNICITY,0))</f>
        <v/>
      </c>
      <c r="AH574">
        <f>IF(T_EMPLOYEES[[#This Row],[EMPLOYEE NUMBER]]="","",MATCH(T_EMPLOYEES[[#This Row],[LOCATION]],L_LOCATION,0))</f>
        <v/>
      </c>
      <c r="AI574">
        <f>IF(T_EMPLOYEES[[#This Row],[EMPLOYEE NUMBER]]="","",MATCH(T_EMPLOYEES[[#This Row],[DEPARTMENT]],L_DEPARTMENT,0))</f>
        <v/>
      </c>
      <c r="AJ574">
        <f>IF(T_EMPLOYEES[[#This Row],[EMPLOYEE NUMBER]]="","",MATCH(T_EMPLOYEES[[#This Row],[JOB TYPE]],L_JOBTYPE,0))</f>
        <v/>
      </c>
      <c r="AK574">
        <f>IF(T_EMPLOYEES[[#This Row],[EMPLOYEE NUMBER]]="","",MATCH(T_EMPLOYEES[[#This Row],[JOB CATEGORY]],L_JOBCATEGORY,0))</f>
        <v/>
      </c>
      <c r="AL574">
        <f>IF(T_EMPLOYEES[[#This Row],[EMPLOYEE NUMBER]]="","",MATCH(T_EMPLOYEES[[#This Row],[JOB LEVEL]],L_JOBLEVEL,0))</f>
        <v/>
      </c>
      <c r="AM574">
        <f>IF(T_EMPLOYEES[[#This Row],[EMPLOYEE NUMBER]]="","",MATCH(T_EMPLOYEES[[#This Row],[JOB TITLE]],L_JOBTITLE,0))</f>
        <v/>
      </c>
      <c r="AN574">
        <f>IF(T_EMPLOYEES[[#This Row],[EMPLOYEE NUMBER]]="","",MATCH(T_EMPLOYEES[[#This Row],[MANAGER]],L_EMPLABELS,0))</f>
        <v/>
      </c>
      <c r="AO574">
        <f>IF(T_EMPLOYEES[[#This Row],[EMPLOYEE NUMBER]]="","",IF(T_EMPLOYEES[[#This Row],[ERROR]]="",0,1))</f>
        <v/>
      </c>
      <c r="AP57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74" t="inlineStr">
        <is>
          <t>Claims Payment</t>
        </is>
      </c>
    </row>
    <row r="575">
      <c r="A575" t="inlineStr">
        <is>
          <t>Kotha</t>
        </is>
      </c>
      <c r="B575" t="inlineStr">
        <is>
          <t>Manosree</t>
        </is>
      </c>
      <c r="C575" t="n">
        <v>1033271</v>
      </c>
      <c r="D575" t="inlineStr">
        <is>
          <t>Manosree.Kotha@infinite.com</t>
        </is>
      </c>
      <c r="E575" s="26" t="n">
        <v>37324</v>
      </c>
      <c r="F575" s="26" t="n">
        <v>45155</v>
      </c>
      <c r="H575" t="inlineStr">
        <is>
          <t>Female</t>
        </is>
      </c>
      <c r="I575" t="inlineStr">
        <is>
          <t>Asian</t>
        </is>
      </c>
      <c r="J575" t="inlineStr">
        <is>
          <t>WEBSITE</t>
        </is>
      </c>
      <c r="K575" t="inlineStr">
        <is>
          <t>Chennai</t>
        </is>
      </c>
      <c r="L575" s="27" t="inlineStr">
        <is>
          <t>Cognos</t>
        </is>
      </c>
      <c r="M575" t="inlineStr">
        <is>
          <t>Full-Time</t>
        </is>
      </c>
      <c r="N575" t="inlineStr">
        <is>
          <t>Associate Software Engineer</t>
        </is>
      </c>
      <c r="O575" t="inlineStr">
        <is>
          <t>E1</t>
        </is>
      </c>
      <c r="P575" t="inlineStr">
        <is>
          <t>Associate Software Engineer</t>
        </is>
      </c>
      <c r="Q575" t="inlineStr">
        <is>
          <t>Peernayakgari Irfan Basha (1017291)</t>
        </is>
      </c>
      <c r="R575" t="n">
        <v>0</v>
      </c>
      <c r="S575" s="1" t="n">
        <v>1200000</v>
      </c>
      <c r="T575" s="1">
        <f>ROUND(T_EMPLOYEES[[#This Row],[EMP_CTC1]]/12, 0)</f>
        <v/>
      </c>
      <c r="U575" s="1" t="n">
        <v>1000000</v>
      </c>
      <c r="V575" s="1" t="inlineStr">
        <is>
          <t>NH</t>
        </is>
      </c>
      <c r="W575" s="1" t="inlineStr">
        <is>
          <t>NH</t>
        </is>
      </c>
      <c r="X57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5" t="n">
        <v>120000</v>
      </c>
      <c r="Z575" s="29">
        <f>(S575 - U575)/S575 * 100</f>
        <v/>
      </c>
      <c r="AA575">
        <f>IF(T_EMPLOYEES[[#This Row],[EMPLOYEE NUMBER]]="","",ROW(T_EMPLOYEES[[#This Row],[EMPLOYEE LABEL]])-ROW(T_EMPLOYEES[[#Headers],[EMPLOYEE LABEL]]))</f>
        <v/>
      </c>
      <c r="AB575">
        <f>IF(T_EMPLOYEES[[#This Row],[EMPLOYEE NUMBER]]="","",IF(COUNTIF(T_EMPLOYEES[EMPLOYEE NUMBER],T_EMPLOYEES[[#This Row],[EMPLOYEE NUMBER]])&gt;1,1,0))</f>
        <v/>
      </c>
      <c r="AC575">
        <f>IF(T_EMPLOYEES[[#This Row],[EMPLOYEE NUMBER]]="","",IF(AND(T_EMPLOYEES[[#This Row],[DATE OF BIRTH]]&gt;0,T_EMPLOYEES[[#This Row],[DATE OF BIRTH]]&lt;TODAY()),0,1))</f>
        <v/>
      </c>
      <c r="AD575">
        <f>IF(T_EMPLOYEES[[#This Row],[EMPLOYEE NUMBER]]="","",IF(AND(T_EMPLOYEES[[#This Row],[START DATE]]&gt;0,T_EMPLOYEES[[#This Row],[START DATE]]&lt;TODAY()+60),0,1))</f>
        <v/>
      </c>
      <c r="AE575">
        <f>IF(T_EMPLOYEES[[#This Row],[EMPLOYEE NUMBER]]="","",MATCH(T_EMPLOYEES[[#This Row],[GENDER]],L_GENDER,0))</f>
        <v/>
      </c>
      <c r="AF575">
        <f>IF(T_EMPLOYEES[[#This Row],[EMPLOYEE NUMBER]]="","",MATCH(T_EMPLOYEES[[#This Row],[HIRE SOURCE]],L_HIRESOURCE,0))</f>
        <v/>
      </c>
      <c r="AG575">
        <f>IF(T_EMPLOYEES[[#This Row],[EMPLOYEE NUMBER]]="","",MATCH(T_EMPLOYEES[[#This Row],[ETHNICITY]],L_ETHNICITY,0))</f>
        <v/>
      </c>
      <c r="AH575">
        <f>IF(T_EMPLOYEES[[#This Row],[EMPLOYEE NUMBER]]="","",MATCH(T_EMPLOYEES[[#This Row],[LOCATION]],L_LOCATION,0))</f>
        <v/>
      </c>
      <c r="AI575">
        <f>IF(T_EMPLOYEES[[#This Row],[EMPLOYEE NUMBER]]="","",MATCH(T_EMPLOYEES[[#This Row],[DEPARTMENT]],L_DEPARTMENT,0))</f>
        <v/>
      </c>
      <c r="AJ575">
        <f>IF(T_EMPLOYEES[[#This Row],[EMPLOYEE NUMBER]]="","",MATCH(T_EMPLOYEES[[#This Row],[JOB TYPE]],L_JOBTYPE,0))</f>
        <v/>
      </c>
      <c r="AK575">
        <f>IF(T_EMPLOYEES[[#This Row],[EMPLOYEE NUMBER]]="","",MATCH(T_EMPLOYEES[[#This Row],[JOB CATEGORY]],L_JOBCATEGORY,0))</f>
        <v/>
      </c>
      <c r="AL575">
        <f>IF(T_EMPLOYEES[[#This Row],[EMPLOYEE NUMBER]]="","",MATCH(T_EMPLOYEES[[#This Row],[JOB LEVEL]],L_JOBLEVEL,0))</f>
        <v/>
      </c>
      <c r="AM575">
        <f>IF(T_EMPLOYEES[[#This Row],[EMPLOYEE NUMBER]]="","",MATCH(T_EMPLOYEES[[#This Row],[JOB TITLE]],L_JOBTITLE,0))</f>
        <v/>
      </c>
      <c r="AN575">
        <f>IF(T_EMPLOYEES[[#This Row],[EMPLOYEE NUMBER]]="","",MATCH(T_EMPLOYEES[[#This Row],[MANAGER]],L_EMPLABELS,0))</f>
        <v/>
      </c>
      <c r="AO575">
        <f>IF(T_EMPLOYEES[[#This Row],[EMPLOYEE NUMBER]]="","",IF(T_EMPLOYEES[[#This Row],[ERROR]]="",0,1))</f>
        <v/>
      </c>
      <c r="AP57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6">
      <c r="A576" t="inlineStr">
        <is>
          <t>Anirudh</t>
        </is>
      </c>
      <c r="B576" t="inlineStr">
        <is>
          <t>Mehta</t>
        </is>
      </c>
      <c r="C576" t="n">
        <v>1033230</v>
      </c>
      <c r="D576" t="inlineStr">
        <is>
          <t>Anirudh.Mehta@infinite.com</t>
        </is>
      </c>
      <c r="E576" s="26" t="n">
        <v>37331</v>
      </c>
      <c r="F576" s="26" t="n">
        <v>45155</v>
      </c>
      <c r="H576" t="inlineStr">
        <is>
          <t>Male</t>
        </is>
      </c>
      <c r="I576" t="inlineStr">
        <is>
          <t>Asian</t>
        </is>
      </c>
      <c r="J576" t="inlineStr">
        <is>
          <t>WEBSITE</t>
        </is>
      </c>
      <c r="K576" t="inlineStr">
        <is>
          <t>Bangalore</t>
        </is>
      </c>
      <c r="L576" s="27" t="inlineStr">
        <is>
          <t>Core</t>
        </is>
      </c>
      <c r="M576" t="inlineStr">
        <is>
          <t>Full-Time</t>
        </is>
      </c>
      <c r="N576" t="inlineStr">
        <is>
          <t>Associate Software Engineer</t>
        </is>
      </c>
      <c r="O576" t="inlineStr">
        <is>
          <t>E1</t>
        </is>
      </c>
      <c r="P576" t="inlineStr">
        <is>
          <t>Associate Software Engineer</t>
        </is>
      </c>
      <c r="Q576" t="inlineStr">
        <is>
          <t>Kishore Kumar N (1019765)</t>
        </is>
      </c>
      <c r="R576" s="27" t="n">
        <v>0</v>
      </c>
      <c r="S576" s="1" t="n">
        <v>1200000</v>
      </c>
      <c r="T576" s="1">
        <f>ROUND(T_EMPLOYEES[[#This Row],[EMP_CTC1]]/12, 0)</f>
        <v/>
      </c>
      <c r="U576" s="1" t="n">
        <v>1000000</v>
      </c>
      <c r="V576" s="1" t="inlineStr">
        <is>
          <t>NH</t>
        </is>
      </c>
      <c r="W576" s="1" t="inlineStr">
        <is>
          <t>NH</t>
        </is>
      </c>
      <c r="X57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6" t="n">
        <v>120000</v>
      </c>
      <c r="Z576" s="29">
        <f>(S576 - U576)/S576 * 100</f>
        <v/>
      </c>
      <c r="AA576">
        <f>IF(T_EMPLOYEES[[#This Row],[EMPLOYEE NUMBER]]="","",ROW(T_EMPLOYEES[[#This Row],[EMPLOYEE LABEL]])-ROW(T_EMPLOYEES[[#Headers],[EMPLOYEE LABEL]]))</f>
        <v/>
      </c>
      <c r="AB576">
        <f>IF(T_EMPLOYEES[[#This Row],[EMPLOYEE NUMBER]]="","",IF(COUNTIF(T_EMPLOYEES[EMPLOYEE NUMBER],T_EMPLOYEES[[#This Row],[EMPLOYEE NUMBER]])&gt;1,1,0))</f>
        <v/>
      </c>
      <c r="AC576">
        <f>IF(T_EMPLOYEES[[#This Row],[EMPLOYEE NUMBER]]="","",IF(AND(T_EMPLOYEES[[#This Row],[DATE OF BIRTH]]&gt;0,T_EMPLOYEES[[#This Row],[DATE OF BIRTH]]&lt;TODAY()),0,1))</f>
        <v/>
      </c>
      <c r="AD576">
        <f>IF(T_EMPLOYEES[[#This Row],[EMPLOYEE NUMBER]]="","",IF(AND(T_EMPLOYEES[[#This Row],[START DATE]]&gt;0,T_EMPLOYEES[[#This Row],[START DATE]]&lt;TODAY()+60),0,1))</f>
        <v/>
      </c>
      <c r="AE576">
        <f>IF(T_EMPLOYEES[[#This Row],[EMPLOYEE NUMBER]]="","",MATCH(T_EMPLOYEES[[#This Row],[GENDER]],L_GENDER,0))</f>
        <v/>
      </c>
      <c r="AF576">
        <f>IF(T_EMPLOYEES[[#This Row],[EMPLOYEE NUMBER]]="","",MATCH(T_EMPLOYEES[[#This Row],[HIRE SOURCE]],L_HIRESOURCE,0))</f>
        <v/>
      </c>
      <c r="AG576">
        <f>IF(T_EMPLOYEES[[#This Row],[EMPLOYEE NUMBER]]="","",MATCH(T_EMPLOYEES[[#This Row],[ETHNICITY]],L_ETHNICITY,0))</f>
        <v/>
      </c>
      <c r="AH576">
        <f>IF(T_EMPLOYEES[[#This Row],[EMPLOYEE NUMBER]]="","",MATCH(T_EMPLOYEES[[#This Row],[LOCATION]],L_LOCATION,0))</f>
        <v/>
      </c>
      <c r="AI576">
        <f>IF(T_EMPLOYEES[[#This Row],[EMPLOYEE NUMBER]]="","",MATCH(T_EMPLOYEES[[#This Row],[DEPARTMENT]],L_DEPARTMENT,0))</f>
        <v/>
      </c>
      <c r="AJ576">
        <f>IF(T_EMPLOYEES[[#This Row],[EMPLOYEE NUMBER]]="","",MATCH(T_EMPLOYEES[[#This Row],[JOB TYPE]],L_JOBTYPE,0))</f>
        <v/>
      </c>
      <c r="AK576">
        <f>IF(T_EMPLOYEES[[#This Row],[EMPLOYEE NUMBER]]="","",MATCH(T_EMPLOYEES[[#This Row],[JOB CATEGORY]],L_JOBCATEGORY,0))</f>
        <v/>
      </c>
      <c r="AL576">
        <f>IF(T_EMPLOYEES[[#This Row],[EMPLOYEE NUMBER]]="","",MATCH(T_EMPLOYEES[[#This Row],[JOB LEVEL]],L_JOBLEVEL,0))</f>
        <v/>
      </c>
      <c r="AM576">
        <f>IF(T_EMPLOYEES[[#This Row],[EMPLOYEE NUMBER]]="","",MATCH(T_EMPLOYEES[[#This Row],[JOB TITLE]],L_JOBTITLE,0))</f>
        <v/>
      </c>
      <c r="AN576">
        <f>IF(T_EMPLOYEES[[#This Row],[EMPLOYEE NUMBER]]="","",MATCH(T_EMPLOYEES[[#This Row],[MANAGER]],L_EMPLABELS,0))</f>
        <v/>
      </c>
      <c r="AO576">
        <f>IF(T_EMPLOYEES[[#This Row],[EMPLOYEE NUMBER]]="","",IF(T_EMPLOYEES[[#This Row],[ERROR]]="",0,1))</f>
        <v/>
      </c>
      <c r="AP57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76" t="inlineStr">
        <is>
          <t>Data Management</t>
        </is>
      </c>
    </row>
    <row r="577">
      <c r="A577" t="inlineStr">
        <is>
          <t>Subhraprakash</t>
        </is>
      </c>
      <c r="B577" t="inlineStr">
        <is>
          <t>Subudhi</t>
        </is>
      </c>
      <c r="C577" t="n">
        <v>1033234</v>
      </c>
      <c r="D577" t="inlineStr">
        <is>
          <t>Subhraprakash.Subudhi@infinite.com</t>
        </is>
      </c>
      <c r="E577" s="26" t="n">
        <v>37346</v>
      </c>
      <c r="F577" s="26" t="n">
        <v>45155</v>
      </c>
      <c r="H577" t="inlineStr">
        <is>
          <t>Male</t>
        </is>
      </c>
      <c r="I577" t="inlineStr">
        <is>
          <t>Asian</t>
        </is>
      </c>
      <c r="J577" t="inlineStr">
        <is>
          <t>WEBSITE</t>
        </is>
      </c>
      <c r="K577" t="inlineStr">
        <is>
          <t>Hyderabad</t>
        </is>
      </c>
      <c r="L577" s="27" t="inlineStr">
        <is>
          <t>Core</t>
        </is>
      </c>
      <c r="M577" t="inlineStr">
        <is>
          <t>Full-Time</t>
        </is>
      </c>
      <c r="N577" t="inlineStr">
        <is>
          <t>Associate Software Engineer</t>
        </is>
      </c>
      <c r="O577" t="inlineStr">
        <is>
          <t>E1</t>
        </is>
      </c>
      <c r="P577" t="inlineStr">
        <is>
          <t>Associate Software Engineer</t>
        </is>
      </c>
      <c r="Q577" t="inlineStr">
        <is>
          <t>Anil Kumar Khamari (1013201)</t>
        </is>
      </c>
      <c r="R577" t="n">
        <v>0</v>
      </c>
      <c r="S577" s="1" t="n">
        <v>1200000</v>
      </c>
      <c r="T577" s="1">
        <f>ROUND(T_EMPLOYEES[[#This Row],[EMP_CTC1]]/12, 0)</f>
        <v/>
      </c>
      <c r="U577" s="1" t="n">
        <v>1000000</v>
      </c>
      <c r="V577" s="1" t="inlineStr">
        <is>
          <t>NH</t>
        </is>
      </c>
      <c r="W577" s="1" t="inlineStr">
        <is>
          <t>NH</t>
        </is>
      </c>
      <c r="X57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7" t="n">
        <v>120000</v>
      </c>
      <c r="Z577" s="29">
        <f>(S577 - U577)/S577 * 100</f>
        <v/>
      </c>
      <c r="AA577">
        <f>IF(T_EMPLOYEES[[#This Row],[EMPLOYEE NUMBER]]="","",ROW(T_EMPLOYEES[[#This Row],[EMPLOYEE LABEL]])-ROW(T_EMPLOYEES[[#Headers],[EMPLOYEE LABEL]]))</f>
        <v/>
      </c>
      <c r="AB577">
        <f>IF(T_EMPLOYEES[[#This Row],[EMPLOYEE NUMBER]]="","",IF(COUNTIF(T_EMPLOYEES[EMPLOYEE NUMBER],T_EMPLOYEES[[#This Row],[EMPLOYEE NUMBER]])&gt;1,1,0))</f>
        <v/>
      </c>
      <c r="AC577">
        <f>IF(T_EMPLOYEES[[#This Row],[EMPLOYEE NUMBER]]="","",IF(AND(T_EMPLOYEES[[#This Row],[DATE OF BIRTH]]&gt;0,T_EMPLOYEES[[#This Row],[DATE OF BIRTH]]&lt;TODAY()),0,1))</f>
        <v/>
      </c>
      <c r="AD577">
        <f>IF(T_EMPLOYEES[[#This Row],[EMPLOYEE NUMBER]]="","",IF(AND(T_EMPLOYEES[[#This Row],[START DATE]]&gt;0,T_EMPLOYEES[[#This Row],[START DATE]]&lt;TODAY()+60),0,1))</f>
        <v/>
      </c>
      <c r="AE577">
        <f>IF(T_EMPLOYEES[[#This Row],[EMPLOYEE NUMBER]]="","",MATCH(T_EMPLOYEES[[#This Row],[GENDER]],L_GENDER,0))</f>
        <v/>
      </c>
      <c r="AF577">
        <f>IF(T_EMPLOYEES[[#This Row],[EMPLOYEE NUMBER]]="","",MATCH(T_EMPLOYEES[[#This Row],[HIRE SOURCE]],L_HIRESOURCE,0))</f>
        <v/>
      </c>
      <c r="AG577">
        <f>IF(T_EMPLOYEES[[#This Row],[EMPLOYEE NUMBER]]="","",MATCH(T_EMPLOYEES[[#This Row],[ETHNICITY]],L_ETHNICITY,0))</f>
        <v/>
      </c>
      <c r="AH577">
        <f>IF(T_EMPLOYEES[[#This Row],[EMPLOYEE NUMBER]]="","",MATCH(T_EMPLOYEES[[#This Row],[LOCATION]],L_LOCATION,0))</f>
        <v/>
      </c>
      <c r="AI577">
        <f>IF(T_EMPLOYEES[[#This Row],[EMPLOYEE NUMBER]]="","",MATCH(T_EMPLOYEES[[#This Row],[DEPARTMENT]],L_DEPARTMENT,0))</f>
        <v/>
      </c>
      <c r="AJ577">
        <f>IF(T_EMPLOYEES[[#This Row],[EMPLOYEE NUMBER]]="","",MATCH(T_EMPLOYEES[[#This Row],[JOB TYPE]],L_JOBTYPE,0))</f>
        <v/>
      </c>
      <c r="AK577">
        <f>IF(T_EMPLOYEES[[#This Row],[EMPLOYEE NUMBER]]="","",MATCH(T_EMPLOYEES[[#This Row],[JOB CATEGORY]],L_JOBCATEGORY,0))</f>
        <v/>
      </c>
      <c r="AL577">
        <f>IF(T_EMPLOYEES[[#This Row],[EMPLOYEE NUMBER]]="","",MATCH(T_EMPLOYEES[[#This Row],[JOB LEVEL]],L_JOBLEVEL,0))</f>
        <v/>
      </c>
      <c r="AM577">
        <f>IF(T_EMPLOYEES[[#This Row],[EMPLOYEE NUMBER]]="","",MATCH(T_EMPLOYEES[[#This Row],[JOB TITLE]],L_JOBTITLE,0))</f>
        <v/>
      </c>
      <c r="AN577">
        <f>IF(T_EMPLOYEES[[#This Row],[EMPLOYEE NUMBER]]="","",MATCH(T_EMPLOYEES[[#This Row],[MANAGER]],L_EMPLABELS,0))</f>
        <v/>
      </c>
      <c r="AO577">
        <f>IF(T_EMPLOYEES[[#This Row],[EMPLOYEE NUMBER]]="","",IF(T_EMPLOYEES[[#This Row],[ERROR]]="",0,1))</f>
        <v/>
      </c>
      <c r="AP57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78">
      <c r="A578" t="inlineStr">
        <is>
          <t>Morla</t>
        </is>
      </c>
      <c r="B578" t="inlineStr">
        <is>
          <t>Brundavani</t>
        </is>
      </c>
      <c r="C578" t="n">
        <v>1033254</v>
      </c>
      <c r="D578" t="inlineStr">
        <is>
          <t>Brundavani.Morla@infinite.com</t>
        </is>
      </c>
      <c r="E578" s="26" t="n">
        <v>37350</v>
      </c>
      <c r="F578" s="26" t="n">
        <v>45155</v>
      </c>
      <c r="H578" t="inlineStr">
        <is>
          <t>Female</t>
        </is>
      </c>
      <c r="I578" t="inlineStr">
        <is>
          <t>Asian</t>
        </is>
      </c>
      <c r="J578" t="inlineStr">
        <is>
          <t>WEBSITE</t>
        </is>
      </c>
      <c r="K578" t="inlineStr">
        <is>
          <t>Bangalore</t>
        </is>
      </c>
      <c r="L578" s="27" t="inlineStr">
        <is>
          <t>IT</t>
        </is>
      </c>
      <c r="M578" t="inlineStr">
        <is>
          <t>Full-Time</t>
        </is>
      </c>
      <c r="N578" t="inlineStr">
        <is>
          <t>Associate Software Engineer</t>
        </is>
      </c>
      <c r="O578" t="inlineStr">
        <is>
          <t>E1</t>
        </is>
      </c>
      <c r="P578" t="inlineStr">
        <is>
          <t>Associate Software Engineer</t>
        </is>
      </c>
      <c r="Q578" t="inlineStr">
        <is>
          <t>Anupam Lal (1033431)</t>
        </is>
      </c>
      <c r="R578" s="27" t="n">
        <v>0</v>
      </c>
      <c r="S578" s="1" t="n">
        <v>1200000</v>
      </c>
      <c r="T578" s="1">
        <f>ROUND(T_EMPLOYEES[[#This Row],[EMP_CTC1]]/12, 0)</f>
        <v/>
      </c>
      <c r="U578" s="1" t="n">
        <v>1000000</v>
      </c>
      <c r="V578" s="1" t="inlineStr">
        <is>
          <t>NH</t>
        </is>
      </c>
      <c r="W578" s="1" t="inlineStr">
        <is>
          <t>NH</t>
        </is>
      </c>
      <c r="X57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8" t="n">
        <v>120000</v>
      </c>
      <c r="Z578" s="29">
        <f>(S578 - U578)/S578 * 100</f>
        <v/>
      </c>
      <c r="AA578">
        <f>IF(T_EMPLOYEES[[#This Row],[EMPLOYEE NUMBER]]="","",ROW(T_EMPLOYEES[[#This Row],[EMPLOYEE LABEL]])-ROW(T_EMPLOYEES[[#Headers],[EMPLOYEE LABEL]]))</f>
        <v/>
      </c>
      <c r="AB578">
        <f>IF(T_EMPLOYEES[[#This Row],[EMPLOYEE NUMBER]]="","",IF(COUNTIF(T_EMPLOYEES[EMPLOYEE NUMBER],T_EMPLOYEES[[#This Row],[EMPLOYEE NUMBER]])&gt;1,1,0))</f>
        <v/>
      </c>
      <c r="AC578">
        <f>IF(T_EMPLOYEES[[#This Row],[EMPLOYEE NUMBER]]="","",IF(AND(T_EMPLOYEES[[#This Row],[DATE OF BIRTH]]&gt;0,T_EMPLOYEES[[#This Row],[DATE OF BIRTH]]&lt;TODAY()),0,1))</f>
        <v/>
      </c>
      <c r="AD578">
        <f>IF(T_EMPLOYEES[[#This Row],[EMPLOYEE NUMBER]]="","",IF(AND(T_EMPLOYEES[[#This Row],[START DATE]]&gt;0,T_EMPLOYEES[[#This Row],[START DATE]]&lt;TODAY()+60),0,1))</f>
        <v/>
      </c>
      <c r="AE578">
        <f>IF(T_EMPLOYEES[[#This Row],[EMPLOYEE NUMBER]]="","",MATCH(T_EMPLOYEES[[#This Row],[GENDER]],L_GENDER,0))</f>
        <v/>
      </c>
      <c r="AF578">
        <f>IF(T_EMPLOYEES[[#This Row],[EMPLOYEE NUMBER]]="","",MATCH(T_EMPLOYEES[[#This Row],[HIRE SOURCE]],L_HIRESOURCE,0))</f>
        <v/>
      </c>
      <c r="AG578">
        <f>IF(T_EMPLOYEES[[#This Row],[EMPLOYEE NUMBER]]="","",MATCH(T_EMPLOYEES[[#This Row],[ETHNICITY]],L_ETHNICITY,0))</f>
        <v/>
      </c>
      <c r="AH578">
        <f>IF(T_EMPLOYEES[[#This Row],[EMPLOYEE NUMBER]]="","",MATCH(T_EMPLOYEES[[#This Row],[LOCATION]],L_LOCATION,0))</f>
        <v/>
      </c>
      <c r="AI578">
        <f>IF(T_EMPLOYEES[[#This Row],[EMPLOYEE NUMBER]]="","",MATCH(T_EMPLOYEES[[#This Row],[DEPARTMENT]],L_DEPARTMENT,0))</f>
        <v/>
      </c>
      <c r="AJ578">
        <f>IF(T_EMPLOYEES[[#This Row],[EMPLOYEE NUMBER]]="","",MATCH(T_EMPLOYEES[[#This Row],[JOB TYPE]],L_JOBTYPE,0))</f>
        <v/>
      </c>
      <c r="AK578">
        <f>IF(T_EMPLOYEES[[#This Row],[EMPLOYEE NUMBER]]="","",MATCH(T_EMPLOYEES[[#This Row],[JOB CATEGORY]],L_JOBCATEGORY,0))</f>
        <v/>
      </c>
      <c r="AL578">
        <f>IF(T_EMPLOYEES[[#This Row],[EMPLOYEE NUMBER]]="","",MATCH(T_EMPLOYEES[[#This Row],[JOB LEVEL]],L_JOBLEVEL,0))</f>
        <v/>
      </c>
      <c r="AM578">
        <f>IF(T_EMPLOYEES[[#This Row],[EMPLOYEE NUMBER]]="","",MATCH(T_EMPLOYEES[[#This Row],[JOB TITLE]],L_JOBTITLE,0))</f>
        <v/>
      </c>
      <c r="AN578">
        <f>IF(T_EMPLOYEES[[#This Row],[EMPLOYEE NUMBER]]="","",MATCH(T_EMPLOYEES[[#This Row],[MANAGER]],L_EMPLABELS,0))</f>
        <v/>
      </c>
      <c r="AO578">
        <f>IF(T_EMPLOYEES[[#This Row],[EMPLOYEE NUMBER]]="","",IF(T_EMPLOYEES[[#This Row],[ERROR]]="",0,1))</f>
        <v/>
      </c>
      <c r="AP57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78" t="inlineStr">
        <is>
          <t>Claims Financial</t>
        </is>
      </c>
    </row>
    <row r="579">
      <c r="A579" t="inlineStr">
        <is>
          <t>Satya</t>
        </is>
      </c>
      <c r="B579" t="inlineStr">
        <is>
          <t>Prakash sharma</t>
        </is>
      </c>
      <c r="C579" t="n">
        <v>1033235</v>
      </c>
      <c r="D579" t="inlineStr">
        <is>
          <t>Satyaprakash.sharma@infinite.com</t>
        </is>
      </c>
      <c r="E579" s="26" t="n">
        <v>37360</v>
      </c>
      <c r="F579" s="26" t="n">
        <v>45155</v>
      </c>
      <c r="H579" t="inlineStr">
        <is>
          <t>Male</t>
        </is>
      </c>
      <c r="I579" t="inlineStr">
        <is>
          <t>Asian</t>
        </is>
      </c>
      <c r="J579" t="inlineStr">
        <is>
          <t>WEBSITE</t>
        </is>
      </c>
      <c r="K579" t="inlineStr">
        <is>
          <t>Bangalore</t>
        </is>
      </c>
      <c r="L579" s="27" t="inlineStr">
        <is>
          <t>Core</t>
        </is>
      </c>
      <c r="M579" t="inlineStr">
        <is>
          <t>Full-Time</t>
        </is>
      </c>
      <c r="N579" t="inlineStr">
        <is>
          <t>Associate Software Engineer</t>
        </is>
      </c>
      <c r="O579" t="inlineStr">
        <is>
          <t>E1</t>
        </is>
      </c>
      <c r="P579" t="inlineStr">
        <is>
          <t>Associate Software Engineer</t>
        </is>
      </c>
      <c r="Q579" t="inlineStr">
        <is>
          <t>Dipakbhai Motibhai Tandel (1027230)</t>
        </is>
      </c>
      <c r="R579" t="n">
        <v>0</v>
      </c>
      <c r="S579" s="1" t="n">
        <v>1200000</v>
      </c>
      <c r="T579" s="1">
        <f>ROUND(T_EMPLOYEES[[#This Row],[EMP_CTC1]]/12, 0)</f>
        <v/>
      </c>
      <c r="U579" s="1" t="n">
        <v>1000000</v>
      </c>
      <c r="V579" s="1" t="inlineStr">
        <is>
          <t>NH</t>
        </is>
      </c>
      <c r="W579" s="1" t="inlineStr">
        <is>
          <t>NH</t>
        </is>
      </c>
      <c r="X57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79" t="n">
        <v>120000</v>
      </c>
      <c r="Z579" s="29">
        <f>(S579 - U579)/S579 * 100</f>
        <v/>
      </c>
      <c r="AA579">
        <f>IF(T_EMPLOYEES[[#This Row],[EMPLOYEE NUMBER]]="","",ROW(T_EMPLOYEES[[#This Row],[EMPLOYEE LABEL]])-ROW(T_EMPLOYEES[[#Headers],[EMPLOYEE LABEL]]))</f>
        <v/>
      </c>
      <c r="AB579">
        <f>IF(T_EMPLOYEES[[#This Row],[EMPLOYEE NUMBER]]="","",IF(COUNTIF(T_EMPLOYEES[EMPLOYEE NUMBER],T_EMPLOYEES[[#This Row],[EMPLOYEE NUMBER]])&gt;1,1,0))</f>
        <v/>
      </c>
      <c r="AC579">
        <f>IF(T_EMPLOYEES[[#This Row],[EMPLOYEE NUMBER]]="","",IF(AND(T_EMPLOYEES[[#This Row],[DATE OF BIRTH]]&gt;0,T_EMPLOYEES[[#This Row],[DATE OF BIRTH]]&lt;TODAY()),0,1))</f>
        <v/>
      </c>
      <c r="AD579">
        <f>IF(T_EMPLOYEES[[#This Row],[EMPLOYEE NUMBER]]="","",IF(AND(T_EMPLOYEES[[#This Row],[START DATE]]&gt;0,T_EMPLOYEES[[#This Row],[START DATE]]&lt;TODAY()+60),0,1))</f>
        <v/>
      </c>
      <c r="AE579">
        <f>IF(T_EMPLOYEES[[#This Row],[EMPLOYEE NUMBER]]="","",MATCH(T_EMPLOYEES[[#This Row],[GENDER]],L_GENDER,0))</f>
        <v/>
      </c>
      <c r="AF579">
        <f>IF(T_EMPLOYEES[[#This Row],[EMPLOYEE NUMBER]]="","",MATCH(T_EMPLOYEES[[#This Row],[HIRE SOURCE]],L_HIRESOURCE,0))</f>
        <v/>
      </c>
      <c r="AG579">
        <f>IF(T_EMPLOYEES[[#This Row],[EMPLOYEE NUMBER]]="","",MATCH(T_EMPLOYEES[[#This Row],[ETHNICITY]],L_ETHNICITY,0))</f>
        <v/>
      </c>
      <c r="AH579">
        <f>IF(T_EMPLOYEES[[#This Row],[EMPLOYEE NUMBER]]="","",MATCH(T_EMPLOYEES[[#This Row],[LOCATION]],L_LOCATION,0))</f>
        <v/>
      </c>
      <c r="AI579">
        <f>IF(T_EMPLOYEES[[#This Row],[EMPLOYEE NUMBER]]="","",MATCH(T_EMPLOYEES[[#This Row],[DEPARTMENT]],L_DEPARTMENT,0))</f>
        <v/>
      </c>
      <c r="AJ579">
        <f>IF(T_EMPLOYEES[[#This Row],[EMPLOYEE NUMBER]]="","",MATCH(T_EMPLOYEES[[#This Row],[JOB TYPE]],L_JOBTYPE,0))</f>
        <v/>
      </c>
      <c r="AK579">
        <f>IF(T_EMPLOYEES[[#This Row],[EMPLOYEE NUMBER]]="","",MATCH(T_EMPLOYEES[[#This Row],[JOB CATEGORY]],L_JOBCATEGORY,0))</f>
        <v/>
      </c>
      <c r="AL579">
        <f>IF(T_EMPLOYEES[[#This Row],[EMPLOYEE NUMBER]]="","",MATCH(T_EMPLOYEES[[#This Row],[JOB LEVEL]],L_JOBLEVEL,0))</f>
        <v/>
      </c>
      <c r="AM579">
        <f>IF(T_EMPLOYEES[[#This Row],[EMPLOYEE NUMBER]]="","",MATCH(T_EMPLOYEES[[#This Row],[JOB TITLE]],L_JOBTITLE,0))</f>
        <v/>
      </c>
      <c r="AN579">
        <f>IF(T_EMPLOYEES[[#This Row],[EMPLOYEE NUMBER]]="","",MATCH(T_EMPLOYEES[[#This Row],[MANAGER]],L_EMPLABELS,0))</f>
        <v/>
      </c>
      <c r="AO579">
        <f>IF(T_EMPLOYEES[[#This Row],[EMPLOYEE NUMBER]]="","",IF(T_EMPLOYEES[[#This Row],[ERROR]]="",0,1))</f>
        <v/>
      </c>
      <c r="AP57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0">
      <c r="A580" t="inlineStr">
        <is>
          <t>A</t>
        </is>
      </c>
      <c r="B580" t="inlineStr">
        <is>
          <t>Bhavani</t>
        </is>
      </c>
      <c r="C580" t="n">
        <v>1033259</v>
      </c>
      <c r="D580" t="inlineStr">
        <is>
          <t>Bhavani.Annam@infinite.com</t>
        </is>
      </c>
      <c r="E580" s="26" t="n">
        <v>37362</v>
      </c>
      <c r="F580" s="26" t="n">
        <v>45155</v>
      </c>
      <c r="H580" t="inlineStr">
        <is>
          <t>Female</t>
        </is>
      </c>
      <c r="I580" t="inlineStr">
        <is>
          <t>Asian</t>
        </is>
      </c>
      <c r="J580" t="inlineStr">
        <is>
          <t>WEBSITE</t>
        </is>
      </c>
      <c r="K580" t="inlineStr">
        <is>
          <t>Bangalore</t>
        </is>
      </c>
      <c r="L580" s="27" t="inlineStr">
        <is>
          <t>IT</t>
        </is>
      </c>
      <c r="M580" t="inlineStr">
        <is>
          <t>Full-Time</t>
        </is>
      </c>
      <c r="N580" t="inlineStr">
        <is>
          <t>Associate Software Engineer</t>
        </is>
      </c>
      <c r="O580" t="inlineStr">
        <is>
          <t>E1</t>
        </is>
      </c>
      <c r="P580" t="inlineStr">
        <is>
          <t>Associate Software Engineer</t>
        </is>
      </c>
      <c r="Q580" t="inlineStr">
        <is>
          <t>Anupam Lal (1033431)</t>
        </is>
      </c>
      <c r="R580" s="27" t="n">
        <v>0</v>
      </c>
      <c r="S580" s="1" t="n">
        <v>1200000</v>
      </c>
      <c r="T580" s="1">
        <f>ROUND(T_EMPLOYEES[[#This Row],[EMP_CTC1]]/12, 0)</f>
        <v/>
      </c>
      <c r="U580" s="1" t="n">
        <v>1000000</v>
      </c>
      <c r="V580" s="1" t="inlineStr">
        <is>
          <t>NH</t>
        </is>
      </c>
      <c r="W580" s="1" t="inlineStr">
        <is>
          <t>NH</t>
        </is>
      </c>
      <c r="X58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0" t="n">
        <v>120000</v>
      </c>
      <c r="Z580" s="29">
        <f>(S580 - U580)/S580 * 100</f>
        <v/>
      </c>
      <c r="AA580">
        <f>IF(T_EMPLOYEES[[#This Row],[EMPLOYEE NUMBER]]="","",ROW(T_EMPLOYEES[[#This Row],[EMPLOYEE LABEL]])-ROW(T_EMPLOYEES[[#Headers],[EMPLOYEE LABEL]]))</f>
        <v/>
      </c>
      <c r="AB580">
        <f>IF(T_EMPLOYEES[[#This Row],[EMPLOYEE NUMBER]]="","",IF(COUNTIF(T_EMPLOYEES[EMPLOYEE NUMBER],T_EMPLOYEES[[#This Row],[EMPLOYEE NUMBER]])&gt;1,1,0))</f>
        <v/>
      </c>
      <c r="AC580">
        <f>IF(T_EMPLOYEES[[#This Row],[EMPLOYEE NUMBER]]="","",IF(AND(T_EMPLOYEES[[#This Row],[DATE OF BIRTH]]&gt;0,T_EMPLOYEES[[#This Row],[DATE OF BIRTH]]&lt;TODAY()),0,1))</f>
        <v/>
      </c>
      <c r="AD580">
        <f>IF(T_EMPLOYEES[[#This Row],[EMPLOYEE NUMBER]]="","",IF(AND(T_EMPLOYEES[[#This Row],[START DATE]]&gt;0,T_EMPLOYEES[[#This Row],[START DATE]]&lt;TODAY()+60),0,1))</f>
        <v/>
      </c>
      <c r="AE580">
        <f>IF(T_EMPLOYEES[[#This Row],[EMPLOYEE NUMBER]]="","",MATCH(T_EMPLOYEES[[#This Row],[GENDER]],L_GENDER,0))</f>
        <v/>
      </c>
      <c r="AF580">
        <f>IF(T_EMPLOYEES[[#This Row],[EMPLOYEE NUMBER]]="","",MATCH(T_EMPLOYEES[[#This Row],[HIRE SOURCE]],L_HIRESOURCE,0))</f>
        <v/>
      </c>
      <c r="AG580">
        <f>IF(T_EMPLOYEES[[#This Row],[EMPLOYEE NUMBER]]="","",MATCH(T_EMPLOYEES[[#This Row],[ETHNICITY]],L_ETHNICITY,0))</f>
        <v/>
      </c>
      <c r="AH580">
        <f>IF(T_EMPLOYEES[[#This Row],[EMPLOYEE NUMBER]]="","",MATCH(T_EMPLOYEES[[#This Row],[LOCATION]],L_LOCATION,0))</f>
        <v/>
      </c>
      <c r="AI580">
        <f>IF(T_EMPLOYEES[[#This Row],[EMPLOYEE NUMBER]]="","",MATCH(T_EMPLOYEES[[#This Row],[DEPARTMENT]],L_DEPARTMENT,0))</f>
        <v/>
      </c>
      <c r="AJ580">
        <f>IF(T_EMPLOYEES[[#This Row],[EMPLOYEE NUMBER]]="","",MATCH(T_EMPLOYEES[[#This Row],[JOB TYPE]],L_JOBTYPE,0))</f>
        <v/>
      </c>
      <c r="AK580">
        <f>IF(T_EMPLOYEES[[#This Row],[EMPLOYEE NUMBER]]="","",MATCH(T_EMPLOYEES[[#This Row],[JOB CATEGORY]],L_JOBCATEGORY,0))</f>
        <v/>
      </c>
      <c r="AL580">
        <f>IF(T_EMPLOYEES[[#This Row],[EMPLOYEE NUMBER]]="","",MATCH(T_EMPLOYEES[[#This Row],[JOB LEVEL]],L_JOBLEVEL,0))</f>
        <v/>
      </c>
      <c r="AM580">
        <f>IF(T_EMPLOYEES[[#This Row],[EMPLOYEE NUMBER]]="","",MATCH(T_EMPLOYEES[[#This Row],[JOB TITLE]],L_JOBTITLE,0))</f>
        <v/>
      </c>
      <c r="AN580">
        <f>IF(T_EMPLOYEES[[#This Row],[EMPLOYEE NUMBER]]="","",MATCH(T_EMPLOYEES[[#This Row],[MANAGER]],L_EMPLABELS,0))</f>
        <v/>
      </c>
      <c r="AO580">
        <f>IF(T_EMPLOYEES[[#This Row],[EMPLOYEE NUMBER]]="","",IF(T_EMPLOYEES[[#This Row],[ERROR]]="",0,1))</f>
        <v/>
      </c>
      <c r="AP58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1">
      <c r="A581" t="inlineStr">
        <is>
          <t>Konda</t>
        </is>
      </c>
      <c r="B581" t="inlineStr">
        <is>
          <t>Sai Keerthi</t>
        </is>
      </c>
      <c r="C581" t="n">
        <v>1033242</v>
      </c>
      <c r="D581" t="inlineStr">
        <is>
          <t>saikeerthi.Konda@infinite.com</t>
        </is>
      </c>
      <c r="E581" s="26" t="n">
        <v>37364</v>
      </c>
      <c r="F581" s="26" t="n">
        <v>45155</v>
      </c>
      <c r="H581" t="inlineStr">
        <is>
          <t>Female</t>
        </is>
      </c>
      <c r="I581" t="inlineStr">
        <is>
          <t>Asian</t>
        </is>
      </c>
      <c r="J581" t="inlineStr">
        <is>
          <t>WEBSITE</t>
        </is>
      </c>
      <c r="K581" t="inlineStr">
        <is>
          <t>Hyderabad</t>
        </is>
      </c>
      <c r="L581" s="27" t="inlineStr">
        <is>
          <t>IT</t>
        </is>
      </c>
      <c r="M581" t="inlineStr">
        <is>
          <t>Full-Time</t>
        </is>
      </c>
      <c r="N581" t="inlineStr">
        <is>
          <t>Associate Software Engineer</t>
        </is>
      </c>
      <c r="O581" t="inlineStr">
        <is>
          <t>E1</t>
        </is>
      </c>
      <c r="P581" t="inlineStr">
        <is>
          <t>Associate Software Engineer</t>
        </is>
      </c>
      <c r="Q581" t="inlineStr">
        <is>
          <t>Shaik Jabeer Basha (1027017)</t>
        </is>
      </c>
      <c r="R581" t="n">
        <v>0</v>
      </c>
      <c r="S581" s="1" t="n">
        <v>1200000</v>
      </c>
      <c r="T581" s="1">
        <f>ROUND(T_EMPLOYEES[[#This Row],[EMP_CTC1]]/12, 0)</f>
        <v/>
      </c>
      <c r="U581" s="1" t="n">
        <v>1000000</v>
      </c>
      <c r="V581" s="1" t="inlineStr">
        <is>
          <t>NH</t>
        </is>
      </c>
      <c r="W581" s="1" t="inlineStr">
        <is>
          <t>NH</t>
        </is>
      </c>
      <c r="X58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1" t="n">
        <v>120000</v>
      </c>
      <c r="Z581" s="29">
        <f>(S581 - U581)/S581 * 100</f>
        <v/>
      </c>
      <c r="AA581">
        <f>IF(T_EMPLOYEES[[#This Row],[EMPLOYEE NUMBER]]="","",ROW(T_EMPLOYEES[[#This Row],[EMPLOYEE LABEL]])-ROW(T_EMPLOYEES[[#Headers],[EMPLOYEE LABEL]]))</f>
        <v/>
      </c>
      <c r="AB581">
        <f>IF(T_EMPLOYEES[[#This Row],[EMPLOYEE NUMBER]]="","",IF(COUNTIF(T_EMPLOYEES[EMPLOYEE NUMBER],T_EMPLOYEES[[#This Row],[EMPLOYEE NUMBER]])&gt;1,1,0))</f>
        <v/>
      </c>
      <c r="AC581">
        <f>IF(T_EMPLOYEES[[#This Row],[EMPLOYEE NUMBER]]="","",IF(AND(T_EMPLOYEES[[#This Row],[DATE OF BIRTH]]&gt;0,T_EMPLOYEES[[#This Row],[DATE OF BIRTH]]&lt;TODAY()),0,1))</f>
        <v/>
      </c>
      <c r="AD581">
        <f>IF(T_EMPLOYEES[[#This Row],[EMPLOYEE NUMBER]]="","",IF(AND(T_EMPLOYEES[[#This Row],[START DATE]]&gt;0,T_EMPLOYEES[[#This Row],[START DATE]]&lt;TODAY()+60),0,1))</f>
        <v/>
      </c>
      <c r="AE581">
        <f>IF(T_EMPLOYEES[[#This Row],[EMPLOYEE NUMBER]]="","",MATCH(T_EMPLOYEES[[#This Row],[GENDER]],L_GENDER,0))</f>
        <v/>
      </c>
      <c r="AF581">
        <f>IF(T_EMPLOYEES[[#This Row],[EMPLOYEE NUMBER]]="","",MATCH(T_EMPLOYEES[[#This Row],[HIRE SOURCE]],L_HIRESOURCE,0))</f>
        <v/>
      </c>
      <c r="AG581">
        <f>IF(T_EMPLOYEES[[#This Row],[EMPLOYEE NUMBER]]="","",MATCH(T_EMPLOYEES[[#This Row],[ETHNICITY]],L_ETHNICITY,0))</f>
        <v/>
      </c>
      <c r="AH581">
        <f>IF(T_EMPLOYEES[[#This Row],[EMPLOYEE NUMBER]]="","",MATCH(T_EMPLOYEES[[#This Row],[LOCATION]],L_LOCATION,0))</f>
        <v/>
      </c>
      <c r="AI581">
        <f>IF(T_EMPLOYEES[[#This Row],[EMPLOYEE NUMBER]]="","",MATCH(T_EMPLOYEES[[#This Row],[DEPARTMENT]],L_DEPARTMENT,0))</f>
        <v/>
      </c>
      <c r="AJ581">
        <f>IF(T_EMPLOYEES[[#This Row],[EMPLOYEE NUMBER]]="","",MATCH(T_EMPLOYEES[[#This Row],[JOB TYPE]],L_JOBTYPE,0))</f>
        <v/>
      </c>
      <c r="AK581">
        <f>IF(T_EMPLOYEES[[#This Row],[EMPLOYEE NUMBER]]="","",MATCH(T_EMPLOYEES[[#This Row],[JOB CATEGORY]],L_JOBCATEGORY,0))</f>
        <v/>
      </c>
      <c r="AL581">
        <f>IF(T_EMPLOYEES[[#This Row],[EMPLOYEE NUMBER]]="","",MATCH(T_EMPLOYEES[[#This Row],[JOB LEVEL]],L_JOBLEVEL,0))</f>
        <v/>
      </c>
      <c r="AM581">
        <f>IF(T_EMPLOYEES[[#This Row],[EMPLOYEE NUMBER]]="","",MATCH(T_EMPLOYEES[[#This Row],[JOB TITLE]],L_JOBTITLE,0))</f>
        <v/>
      </c>
      <c r="AN581">
        <f>IF(T_EMPLOYEES[[#This Row],[EMPLOYEE NUMBER]]="","",MATCH(T_EMPLOYEES[[#This Row],[MANAGER]],L_EMPLABELS,0))</f>
        <v/>
      </c>
      <c r="AO581">
        <f>IF(T_EMPLOYEES[[#This Row],[EMPLOYEE NUMBER]]="","",IF(T_EMPLOYEES[[#This Row],[ERROR]]="",0,1))</f>
        <v/>
      </c>
      <c r="AP58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81" t="inlineStr">
        <is>
          <t>Security</t>
        </is>
      </c>
    </row>
    <row r="582">
      <c r="A582" t="inlineStr">
        <is>
          <t>Yennam</t>
        </is>
      </c>
      <c r="B582" t="inlineStr">
        <is>
          <t>Sowmya</t>
        </is>
      </c>
      <c r="C582" t="n">
        <v>1033253</v>
      </c>
      <c r="D582" t="inlineStr">
        <is>
          <t>Sowmya.Yennam@infinite.com</t>
        </is>
      </c>
      <c r="E582" s="26" t="n">
        <v>37376</v>
      </c>
      <c r="F582" s="26" t="n">
        <v>45155</v>
      </c>
      <c r="H582" t="inlineStr">
        <is>
          <t>Female</t>
        </is>
      </c>
      <c r="I582" t="inlineStr">
        <is>
          <t>Asian</t>
        </is>
      </c>
      <c r="J582" t="inlineStr">
        <is>
          <t>WEBSITE</t>
        </is>
      </c>
      <c r="K582" t="inlineStr">
        <is>
          <t>Bangalore</t>
        </is>
      </c>
      <c r="L582" s="27" t="inlineStr">
        <is>
          <t>IT</t>
        </is>
      </c>
      <c r="M582" t="inlineStr">
        <is>
          <t>Full-Time</t>
        </is>
      </c>
      <c r="N582" t="inlineStr">
        <is>
          <t>Associate Software Engineer</t>
        </is>
      </c>
      <c r="O582" t="inlineStr">
        <is>
          <t>E1</t>
        </is>
      </c>
      <c r="P582" t="inlineStr">
        <is>
          <t>Associate Software Engineer</t>
        </is>
      </c>
      <c r="Q582" t="inlineStr">
        <is>
          <t>Anupam Lal (1033431)</t>
        </is>
      </c>
      <c r="R582" s="27" t="n">
        <v>0</v>
      </c>
      <c r="S582" s="1" t="n">
        <v>1200000</v>
      </c>
      <c r="T582" s="1">
        <f>ROUND(T_EMPLOYEES[[#This Row],[EMP_CTC1]]/12, 0)</f>
        <v/>
      </c>
      <c r="U582" s="1" t="n">
        <v>1000000</v>
      </c>
      <c r="V582" s="1" t="inlineStr">
        <is>
          <t>NH</t>
        </is>
      </c>
      <c r="W582" s="1" t="inlineStr">
        <is>
          <t>NH</t>
        </is>
      </c>
      <c r="X58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2" t="n">
        <v>120000</v>
      </c>
      <c r="Z582" s="29">
        <f>(S582 - U582)/S582 * 100</f>
        <v/>
      </c>
      <c r="AA582">
        <f>IF(T_EMPLOYEES[[#This Row],[EMPLOYEE NUMBER]]="","",ROW(T_EMPLOYEES[[#This Row],[EMPLOYEE LABEL]])-ROW(T_EMPLOYEES[[#Headers],[EMPLOYEE LABEL]]))</f>
        <v/>
      </c>
      <c r="AB582">
        <f>IF(T_EMPLOYEES[[#This Row],[EMPLOYEE NUMBER]]="","",IF(COUNTIF(T_EMPLOYEES[EMPLOYEE NUMBER],T_EMPLOYEES[[#This Row],[EMPLOYEE NUMBER]])&gt;1,1,0))</f>
        <v/>
      </c>
      <c r="AC582">
        <f>IF(T_EMPLOYEES[[#This Row],[EMPLOYEE NUMBER]]="","",IF(AND(T_EMPLOYEES[[#This Row],[DATE OF BIRTH]]&gt;0,T_EMPLOYEES[[#This Row],[DATE OF BIRTH]]&lt;TODAY()),0,1))</f>
        <v/>
      </c>
      <c r="AD582">
        <f>IF(T_EMPLOYEES[[#This Row],[EMPLOYEE NUMBER]]="","",IF(AND(T_EMPLOYEES[[#This Row],[START DATE]]&gt;0,T_EMPLOYEES[[#This Row],[START DATE]]&lt;TODAY()+60),0,1))</f>
        <v/>
      </c>
      <c r="AE582">
        <f>IF(T_EMPLOYEES[[#This Row],[EMPLOYEE NUMBER]]="","",MATCH(T_EMPLOYEES[[#This Row],[GENDER]],L_GENDER,0))</f>
        <v/>
      </c>
      <c r="AF582">
        <f>IF(T_EMPLOYEES[[#This Row],[EMPLOYEE NUMBER]]="","",MATCH(T_EMPLOYEES[[#This Row],[HIRE SOURCE]],L_HIRESOURCE,0))</f>
        <v/>
      </c>
      <c r="AG582">
        <f>IF(T_EMPLOYEES[[#This Row],[EMPLOYEE NUMBER]]="","",MATCH(T_EMPLOYEES[[#This Row],[ETHNICITY]],L_ETHNICITY,0))</f>
        <v/>
      </c>
      <c r="AH582">
        <f>IF(T_EMPLOYEES[[#This Row],[EMPLOYEE NUMBER]]="","",MATCH(T_EMPLOYEES[[#This Row],[LOCATION]],L_LOCATION,0))</f>
        <v/>
      </c>
      <c r="AI582">
        <f>IF(T_EMPLOYEES[[#This Row],[EMPLOYEE NUMBER]]="","",MATCH(T_EMPLOYEES[[#This Row],[DEPARTMENT]],L_DEPARTMENT,0))</f>
        <v/>
      </c>
      <c r="AJ582">
        <f>IF(T_EMPLOYEES[[#This Row],[EMPLOYEE NUMBER]]="","",MATCH(T_EMPLOYEES[[#This Row],[JOB TYPE]],L_JOBTYPE,0))</f>
        <v/>
      </c>
      <c r="AK582">
        <f>IF(T_EMPLOYEES[[#This Row],[EMPLOYEE NUMBER]]="","",MATCH(T_EMPLOYEES[[#This Row],[JOB CATEGORY]],L_JOBCATEGORY,0))</f>
        <v/>
      </c>
      <c r="AL582">
        <f>IF(T_EMPLOYEES[[#This Row],[EMPLOYEE NUMBER]]="","",MATCH(T_EMPLOYEES[[#This Row],[JOB LEVEL]],L_JOBLEVEL,0))</f>
        <v/>
      </c>
      <c r="AM582">
        <f>IF(T_EMPLOYEES[[#This Row],[EMPLOYEE NUMBER]]="","",MATCH(T_EMPLOYEES[[#This Row],[JOB TITLE]],L_JOBTITLE,0))</f>
        <v/>
      </c>
      <c r="AN582">
        <f>IF(T_EMPLOYEES[[#This Row],[EMPLOYEE NUMBER]]="","",MATCH(T_EMPLOYEES[[#This Row],[MANAGER]],L_EMPLABELS,0))</f>
        <v/>
      </c>
      <c r="AO582">
        <f>IF(T_EMPLOYEES[[#This Row],[EMPLOYEE NUMBER]]="","",IF(T_EMPLOYEES[[#This Row],[ERROR]]="",0,1))</f>
        <v/>
      </c>
      <c r="AP58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3">
      <c r="A583" t="inlineStr">
        <is>
          <t>Ramasani</t>
        </is>
      </c>
      <c r="B583" t="inlineStr">
        <is>
          <t>Dheeraj Reddy</t>
        </is>
      </c>
      <c r="C583" t="n">
        <v>1033265</v>
      </c>
      <c r="D583" t="inlineStr">
        <is>
          <t>Dheeraj.Ramasani@infinite.com</t>
        </is>
      </c>
      <c r="E583" s="26" t="n">
        <v>37388</v>
      </c>
      <c r="F583" s="26" t="n">
        <v>45155</v>
      </c>
      <c r="H583" t="inlineStr">
        <is>
          <t>Male</t>
        </is>
      </c>
      <c r="I583" t="inlineStr">
        <is>
          <t>Asian</t>
        </is>
      </c>
      <c r="J583" t="inlineStr">
        <is>
          <t>WEBSITE</t>
        </is>
      </c>
      <c r="K583" t="inlineStr">
        <is>
          <t>Bangalore</t>
        </is>
      </c>
      <c r="L583" s="27" t="inlineStr">
        <is>
          <t>IT</t>
        </is>
      </c>
      <c r="M583" t="inlineStr">
        <is>
          <t>Full-Time</t>
        </is>
      </c>
      <c r="N583" t="inlineStr">
        <is>
          <t>Associate Software Engineer</t>
        </is>
      </c>
      <c r="O583" t="inlineStr">
        <is>
          <t>E1</t>
        </is>
      </c>
      <c r="P583" t="inlineStr">
        <is>
          <t>Associate Software Engineer</t>
        </is>
      </c>
      <c r="Q583" t="inlineStr">
        <is>
          <t>Anupam Lal (1033431)</t>
        </is>
      </c>
      <c r="R583" t="n">
        <v>0</v>
      </c>
      <c r="S583" s="1" t="n">
        <v>1200000</v>
      </c>
      <c r="T583" s="1">
        <f>ROUND(T_EMPLOYEES[[#This Row],[EMP_CTC1]]/12, 0)</f>
        <v/>
      </c>
      <c r="U583" s="1" t="n">
        <v>1000000</v>
      </c>
      <c r="V583" s="1" t="inlineStr">
        <is>
          <t>NH</t>
        </is>
      </c>
      <c r="W583" s="1" t="inlineStr">
        <is>
          <t>NH</t>
        </is>
      </c>
      <c r="X58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3" t="n">
        <v>120000</v>
      </c>
      <c r="Z583" s="29">
        <f>(S583 - U583)/S583 * 100</f>
        <v/>
      </c>
      <c r="AA583">
        <f>IF(T_EMPLOYEES[[#This Row],[EMPLOYEE NUMBER]]="","",ROW(T_EMPLOYEES[[#This Row],[EMPLOYEE LABEL]])-ROW(T_EMPLOYEES[[#Headers],[EMPLOYEE LABEL]]))</f>
        <v/>
      </c>
      <c r="AB583">
        <f>IF(T_EMPLOYEES[[#This Row],[EMPLOYEE NUMBER]]="","",IF(COUNTIF(T_EMPLOYEES[EMPLOYEE NUMBER],T_EMPLOYEES[[#This Row],[EMPLOYEE NUMBER]])&gt;1,1,0))</f>
        <v/>
      </c>
      <c r="AC583">
        <f>IF(T_EMPLOYEES[[#This Row],[EMPLOYEE NUMBER]]="","",IF(AND(T_EMPLOYEES[[#This Row],[DATE OF BIRTH]]&gt;0,T_EMPLOYEES[[#This Row],[DATE OF BIRTH]]&lt;TODAY()),0,1))</f>
        <v/>
      </c>
      <c r="AD583">
        <f>IF(T_EMPLOYEES[[#This Row],[EMPLOYEE NUMBER]]="","",IF(AND(T_EMPLOYEES[[#This Row],[START DATE]]&gt;0,T_EMPLOYEES[[#This Row],[START DATE]]&lt;TODAY()+60),0,1))</f>
        <v/>
      </c>
      <c r="AE583">
        <f>IF(T_EMPLOYEES[[#This Row],[EMPLOYEE NUMBER]]="","",MATCH(T_EMPLOYEES[[#This Row],[GENDER]],L_GENDER,0))</f>
        <v/>
      </c>
      <c r="AF583">
        <f>IF(T_EMPLOYEES[[#This Row],[EMPLOYEE NUMBER]]="","",MATCH(T_EMPLOYEES[[#This Row],[HIRE SOURCE]],L_HIRESOURCE,0))</f>
        <v/>
      </c>
      <c r="AG583">
        <f>IF(T_EMPLOYEES[[#This Row],[EMPLOYEE NUMBER]]="","",MATCH(T_EMPLOYEES[[#This Row],[ETHNICITY]],L_ETHNICITY,0))</f>
        <v/>
      </c>
      <c r="AH583">
        <f>IF(T_EMPLOYEES[[#This Row],[EMPLOYEE NUMBER]]="","",MATCH(T_EMPLOYEES[[#This Row],[LOCATION]],L_LOCATION,0))</f>
        <v/>
      </c>
      <c r="AI583">
        <f>IF(T_EMPLOYEES[[#This Row],[EMPLOYEE NUMBER]]="","",MATCH(T_EMPLOYEES[[#This Row],[DEPARTMENT]],L_DEPARTMENT,0))</f>
        <v/>
      </c>
      <c r="AJ583">
        <f>IF(T_EMPLOYEES[[#This Row],[EMPLOYEE NUMBER]]="","",MATCH(T_EMPLOYEES[[#This Row],[JOB TYPE]],L_JOBTYPE,0))</f>
        <v/>
      </c>
      <c r="AK583">
        <f>IF(T_EMPLOYEES[[#This Row],[EMPLOYEE NUMBER]]="","",MATCH(T_EMPLOYEES[[#This Row],[JOB CATEGORY]],L_JOBCATEGORY,0))</f>
        <v/>
      </c>
      <c r="AL583">
        <f>IF(T_EMPLOYEES[[#This Row],[EMPLOYEE NUMBER]]="","",MATCH(T_EMPLOYEES[[#This Row],[JOB LEVEL]],L_JOBLEVEL,0))</f>
        <v/>
      </c>
      <c r="AM583">
        <f>IF(T_EMPLOYEES[[#This Row],[EMPLOYEE NUMBER]]="","",MATCH(T_EMPLOYEES[[#This Row],[JOB TITLE]],L_JOBTITLE,0))</f>
        <v/>
      </c>
      <c r="AN583">
        <f>IF(T_EMPLOYEES[[#This Row],[EMPLOYEE NUMBER]]="","",MATCH(T_EMPLOYEES[[#This Row],[MANAGER]],L_EMPLABELS,0))</f>
        <v/>
      </c>
      <c r="AO583">
        <f>IF(T_EMPLOYEES[[#This Row],[EMPLOYEE NUMBER]]="","",IF(T_EMPLOYEES[[#This Row],[ERROR]]="",0,1))</f>
        <v/>
      </c>
      <c r="AP58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4">
      <c r="A584" t="inlineStr">
        <is>
          <t>Thammi</t>
        </is>
      </c>
      <c r="B584" t="inlineStr">
        <is>
          <t>Soumya</t>
        </is>
      </c>
      <c r="C584" t="n">
        <v>1033262</v>
      </c>
      <c r="D584" t="inlineStr">
        <is>
          <t>Soumya.Thammi@infinite.com</t>
        </is>
      </c>
      <c r="E584" s="26" t="n">
        <v>37389</v>
      </c>
      <c r="F584" s="26" t="n">
        <v>45155</v>
      </c>
      <c r="H584" t="inlineStr">
        <is>
          <t>Female</t>
        </is>
      </c>
      <c r="I584" t="inlineStr">
        <is>
          <t>Asian</t>
        </is>
      </c>
      <c r="J584" t="inlineStr">
        <is>
          <t>WEBSITE</t>
        </is>
      </c>
      <c r="K584" t="inlineStr">
        <is>
          <t>Hyderabad</t>
        </is>
      </c>
      <c r="L584" s="27" t="inlineStr">
        <is>
          <t>IT</t>
        </is>
      </c>
      <c r="M584" t="inlineStr">
        <is>
          <t>Full-Time</t>
        </is>
      </c>
      <c r="N584" t="inlineStr">
        <is>
          <t>Associate Software Engineer</t>
        </is>
      </c>
      <c r="O584" t="inlineStr">
        <is>
          <t>E1</t>
        </is>
      </c>
      <c r="P584" t="inlineStr">
        <is>
          <t>Associate Software Engineer</t>
        </is>
      </c>
      <c r="Q584" t="inlineStr">
        <is>
          <t>Arnav  Chattopadhyay (1025126)</t>
        </is>
      </c>
      <c r="R584" s="27" t="n">
        <v>0</v>
      </c>
      <c r="S584" s="1" t="n">
        <v>1200000</v>
      </c>
      <c r="T584" s="1">
        <f>ROUND(T_EMPLOYEES[[#This Row],[EMP_CTC1]]/12, 0)</f>
        <v/>
      </c>
      <c r="U584" s="1" t="n">
        <v>1000000</v>
      </c>
      <c r="V584" s="1" t="inlineStr">
        <is>
          <t>NH</t>
        </is>
      </c>
      <c r="W584" s="1" t="inlineStr">
        <is>
          <t>NH</t>
        </is>
      </c>
      <c r="X584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4" t="n">
        <v>120000</v>
      </c>
      <c r="Z584" s="29">
        <f>(S584 - U584)/S584 * 100</f>
        <v/>
      </c>
      <c r="AA584">
        <f>IF(T_EMPLOYEES[[#This Row],[EMPLOYEE NUMBER]]="","",ROW(T_EMPLOYEES[[#This Row],[EMPLOYEE LABEL]])-ROW(T_EMPLOYEES[[#Headers],[EMPLOYEE LABEL]]))</f>
        <v/>
      </c>
      <c r="AB584">
        <f>IF(T_EMPLOYEES[[#This Row],[EMPLOYEE NUMBER]]="","",IF(COUNTIF(T_EMPLOYEES[EMPLOYEE NUMBER],T_EMPLOYEES[[#This Row],[EMPLOYEE NUMBER]])&gt;1,1,0))</f>
        <v/>
      </c>
      <c r="AC584">
        <f>IF(T_EMPLOYEES[[#This Row],[EMPLOYEE NUMBER]]="","",IF(AND(T_EMPLOYEES[[#This Row],[DATE OF BIRTH]]&gt;0,T_EMPLOYEES[[#This Row],[DATE OF BIRTH]]&lt;TODAY()),0,1))</f>
        <v/>
      </c>
      <c r="AD584">
        <f>IF(T_EMPLOYEES[[#This Row],[EMPLOYEE NUMBER]]="","",IF(AND(T_EMPLOYEES[[#This Row],[START DATE]]&gt;0,T_EMPLOYEES[[#This Row],[START DATE]]&lt;TODAY()+60),0,1))</f>
        <v/>
      </c>
      <c r="AE584">
        <f>IF(T_EMPLOYEES[[#This Row],[EMPLOYEE NUMBER]]="","",MATCH(T_EMPLOYEES[[#This Row],[GENDER]],L_GENDER,0))</f>
        <v/>
      </c>
      <c r="AF584">
        <f>IF(T_EMPLOYEES[[#This Row],[EMPLOYEE NUMBER]]="","",MATCH(T_EMPLOYEES[[#This Row],[HIRE SOURCE]],L_HIRESOURCE,0))</f>
        <v/>
      </c>
      <c r="AG584">
        <f>IF(T_EMPLOYEES[[#This Row],[EMPLOYEE NUMBER]]="","",MATCH(T_EMPLOYEES[[#This Row],[ETHNICITY]],L_ETHNICITY,0))</f>
        <v/>
      </c>
      <c r="AH584">
        <f>IF(T_EMPLOYEES[[#This Row],[EMPLOYEE NUMBER]]="","",MATCH(T_EMPLOYEES[[#This Row],[LOCATION]],L_LOCATION,0))</f>
        <v/>
      </c>
      <c r="AI584">
        <f>IF(T_EMPLOYEES[[#This Row],[EMPLOYEE NUMBER]]="","",MATCH(T_EMPLOYEES[[#This Row],[DEPARTMENT]],L_DEPARTMENT,0))</f>
        <v/>
      </c>
      <c r="AJ584">
        <f>IF(T_EMPLOYEES[[#This Row],[EMPLOYEE NUMBER]]="","",MATCH(T_EMPLOYEES[[#This Row],[JOB TYPE]],L_JOBTYPE,0))</f>
        <v/>
      </c>
      <c r="AK584">
        <f>IF(T_EMPLOYEES[[#This Row],[EMPLOYEE NUMBER]]="","",MATCH(T_EMPLOYEES[[#This Row],[JOB CATEGORY]],L_JOBCATEGORY,0))</f>
        <v/>
      </c>
      <c r="AL584">
        <f>IF(T_EMPLOYEES[[#This Row],[EMPLOYEE NUMBER]]="","",MATCH(T_EMPLOYEES[[#This Row],[JOB LEVEL]],L_JOBLEVEL,0))</f>
        <v/>
      </c>
      <c r="AM584">
        <f>IF(T_EMPLOYEES[[#This Row],[EMPLOYEE NUMBER]]="","",MATCH(T_EMPLOYEES[[#This Row],[JOB TITLE]],L_JOBTITLE,0))</f>
        <v/>
      </c>
      <c r="AN584">
        <f>IF(T_EMPLOYEES[[#This Row],[EMPLOYEE NUMBER]]="","",MATCH(T_EMPLOYEES[[#This Row],[MANAGER]],L_EMPLABELS,0))</f>
        <v/>
      </c>
      <c r="AO584">
        <f>IF(T_EMPLOYEES[[#This Row],[EMPLOYEE NUMBER]]="","",IF(T_EMPLOYEES[[#This Row],[ERROR]]="",0,1))</f>
        <v/>
      </c>
      <c r="AP584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5">
      <c r="A585" t="inlineStr">
        <is>
          <t>Sriram</t>
        </is>
      </c>
      <c r="B585" t="inlineStr">
        <is>
          <t>Krishnakumar</t>
        </is>
      </c>
      <c r="C585" t="n">
        <v>1033227</v>
      </c>
      <c r="D585" t="inlineStr">
        <is>
          <t>Sriram.Krishnakumar@infinite.com</t>
        </is>
      </c>
      <c r="E585" s="26" t="n">
        <v>37392</v>
      </c>
      <c r="F585" s="26" t="n">
        <v>45155</v>
      </c>
      <c r="H585" t="inlineStr">
        <is>
          <t>Male</t>
        </is>
      </c>
      <c r="I585" t="inlineStr">
        <is>
          <t>Asian</t>
        </is>
      </c>
      <c r="J585" t="inlineStr">
        <is>
          <t>WEBSITE</t>
        </is>
      </c>
      <c r="K585" t="inlineStr">
        <is>
          <t>Bangalore</t>
        </is>
      </c>
      <c r="L585" s="27" t="inlineStr">
        <is>
          <t>Cognos</t>
        </is>
      </c>
      <c r="M585" t="inlineStr">
        <is>
          <t>Full-Time</t>
        </is>
      </c>
      <c r="N585" t="inlineStr">
        <is>
          <t>Associate Software Engineer</t>
        </is>
      </c>
      <c r="O585" t="inlineStr">
        <is>
          <t>E1</t>
        </is>
      </c>
      <c r="P585" t="inlineStr">
        <is>
          <t>Associate Software Engineer</t>
        </is>
      </c>
      <c r="Q585" t="inlineStr">
        <is>
          <t>Peernayakgari Irfan Basha (1017291)</t>
        </is>
      </c>
      <c r="R585" t="n">
        <v>0</v>
      </c>
      <c r="S585" s="1" t="n">
        <v>1200000</v>
      </c>
      <c r="T585" s="1">
        <f>ROUND(T_EMPLOYEES[[#This Row],[EMP_CTC1]]/12, 0)</f>
        <v/>
      </c>
      <c r="U585" s="1" t="n">
        <v>1000000</v>
      </c>
      <c r="V585" s="1" t="inlineStr">
        <is>
          <t>NH</t>
        </is>
      </c>
      <c r="W585" s="1" t="inlineStr">
        <is>
          <t>NH</t>
        </is>
      </c>
      <c r="X585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5" t="n">
        <v>120000</v>
      </c>
      <c r="Z585" s="29">
        <f>(S585 - U585)/S585 * 100</f>
        <v/>
      </c>
      <c r="AA585">
        <f>IF(T_EMPLOYEES[[#This Row],[EMPLOYEE NUMBER]]="","",ROW(T_EMPLOYEES[[#This Row],[EMPLOYEE LABEL]])-ROW(T_EMPLOYEES[[#Headers],[EMPLOYEE LABEL]]))</f>
        <v/>
      </c>
      <c r="AB585">
        <f>IF(T_EMPLOYEES[[#This Row],[EMPLOYEE NUMBER]]="","",IF(COUNTIF(T_EMPLOYEES[EMPLOYEE NUMBER],T_EMPLOYEES[[#This Row],[EMPLOYEE NUMBER]])&gt;1,1,0))</f>
        <v/>
      </c>
      <c r="AC585">
        <f>IF(T_EMPLOYEES[[#This Row],[EMPLOYEE NUMBER]]="","",IF(AND(T_EMPLOYEES[[#This Row],[DATE OF BIRTH]]&gt;0,T_EMPLOYEES[[#This Row],[DATE OF BIRTH]]&lt;TODAY()),0,1))</f>
        <v/>
      </c>
      <c r="AD585">
        <f>IF(T_EMPLOYEES[[#This Row],[EMPLOYEE NUMBER]]="","",IF(AND(T_EMPLOYEES[[#This Row],[START DATE]]&gt;0,T_EMPLOYEES[[#This Row],[START DATE]]&lt;TODAY()+60),0,1))</f>
        <v/>
      </c>
      <c r="AE585">
        <f>IF(T_EMPLOYEES[[#This Row],[EMPLOYEE NUMBER]]="","",MATCH(T_EMPLOYEES[[#This Row],[GENDER]],L_GENDER,0))</f>
        <v/>
      </c>
      <c r="AF585">
        <f>IF(T_EMPLOYEES[[#This Row],[EMPLOYEE NUMBER]]="","",MATCH(T_EMPLOYEES[[#This Row],[HIRE SOURCE]],L_HIRESOURCE,0))</f>
        <v/>
      </c>
      <c r="AG585">
        <f>IF(T_EMPLOYEES[[#This Row],[EMPLOYEE NUMBER]]="","",MATCH(T_EMPLOYEES[[#This Row],[ETHNICITY]],L_ETHNICITY,0))</f>
        <v/>
      </c>
      <c r="AH585">
        <f>IF(T_EMPLOYEES[[#This Row],[EMPLOYEE NUMBER]]="","",MATCH(T_EMPLOYEES[[#This Row],[LOCATION]],L_LOCATION,0))</f>
        <v/>
      </c>
      <c r="AI585">
        <f>IF(T_EMPLOYEES[[#This Row],[EMPLOYEE NUMBER]]="","",MATCH(T_EMPLOYEES[[#This Row],[DEPARTMENT]],L_DEPARTMENT,0))</f>
        <v/>
      </c>
      <c r="AJ585">
        <f>IF(T_EMPLOYEES[[#This Row],[EMPLOYEE NUMBER]]="","",MATCH(T_EMPLOYEES[[#This Row],[JOB TYPE]],L_JOBTYPE,0))</f>
        <v/>
      </c>
      <c r="AK585">
        <f>IF(T_EMPLOYEES[[#This Row],[EMPLOYEE NUMBER]]="","",MATCH(T_EMPLOYEES[[#This Row],[JOB CATEGORY]],L_JOBCATEGORY,0))</f>
        <v/>
      </c>
      <c r="AL585">
        <f>IF(T_EMPLOYEES[[#This Row],[EMPLOYEE NUMBER]]="","",MATCH(T_EMPLOYEES[[#This Row],[JOB LEVEL]],L_JOBLEVEL,0))</f>
        <v/>
      </c>
      <c r="AM585">
        <f>IF(T_EMPLOYEES[[#This Row],[EMPLOYEE NUMBER]]="","",MATCH(T_EMPLOYEES[[#This Row],[JOB TITLE]],L_JOBTITLE,0))</f>
        <v/>
      </c>
      <c r="AN585">
        <f>IF(T_EMPLOYEES[[#This Row],[EMPLOYEE NUMBER]]="","",MATCH(T_EMPLOYEES[[#This Row],[MANAGER]],L_EMPLABELS,0))</f>
        <v/>
      </c>
      <c r="AO585">
        <f>IF(T_EMPLOYEES[[#This Row],[EMPLOYEE NUMBER]]="","",IF(T_EMPLOYEES[[#This Row],[ERROR]]="",0,1))</f>
        <v/>
      </c>
      <c r="AP585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6">
      <c r="A586" t="inlineStr">
        <is>
          <t>Chittaboina</t>
        </is>
      </c>
      <c r="B586" t="inlineStr">
        <is>
          <t>Uday Sai Yadav</t>
        </is>
      </c>
      <c r="C586" t="n">
        <v>1033241</v>
      </c>
      <c r="D586" t="inlineStr">
        <is>
          <t>Udaysai.Yadav@infinite.com</t>
        </is>
      </c>
      <c r="E586" s="26" t="n">
        <v>37416</v>
      </c>
      <c r="F586" s="26" t="n">
        <v>45155</v>
      </c>
      <c r="H586" t="inlineStr">
        <is>
          <t>Male</t>
        </is>
      </c>
      <c r="I586" t="inlineStr">
        <is>
          <t>Asian</t>
        </is>
      </c>
      <c r="J586" t="inlineStr">
        <is>
          <t>WEBSITE</t>
        </is>
      </c>
      <c r="K586" t="inlineStr">
        <is>
          <t>Hyderabad</t>
        </is>
      </c>
      <c r="L586" s="27" t="inlineStr">
        <is>
          <t>IT</t>
        </is>
      </c>
      <c r="M586" t="inlineStr">
        <is>
          <t>Full-Time</t>
        </is>
      </c>
      <c r="N586" t="inlineStr">
        <is>
          <t>Associate Software Engineer</t>
        </is>
      </c>
      <c r="O586" t="inlineStr">
        <is>
          <t>E1</t>
        </is>
      </c>
      <c r="P586" t="inlineStr">
        <is>
          <t>Associate Software Engineer</t>
        </is>
      </c>
      <c r="Q586" t="inlineStr">
        <is>
          <t>Anupam Lal (1033431)</t>
        </is>
      </c>
      <c r="R586" s="27" t="n">
        <v>0</v>
      </c>
      <c r="S586" s="1" t="n">
        <v>1200000</v>
      </c>
      <c r="T586" s="1">
        <f>ROUND(T_EMPLOYEES[[#This Row],[EMP_CTC1]]/12, 0)</f>
        <v/>
      </c>
      <c r="U586" s="1" t="n">
        <v>1000000</v>
      </c>
      <c r="V586" s="1" t="inlineStr">
        <is>
          <t>NH</t>
        </is>
      </c>
      <c r="W586" s="1" t="inlineStr">
        <is>
          <t>NH</t>
        </is>
      </c>
      <c r="X586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6" t="n">
        <v>120000</v>
      </c>
      <c r="Z586" s="29">
        <f>(S586 - U586)/S586 * 100</f>
        <v/>
      </c>
      <c r="AA586">
        <f>IF(T_EMPLOYEES[[#This Row],[EMPLOYEE NUMBER]]="","",ROW(T_EMPLOYEES[[#This Row],[EMPLOYEE LABEL]])-ROW(T_EMPLOYEES[[#Headers],[EMPLOYEE LABEL]]))</f>
        <v/>
      </c>
      <c r="AB586">
        <f>IF(T_EMPLOYEES[[#This Row],[EMPLOYEE NUMBER]]="","",IF(COUNTIF(T_EMPLOYEES[EMPLOYEE NUMBER],T_EMPLOYEES[[#This Row],[EMPLOYEE NUMBER]])&gt;1,1,0))</f>
        <v/>
      </c>
      <c r="AC586">
        <f>IF(T_EMPLOYEES[[#This Row],[EMPLOYEE NUMBER]]="","",IF(AND(T_EMPLOYEES[[#This Row],[DATE OF BIRTH]]&gt;0,T_EMPLOYEES[[#This Row],[DATE OF BIRTH]]&lt;TODAY()),0,1))</f>
        <v/>
      </c>
      <c r="AD586">
        <f>IF(T_EMPLOYEES[[#This Row],[EMPLOYEE NUMBER]]="","",IF(AND(T_EMPLOYEES[[#This Row],[START DATE]]&gt;0,T_EMPLOYEES[[#This Row],[START DATE]]&lt;TODAY()+60),0,1))</f>
        <v/>
      </c>
      <c r="AE586">
        <f>IF(T_EMPLOYEES[[#This Row],[EMPLOYEE NUMBER]]="","",MATCH(T_EMPLOYEES[[#This Row],[GENDER]],L_GENDER,0))</f>
        <v/>
      </c>
      <c r="AF586">
        <f>IF(T_EMPLOYEES[[#This Row],[EMPLOYEE NUMBER]]="","",MATCH(T_EMPLOYEES[[#This Row],[HIRE SOURCE]],L_HIRESOURCE,0))</f>
        <v/>
      </c>
      <c r="AG586">
        <f>IF(T_EMPLOYEES[[#This Row],[EMPLOYEE NUMBER]]="","",MATCH(T_EMPLOYEES[[#This Row],[ETHNICITY]],L_ETHNICITY,0))</f>
        <v/>
      </c>
      <c r="AH586">
        <f>IF(T_EMPLOYEES[[#This Row],[EMPLOYEE NUMBER]]="","",MATCH(T_EMPLOYEES[[#This Row],[LOCATION]],L_LOCATION,0))</f>
        <v/>
      </c>
      <c r="AI586">
        <f>IF(T_EMPLOYEES[[#This Row],[EMPLOYEE NUMBER]]="","",MATCH(T_EMPLOYEES[[#This Row],[DEPARTMENT]],L_DEPARTMENT,0))</f>
        <v/>
      </c>
      <c r="AJ586">
        <f>IF(T_EMPLOYEES[[#This Row],[EMPLOYEE NUMBER]]="","",MATCH(T_EMPLOYEES[[#This Row],[JOB TYPE]],L_JOBTYPE,0))</f>
        <v/>
      </c>
      <c r="AK586">
        <f>IF(T_EMPLOYEES[[#This Row],[EMPLOYEE NUMBER]]="","",MATCH(T_EMPLOYEES[[#This Row],[JOB CATEGORY]],L_JOBCATEGORY,0))</f>
        <v/>
      </c>
      <c r="AL586">
        <f>IF(T_EMPLOYEES[[#This Row],[EMPLOYEE NUMBER]]="","",MATCH(T_EMPLOYEES[[#This Row],[JOB LEVEL]],L_JOBLEVEL,0))</f>
        <v/>
      </c>
      <c r="AM586">
        <f>IF(T_EMPLOYEES[[#This Row],[EMPLOYEE NUMBER]]="","",MATCH(T_EMPLOYEES[[#This Row],[JOB TITLE]],L_JOBTITLE,0))</f>
        <v/>
      </c>
      <c r="AN586">
        <f>IF(T_EMPLOYEES[[#This Row],[EMPLOYEE NUMBER]]="","",MATCH(T_EMPLOYEES[[#This Row],[MANAGER]],L_EMPLABELS,0))</f>
        <v/>
      </c>
      <c r="AO586">
        <f>IF(T_EMPLOYEES[[#This Row],[EMPLOYEE NUMBER]]="","",IF(T_EMPLOYEES[[#This Row],[ERROR]]="",0,1))</f>
        <v/>
      </c>
      <c r="AP586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7">
      <c r="A587" t="inlineStr">
        <is>
          <t>Bhosle</t>
        </is>
      </c>
      <c r="B587" t="inlineStr">
        <is>
          <t>Rohith</t>
        </is>
      </c>
      <c r="C587" t="n">
        <v>1033246</v>
      </c>
      <c r="D587" t="inlineStr">
        <is>
          <t>Rohith.Bhosle@infinite.com</t>
        </is>
      </c>
      <c r="E587" s="26" t="n">
        <v>37438</v>
      </c>
      <c r="F587" s="26" t="n">
        <v>45155</v>
      </c>
      <c r="H587" t="inlineStr">
        <is>
          <t>Male</t>
        </is>
      </c>
      <c r="I587" t="inlineStr">
        <is>
          <t>Asian</t>
        </is>
      </c>
      <c r="J587" t="inlineStr">
        <is>
          <t>WEBSITE</t>
        </is>
      </c>
      <c r="K587" t="inlineStr">
        <is>
          <t>Bangalore</t>
        </is>
      </c>
      <c r="L587" s="27" t="inlineStr">
        <is>
          <t>IT</t>
        </is>
      </c>
      <c r="M587" t="inlineStr">
        <is>
          <t>Full-Time</t>
        </is>
      </c>
      <c r="N587" t="inlineStr">
        <is>
          <t>Associate Software Engineer</t>
        </is>
      </c>
      <c r="O587" t="inlineStr">
        <is>
          <t>E1</t>
        </is>
      </c>
      <c r="P587" t="inlineStr">
        <is>
          <t>Associate Software Engineer</t>
        </is>
      </c>
      <c r="Q587" t="inlineStr">
        <is>
          <t>Anupam Lal (1033431)</t>
        </is>
      </c>
      <c r="R587" t="n">
        <v>0</v>
      </c>
      <c r="S587" s="1" t="n">
        <v>1200000</v>
      </c>
      <c r="T587" s="1">
        <f>ROUND(T_EMPLOYEES[[#This Row],[EMP_CTC1]]/12, 0)</f>
        <v/>
      </c>
      <c r="U587" s="1" t="n">
        <v>1000000</v>
      </c>
      <c r="V587" s="1" t="inlineStr">
        <is>
          <t>NH</t>
        </is>
      </c>
      <c r="W587" s="1" t="inlineStr">
        <is>
          <t>NH</t>
        </is>
      </c>
      <c r="X587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7" t="n">
        <v>120000</v>
      </c>
      <c r="Z587" s="29">
        <f>(S587 - U587)/S587 * 100</f>
        <v/>
      </c>
      <c r="AA587">
        <f>IF(T_EMPLOYEES[[#This Row],[EMPLOYEE NUMBER]]="","",ROW(T_EMPLOYEES[[#This Row],[EMPLOYEE LABEL]])-ROW(T_EMPLOYEES[[#Headers],[EMPLOYEE LABEL]]))</f>
        <v/>
      </c>
      <c r="AB587">
        <f>IF(T_EMPLOYEES[[#This Row],[EMPLOYEE NUMBER]]="","",IF(COUNTIF(T_EMPLOYEES[EMPLOYEE NUMBER],T_EMPLOYEES[[#This Row],[EMPLOYEE NUMBER]])&gt;1,1,0))</f>
        <v/>
      </c>
      <c r="AC587">
        <f>IF(T_EMPLOYEES[[#This Row],[EMPLOYEE NUMBER]]="","",IF(AND(T_EMPLOYEES[[#This Row],[DATE OF BIRTH]]&gt;0,T_EMPLOYEES[[#This Row],[DATE OF BIRTH]]&lt;TODAY()),0,1))</f>
        <v/>
      </c>
      <c r="AD587">
        <f>IF(T_EMPLOYEES[[#This Row],[EMPLOYEE NUMBER]]="","",IF(AND(T_EMPLOYEES[[#This Row],[START DATE]]&gt;0,T_EMPLOYEES[[#This Row],[START DATE]]&lt;TODAY()+60),0,1))</f>
        <v/>
      </c>
      <c r="AE587">
        <f>IF(T_EMPLOYEES[[#This Row],[EMPLOYEE NUMBER]]="","",MATCH(T_EMPLOYEES[[#This Row],[GENDER]],L_GENDER,0))</f>
        <v/>
      </c>
      <c r="AF587">
        <f>IF(T_EMPLOYEES[[#This Row],[EMPLOYEE NUMBER]]="","",MATCH(T_EMPLOYEES[[#This Row],[HIRE SOURCE]],L_HIRESOURCE,0))</f>
        <v/>
      </c>
      <c r="AG587">
        <f>IF(T_EMPLOYEES[[#This Row],[EMPLOYEE NUMBER]]="","",MATCH(T_EMPLOYEES[[#This Row],[ETHNICITY]],L_ETHNICITY,0))</f>
        <v/>
      </c>
      <c r="AH587">
        <f>IF(T_EMPLOYEES[[#This Row],[EMPLOYEE NUMBER]]="","",MATCH(T_EMPLOYEES[[#This Row],[LOCATION]],L_LOCATION,0))</f>
        <v/>
      </c>
      <c r="AI587">
        <f>IF(T_EMPLOYEES[[#This Row],[EMPLOYEE NUMBER]]="","",MATCH(T_EMPLOYEES[[#This Row],[DEPARTMENT]],L_DEPARTMENT,0))</f>
        <v/>
      </c>
      <c r="AJ587">
        <f>IF(T_EMPLOYEES[[#This Row],[EMPLOYEE NUMBER]]="","",MATCH(T_EMPLOYEES[[#This Row],[JOB TYPE]],L_JOBTYPE,0))</f>
        <v/>
      </c>
      <c r="AK587">
        <f>IF(T_EMPLOYEES[[#This Row],[EMPLOYEE NUMBER]]="","",MATCH(T_EMPLOYEES[[#This Row],[JOB CATEGORY]],L_JOBCATEGORY,0))</f>
        <v/>
      </c>
      <c r="AL587">
        <f>IF(T_EMPLOYEES[[#This Row],[EMPLOYEE NUMBER]]="","",MATCH(T_EMPLOYEES[[#This Row],[JOB LEVEL]],L_JOBLEVEL,0))</f>
        <v/>
      </c>
      <c r="AM587">
        <f>IF(T_EMPLOYEES[[#This Row],[EMPLOYEE NUMBER]]="","",MATCH(T_EMPLOYEES[[#This Row],[JOB TITLE]],L_JOBTITLE,0))</f>
        <v/>
      </c>
      <c r="AN587">
        <f>IF(T_EMPLOYEES[[#This Row],[EMPLOYEE NUMBER]]="","",MATCH(T_EMPLOYEES[[#This Row],[MANAGER]],L_EMPLABELS,0))</f>
        <v/>
      </c>
      <c r="AO587">
        <f>IF(T_EMPLOYEES[[#This Row],[EMPLOYEE NUMBER]]="","",IF(T_EMPLOYEES[[#This Row],[ERROR]]="",0,1))</f>
        <v/>
      </c>
      <c r="AP587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8">
      <c r="A588" t="inlineStr">
        <is>
          <t>Chiluka</t>
        </is>
      </c>
      <c r="B588" t="inlineStr">
        <is>
          <t>Abhilash</t>
        </is>
      </c>
      <c r="C588" t="n">
        <v>1033244</v>
      </c>
      <c r="D588" t="inlineStr">
        <is>
          <t>Abhilash.Chiluka@infinite.com</t>
        </is>
      </c>
      <c r="E588" s="26" t="n">
        <v>37472</v>
      </c>
      <c r="F588" s="26" t="n">
        <v>45155</v>
      </c>
      <c r="H588" t="inlineStr">
        <is>
          <t>Male</t>
        </is>
      </c>
      <c r="I588" t="inlineStr">
        <is>
          <t>Asian</t>
        </is>
      </c>
      <c r="J588" t="inlineStr">
        <is>
          <t>WEBSITE</t>
        </is>
      </c>
      <c r="K588" t="inlineStr">
        <is>
          <t>Hyderabad</t>
        </is>
      </c>
      <c r="L588" s="27" t="inlineStr">
        <is>
          <t>Cognos</t>
        </is>
      </c>
      <c r="M588" t="inlineStr">
        <is>
          <t>Full-Time</t>
        </is>
      </c>
      <c r="N588" t="inlineStr">
        <is>
          <t>Associate Software Engineer</t>
        </is>
      </c>
      <c r="O588" t="inlineStr">
        <is>
          <t>E1</t>
        </is>
      </c>
      <c r="P588" t="inlineStr">
        <is>
          <t>Associate Software Engineer</t>
        </is>
      </c>
      <c r="Q588" t="inlineStr">
        <is>
          <t>Peernayakgari Irfan Basha (1017291)</t>
        </is>
      </c>
      <c r="R588" t="n">
        <v>0</v>
      </c>
      <c r="S588" s="1" t="n">
        <v>1200000</v>
      </c>
      <c r="T588" s="1">
        <f>ROUND(T_EMPLOYEES[[#This Row],[EMP_CTC1]]/12, 0)</f>
        <v/>
      </c>
      <c r="U588" s="1" t="n">
        <v>1000000</v>
      </c>
      <c r="V588" s="1" t="inlineStr">
        <is>
          <t>NH</t>
        </is>
      </c>
      <c r="W588" s="1" t="inlineStr">
        <is>
          <t>NH</t>
        </is>
      </c>
      <c r="X588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8" t="n">
        <v>120000</v>
      </c>
      <c r="Z588" s="29">
        <f>(S588 - U588)/S588 * 100</f>
        <v/>
      </c>
      <c r="AA588">
        <f>IF(T_EMPLOYEES[[#This Row],[EMPLOYEE NUMBER]]="","",ROW(T_EMPLOYEES[[#This Row],[EMPLOYEE LABEL]])-ROW(T_EMPLOYEES[[#Headers],[EMPLOYEE LABEL]]))</f>
        <v/>
      </c>
      <c r="AB588">
        <f>IF(T_EMPLOYEES[[#This Row],[EMPLOYEE NUMBER]]="","",IF(COUNTIF(T_EMPLOYEES[EMPLOYEE NUMBER],T_EMPLOYEES[[#This Row],[EMPLOYEE NUMBER]])&gt;1,1,0))</f>
        <v/>
      </c>
      <c r="AC588">
        <f>IF(T_EMPLOYEES[[#This Row],[EMPLOYEE NUMBER]]="","",IF(AND(T_EMPLOYEES[[#This Row],[DATE OF BIRTH]]&gt;0,T_EMPLOYEES[[#This Row],[DATE OF BIRTH]]&lt;TODAY()),0,1))</f>
        <v/>
      </c>
      <c r="AD588">
        <f>IF(T_EMPLOYEES[[#This Row],[EMPLOYEE NUMBER]]="","",IF(AND(T_EMPLOYEES[[#This Row],[START DATE]]&gt;0,T_EMPLOYEES[[#This Row],[START DATE]]&lt;TODAY()+60),0,1))</f>
        <v/>
      </c>
      <c r="AE588">
        <f>IF(T_EMPLOYEES[[#This Row],[EMPLOYEE NUMBER]]="","",MATCH(T_EMPLOYEES[[#This Row],[GENDER]],L_GENDER,0))</f>
        <v/>
      </c>
      <c r="AF588">
        <f>IF(T_EMPLOYEES[[#This Row],[EMPLOYEE NUMBER]]="","",MATCH(T_EMPLOYEES[[#This Row],[HIRE SOURCE]],L_HIRESOURCE,0))</f>
        <v/>
      </c>
      <c r="AG588">
        <f>IF(T_EMPLOYEES[[#This Row],[EMPLOYEE NUMBER]]="","",MATCH(T_EMPLOYEES[[#This Row],[ETHNICITY]],L_ETHNICITY,0))</f>
        <v/>
      </c>
      <c r="AH588">
        <f>IF(T_EMPLOYEES[[#This Row],[EMPLOYEE NUMBER]]="","",MATCH(T_EMPLOYEES[[#This Row],[LOCATION]],L_LOCATION,0))</f>
        <v/>
      </c>
      <c r="AI588">
        <f>IF(T_EMPLOYEES[[#This Row],[EMPLOYEE NUMBER]]="","",MATCH(T_EMPLOYEES[[#This Row],[DEPARTMENT]],L_DEPARTMENT,0))</f>
        <v/>
      </c>
      <c r="AJ588">
        <f>IF(T_EMPLOYEES[[#This Row],[EMPLOYEE NUMBER]]="","",MATCH(T_EMPLOYEES[[#This Row],[JOB TYPE]],L_JOBTYPE,0))</f>
        <v/>
      </c>
      <c r="AK588">
        <f>IF(T_EMPLOYEES[[#This Row],[EMPLOYEE NUMBER]]="","",MATCH(T_EMPLOYEES[[#This Row],[JOB CATEGORY]],L_JOBCATEGORY,0))</f>
        <v/>
      </c>
      <c r="AL588">
        <f>IF(T_EMPLOYEES[[#This Row],[EMPLOYEE NUMBER]]="","",MATCH(T_EMPLOYEES[[#This Row],[JOB LEVEL]],L_JOBLEVEL,0))</f>
        <v/>
      </c>
      <c r="AM588">
        <f>IF(T_EMPLOYEES[[#This Row],[EMPLOYEE NUMBER]]="","",MATCH(T_EMPLOYEES[[#This Row],[JOB TITLE]],L_JOBTITLE,0))</f>
        <v/>
      </c>
      <c r="AN588">
        <f>IF(T_EMPLOYEES[[#This Row],[EMPLOYEE NUMBER]]="","",MATCH(T_EMPLOYEES[[#This Row],[MANAGER]],L_EMPLABELS,0))</f>
        <v/>
      </c>
      <c r="AO588">
        <f>IF(T_EMPLOYEES[[#This Row],[EMPLOYEE NUMBER]]="","",IF(T_EMPLOYEES[[#This Row],[ERROR]]="",0,1))</f>
        <v/>
      </c>
      <c r="AP588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89">
      <c r="A589" t="inlineStr">
        <is>
          <t>Gunda</t>
        </is>
      </c>
      <c r="B589" t="inlineStr">
        <is>
          <t>Varun Sai</t>
        </is>
      </c>
      <c r="C589" t="n">
        <v>1033240</v>
      </c>
      <c r="D589" t="inlineStr">
        <is>
          <t>Varunsai.Gunda@infinite.com</t>
        </is>
      </c>
      <c r="E589" s="26" t="n">
        <v>37474</v>
      </c>
      <c r="F589" s="26" t="n">
        <v>45155</v>
      </c>
      <c r="H589" t="inlineStr">
        <is>
          <t>Male</t>
        </is>
      </c>
      <c r="I589" t="inlineStr">
        <is>
          <t>Asian</t>
        </is>
      </c>
      <c r="J589" t="inlineStr">
        <is>
          <t>WEBSITE</t>
        </is>
      </c>
      <c r="K589" t="inlineStr">
        <is>
          <t>Hyderabad</t>
        </is>
      </c>
      <c r="L589" s="27" t="inlineStr">
        <is>
          <t>IT</t>
        </is>
      </c>
      <c r="M589" t="inlineStr">
        <is>
          <t>Full-Time</t>
        </is>
      </c>
      <c r="N589" t="inlineStr">
        <is>
          <t>Associate Software Engineer</t>
        </is>
      </c>
      <c r="O589" t="inlineStr">
        <is>
          <t>E1</t>
        </is>
      </c>
      <c r="P589" t="inlineStr">
        <is>
          <t>Associate Software Engineer</t>
        </is>
      </c>
      <c r="Q589" t="inlineStr">
        <is>
          <t>Mohammed Abdul Azeem (1030739)</t>
        </is>
      </c>
      <c r="R589" t="n">
        <v>0</v>
      </c>
      <c r="S589" s="1" t="n">
        <v>1200000</v>
      </c>
      <c r="T589" s="1">
        <f>ROUND(T_EMPLOYEES[[#This Row],[EMP_CTC1]]/12, 0)</f>
        <v/>
      </c>
      <c r="U589" s="1" t="n">
        <v>1000000</v>
      </c>
      <c r="V589" s="1" t="inlineStr">
        <is>
          <t>NH</t>
        </is>
      </c>
      <c r="W589" s="1" t="inlineStr">
        <is>
          <t>NH</t>
        </is>
      </c>
      <c r="X589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89" t="n">
        <v>120000</v>
      </c>
      <c r="Z589" s="29">
        <f>(S589 - U589)/S589 * 100</f>
        <v/>
      </c>
      <c r="AA589">
        <f>IF(T_EMPLOYEES[[#This Row],[EMPLOYEE NUMBER]]="","",ROW(T_EMPLOYEES[[#This Row],[EMPLOYEE LABEL]])-ROW(T_EMPLOYEES[[#Headers],[EMPLOYEE LABEL]]))</f>
        <v/>
      </c>
      <c r="AB589">
        <f>IF(T_EMPLOYEES[[#This Row],[EMPLOYEE NUMBER]]="","",IF(COUNTIF(T_EMPLOYEES[EMPLOYEE NUMBER],T_EMPLOYEES[[#This Row],[EMPLOYEE NUMBER]])&gt;1,1,0))</f>
        <v/>
      </c>
      <c r="AC589">
        <f>IF(T_EMPLOYEES[[#This Row],[EMPLOYEE NUMBER]]="","",IF(AND(T_EMPLOYEES[[#This Row],[DATE OF BIRTH]]&gt;0,T_EMPLOYEES[[#This Row],[DATE OF BIRTH]]&lt;TODAY()),0,1))</f>
        <v/>
      </c>
      <c r="AD589">
        <f>IF(T_EMPLOYEES[[#This Row],[EMPLOYEE NUMBER]]="","",IF(AND(T_EMPLOYEES[[#This Row],[START DATE]]&gt;0,T_EMPLOYEES[[#This Row],[START DATE]]&lt;TODAY()+60),0,1))</f>
        <v/>
      </c>
      <c r="AE589">
        <f>IF(T_EMPLOYEES[[#This Row],[EMPLOYEE NUMBER]]="","",MATCH(T_EMPLOYEES[[#This Row],[GENDER]],L_GENDER,0))</f>
        <v/>
      </c>
      <c r="AF589">
        <f>IF(T_EMPLOYEES[[#This Row],[EMPLOYEE NUMBER]]="","",MATCH(T_EMPLOYEES[[#This Row],[HIRE SOURCE]],L_HIRESOURCE,0))</f>
        <v/>
      </c>
      <c r="AG589">
        <f>IF(T_EMPLOYEES[[#This Row],[EMPLOYEE NUMBER]]="","",MATCH(T_EMPLOYEES[[#This Row],[ETHNICITY]],L_ETHNICITY,0))</f>
        <v/>
      </c>
      <c r="AH589">
        <f>IF(T_EMPLOYEES[[#This Row],[EMPLOYEE NUMBER]]="","",MATCH(T_EMPLOYEES[[#This Row],[LOCATION]],L_LOCATION,0))</f>
        <v/>
      </c>
      <c r="AI589">
        <f>IF(T_EMPLOYEES[[#This Row],[EMPLOYEE NUMBER]]="","",MATCH(T_EMPLOYEES[[#This Row],[DEPARTMENT]],L_DEPARTMENT,0))</f>
        <v/>
      </c>
      <c r="AJ589">
        <f>IF(T_EMPLOYEES[[#This Row],[EMPLOYEE NUMBER]]="","",MATCH(T_EMPLOYEES[[#This Row],[JOB TYPE]],L_JOBTYPE,0))</f>
        <v/>
      </c>
      <c r="AK589">
        <f>IF(T_EMPLOYEES[[#This Row],[EMPLOYEE NUMBER]]="","",MATCH(T_EMPLOYEES[[#This Row],[JOB CATEGORY]],L_JOBCATEGORY,0))</f>
        <v/>
      </c>
      <c r="AL589">
        <f>IF(T_EMPLOYEES[[#This Row],[EMPLOYEE NUMBER]]="","",MATCH(T_EMPLOYEES[[#This Row],[JOB LEVEL]],L_JOBLEVEL,0))</f>
        <v/>
      </c>
      <c r="AM589">
        <f>IF(T_EMPLOYEES[[#This Row],[EMPLOYEE NUMBER]]="","",MATCH(T_EMPLOYEES[[#This Row],[JOB TITLE]],L_JOBTITLE,0))</f>
        <v/>
      </c>
      <c r="AN589">
        <f>IF(T_EMPLOYEES[[#This Row],[EMPLOYEE NUMBER]]="","",MATCH(T_EMPLOYEES[[#This Row],[MANAGER]],L_EMPLABELS,0))</f>
        <v/>
      </c>
      <c r="AO589">
        <f>IF(T_EMPLOYEES[[#This Row],[EMPLOYEE NUMBER]]="","",IF(T_EMPLOYEES[[#This Row],[ERROR]]="",0,1))</f>
        <v/>
      </c>
      <c r="AP589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0">
      <c r="A590" t="inlineStr">
        <is>
          <t>Smruti</t>
        </is>
      </c>
      <c r="B590" t="inlineStr">
        <is>
          <t>Prangya Rath</t>
        </is>
      </c>
      <c r="C590" t="n">
        <v>1033217</v>
      </c>
      <c r="D590" t="inlineStr">
        <is>
          <t>Smruti.Prangya@infinite.com</t>
        </is>
      </c>
      <c r="E590" s="26" t="n">
        <v>37478</v>
      </c>
      <c r="F590" s="26" t="n">
        <v>45155</v>
      </c>
      <c r="H590" t="inlineStr">
        <is>
          <t>Female</t>
        </is>
      </c>
      <c r="I590" t="inlineStr">
        <is>
          <t>Asian</t>
        </is>
      </c>
      <c r="J590" t="inlineStr">
        <is>
          <t>WEBSITE</t>
        </is>
      </c>
      <c r="K590" t="inlineStr">
        <is>
          <t>Bangalore</t>
        </is>
      </c>
      <c r="L590" s="27" t="inlineStr">
        <is>
          <t>Core</t>
        </is>
      </c>
      <c r="M590" t="inlineStr">
        <is>
          <t>Full-Time</t>
        </is>
      </c>
      <c r="N590" t="inlineStr">
        <is>
          <t>Associate Software Engineer</t>
        </is>
      </c>
      <c r="O590" t="inlineStr">
        <is>
          <t>E1</t>
        </is>
      </c>
      <c r="P590" t="inlineStr">
        <is>
          <t>Associate Software Engineer</t>
        </is>
      </c>
      <c r="Q590" t="inlineStr">
        <is>
          <t>Kishore Kumar N (1019765)</t>
        </is>
      </c>
      <c r="R590" s="27" t="n">
        <v>0</v>
      </c>
      <c r="S590" s="1" t="n">
        <v>1200000</v>
      </c>
      <c r="T590" s="1">
        <f>ROUND(T_EMPLOYEES[[#This Row],[EMP_CTC1]]/12, 0)</f>
        <v/>
      </c>
      <c r="U590" s="1" t="n">
        <v>1000000</v>
      </c>
      <c r="V590" s="1" t="inlineStr">
        <is>
          <t>NH</t>
        </is>
      </c>
      <c r="W590" s="1" t="inlineStr">
        <is>
          <t>NH</t>
        </is>
      </c>
      <c r="X590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90" t="n">
        <v>120000</v>
      </c>
      <c r="Z590" s="29">
        <f>(S590 - U590)/S590 * 100</f>
        <v/>
      </c>
      <c r="AA590">
        <f>IF(T_EMPLOYEES[[#This Row],[EMPLOYEE NUMBER]]="","",ROW(T_EMPLOYEES[[#This Row],[EMPLOYEE LABEL]])-ROW(T_EMPLOYEES[[#Headers],[EMPLOYEE LABEL]]))</f>
        <v/>
      </c>
      <c r="AB590">
        <f>IF(T_EMPLOYEES[[#This Row],[EMPLOYEE NUMBER]]="","",IF(COUNTIF(T_EMPLOYEES[EMPLOYEE NUMBER],T_EMPLOYEES[[#This Row],[EMPLOYEE NUMBER]])&gt;1,1,0))</f>
        <v/>
      </c>
      <c r="AC590">
        <f>IF(T_EMPLOYEES[[#This Row],[EMPLOYEE NUMBER]]="","",IF(AND(T_EMPLOYEES[[#This Row],[DATE OF BIRTH]]&gt;0,T_EMPLOYEES[[#This Row],[DATE OF BIRTH]]&lt;TODAY()),0,1))</f>
        <v/>
      </c>
      <c r="AD590">
        <f>IF(T_EMPLOYEES[[#This Row],[EMPLOYEE NUMBER]]="","",IF(AND(T_EMPLOYEES[[#This Row],[START DATE]]&gt;0,T_EMPLOYEES[[#This Row],[START DATE]]&lt;TODAY()+60),0,1))</f>
        <v/>
      </c>
      <c r="AE590">
        <f>IF(T_EMPLOYEES[[#This Row],[EMPLOYEE NUMBER]]="","",MATCH(T_EMPLOYEES[[#This Row],[GENDER]],L_GENDER,0))</f>
        <v/>
      </c>
      <c r="AF590">
        <f>IF(T_EMPLOYEES[[#This Row],[EMPLOYEE NUMBER]]="","",MATCH(T_EMPLOYEES[[#This Row],[HIRE SOURCE]],L_HIRESOURCE,0))</f>
        <v/>
      </c>
      <c r="AG590">
        <f>IF(T_EMPLOYEES[[#This Row],[EMPLOYEE NUMBER]]="","",MATCH(T_EMPLOYEES[[#This Row],[ETHNICITY]],L_ETHNICITY,0))</f>
        <v/>
      </c>
      <c r="AH590">
        <f>IF(T_EMPLOYEES[[#This Row],[EMPLOYEE NUMBER]]="","",MATCH(T_EMPLOYEES[[#This Row],[LOCATION]],L_LOCATION,0))</f>
        <v/>
      </c>
      <c r="AI590">
        <f>IF(T_EMPLOYEES[[#This Row],[EMPLOYEE NUMBER]]="","",MATCH(T_EMPLOYEES[[#This Row],[DEPARTMENT]],L_DEPARTMENT,0))</f>
        <v/>
      </c>
      <c r="AJ590">
        <f>IF(T_EMPLOYEES[[#This Row],[EMPLOYEE NUMBER]]="","",MATCH(T_EMPLOYEES[[#This Row],[JOB TYPE]],L_JOBTYPE,0))</f>
        <v/>
      </c>
      <c r="AK590">
        <f>IF(T_EMPLOYEES[[#This Row],[EMPLOYEE NUMBER]]="","",MATCH(T_EMPLOYEES[[#This Row],[JOB CATEGORY]],L_JOBCATEGORY,0))</f>
        <v/>
      </c>
      <c r="AL590">
        <f>IF(T_EMPLOYEES[[#This Row],[EMPLOYEE NUMBER]]="","",MATCH(T_EMPLOYEES[[#This Row],[JOB LEVEL]],L_JOBLEVEL,0))</f>
        <v/>
      </c>
      <c r="AM590">
        <f>IF(T_EMPLOYEES[[#This Row],[EMPLOYEE NUMBER]]="","",MATCH(T_EMPLOYEES[[#This Row],[JOB TITLE]],L_JOBTITLE,0))</f>
        <v/>
      </c>
      <c r="AN590">
        <f>IF(T_EMPLOYEES[[#This Row],[EMPLOYEE NUMBER]]="","",MATCH(T_EMPLOYEES[[#This Row],[MANAGER]],L_EMPLABELS,0))</f>
        <v/>
      </c>
      <c r="AO590">
        <f>IF(T_EMPLOYEES[[#This Row],[EMPLOYEE NUMBER]]="","",IF(T_EMPLOYEES[[#This Row],[ERROR]]="",0,1))</f>
        <v/>
      </c>
      <c r="AP590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1">
      <c r="A591" t="inlineStr">
        <is>
          <t>Donthula</t>
        </is>
      </c>
      <c r="B591" t="inlineStr">
        <is>
          <t>Madhan</t>
        </is>
      </c>
      <c r="C591" t="n">
        <v>1033250</v>
      </c>
      <c r="D591" t="inlineStr">
        <is>
          <t>Madhan.Donthula@infinite.com</t>
        </is>
      </c>
      <c r="E591" s="26" t="n">
        <v>37496</v>
      </c>
      <c r="F591" s="26" t="n">
        <v>45155</v>
      </c>
      <c r="H591" t="inlineStr">
        <is>
          <t>Male</t>
        </is>
      </c>
      <c r="I591" t="inlineStr">
        <is>
          <t>Asian</t>
        </is>
      </c>
      <c r="J591" t="inlineStr">
        <is>
          <t>WEBSITE</t>
        </is>
      </c>
      <c r="K591" t="inlineStr">
        <is>
          <t>Bangalore</t>
        </is>
      </c>
      <c r="L591" s="27" t="inlineStr">
        <is>
          <t>IT</t>
        </is>
      </c>
      <c r="M591" t="inlineStr">
        <is>
          <t>Full-Time</t>
        </is>
      </c>
      <c r="N591" t="inlineStr">
        <is>
          <t>Associate Software Engineer</t>
        </is>
      </c>
      <c r="O591" t="inlineStr">
        <is>
          <t>E1</t>
        </is>
      </c>
      <c r="P591" t="inlineStr">
        <is>
          <t>Associate Software Engineer</t>
        </is>
      </c>
      <c r="Q591" t="inlineStr">
        <is>
          <t>Anupam Lal (1033431)</t>
        </is>
      </c>
      <c r="R591" t="n">
        <v>0</v>
      </c>
      <c r="S591" s="1" t="n">
        <v>1200000</v>
      </c>
      <c r="T591" s="1">
        <f>ROUND(T_EMPLOYEES[[#This Row],[EMP_CTC1]]/12, 0)</f>
        <v/>
      </c>
      <c r="U591" s="1" t="n">
        <v>1000000</v>
      </c>
      <c r="V591" s="1" t="inlineStr">
        <is>
          <t>NH</t>
        </is>
      </c>
      <c r="W591" s="1" t="inlineStr">
        <is>
          <t>NH</t>
        </is>
      </c>
      <c r="X591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91" t="n">
        <v>120000</v>
      </c>
      <c r="Z591" s="29">
        <f>(S591 - U591)/S591 * 100</f>
        <v/>
      </c>
      <c r="AA591">
        <f>IF(T_EMPLOYEES[[#This Row],[EMPLOYEE NUMBER]]="","",ROW(T_EMPLOYEES[[#This Row],[EMPLOYEE LABEL]])-ROW(T_EMPLOYEES[[#Headers],[EMPLOYEE LABEL]]))</f>
        <v/>
      </c>
      <c r="AB591">
        <f>IF(T_EMPLOYEES[[#This Row],[EMPLOYEE NUMBER]]="","",IF(COUNTIF(T_EMPLOYEES[EMPLOYEE NUMBER],T_EMPLOYEES[[#This Row],[EMPLOYEE NUMBER]])&gt;1,1,0))</f>
        <v/>
      </c>
      <c r="AC591">
        <f>IF(T_EMPLOYEES[[#This Row],[EMPLOYEE NUMBER]]="","",IF(AND(T_EMPLOYEES[[#This Row],[DATE OF BIRTH]]&gt;0,T_EMPLOYEES[[#This Row],[DATE OF BIRTH]]&lt;TODAY()),0,1))</f>
        <v/>
      </c>
      <c r="AD591">
        <f>IF(T_EMPLOYEES[[#This Row],[EMPLOYEE NUMBER]]="","",IF(AND(T_EMPLOYEES[[#This Row],[START DATE]]&gt;0,T_EMPLOYEES[[#This Row],[START DATE]]&lt;TODAY()+60),0,1))</f>
        <v/>
      </c>
      <c r="AE591">
        <f>IF(T_EMPLOYEES[[#This Row],[EMPLOYEE NUMBER]]="","",MATCH(T_EMPLOYEES[[#This Row],[GENDER]],L_GENDER,0))</f>
        <v/>
      </c>
      <c r="AF591">
        <f>IF(T_EMPLOYEES[[#This Row],[EMPLOYEE NUMBER]]="","",MATCH(T_EMPLOYEES[[#This Row],[HIRE SOURCE]],L_HIRESOURCE,0))</f>
        <v/>
      </c>
      <c r="AG591">
        <f>IF(T_EMPLOYEES[[#This Row],[EMPLOYEE NUMBER]]="","",MATCH(T_EMPLOYEES[[#This Row],[ETHNICITY]],L_ETHNICITY,0))</f>
        <v/>
      </c>
      <c r="AH591">
        <f>IF(T_EMPLOYEES[[#This Row],[EMPLOYEE NUMBER]]="","",MATCH(T_EMPLOYEES[[#This Row],[LOCATION]],L_LOCATION,0))</f>
        <v/>
      </c>
      <c r="AI591">
        <f>IF(T_EMPLOYEES[[#This Row],[EMPLOYEE NUMBER]]="","",MATCH(T_EMPLOYEES[[#This Row],[DEPARTMENT]],L_DEPARTMENT,0))</f>
        <v/>
      </c>
      <c r="AJ591">
        <f>IF(T_EMPLOYEES[[#This Row],[EMPLOYEE NUMBER]]="","",MATCH(T_EMPLOYEES[[#This Row],[JOB TYPE]],L_JOBTYPE,0))</f>
        <v/>
      </c>
      <c r="AK591">
        <f>IF(T_EMPLOYEES[[#This Row],[EMPLOYEE NUMBER]]="","",MATCH(T_EMPLOYEES[[#This Row],[JOB CATEGORY]],L_JOBCATEGORY,0))</f>
        <v/>
      </c>
      <c r="AL591">
        <f>IF(T_EMPLOYEES[[#This Row],[EMPLOYEE NUMBER]]="","",MATCH(T_EMPLOYEES[[#This Row],[JOB LEVEL]],L_JOBLEVEL,0))</f>
        <v/>
      </c>
      <c r="AM591">
        <f>IF(T_EMPLOYEES[[#This Row],[EMPLOYEE NUMBER]]="","",MATCH(T_EMPLOYEES[[#This Row],[JOB TITLE]],L_JOBTITLE,0))</f>
        <v/>
      </c>
      <c r="AN591">
        <f>IF(T_EMPLOYEES[[#This Row],[EMPLOYEE NUMBER]]="","",MATCH(T_EMPLOYEES[[#This Row],[MANAGER]],L_EMPLABELS,0))</f>
        <v/>
      </c>
      <c r="AO591">
        <f>IF(T_EMPLOYEES[[#This Row],[EMPLOYEE NUMBER]]="","",IF(T_EMPLOYEES[[#This Row],[ERROR]]="",0,1))</f>
        <v/>
      </c>
      <c r="AP591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2">
      <c r="A592" t="inlineStr">
        <is>
          <t>Kommunuri</t>
        </is>
      </c>
      <c r="B592" t="inlineStr">
        <is>
          <t>Arun Raju</t>
        </is>
      </c>
      <c r="C592" t="n">
        <v>1033251</v>
      </c>
      <c r="D592" t="inlineStr">
        <is>
          <t>Arunraju.Kommunuri@infinite.com</t>
        </is>
      </c>
      <c r="E592" s="26" t="n">
        <v>37497</v>
      </c>
      <c r="F592" s="26" t="n">
        <v>45155</v>
      </c>
      <c r="H592" t="inlineStr">
        <is>
          <t>Male</t>
        </is>
      </c>
      <c r="I592" t="inlineStr">
        <is>
          <t>Asian</t>
        </is>
      </c>
      <c r="J592" t="inlineStr">
        <is>
          <t>WEBSITE</t>
        </is>
      </c>
      <c r="K592" t="inlineStr">
        <is>
          <t>Bangalore</t>
        </is>
      </c>
      <c r="L592" s="27" t="inlineStr">
        <is>
          <t>Core</t>
        </is>
      </c>
      <c r="M592" t="inlineStr">
        <is>
          <t>Full-Time</t>
        </is>
      </c>
      <c r="N592" t="inlineStr">
        <is>
          <t>Associate Software Engineer</t>
        </is>
      </c>
      <c r="O592" t="inlineStr">
        <is>
          <t>E1</t>
        </is>
      </c>
      <c r="P592" t="inlineStr">
        <is>
          <t>Associate Software Engineer</t>
        </is>
      </c>
      <c r="Q592" t="inlineStr">
        <is>
          <t>Kishore Kumar N (1019765)</t>
        </is>
      </c>
      <c r="R592" s="27" t="n">
        <v>0</v>
      </c>
      <c r="S592" s="1" t="n">
        <v>1200000</v>
      </c>
      <c r="T592" s="1">
        <f>ROUND(T_EMPLOYEES[[#This Row],[EMP_CTC1]]/12, 0)</f>
        <v/>
      </c>
      <c r="U592" s="1" t="n">
        <v>1000000</v>
      </c>
      <c r="V592" s="1" t="inlineStr">
        <is>
          <t>NH</t>
        </is>
      </c>
      <c r="W592" s="1" t="inlineStr">
        <is>
          <t>NH</t>
        </is>
      </c>
      <c r="X592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92" t="n">
        <v>120000</v>
      </c>
      <c r="Z592" s="29">
        <f>(S592 - U592)/S592 * 100</f>
        <v/>
      </c>
      <c r="AA592">
        <f>IF(T_EMPLOYEES[[#This Row],[EMPLOYEE NUMBER]]="","",ROW(T_EMPLOYEES[[#This Row],[EMPLOYEE LABEL]])-ROW(T_EMPLOYEES[[#Headers],[EMPLOYEE LABEL]]))</f>
        <v/>
      </c>
      <c r="AB592">
        <f>IF(T_EMPLOYEES[[#This Row],[EMPLOYEE NUMBER]]="","",IF(COUNTIF(T_EMPLOYEES[EMPLOYEE NUMBER],T_EMPLOYEES[[#This Row],[EMPLOYEE NUMBER]])&gt;1,1,0))</f>
        <v/>
      </c>
      <c r="AC592">
        <f>IF(T_EMPLOYEES[[#This Row],[EMPLOYEE NUMBER]]="","",IF(AND(T_EMPLOYEES[[#This Row],[DATE OF BIRTH]]&gt;0,T_EMPLOYEES[[#This Row],[DATE OF BIRTH]]&lt;TODAY()),0,1))</f>
        <v/>
      </c>
      <c r="AD592">
        <f>IF(T_EMPLOYEES[[#This Row],[EMPLOYEE NUMBER]]="","",IF(AND(T_EMPLOYEES[[#This Row],[START DATE]]&gt;0,T_EMPLOYEES[[#This Row],[START DATE]]&lt;TODAY()+60),0,1))</f>
        <v/>
      </c>
      <c r="AE592">
        <f>IF(T_EMPLOYEES[[#This Row],[EMPLOYEE NUMBER]]="","",MATCH(T_EMPLOYEES[[#This Row],[GENDER]],L_GENDER,0))</f>
        <v/>
      </c>
      <c r="AF592">
        <f>IF(T_EMPLOYEES[[#This Row],[EMPLOYEE NUMBER]]="","",MATCH(T_EMPLOYEES[[#This Row],[HIRE SOURCE]],L_HIRESOURCE,0))</f>
        <v/>
      </c>
      <c r="AG592">
        <f>IF(T_EMPLOYEES[[#This Row],[EMPLOYEE NUMBER]]="","",MATCH(T_EMPLOYEES[[#This Row],[ETHNICITY]],L_ETHNICITY,0))</f>
        <v/>
      </c>
      <c r="AH592">
        <f>IF(T_EMPLOYEES[[#This Row],[EMPLOYEE NUMBER]]="","",MATCH(T_EMPLOYEES[[#This Row],[LOCATION]],L_LOCATION,0))</f>
        <v/>
      </c>
      <c r="AI592">
        <f>IF(T_EMPLOYEES[[#This Row],[EMPLOYEE NUMBER]]="","",MATCH(T_EMPLOYEES[[#This Row],[DEPARTMENT]],L_DEPARTMENT,0))</f>
        <v/>
      </c>
      <c r="AJ592">
        <f>IF(T_EMPLOYEES[[#This Row],[EMPLOYEE NUMBER]]="","",MATCH(T_EMPLOYEES[[#This Row],[JOB TYPE]],L_JOBTYPE,0))</f>
        <v/>
      </c>
      <c r="AK592">
        <f>IF(T_EMPLOYEES[[#This Row],[EMPLOYEE NUMBER]]="","",MATCH(T_EMPLOYEES[[#This Row],[JOB CATEGORY]],L_JOBCATEGORY,0))</f>
        <v/>
      </c>
      <c r="AL592">
        <f>IF(T_EMPLOYEES[[#This Row],[EMPLOYEE NUMBER]]="","",MATCH(T_EMPLOYEES[[#This Row],[JOB LEVEL]],L_JOBLEVEL,0))</f>
        <v/>
      </c>
      <c r="AM592">
        <f>IF(T_EMPLOYEES[[#This Row],[EMPLOYEE NUMBER]]="","",MATCH(T_EMPLOYEES[[#This Row],[JOB TITLE]],L_JOBTITLE,0))</f>
        <v/>
      </c>
      <c r="AN592">
        <f>IF(T_EMPLOYEES[[#This Row],[EMPLOYEE NUMBER]]="","",MATCH(T_EMPLOYEES[[#This Row],[MANAGER]],L_EMPLABELS,0))</f>
        <v/>
      </c>
      <c r="AO592">
        <f>IF(T_EMPLOYEES[[#This Row],[EMPLOYEE NUMBER]]="","",IF(T_EMPLOYEES[[#This Row],[ERROR]]="",0,1))</f>
        <v/>
      </c>
      <c r="AP592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</row>
    <row r="593">
      <c r="A593" t="inlineStr">
        <is>
          <t>Piyush</t>
        </is>
      </c>
      <c r="B593" t="inlineStr">
        <is>
          <t>Raj</t>
        </is>
      </c>
      <c r="C593" t="n">
        <v>1033218</v>
      </c>
      <c r="D593" t="inlineStr">
        <is>
          <t>Piyush.Raj@infinite.com</t>
        </is>
      </c>
      <c r="E593" s="26" t="n">
        <v>37526</v>
      </c>
      <c r="F593" s="26" t="n">
        <v>45155</v>
      </c>
      <c r="H593" t="inlineStr">
        <is>
          <t>Male</t>
        </is>
      </c>
      <c r="I593" t="inlineStr">
        <is>
          <t>Asian</t>
        </is>
      </c>
      <c r="J593" t="inlineStr">
        <is>
          <t>WEBSITE</t>
        </is>
      </c>
      <c r="K593" t="inlineStr">
        <is>
          <t>Hyderabad</t>
        </is>
      </c>
      <c r="L593" s="27" t="inlineStr">
        <is>
          <t>Core</t>
        </is>
      </c>
      <c r="M593" t="inlineStr">
        <is>
          <t>Full-Time</t>
        </is>
      </c>
      <c r="N593" t="inlineStr">
        <is>
          <t>Associate Software Engineer</t>
        </is>
      </c>
      <c r="O593" t="inlineStr">
        <is>
          <t>E1</t>
        </is>
      </c>
      <c r="P593" t="inlineStr">
        <is>
          <t>Associate Software Engineer</t>
        </is>
      </c>
      <c r="Q593" t="inlineStr">
        <is>
          <t>Kishore Kumar N (1019765)</t>
        </is>
      </c>
      <c r="R593" t="n">
        <v>0</v>
      </c>
      <c r="S593" s="1" t="n">
        <v>1200000</v>
      </c>
      <c r="T593" s="1">
        <f>ROUND(T_EMPLOYEES[[#This Row],[EMP_CTC1]]/12, 0)</f>
        <v/>
      </c>
      <c r="U593" s="1" t="n">
        <v>1000000</v>
      </c>
      <c r="V593" s="1" t="inlineStr">
        <is>
          <t>NH</t>
        </is>
      </c>
      <c r="W593" s="1" t="inlineStr">
        <is>
          <t>NH</t>
        </is>
      </c>
      <c r="X593">
        <f>IFERROR(IF(T_EMPLOYEES[[#This Row],[EMPLOYEE FIRST NAME]]="","",T_EMPLOYEES[[#This Row],[EMPLOYEE FIRST NAME]]&amp;" "&amp;T_EMPLOYEES[[#This Row],[EMPLOYEE LAST NAME]]&amp;" ("&amp;T_EMPLOYEES[[#This Row],[EMPLOYEE NUMBER]]&amp;")"),"")</f>
        <v/>
      </c>
      <c r="Y593" t="n">
        <v>120000</v>
      </c>
      <c r="Z593" s="29">
        <f>(S593 - U593)/S593 * 100</f>
        <v/>
      </c>
      <c r="AA593">
        <f>IF(T_EMPLOYEES[[#This Row],[EMPLOYEE NUMBER]]="","",ROW(T_EMPLOYEES[[#This Row],[EMPLOYEE LABEL]])-ROW(T_EMPLOYEES[[#Headers],[EMPLOYEE LABEL]]))</f>
        <v/>
      </c>
      <c r="AB593">
        <f>IF(T_EMPLOYEES[[#This Row],[EMPLOYEE NUMBER]]="","",IF(COUNTIF(T_EMPLOYEES[EMPLOYEE NUMBER],T_EMPLOYEES[[#This Row],[EMPLOYEE NUMBER]])&gt;1,1,0))</f>
        <v/>
      </c>
      <c r="AC593">
        <f>IF(T_EMPLOYEES[[#This Row],[EMPLOYEE NUMBER]]="","",IF(AND(T_EMPLOYEES[[#This Row],[DATE OF BIRTH]]&gt;0,T_EMPLOYEES[[#This Row],[DATE OF BIRTH]]&lt;TODAY()),0,1))</f>
        <v/>
      </c>
      <c r="AD593">
        <f>IF(T_EMPLOYEES[[#This Row],[EMPLOYEE NUMBER]]="","",IF(AND(T_EMPLOYEES[[#This Row],[START DATE]]&gt;0,T_EMPLOYEES[[#This Row],[START DATE]]&lt;TODAY()+60),0,1))</f>
        <v/>
      </c>
      <c r="AE593">
        <f>IF(T_EMPLOYEES[[#This Row],[EMPLOYEE NUMBER]]="","",MATCH(T_EMPLOYEES[[#This Row],[GENDER]],L_GENDER,0))</f>
        <v/>
      </c>
      <c r="AF593">
        <f>IF(T_EMPLOYEES[[#This Row],[EMPLOYEE NUMBER]]="","",MATCH(T_EMPLOYEES[[#This Row],[HIRE SOURCE]],L_HIRESOURCE,0))</f>
        <v/>
      </c>
      <c r="AG593">
        <f>IF(T_EMPLOYEES[[#This Row],[EMPLOYEE NUMBER]]="","",MATCH(T_EMPLOYEES[[#This Row],[ETHNICITY]],L_ETHNICITY,0))</f>
        <v/>
      </c>
      <c r="AH593">
        <f>IF(T_EMPLOYEES[[#This Row],[EMPLOYEE NUMBER]]="","",MATCH(T_EMPLOYEES[[#This Row],[LOCATION]],L_LOCATION,0))</f>
        <v/>
      </c>
      <c r="AI593">
        <f>IF(T_EMPLOYEES[[#This Row],[EMPLOYEE NUMBER]]="","",MATCH(T_EMPLOYEES[[#This Row],[DEPARTMENT]],L_DEPARTMENT,0))</f>
        <v/>
      </c>
      <c r="AJ593">
        <f>IF(T_EMPLOYEES[[#This Row],[EMPLOYEE NUMBER]]="","",MATCH(T_EMPLOYEES[[#This Row],[JOB TYPE]],L_JOBTYPE,0))</f>
        <v/>
      </c>
      <c r="AK593">
        <f>IF(T_EMPLOYEES[[#This Row],[EMPLOYEE NUMBER]]="","",MATCH(T_EMPLOYEES[[#This Row],[JOB CATEGORY]],L_JOBCATEGORY,0))</f>
        <v/>
      </c>
      <c r="AL593">
        <f>IF(T_EMPLOYEES[[#This Row],[EMPLOYEE NUMBER]]="","",MATCH(T_EMPLOYEES[[#This Row],[JOB LEVEL]],L_JOBLEVEL,0))</f>
        <v/>
      </c>
      <c r="AM593">
        <f>IF(T_EMPLOYEES[[#This Row],[EMPLOYEE NUMBER]]="","",MATCH(T_EMPLOYEES[[#This Row],[JOB TITLE]],L_JOBTITLE,0))</f>
        <v/>
      </c>
      <c r="AN593">
        <f>IF(T_EMPLOYEES[[#This Row],[EMPLOYEE NUMBER]]="","",MATCH(T_EMPLOYEES[[#This Row],[MANAGER]],L_EMPLABELS,0))</f>
        <v/>
      </c>
      <c r="AO593">
        <f>IF(T_EMPLOYEES[[#This Row],[EMPLOYEE NUMBER]]="","",IF(T_EMPLOYEES[[#This Row],[ERROR]]="",0,1))</f>
        <v/>
      </c>
      <c r="AP593">
        <f>IF(T_EMPLOYEES[[#This Row],[EMPLOYEE NUMBER]]="","",
IF(T_EMPLOYEES[[#This Row],[EMPLOYEE NUM ERROR]]=1,"Duplicate Employee Number",
IF(T_EMPLOYEES[[#This Row],[DOB DV]]=1,"Invalid Date of Birth",
IF(T_EMPLOYEES[[#This Row],[START DATE DV]]=1,"Invalid Start Date",
IF(ISERROR(T_EMPLOYEES[[#This Row],[GENDER SYS ID]]),"Invalid Gender",
IF(ISERROR(T_EMPLOYEES[[#This Row],[HIRE SOURCE SYS ID]]),"Invalid Hire Source",
IF(ISERROR(T_EMPLOYEES[[#This Row],[ETHNICITY SYS ID]]),"Invalid Ethnicity",
IF(ISERROR(T_EMPLOYEES[[#This Row],[LOCATION SYS ID]]),"Invalid Location",
IF(ISERROR(T_EMPLOYEES[[#This Row],[DEPARTMENT SYS ID]]),"Invalid Department",
IF(ISERROR(T_EMPLOYEES[[#This Row],[JOB TYPE SYS ID]]),"Invalid Job Type",
IF(ISERROR(T_EMPLOYEES[[#This Row],[JOB CATEGORY SYS ID]]),"Invalid Job Category",
IF(ISERROR(T_EMPLOYEES[[#This Row],[JOB LEVEL SYS ID]]),"Invalid Job Level",
IF(ISERROR(T_EMPLOYEES[[#This Row],[JOB TITLE SYS ID]]),"Invalid Job Title",
IF(ISERROR(T_EMPLOYEES[[#This Row],[MANAGER EMP SYS ID]]),"Invalid Manager",
""))))))))))))))</f>
        <v/>
      </c>
      <c r="AQ593" t="inlineStr">
        <is>
          <t>Data Management</t>
        </is>
      </c>
    </row>
  </sheetData>
  <dataValidations count="1">
    <dataValidation sqref="Q4:Q9 Q11:Q593" showDropDown="0" showInputMessage="1" showErrorMessage="1" allowBlank="1" type="list">
      <formula1>L_EMPLABELS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tabSelected="1" workbookViewId="0">
      <pane ySplit="1" topLeftCell="A2" activePane="bottomLeft" state="frozen"/>
      <selection pane="bottomLeft" activeCell="G56" sqref="G56"/>
    </sheetView>
  </sheetViews>
  <sheetFormatPr baseColWidth="8" defaultRowHeight="14.25"/>
  <cols>
    <col width="20.75" bestFit="1" customWidth="1" style="35" min="1" max="1"/>
    <col width="6.625" bestFit="1" customWidth="1" min="2" max="2"/>
    <col width="12.875" bestFit="1" customWidth="1" min="3" max="3"/>
    <col width="13" bestFit="1" customWidth="1" min="5" max="5"/>
    <col width="13.75" bestFit="1" customWidth="1" min="6" max="6"/>
    <col width="11.625" customWidth="1" min="7" max="7"/>
    <col width="13.375" customWidth="1" min="8" max="8"/>
    <col width="13.75" customWidth="1" min="9" max="9"/>
    <col width="20.375" customWidth="1" style="39" min="10" max="10"/>
    <col width="12.75" bestFit="1" customWidth="1" min="11" max="11"/>
    <col width="10.875" customWidth="1" min="13" max="13"/>
    <col width="8.625" bestFit="1" customWidth="1" min="14" max="14"/>
  </cols>
  <sheetData>
    <row r="1" ht="16.5" customHeight="1">
      <c r="A1" s="34" t="inlineStr">
        <is>
          <t>EMPLOYEE NUMBER</t>
        </is>
      </c>
      <c r="B1" s="33" t="inlineStr">
        <is>
          <t>Year</t>
        </is>
      </c>
      <c r="C1" s="33" t="inlineStr">
        <is>
          <t>Base_Salary</t>
        </is>
      </c>
      <c r="D1" s="33" t="inlineStr">
        <is>
          <t>Bonus</t>
        </is>
      </c>
      <c r="E1" s="33" t="inlineStr">
        <is>
          <t>Perks</t>
        </is>
      </c>
      <c r="F1" s="33" t="inlineStr">
        <is>
          <t>Other_Comp</t>
        </is>
      </c>
      <c r="G1" s="37" t="inlineStr">
        <is>
          <t>Is_Promotion</t>
        </is>
      </c>
      <c r="H1" s="37" t="inlineStr">
        <is>
          <t>Prom_Eve_Date</t>
        </is>
      </c>
      <c r="I1" s="33" t="inlineStr">
        <is>
          <t>M_Salary</t>
        </is>
      </c>
      <c r="J1" s="38" t="inlineStr">
        <is>
          <t>Total_CTC</t>
        </is>
      </c>
      <c r="K1" s="33" t="inlineStr">
        <is>
          <t>Hike</t>
        </is>
      </c>
    </row>
    <row r="2" ht="16.5" customHeight="1">
      <c r="A2" s="35" t="n">
        <v>1008532</v>
      </c>
      <c r="B2" t="n">
        <v>2022</v>
      </c>
      <c r="C2" t="n">
        <v>2200000</v>
      </c>
      <c r="D2" t="n">
        <v>8988</v>
      </c>
      <c r="E2" t="n">
        <v>0</v>
      </c>
      <c r="F2" t="n">
        <v>0</v>
      </c>
      <c r="I2" s="32">
        <f>ROUND(Table1[[#This Row],[Base_Salary]]/12, 0)</f>
        <v/>
      </c>
      <c r="J2" s="39">
        <f>SUM(Table1[[#This Row],[Base_Salary]], Table1[[#This Row],[Bonus]], Table1[[#This Row],[Perks]], Table1[[#This Row],[Other_Comp]])</f>
        <v/>
      </c>
      <c r="K2" s="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">
      <c r="A3" s="35" t="n">
        <v>1008532</v>
      </c>
      <c r="B3" t="n">
        <v>2023</v>
      </c>
      <c r="C3" t="n">
        <v>2300000</v>
      </c>
      <c r="D3" t="n">
        <v>0</v>
      </c>
      <c r="E3" t="n">
        <v>0</v>
      </c>
      <c r="F3" t="n">
        <v>60000</v>
      </c>
      <c r="I3">
        <f>ROUND(Table1[[#This Row],[Base_Salary]]/12, 0)</f>
        <v/>
      </c>
      <c r="J3" s="39">
        <f>SUM(Table1[[#This Row],[Base_Salary]], Table1[[#This Row],[Bonus]], Table1[[#This Row],[Perks]], Table1[[#This Row],[Other_Comp]])</f>
        <v/>
      </c>
      <c r="K3" s="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">
      <c r="A4" s="35" t="n">
        <v>1008532</v>
      </c>
      <c r="B4" t="n">
        <v>2024</v>
      </c>
      <c r="C4" t="n">
        <v>5000000</v>
      </c>
      <c r="D4" t="n">
        <v>40000</v>
      </c>
      <c r="E4" t="n">
        <v>0</v>
      </c>
      <c r="F4" t="n">
        <v>0</v>
      </c>
      <c r="G4" t="inlineStr">
        <is>
          <t>Yes</t>
        </is>
      </c>
      <c r="H4" s="26" t="n">
        <v>45292</v>
      </c>
      <c r="I4">
        <f>ROUND(Table1[[#This Row],[Base_Salary]]/12, 0)</f>
        <v/>
      </c>
      <c r="J4" s="39">
        <f>SUM(Table1[[#This Row],[Base_Salary]], Table1[[#This Row],[Bonus]], Table1[[#This Row],[Perks]], Table1[[#This Row],[Other_Comp]])</f>
        <v/>
      </c>
      <c r="K4" s="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">
      <c r="A5" s="35" t="n">
        <v>1012233</v>
      </c>
      <c r="B5" t="n">
        <v>2022</v>
      </c>
      <c r="C5" t="n">
        <v>620000</v>
      </c>
      <c r="D5" t="n">
        <v>0</v>
      </c>
      <c r="E5" t="n">
        <v>0</v>
      </c>
      <c r="F5" t="n">
        <v>0</v>
      </c>
      <c r="I5">
        <f>ROUND(Table1[[#This Row],[Base_Salary]]/12, 0)</f>
        <v/>
      </c>
      <c r="J5" s="39">
        <f>SUM(Table1[[#This Row],[Base_Salary]], Table1[[#This Row],[Bonus]], Table1[[#This Row],[Perks]], Table1[[#This Row],[Other_Comp]])</f>
        <v/>
      </c>
      <c r="K5" s="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6">
      <c r="A6" s="35" t="n">
        <v>1012233</v>
      </c>
      <c r="B6" t="n">
        <v>2023</v>
      </c>
      <c r="C6" t="n">
        <v>720000</v>
      </c>
      <c r="D6" t="n">
        <v>12122</v>
      </c>
      <c r="E6" t="n">
        <v>0</v>
      </c>
      <c r="F6" t="n">
        <v>40000</v>
      </c>
      <c r="I6">
        <f>ROUND(Table1[[#This Row],[Base_Salary]]/12, 0)</f>
        <v/>
      </c>
      <c r="J6" s="39">
        <f>SUM(Table1[[#This Row],[Base_Salary]], Table1[[#This Row],[Bonus]], Table1[[#This Row],[Perks]], Table1[[#This Row],[Other_Comp]])</f>
        <v/>
      </c>
      <c r="K6" s="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7">
      <c r="A7" s="35" t="n">
        <v>1012233</v>
      </c>
      <c r="B7" t="n">
        <v>2024</v>
      </c>
      <c r="C7" t="n">
        <v>820000</v>
      </c>
      <c r="D7" t="n">
        <v>60000</v>
      </c>
      <c r="E7" t="n">
        <v>0</v>
      </c>
      <c r="F7" t="n">
        <v>0</v>
      </c>
      <c r="I7">
        <f>ROUND(Table1[[#This Row],[Base_Salary]]/12, 0)</f>
        <v/>
      </c>
      <c r="J7" s="40">
        <f>SUM(Table1[[#This Row],[Base_Salary]], Table1[[#This Row],[Bonus]], Table1[[#This Row],[Perks]], Table1[[#This Row],[Other_Comp]])</f>
        <v/>
      </c>
      <c r="K7" s="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8">
      <c r="A8" s="35" t="n">
        <v>1019272</v>
      </c>
      <c r="B8" t="n">
        <v>2022</v>
      </c>
      <c r="C8" t="n">
        <v>1038000</v>
      </c>
      <c r="D8" t="n">
        <v>0</v>
      </c>
      <c r="E8" t="n">
        <v>0</v>
      </c>
      <c r="F8" t="n">
        <v>0</v>
      </c>
      <c r="I8">
        <f>ROUND(Table1[[#This Row],[Base_Salary]]/12, 0)</f>
        <v/>
      </c>
      <c r="J8" s="39">
        <f>SUM(Table1[[#This Row],[Base_Salary]], Table1[[#This Row],[Bonus]], Table1[[#This Row],[Perks]], Table1[[#This Row],[Other_Comp]])</f>
        <v/>
      </c>
      <c r="K8" s="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9">
      <c r="A9" s="35" t="n">
        <v>1019272</v>
      </c>
      <c r="B9" t="n">
        <v>2023</v>
      </c>
      <c r="C9" t="n">
        <v>1138000</v>
      </c>
      <c r="D9" t="n">
        <v>0</v>
      </c>
      <c r="E9" t="n">
        <v>0</v>
      </c>
      <c r="F9" t="n">
        <v>0</v>
      </c>
      <c r="G9" t="inlineStr">
        <is>
          <t>Yes</t>
        </is>
      </c>
      <c r="H9" s="26" t="n">
        <v>45017</v>
      </c>
      <c r="I9">
        <f>ROUND(Table1[[#This Row],[Base_Salary]]/12, 0)</f>
        <v/>
      </c>
      <c r="J9" s="39">
        <f>SUM(Table1[[#This Row],[Base_Salary]], Table1[[#This Row],[Bonus]], Table1[[#This Row],[Perks]], Table1[[#This Row],[Other_Comp]])</f>
        <v/>
      </c>
      <c r="K9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0">
      <c r="A10" s="35" t="n">
        <v>1019272</v>
      </c>
      <c r="B10" t="n">
        <v>2024</v>
      </c>
      <c r="C10" t="n">
        <v>2000000</v>
      </c>
      <c r="D10" t="n">
        <v>40000</v>
      </c>
      <c r="E10" t="n">
        <v>0</v>
      </c>
      <c r="F10" t="n">
        <v>76765</v>
      </c>
      <c r="I10">
        <f>ROUND(Table1[[#This Row],[Base_Salary]]/12, 0)</f>
        <v/>
      </c>
      <c r="J10" s="40">
        <f>SUM(Table1[[#This Row],[Base_Salary]], Table1[[#This Row],[Bonus]], Table1[[#This Row],[Perks]], Table1[[#This Row],[Other_Comp]])</f>
        <v/>
      </c>
      <c r="K10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1">
      <c r="A11" s="35" t="n">
        <v>1020217</v>
      </c>
      <c r="B11" t="n">
        <v>2022</v>
      </c>
      <c r="C11" t="n">
        <v>450000</v>
      </c>
      <c r="D11" t="n">
        <v>0</v>
      </c>
      <c r="E11" t="n">
        <v>0</v>
      </c>
      <c r="F11" t="n">
        <v>95559</v>
      </c>
      <c r="I11">
        <f>ROUND(Table1[[#This Row],[Base_Salary]]/12, 0)</f>
        <v/>
      </c>
      <c r="J11" s="39">
        <f>SUM(Table1[[#This Row],[Base_Salary]], Table1[[#This Row],[Bonus]], Table1[[#This Row],[Perks]], Table1[[#This Row],[Other_Comp]])</f>
        <v/>
      </c>
      <c r="K11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2">
      <c r="A12" s="35" t="n">
        <v>1020217</v>
      </c>
      <c r="B12" t="n">
        <v>2023</v>
      </c>
      <c r="C12" t="n">
        <v>550000</v>
      </c>
      <c r="D12" t="n">
        <v>22111</v>
      </c>
      <c r="E12" t="n">
        <v>0</v>
      </c>
      <c r="F12" t="n">
        <v>50000</v>
      </c>
      <c r="I12">
        <f>ROUND(Table1[[#This Row],[Base_Salary]]/12, 0)</f>
        <v/>
      </c>
      <c r="J12" s="39">
        <f>SUM(Table1[[#This Row],[Base_Salary]], Table1[[#This Row],[Bonus]], Table1[[#This Row],[Perks]], Table1[[#This Row],[Other_Comp]])</f>
        <v/>
      </c>
      <c r="K1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3">
      <c r="A13" s="35" t="n">
        <v>1020217</v>
      </c>
      <c r="B13" t="n">
        <v>2024</v>
      </c>
      <c r="C13" t="n">
        <v>750000</v>
      </c>
      <c r="D13" t="n">
        <v>92000</v>
      </c>
      <c r="E13" t="n">
        <v>0</v>
      </c>
      <c r="F13" t="n">
        <v>10000</v>
      </c>
      <c r="I13">
        <f>ROUND(Table1[[#This Row],[Base_Salary]]/12, 0)</f>
        <v/>
      </c>
      <c r="J13" s="40">
        <f>SUM(Table1[[#This Row],[Base_Salary]], Table1[[#This Row],[Bonus]], Table1[[#This Row],[Perks]], Table1[[#This Row],[Other_Comp]])</f>
        <v/>
      </c>
      <c r="K13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4">
      <c r="A14" s="36" t="n">
        <v>1026244</v>
      </c>
      <c r="B14" t="n">
        <v>2022</v>
      </c>
      <c r="C14" t="n">
        <v>1000000</v>
      </c>
      <c r="D14" t="n">
        <v>5543</v>
      </c>
      <c r="E14" t="n">
        <v>30000</v>
      </c>
      <c r="F14" t="n">
        <v>13000</v>
      </c>
      <c r="I14">
        <f>ROUND(Table1[[#This Row],[Base_Salary]]/12, 0)</f>
        <v/>
      </c>
      <c r="J14" s="39">
        <f>SUM(Table1[[#This Row],[Base_Salary]], Table1[[#This Row],[Bonus]], Table1[[#This Row],[Perks]], Table1[[#This Row],[Other_Comp]])</f>
        <v/>
      </c>
      <c r="K14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5">
      <c r="A15" s="36" t="n">
        <v>1026244</v>
      </c>
      <c r="B15" t="n">
        <v>2023</v>
      </c>
      <c r="C15" t="n">
        <v>1054000</v>
      </c>
      <c r="D15" t="n">
        <v>5329</v>
      </c>
      <c r="E15" t="n">
        <v>20000</v>
      </c>
      <c r="F15" t="n">
        <v>20100</v>
      </c>
      <c r="G15" t="inlineStr">
        <is>
          <t>Yes</t>
        </is>
      </c>
      <c r="H15" s="26" t="n">
        <v>45017</v>
      </c>
      <c r="I15">
        <f>ROUND(Table1[[#This Row],[Base_Salary]]/12, 0)</f>
        <v/>
      </c>
      <c r="J15" s="39">
        <f>SUM(Table1[[#This Row],[Base_Salary]], Table1[[#This Row],[Bonus]], Table1[[#This Row],[Perks]], Table1[[#This Row],[Other_Comp]])</f>
        <v/>
      </c>
      <c r="K15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6">
      <c r="A16" s="36" t="n">
        <v>1026244</v>
      </c>
      <c r="B16" t="n">
        <v>2024</v>
      </c>
      <c r="C16" t="n">
        <v>1250000</v>
      </c>
      <c r="D16" t="n">
        <v>120000</v>
      </c>
      <c r="E16" t="n">
        <v>14000</v>
      </c>
      <c r="F16" t="n">
        <v>10300</v>
      </c>
      <c r="I16">
        <f>ROUND(Table1[[#This Row],[Base_Salary]]/12, 0)</f>
        <v/>
      </c>
      <c r="J16" s="40">
        <f>SUM(Table1[[#This Row],[Base_Salary]], Table1[[#This Row],[Bonus]], Table1[[#This Row],[Perks]], Table1[[#This Row],[Other_Comp]])</f>
        <v/>
      </c>
      <c r="K16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7">
      <c r="A17" s="35" t="n">
        <v>1027230</v>
      </c>
      <c r="B17" t="n">
        <v>2022</v>
      </c>
      <c r="C17" t="n">
        <v>2200000</v>
      </c>
      <c r="D17" t="n">
        <v>0</v>
      </c>
      <c r="E17" t="n">
        <v>0</v>
      </c>
      <c r="F17" t="n">
        <v>0</v>
      </c>
      <c r="I17">
        <f>ROUND(Table1[[#This Row],[Base_Salary]]/12, 0)</f>
        <v/>
      </c>
      <c r="J17" s="39">
        <f>SUM(Table1[[#This Row],[Base_Salary]], Table1[[#This Row],[Bonus]], Table1[[#This Row],[Perks]], Table1[[#This Row],[Other_Comp]])</f>
        <v/>
      </c>
      <c r="K17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8">
      <c r="A18" s="35" t="n">
        <v>1027230</v>
      </c>
      <c r="B18" t="n">
        <v>2023</v>
      </c>
      <c r="C18" t="n">
        <v>2300000</v>
      </c>
      <c r="D18" t="n">
        <v>5555</v>
      </c>
      <c r="E18" t="n">
        <v>0</v>
      </c>
      <c r="F18" t="n">
        <v>0</v>
      </c>
      <c r="I18">
        <f>ROUND(Table1[[#This Row],[Base_Salary]]/12, 0)</f>
        <v/>
      </c>
      <c r="J18" s="39">
        <f>SUM(Table1[[#This Row],[Base_Salary]], Table1[[#This Row],[Bonus]], Table1[[#This Row],[Perks]], Table1[[#This Row],[Other_Comp]])</f>
        <v/>
      </c>
      <c r="K18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19">
      <c r="A19" s="35" t="n">
        <v>1027230</v>
      </c>
      <c r="B19" t="n">
        <v>2024</v>
      </c>
      <c r="C19" t="n">
        <v>3000000</v>
      </c>
      <c r="D19" t="n">
        <v>150000</v>
      </c>
      <c r="E19" t="n">
        <v>0</v>
      </c>
      <c r="F19" t="n">
        <v>0</v>
      </c>
      <c r="I19">
        <f>ROUND(Table1[[#This Row],[Base_Salary]]/12, 0)</f>
        <v/>
      </c>
      <c r="J19" s="39">
        <f>SUM(Table1[[#This Row],[Base_Salary]], Table1[[#This Row],[Bonus]], Table1[[#This Row],[Perks]], Table1[[#This Row],[Other_Comp]])</f>
        <v/>
      </c>
      <c r="K19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0">
      <c r="A20" s="35" t="n">
        <v>1028538</v>
      </c>
      <c r="B20" t="n">
        <v>2022</v>
      </c>
      <c r="C20" t="n">
        <v>2268000</v>
      </c>
      <c r="D20" t="n">
        <v>9999</v>
      </c>
      <c r="E20" t="n">
        <v>0</v>
      </c>
      <c r="F20" t="n">
        <v>8787</v>
      </c>
      <c r="G20" t="inlineStr">
        <is>
          <t>Yes</t>
        </is>
      </c>
      <c r="H20" s="26" t="n">
        <v>44652</v>
      </c>
      <c r="I20">
        <f>ROUND(Table1[[#This Row],[Base_Salary]]/12, 0)</f>
        <v/>
      </c>
      <c r="J20" s="39">
        <f>SUM(Table1[[#This Row],[Base_Salary]], Table1[[#This Row],[Bonus]], Table1[[#This Row],[Perks]], Table1[[#This Row],[Other_Comp]])</f>
        <v/>
      </c>
      <c r="K20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1">
      <c r="A21" s="35" t="n">
        <v>1028538</v>
      </c>
      <c r="B21" t="n">
        <v>2023</v>
      </c>
      <c r="C21" t="n">
        <v>2368000</v>
      </c>
      <c r="D21" t="n">
        <v>8787</v>
      </c>
      <c r="E21" t="n">
        <v>0</v>
      </c>
      <c r="F21" t="n">
        <v>40000</v>
      </c>
      <c r="I21">
        <f>ROUND(Table1[[#This Row],[Base_Salary]]/12, 0)</f>
        <v/>
      </c>
      <c r="J21" s="39">
        <f>SUM(Table1[[#This Row],[Base_Salary]], Table1[[#This Row],[Bonus]], Table1[[#This Row],[Perks]], Table1[[#This Row],[Other_Comp]])</f>
        <v/>
      </c>
      <c r="K21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2">
      <c r="A22" s="35" t="n">
        <v>1028538</v>
      </c>
      <c r="B22" t="n">
        <v>2024</v>
      </c>
      <c r="C22" t="n">
        <v>5000000</v>
      </c>
      <c r="D22" t="n">
        <v>40000</v>
      </c>
      <c r="E22" t="n">
        <v>0</v>
      </c>
      <c r="F22" t="n">
        <v>6766</v>
      </c>
      <c r="I22">
        <f>ROUND(Table1[[#This Row],[Base_Salary]]/12, 0)</f>
        <v/>
      </c>
      <c r="J22" s="39">
        <f>SUM(Table1[[#This Row],[Base_Salary]], Table1[[#This Row],[Bonus]], Table1[[#This Row],[Perks]], Table1[[#This Row],[Other_Comp]])</f>
        <v/>
      </c>
      <c r="K2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3">
      <c r="A23" s="35" t="n">
        <v>1028704</v>
      </c>
      <c r="B23" t="n">
        <v>2022</v>
      </c>
      <c r="C23" t="n">
        <v>7500000</v>
      </c>
      <c r="D23" t="n">
        <v>6766</v>
      </c>
      <c r="E23" t="n">
        <v>0</v>
      </c>
      <c r="F23" t="n">
        <v>0</v>
      </c>
      <c r="I23">
        <f>ROUND(Table1[[#This Row],[Base_Salary]]/12, 0)</f>
        <v/>
      </c>
      <c r="J23" s="39">
        <f>SUM(Table1[[#This Row],[Base_Salary]], Table1[[#This Row],[Bonus]], Table1[[#This Row],[Perks]], Table1[[#This Row],[Other_Comp]])</f>
        <v/>
      </c>
      <c r="K23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4">
      <c r="A24" s="35" t="n">
        <v>1028704</v>
      </c>
      <c r="B24" t="n">
        <v>2023</v>
      </c>
      <c r="C24" t="n">
        <v>8000000</v>
      </c>
      <c r="D24" t="n">
        <v>0</v>
      </c>
      <c r="E24" t="n">
        <v>0</v>
      </c>
      <c r="F24" t="n">
        <v>100000</v>
      </c>
      <c r="I24">
        <f>ROUND(Table1[[#This Row],[Base_Salary]]/12, 0)</f>
        <v/>
      </c>
      <c r="J24" s="39">
        <f>SUM(Table1[[#This Row],[Base_Salary]], Table1[[#This Row],[Bonus]], Table1[[#This Row],[Perks]], Table1[[#This Row],[Other_Comp]])</f>
        <v/>
      </c>
      <c r="K24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5">
      <c r="A25" s="35" t="n">
        <v>1028704</v>
      </c>
      <c r="B25" t="n">
        <v>2024</v>
      </c>
      <c r="C25" t="n">
        <v>9300009</v>
      </c>
      <c r="D25" t="n">
        <v>100000</v>
      </c>
      <c r="E25" t="n">
        <v>0</v>
      </c>
      <c r="F25" t="n">
        <v>76765</v>
      </c>
      <c r="G25" t="inlineStr">
        <is>
          <t>Yes</t>
        </is>
      </c>
      <c r="H25" s="26" t="n">
        <v>45383</v>
      </c>
      <c r="I25">
        <f>ROUND(Table1[[#This Row],[Base_Salary]]/12, 0)</f>
        <v/>
      </c>
      <c r="J25" s="39">
        <f>SUM(Table1[[#This Row],[Base_Salary]], Table1[[#This Row],[Bonus]], Table1[[#This Row],[Perks]], Table1[[#This Row],[Other_Comp]])</f>
        <v/>
      </c>
      <c r="K25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6">
      <c r="A26" s="35" t="n">
        <v>1032824</v>
      </c>
      <c r="B26" t="n">
        <v>2022</v>
      </c>
      <c r="C26" t="n">
        <v>1450000</v>
      </c>
      <c r="D26" t="n">
        <v>76765</v>
      </c>
      <c r="E26" t="n">
        <v>0</v>
      </c>
      <c r="F26" t="n">
        <v>95559</v>
      </c>
      <c r="I26">
        <f>ROUND(Table1[[#This Row],[Base_Salary]]/12, 0)</f>
        <v/>
      </c>
      <c r="J26" s="39">
        <f>SUM(Table1[[#This Row],[Base_Salary]], Table1[[#This Row],[Bonus]], Table1[[#This Row],[Perks]], Table1[[#This Row],[Other_Comp]])</f>
        <v/>
      </c>
      <c r="K26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7">
      <c r="A27" s="35" t="n">
        <v>1032824</v>
      </c>
      <c r="B27" t="n">
        <v>2023</v>
      </c>
      <c r="C27" t="n">
        <v>1500000</v>
      </c>
      <c r="D27" t="n">
        <v>95559</v>
      </c>
      <c r="E27" t="n">
        <v>0</v>
      </c>
      <c r="F27" t="n">
        <v>50000</v>
      </c>
      <c r="I27">
        <f>ROUND(Table1[[#This Row],[Base_Salary]]/12, 0)</f>
        <v/>
      </c>
      <c r="J27" s="39">
        <f>SUM(Table1[[#This Row],[Base_Salary]], Table1[[#This Row],[Bonus]], Table1[[#This Row],[Perks]], Table1[[#This Row],[Other_Comp]])</f>
        <v/>
      </c>
      <c r="K27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8">
      <c r="A28" s="35" t="n">
        <v>1032824</v>
      </c>
      <c r="B28" t="n">
        <v>2024</v>
      </c>
      <c r="C28" t="n">
        <v>2500000</v>
      </c>
      <c r="D28" t="n">
        <v>50000</v>
      </c>
      <c r="E28" t="n">
        <v>0</v>
      </c>
      <c r="F28" t="n">
        <v>10000</v>
      </c>
      <c r="G28" t="inlineStr">
        <is>
          <t>Yes</t>
        </is>
      </c>
      <c r="H28" s="26" t="n">
        <v>45383</v>
      </c>
      <c r="I28">
        <f>ROUND(Table1[[#This Row],[Base_Salary]]/12, 0)</f>
        <v/>
      </c>
      <c r="J28" s="40">
        <f>SUM(Table1[[#This Row],[Base_Salary]], Table1[[#This Row],[Bonus]], Table1[[#This Row],[Perks]], Table1[[#This Row],[Other_Comp]])</f>
        <v/>
      </c>
      <c r="K28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29">
      <c r="A29" s="35" t="n">
        <v>1019816</v>
      </c>
      <c r="B29" t="n">
        <v>2022</v>
      </c>
      <c r="C29" t="n">
        <v>1955000</v>
      </c>
      <c r="D29" t="n">
        <v>10000</v>
      </c>
      <c r="E29" t="n">
        <v>10000</v>
      </c>
      <c r="F29" t="n">
        <v>0</v>
      </c>
      <c r="I29">
        <f>ROUND(Table1[[#This Row],[Base_Salary]]/12, 0)</f>
        <v/>
      </c>
      <c r="J29" s="39">
        <f>SUM(Table1[[#This Row],[Base_Salary]], Table1[[#This Row],[Bonus]], Table1[[#This Row],[Perks]], Table1[[#This Row],[Other_Comp]])</f>
        <v/>
      </c>
      <c r="K29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0">
      <c r="A30" s="35" t="n">
        <v>1019816</v>
      </c>
      <c r="B30" t="n">
        <v>2023</v>
      </c>
      <c r="C30" t="n">
        <v>2000000</v>
      </c>
      <c r="D30" t="n">
        <v>40000</v>
      </c>
      <c r="E30" t="n">
        <v>2000</v>
      </c>
      <c r="F30" t="n">
        <v>0</v>
      </c>
      <c r="I30">
        <f>ROUND(Table1[[#This Row],[Base_Salary]]/12, 0)</f>
        <v/>
      </c>
      <c r="J30" s="39">
        <f>SUM(Table1[[#This Row],[Base_Salary]], Table1[[#This Row],[Bonus]], Table1[[#This Row],[Perks]], Table1[[#This Row],[Other_Comp]])</f>
        <v/>
      </c>
      <c r="K30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1">
      <c r="A31" s="36" t="n">
        <v>1019816</v>
      </c>
      <c r="B31" t="n">
        <v>2024</v>
      </c>
      <c r="C31" t="n">
        <v>2100000</v>
      </c>
      <c r="D31" t="n">
        <v>20000</v>
      </c>
      <c r="E31" t="n">
        <v>3000</v>
      </c>
      <c r="F31" t="n">
        <v>0</v>
      </c>
      <c r="G31" t="inlineStr">
        <is>
          <t>Yes</t>
        </is>
      </c>
      <c r="H31" s="26" t="n">
        <v>45383</v>
      </c>
      <c r="I31">
        <f>ROUND(Table1[[#This Row],[Base_Salary]]/12, 0)</f>
        <v/>
      </c>
      <c r="J31" s="39">
        <f>SUM(Table1[[#This Row],[Base_Salary]], Table1[[#This Row],[Bonus]], Table1[[#This Row],[Perks]], Table1[[#This Row],[Other_Comp]])</f>
        <v/>
      </c>
      <c r="K31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2">
      <c r="A32" s="36" t="n">
        <v>1017149</v>
      </c>
      <c r="B32" t="n">
        <v>2022</v>
      </c>
      <c r="C32" t="n">
        <v>1645000</v>
      </c>
      <c r="D32" t="n">
        <v>76765</v>
      </c>
      <c r="E32" t="n">
        <v>5000</v>
      </c>
      <c r="F32" t="n">
        <v>76765</v>
      </c>
      <c r="I32">
        <f>ROUND(Table1[[#This Row],[Base_Salary]]/12, 0)</f>
        <v/>
      </c>
      <c r="J32" s="39">
        <f>SUM(Table1[[#This Row],[Base_Salary]], Table1[[#This Row],[Bonus]], Table1[[#This Row],[Perks]], Table1[[#This Row],[Other_Comp]])</f>
        <v/>
      </c>
      <c r="K3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3">
      <c r="A33" s="36" t="n">
        <v>1017149</v>
      </c>
      <c r="B33" t="n">
        <v>2023</v>
      </c>
      <c r="C33" t="n">
        <v>1754000</v>
      </c>
      <c r="D33" t="n">
        <v>95559</v>
      </c>
      <c r="E33" t="n">
        <v>14000</v>
      </c>
      <c r="F33" t="n">
        <v>95559</v>
      </c>
      <c r="I33">
        <f>ROUND(Table1[[#This Row],[Base_Salary]]/12, 0)</f>
        <v/>
      </c>
      <c r="J33" s="39">
        <f>SUM(Table1[[#This Row],[Base_Salary]], Table1[[#This Row],[Bonus]], Table1[[#This Row],[Perks]], Table1[[#This Row],[Other_Comp]])</f>
        <v/>
      </c>
      <c r="K33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4">
      <c r="A34" t="n">
        <v>1017149</v>
      </c>
      <c r="B34" t="n">
        <v>2024</v>
      </c>
      <c r="C34" t="n">
        <v>1833000</v>
      </c>
      <c r="D34" t="n">
        <v>50000</v>
      </c>
      <c r="E34" t="n">
        <v>2000</v>
      </c>
      <c r="F34" t="n">
        <v>50000</v>
      </c>
      <c r="I34">
        <f>ROUND(Table1[[#This Row],[Base_Salary]]/12, 0)</f>
        <v/>
      </c>
      <c r="J34" s="39">
        <f>SUM(Table1[[#This Row],[Base_Salary]], Table1[[#This Row],[Bonus]], Table1[[#This Row],[Perks]], Table1[[#This Row],[Other_Comp]])</f>
        <v/>
      </c>
      <c r="K34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5">
      <c r="A35" t="n">
        <v>1033925</v>
      </c>
      <c r="B35" t="n">
        <v>2022</v>
      </c>
      <c r="C35" t="n">
        <v>5000000</v>
      </c>
      <c r="D35" t="n">
        <v>120000</v>
      </c>
      <c r="E35" t="n">
        <v>76765</v>
      </c>
      <c r="F35" t="n">
        <v>10000</v>
      </c>
      <c r="I35">
        <f>ROUND(Table1[[#This Row],[Base_Salary]]/12, 0)</f>
        <v/>
      </c>
      <c r="J35" s="39">
        <f>SUM(Table1[[#This Row],[Base_Salary]], Table1[[#This Row],[Bonus]], Table1[[#This Row],[Perks]], Table1[[#This Row],[Other_Comp]])</f>
        <v/>
      </c>
      <c r="K35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6">
      <c r="A36" t="n">
        <v>1033925</v>
      </c>
      <c r="B36" t="n">
        <v>2023</v>
      </c>
      <c r="C36" t="n">
        <v>620000</v>
      </c>
      <c r="D36" t="n">
        <v>0</v>
      </c>
      <c r="E36" t="n">
        <v>10000</v>
      </c>
      <c r="F36" t="n">
        <v>0</v>
      </c>
      <c r="I36">
        <f>ROUND(Table1[[#This Row],[Base_Salary]]/12, 0)</f>
        <v/>
      </c>
      <c r="J36" s="39">
        <f>SUM(Table1[[#This Row],[Base_Salary]], Table1[[#This Row],[Bonus]], Table1[[#This Row],[Perks]], Table1[[#This Row],[Other_Comp]])</f>
        <v/>
      </c>
      <c r="K36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7">
      <c r="A37" t="n">
        <v>1033925</v>
      </c>
      <c r="B37" t="n">
        <v>2024</v>
      </c>
      <c r="C37" t="n">
        <v>720000</v>
      </c>
      <c r="D37" t="n">
        <v>5555</v>
      </c>
      <c r="E37" t="n">
        <v>2000</v>
      </c>
      <c r="F37" t="n">
        <v>0</v>
      </c>
      <c r="I37">
        <f>ROUND(Table1[[#This Row],[Base_Salary]]/12, 0)</f>
        <v/>
      </c>
      <c r="J37" s="39">
        <f>SUM(Table1[[#This Row],[Base_Salary]], Table1[[#This Row],[Bonus]], Table1[[#This Row],[Perks]], Table1[[#This Row],[Other_Comp]])</f>
        <v/>
      </c>
      <c r="K37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8">
      <c r="A38" t="n">
        <v>1019823</v>
      </c>
      <c r="B38" t="n">
        <v>2022</v>
      </c>
      <c r="C38" t="n">
        <v>820000</v>
      </c>
      <c r="D38" t="n">
        <v>150000</v>
      </c>
      <c r="E38" t="n">
        <v>3000</v>
      </c>
      <c r="F38" t="n">
        <v>0</v>
      </c>
      <c r="I38">
        <f>ROUND(Table1[[#This Row],[Base_Salary]]/12, 0)</f>
        <v/>
      </c>
      <c r="J38" s="39">
        <f>SUM(Table1[[#This Row],[Base_Salary]], Table1[[#This Row],[Bonus]], Table1[[#This Row],[Perks]], Table1[[#This Row],[Other_Comp]])</f>
        <v/>
      </c>
      <c r="K38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39">
      <c r="A39" t="n">
        <v>1019823</v>
      </c>
      <c r="B39" t="n">
        <v>2023</v>
      </c>
      <c r="C39" t="n">
        <v>1038000</v>
      </c>
      <c r="D39" t="n">
        <v>9999</v>
      </c>
      <c r="E39" t="n">
        <v>76765</v>
      </c>
      <c r="F39" t="n">
        <v>0</v>
      </c>
      <c r="I39">
        <f>ROUND(Table1[[#This Row],[Base_Salary]]/12, 0)</f>
        <v/>
      </c>
      <c r="J39" s="39">
        <f>SUM(Table1[[#This Row],[Base_Salary]], Table1[[#This Row],[Bonus]], Table1[[#This Row],[Perks]], Table1[[#This Row],[Other_Comp]])</f>
        <v/>
      </c>
      <c r="K39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0">
      <c r="A40" t="n">
        <v>1019823</v>
      </c>
      <c r="B40" t="n">
        <v>2024</v>
      </c>
      <c r="C40" t="n">
        <v>1138000</v>
      </c>
      <c r="D40" t="n">
        <v>8787</v>
      </c>
      <c r="E40" t="n">
        <v>10000</v>
      </c>
      <c r="F40" t="n">
        <v>0</v>
      </c>
      <c r="I40">
        <f>ROUND(Table1[[#This Row],[Base_Salary]]/12, 0)</f>
        <v/>
      </c>
      <c r="J40" s="39">
        <f>SUM(Table1[[#This Row],[Base_Salary]], Table1[[#This Row],[Bonus]], Table1[[#This Row],[Perks]], Table1[[#This Row],[Other_Comp]])</f>
        <v/>
      </c>
      <c r="K40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1">
      <c r="A41" t="n">
        <v>1033626</v>
      </c>
      <c r="B41" t="n">
        <v>2022</v>
      </c>
      <c r="C41" t="n">
        <v>2000000</v>
      </c>
      <c r="D41" t="n">
        <v>40000</v>
      </c>
      <c r="E41" t="n">
        <v>2000</v>
      </c>
      <c r="F41" t="n">
        <v>0</v>
      </c>
      <c r="I41">
        <f>ROUND(Table1[[#This Row],[Base_Salary]]/12, 0)</f>
        <v/>
      </c>
      <c r="J41" s="39">
        <f>SUM(Table1[[#This Row],[Base_Salary]], Table1[[#This Row],[Bonus]], Table1[[#This Row],[Perks]], Table1[[#This Row],[Other_Comp]])</f>
        <v/>
      </c>
      <c r="K41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2">
      <c r="A42" t="n">
        <v>1033626</v>
      </c>
      <c r="B42" t="n">
        <v>2023</v>
      </c>
      <c r="C42" t="n">
        <v>2500009</v>
      </c>
      <c r="D42" t="n">
        <v>6766</v>
      </c>
      <c r="E42" t="n">
        <v>3000</v>
      </c>
      <c r="F42" t="n">
        <v>76765</v>
      </c>
      <c r="I42">
        <f>ROUND(Table1[[#This Row],[Base_Salary]]/12, 0)</f>
        <v/>
      </c>
      <c r="J42" s="39">
        <f>SUM(Table1[[#This Row],[Base_Salary]], Table1[[#This Row],[Bonus]], Table1[[#This Row],[Perks]], Table1[[#This Row],[Other_Comp]])</f>
        <v/>
      </c>
      <c r="K4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3">
      <c r="A43" t="n">
        <v>1031048</v>
      </c>
      <c r="B43" t="n">
        <v>2022</v>
      </c>
      <c r="C43" t="n">
        <v>550000</v>
      </c>
      <c r="D43" t="n">
        <v>0</v>
      </c>
      <c r="E43" t="n">
        <v>5000</v>
      </c>
      <c r="F43" t="n">
        <v>95559</v>
      </c>
      <c r="I43">
        <f>ROUND(Table1[[#This Row],[Base_Salary]]/12, 0)</f>
        <v/>
      </c>
      <c r="J43" s="39">
        <f>SUM(Table1[[#This Row],[Base_Salary]], Table1[[#This Row],[Bonus]], Table1[[#This Row],[Perks]], Table1[[#This Row],[Other_Comp]])</f>
        <v/>
      </c>
      <c r="K43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4">
      <c r="A44" t="n">
        <v>1031048</v>
      </c>
      <c r="B44" t="n">
        <v>2023</v>
      </c>
      <c r="C44" t="n">
        <v>750000</v>
      </c>
      <c r="D44" t="n">
        <v>100000</v>
      </c>
      <c r="E44" t="n">
        <v>14000</v>
      </c>
      <c r="F44" t="n">
        <v>50000</v>
      </c>
      <c r="I44">
        <f>ROUND(Table1[[#This Row],[Base_Salary]]/12, 0)</f>
        <v/>
      </c>
      <c r="J44" s="39">
        <f>SUM(Table1[[#This Row],[Base_Salary]], Table1[[#This Row],[Bonus]], Table1[[#This Row],[Perks]], Table1[[#This Row],[Other_Comp]])</f>
        <v/>
      </c>
      <c r="K44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5">
      <c r="A45" t="n">
        <v>1031048</v>
      </c>
      <c r="B45" t="n">
        <v>2024</v>
      </c>
      <c r="C45" t="n">
        <v>1000000</v>
      </c>
      <c r="D45" t="n">
        <v>76765</v>
      </c>
      <c r="E45" t="n">
        <v>10000</v>
      </c>
      <c r="F45" t="n">
        <v>10000</v>
      </c>
      <c r="I45">
        <f>ROUND(Table1[[#This Row],[Base_Salary]]/12, 0)</f>
        <v/>
      </c>
      <c r="J45" s="39">
        <f>SUM(Table1[[#This Row],[Base_Salary]], Table1[[#This Row],[Bonus]], Table1[[#This Row],[Perks]], Table1[[#This Row],[Other_Comp]])</f>
        <v/>
      </c>
      <c r="K45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6">
      <c r="A46" t="n">
        <v>1027420</v>
      </c>
      <c r="B46" t="n">
        <v>2022</v>
      </c>
      <c r="C46" t="n">
        <v>1054000</v>
      </c>
      <c r="D46" t="n">
        <v>10000</v>
      </c>
      <c r="E46" t="n">
        <v>2000</v>
      </c>
      <c r="F46" t="n">
        <v>0</v>
      </c>
      <c r="I46">
        <f>ROUND(Table1[[#This Row],[Base_Salary]]/12, 0)</f>
        <v/>
      </c>
      <c r="J46" s="39">
        <f>SUM(Table1[[#This Row],[Base_Salary]], Table1[[#This Row],[Bonus]], Table1[[#This Row],[Perks]], Table1[[#This Row],[Other_Comp]])</f>
        <v/>
      </c>
      <c r="K46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7">
      <c r="A47" t="n">
        <v>1027420</v>
      </c>
      <c r="B47" t="n">
        <v>2023</v>
      </c>
      <c r="C47" t="n">
        <v>1250000</v>
      </c>
      <c r="D47" t="n">
        <v>2000</v>
      </c>
      <c r="E47" t="n">
        <v>3000</v>
      </c>
      <c r="F47" t="n">
        <v>76765</v>
      </c>
      <c r="I47">
        <f>ROUND(Table1[[#This Row],[Base_Salary]]/12, 0)</f>
        <v/>
      </c>
      <c r="J47" s="39">
        <f>SUM(Table1[[#This Row],[Base_Salary]], Table1[[#This Row],[Bonus]], Table1[[#This Row],[Perks]], Table1[[#This Row],[Other_Comp]])</f>
        <v/>
      </c>
      <c r="K47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8">
      <c r="A48" s="35" t="n">
        <v>1027420</v>
      </c>
      <c r="B48" t="n">
        <v>2024</v>
      </c>
      <c r="C48" t="n">
        <v>1250335</v>
      </c>
      <c r="D48" t="n">
        <v>3000</v>
      </c>
      <c r="E48" t="n">
        <v>76765</v>
      </c>
      <c r="F48" t="n">
        <v>95559</v>
      </c>
      <c r="I48">
        <f>ROUND(Table1[[#This Row],[Base_Salary]]/12, 0)</f>
        <v/>
      </c>
      <c r="J48" s="39">
        <f>SUM(Table1[[#This Row],[Base_Salary]], Table1[[#This Row],[Bonus]], Table1[[#This Row],[Perks]], Table1[[#This Row],[Other_Comp]])</f>
        <v/>
      </c>
      <c r="K48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49">
      <c r="A49" s="35" t="n">
        <v>1033227</v>
      </c>
      <c r="B49" t="n">
        <v>2022</v>
      </c>
      <c r="C49" t="n">
        <v>900000</v>
      </c>
      <c r="D49" t="n">
        <v>5000</v>
      </c>
      <c r="E49" t="n">
        <v>10000</v>
      </c>
      <c r="F49" t="n">
        <v>50000</v>
      </c>
      <c r="I49">
        <f>ROUND(Table1[[#This Row],[Base_Salary]]/12, 0)</f>
        <v/>
      </c>
      <c r="J49" s="39">
        <f>SUM(Table1[[#This Row],[Base_Salary]], Table1[[#This Row],[Bonus]], Table1[[#This Row],[Perks]], Table1[[#This Row],[Other_Comp]])</f>
        <v/>
      </c>
      <c r="K49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0">
      <c r="A50" s="35" t="n">
        <v>1033227</v>
      </c>
      <c r="B50" t="n">
        <v>2023</v>
      </c>
      <c r="C50" t="n">
        <v>950000</v>
      </c>
      <c r="D50" t="n">
        <v>14000</v>
      </c>
      <c r="E50" t="n">
        <v>2000</v>
      </c>
      <c r="F50" t="n">
        <v>10000</v>
      </c>
      <c r="G50" t="inlineStr">
        <is>
          <t>Yes</t>
        </is>
      </c>
      <c r="H50" s="26" t="n">
        <v>45017</v>
      </c>
      <c r="I50">
        <f>ROUND(Table1[[#This Row],[Base_Salary]]/12, 0)</f>
        <v/>
      </c>
      <c r="J50" s="39">
        <f>SUM(Table1[[#This Row],[Base_Salary]], Table1[[#This Row],[Bonus]], Table1[[#This Row],[Perks]], Table1[[#This Row],[Other_Comp]])</f>
        <v/>
      </c>
      <c r="K50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1">
      <c r="A51" t="n">
        <v>1033227</v>
      </c>
      <c r="B51" t="n">
        <v>2024</v>
      </c>
      <c r="C51" t="n">
        <v>1150000</v>
      </c>
      <c r="D51" t="n">
        <v>2000</v>
      </c>
      <c r="E51" t="n">
        <v>3000</v>
      </c>
      <c r="F51" t="n">
        <v>0</v>
      </c>
      <c r="I51">
        <f>ROUND(Table1[[#This Row],[Base_Salary]]/12, 0)</f>
        <v/>
      </c>
      <c r="J51" s="39">
        <f>SUM(Table1[[#This Row],[Base_Salary]], Table1[[#This Row],[Bonus]], Table1[[#This Row],[Perks]], Table1[[#This Row],[Other_Comp]])</f>
        <v/>
      </c>
      <c r="K51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2">
      <c r="A52" t="n">
        <v>1026220</v>
      </c>
      <c r="B52" t="n">
        <v>2020</v>
      </c>
      <c r="C52" t="n">
        <v>300000</v>
      </c>
      <c r="D52" t="n">
        <v>12000</v>
      </c>
      <c r="E52" t="n">
        <v>4000</v>
      </c>
      <c r="I52">
        <f>ROUND(Table1[[#This Row],[Base_Salary]]/12, 0)</f>
        <v/>
      </c>
      <c r="J52" s="39">
        <f>SUM(Table1[[#This Row],[Base_Salary]], Table1[[#This Row],[Bonus]], Table1[[#This Row],[Perks]], Table1[[#This Row],[Other_Comp]])</f>
        <v/>
      </c>
      <c r="K52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3">
      <c r="A53" t="n">
        <v>1026220</v>
      </c>
      <c r="B53" t="n">
        <v>2021</v>
      </c>
      <c r="C53" t="n">
        <v>350000</v>
      </c>
      <c r="D53" t="n">
        <v>15000</v>
      </c>
      <c r="E53" t="n">
        <v>5000</v>
      </c>
      <c r="I53">
        <f>ROUND(Table1[[#This Row],[Base_Salary]]/12, 0)</f>
        <v/>
      </c>
      <c r="J53" s="39">
        <f>SUM(Table1[[#This Row],[Base_Salary]], Table1[[#This Row],[Bonus]], Table1[[#This Row],[Perks]], Table1[[#This Row],[Other_Comp]])</f>
        <v/>
      </c>
      <c r="K53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4">
      <c r="A54" s="51" t="n">
        <v>1026220</v>
      </c>
      <c r="B54" t="n">
        <v>2022</v>
      </c>
      <c r="C54" t="n">
        <v>400000</v>
      </c>
      <c r="D54" t="n">
        <v>30000</v>
      </c>
      <c r="E54" t="n">
        <v>1000</v>
      </c>
      <c r="I54">
        <f>ROUND(Table1[[#This Row],[Base_Salary]]/12, 0)</f>
        <v/>
      </c>
      <c r="J54" s="39">
        <f>SUM(Table1[[#This Row],[Base_Salary]], Table1[[#This Row],[Bonus]], Table1[[#This Row],[Perks]], Table1[[#This Row],[Other_Comp]])</f>
        <v/>
      </c>
      <c r="K54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5">
      <c r="A55" t="n">
        <v>1026220</v>
      </c>
      <c r="B55" t="n">
        <v>2023</v>
      </c>
      <c r="C55" t="n">
        <v>500000</v>
      </c>
      <c r="D55" t="n">
        <v>34000</v>
      </c>
      <c r="E55" t="n">
        <v>3000</v>
      </c>
      <c r="I55">
        <f>ROUND(Table1[[#This Row],[Base_Salary]]/12, 0)</f>
        <v/>
      </c>
      <c r="J55" s="39">
        <f>SUM(Table1[[#This Row],[Base_Salary]], Table1[[#This Row],[Bonus]], Table1[[#This Row],[Perks]], Table1[[#This Row],[Other_Comp]])</f>
        <v/>
      </c>
      <c r="K55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56">
      <c r="A56" s="51" t="n">
        <v>1026220</v>
      </c>
      <c r="B56" t="n">
        <v>2024</v>
      </c>
      <c r="C56" t="n">
        <v>700000</v>
      </c>
      <c r="D56" t="n">
        <v>29000</v>
      </c>
      <c r="E56" t="n">
        <v>6000</v>
      </c>
      <c r="I56">
        <f>ROUND(Table1[[#This Row],[Base_Salary]]/12, 0)</f>
        <v/>
      </c>
      <c r="J56" s="39">
        <f>SUM(Table1[[#This Row],[Base_Salary]], Table1[[#This Row],[Bonus]], Table1[[#This Row],[Perks]], Table1[[#This Row],[Other_Comp]])</f>
        <v/>
      </c>
      <c r="K56">
        <f>IF(
   AND(Table1[[#This Row],[EMPLOYEE NUMBER]] = OFFSET(Table1[[#This Row],[EMPLOYEE NUMBER]], -1, 0),
       OFFSET(Table1[[#This Row],[Total_CTC]], -1, 0)&lt;&gt;0),
   (Table1[[#This Row],[Total_CTC]] - OFFSET(Table1[[#This Row],[Total_CTC]], -1, 0)) / OFFSET(Table1[[#This Row],[Total_CTC]], -1, 0),
   0
)</f>
        <v/>
      </c>
    </row>
    <row r="63">
      <c r="A63" t="n">
        <v>1027928</v>
      </c>
    </row>
    <row r="64">
      <c r="A64" s="27" t="n">
        <v>1027181</v>
      </c>
    </row>
    <row r="65">
      <c r="A65" t="n">
        <v>1026264</v>
      </c>
    </row>
    <row r="66">
      <c r="A66" s="27" t="n">
        <v>1024939</v>
      </c>
    </row>
    <row r="67">
      <c r="A67" t="n">
        <v>1026361</v>
      </c>
    </row>
    <row r="68">
      <c r="A68" s="27" t="n">
        <v>1027109</v>
      </c>
    </row>
    <row r="69">
      <c r="A69" t="n">
        <v>1028086</v>
      </c>
    </row>
    <row r="70">
      <c r="A70" s="27" t="n">
        <v>1024570</v>
      </c>
    </row>
    <row r="71">
      <c r="A71" t="n">
        <v>1027026</v>
      </c>
    </row>
    <row r="72">
      <c r="A72" s="50" t="n">
        <v>1030216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29" workbookViewId="0">
      <selection activeCell="I30" sqref="I30"/>
    </sheetView>
  </sheetViews>
  <sheetFormatPr baseColWidth="8" defaultRowHeight="14.25"/>
  <cols>
    <col width="21.625" customWidth="1" min="1" max="1"/>
    <col width="20.625" customWidth="1" min="2" max="2"/>
    <col width="14.875" customWidth="1" min="3" max="3"/>
    <col width="13.375" customWidth="1" min="4" max="4"/>
    <col width="11.5" customWidth="1" min="5" max="5"/>
    <col width="11.125" customWidth="1" min="6" max="6"/>
    <col width="19.625" customWidth="1" min="7" max="7"/>
    <col width="20.25" customWidth="1" min="8" max="8"/>
    <col width="22.875" customWidth="1" min="9" max="9"/>
    <col width="18.875" customWidth="1" min="10" max="10"/>
    <col width="19.625" customWidth="1" min="11" max="11"/>
    <col width="21.625" customWidth="1" min="12" max="12"/>
    <col width="11.125" bestFit="1" customWidth="1" min="13" max="13"/>
    <col width="7.875" customWidth="1" min="14" max="14"/>
  </cols>
  <sheetData>
    <row r="1" ht="15" customHeight="1">
      <c r="A1" s="30" t="inlineStr">
        <is>
          <t>PROMOTION_ID</t>
        </is>
      </c>
      <c r="B1" s="30" t="inlineStr">
        <is>
          <t>EVENT_DATE</t>
        </is>
      </c>
      <c r="C1" s="30" t="inlineStr">
        <is>
          <t>END DATE</t>
        </is>
      </c>
      <c r="D1" s="30" t="inlineStr">
        <is>
          <t>EVENT_TYPE</t>
        </is>
      </c>
      <c r="E1" s="30" t="inlineStr">
        <is>
          <t>DAY VALUE</t>
        </is>
      </c>
      <c r="F1" s="30" t="inlineStr">
        <is>
          <t>NEW_CTC</t>
        </is>
      </c>
      <c r="G1" s="30" t="inlineStr">
        <is>
          <t>PREVIOUS_CTC</t>
        </is>
      </c>
      <c r="H1" s="30" t="inlineStr">
        <is>
          <t>HIKE_PERCENTAGE</t>
        </is>
      </c>
      <c r="I1" s="30" t="inlineStr">
        <is>
          <t>REASON_FOR_EVENT</t>
        </is>
      </c>
      <c r="J1" s="31" t="inlineStr">
        <is>
          <t>EMPLOYEE SYS ID</t>
        </is>
      </c>
      <c r="K1" s="31" t="inlineStr">
        <is>
          <t>EVENT_TYPE SYS ID</t>
        </is>
      </c>
      <c r="L1" s="31" t="inlineStr">
        <is>
          <t>EVENT_TYPE_SYMBOL</t>
        </is>
      </c>
      <c r="M1" s="31" t="inlineStr">
        <is>
          <t>ERROR IND</t>
        </is>
      </c>
      <c r="N1" s="31" t="inlineStr">
        <is>
          <t>ERROR</t>
        </is>
      </c>
    </row>
    <row r="2" ht="15" customHeight="1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3" t="n"/>
      <c r="M2" s="43" t="n"/>
      <c r="N2" s="43" t="n"/>
    </row>
    <row r="3" ht="16.5" customHeight="1">
      <c r="A3" s="30" t="inlineStr">
        <is>
          <t>EMPLOYEE_SYS_ID</t>
        </is>
      </c>
      <c r="B3" s="30" t="inlineStr">
        <is>
          <t>EVENT_DATE</t>
        </is>
      </c>
      <c r="C3" s="30" t="inlineStr">
        <is>
          <t>END DATE</t>
        </is>
      </c>
      <c r="D3" s="30" t="inlineStr">
        <is>
          <t>JOB_LEVEL</t>
        </is>
      </c>
      <c r="E3" s="30" t="inlineStr">
        <is>
          <t>PREV_CTC</t>
        </is>
      </c>
      <c r="F3" s="30" t="inlineStr">
        <is>
          <t>NEW_CTC</t>
        </is>
      </c>
      <c r="G3" s="30" t="inlineStr">
        <is>
          <t>HIKE_PERCENTAGE</t>
        </is>
      </c>
      <c r="H3" s="30" t="inlineStr">
        <is>
          <t>EVENT_TYPE_SYS_ID</t>
        </is>
      </c>
      <c r="I3" s="30" t="inlineStr">
        <is>
          <t>EVENT_TYPE_SYMBOL</t>
        </is>
      </c>
      <c r="J3" s="31" t="inlineStr">
        <is>
          <t>ERROR_IND</t>
        </is>
      </c>
      <c r="K3" s="31" t="inlineStr">
        <is>
          <t>ERROR</t>
        </is>
      </c>
    </row>
    <row r="4" ht="16.5" customHeight="1">
      <c r="A4" s="49" t="n">
        <v>1026244</v>
      </c>
      <c r="B4" s="46" t="n">
        <v>2022</v>
      </c>
    </row>
    <row r="5" ht="15.75" customHeight="1">
      <c r="A5" s="49" t="n">
        <v>1026244</v>
      </c>
      <c r="B5" s="48" t="n">
        <v>2023</v>
      </c>
    </row>
    <row r="6" ht="15" customHeight="1">
      <c r="A6" s="49" t="n">
        <v>1026244</v>
      </c>
      <c r="B6" s="46" t="n">
        <v>2024</v>
      </c>
    </row>
    <row r="7" ht="19.5" customHeight="1"/>
    <row r="9" ht="32.25" customHeight="1">
      <c r="A9" s="41" t="inlineStr">
        <is>
          <t>Event Metadata:</t>
        </is>
      </c>
      <c r="C9" s="32" t="n"/>
      <c r="D9" s="45" t="n">
        <v>1019272</v>
      </c>
      <c r="E9" s="46" t="n">
        <v>2024</v>
      </c>
    </row>
    <row r="10" ht="28.5" customHeight="1">
      <c r="A10" s="44" t="inlineStr">
        <is>
          <t>EVENT_TYPE_SYS_ID</t>
        </is>
      </c>
      <c r="B10" s="44" t="inlineStr">
        <is>
          <t>: System identifier for the event type.</t>
        </is>
      </c>
      <c r="D10" s="47" t="n">
        <v>1020217</v>
      </c>
      <c r="E10" s="48" t="n">
        <v>2022</v>
      </c>
    </row>
    <row r="11" ht="50.25" customHeight="1">
      <c r="A11" s="44" t="inlineStr">
        <is>
          <t>EVENT_TYPE_SYMBOL</t>
        </is>
      </c>
      <c r="B11" s="44" t="inlineStr">
        <is>
          <t>: Symbol or code representing the event type.</t>
        </is>
      </c>
      <c r="D11" s="45" t="n">
        <v>1020217</v>
      </c>
      <c r="E11" s="46" t="n">
        <v>2023</v>
      </c>
    </row>
    <row r="12" ht="33.75" customHeight="1">
      <c r="A12" s="44" t="inlineStr">
        <is>
          <t>ERROR_IND</t>
        </is>
      </c>
      <c r="B12" s="44" t="inlineStr">
        <is>
          <t>: Indicator for any errors in the data.</t>
        </is>
      </c>
      <c r="D12" s="47" t="n">
        <v>1020217</v>
      </c>
      <c r="E12" s="48" t="n">
        <v>2024</v>
      </c>
    </row>
    <row r="13" ht="33.75" customHeight="1">
      <c r="A13" s="44" t="inlineStr">
        <is>
          <t>ERROR</t>
        </is>
      </c>
      <c r="B13" s="44" t="inlineStr">
        <is>
          <t>: Description of the error, if any</t>
        </is>
      </c>
      <c r="D13" s="49" t="n">
        <v>1026244</v>
      </c>
      <c r="E13" s="46" t="n">
        <v>2022</v>
      </c>
    </row>
    <row r="14" ht="33" customHeight="1">
      <c r="A14" s="44" t="inlineStr">
        <is>
          <t>EVENT_DATE</t>
        </is>
      </c>
      <c r="B14" s="44" t="inlineStr">
        <is>
          <t>: Date of the appraisal or promotion.</t>
        </is>
      </c>
      <c r="D14" s="49" t="n">
        <v>1026244</v>
      </c>
      <c r="E14" s="48" t="n">
        <v>2023</v>
      </c>
    </row>
    <row r="15" ht="18" customHeight="1">
      <c r="A15" s="44" t="inlineStr">
        <is>
          <t>END_DATE</t>
        </is>
      </c>
      <c r="B15" s="44" t="inlineStr">
        <is>
          <t>: End date of the event, if applicable.</t>
        </is>
      </c>
      <c r="D15" s="49" t="n">
        <v>1026244</v>
      </c>
      <c r="E15" s="46" t="n">
        <v>2024</v>
      </c>
    </row>
    <row r="16" ht="33.75" customHeight="1">
      <c r="A16" s="44" t="inlineStr">
        <is>
          <t>EVENT_TYPE</t>
        </is>
      </c>
      <c r="B16" s="44" t="inlineStr">
        <is>
          <t>: Type of event (e.g., Promotion, Appraisal).</t>
        </is>
      </c>
    </row>
    <row r="17" ht="41.25" customHeight="1">
      <c r="A17" s="44" t="inlineStr">
        <is>
          <t>REASON_FOR_EVENT</t>
        </is>
      </c>
      <c r="B17" s="44" t="inlineStr">
        <is>
          <t>: Reason for the event (e.g., Performance, Tenure).​</t>
        </is>
      </c>
    </row>
    <row r="26">
      <c r="C26" s="32" t="n"/>
    </row>
    <row r="30">
      <c r="F30" t="inlineStr">
        <is>
          <t>Emp no</t>
        </is>
      </c>
      <c r="G30" t="inlineStr">
        <is>
          <t>Department</t>
        </is>
      </c>
      <c r="H30" t="inlineStr">
        <is>
          <t>Skill</t>
        </is>
      </c>
    </row>
    <row r="31">
      <c r="F31" s="27" t="n">
        <v>1019272</v>
      </c>
      <c r="G31" s="27" t="inlineStr">
        <is>
          <t>Core</t>
        </is>
      </c>
    </row>
    <row r="32">
      <c r="F32" t="n">
        <v>1032824</v>
      </c>
      <c r="G32" s="27" t="inlineStr">
        <is>
          <t>IT</t>
        </is>
      </c>
    </row>
    <row r="33">
      <c r="F33" s="27" t="n">
        <v>1012233</v>
      </c>
      <c r="G33" s="27" t="inlineStr">
        <is>
          <t>IT</t>
        </is>
      </c>
    </row>
    <row r="34">
      <c r="F34" t="n">
        <v>1020217</v>
      </c>
      <c r="G34" s="27" t="inlineStr">
        <is>
          <t>IT</t>
        </is>
      </c>
    </row>
    <row r="35">
      <c r="F35" s="27" t="n">
        <v>1028704</v>
      </c>
      <c r="G35" s="27" t="inlineStr">
        <is>
          <t>IT</t>
        </is>
      </c>
    </row>
    <row r="36">
      <c r="F36" t="n">
        <v>1027230</v>
      </c>
      <c r="G36" s="27" t="inlineStr">
        <is>
          <t>IT</t>
        </is>
      </c>
    </row>
    <row r="37">
      <c r="F37" s="27" t="n">
        <v>1008532</v>
      </c>
      <c r="G37" s="27" t="inlineStr">
        <is>
          <t>IT</t>
        </is>
      </c>
    </row>
    <row r="38">
      <c r="F38" t="n">
        <v>1028538</v>
      </c>
      <c r="G38" s="27" t="inlineStr">
        <is>
          <t>IT</t>
        </is>
      </c>
    </row>
    <row r="39">
      <c r="F39" s="27" t="n">
        <v>1025919</v>
      </c>
      <c r="G39" s="27" t="inlineStr">
        <is>
          <t>IT</t>
        </is>
      </c>
    </row>
    <row r="40">
      <c r="F40" t="n">
        <v>1028544</v>
      </c>
      <c r="G40" s="27" t="inlineStr">
        <is>
          <t>IT</t>
        </is>
      </c>
    </row>
    <row r="41">
      <c r="F41" s="27" t="n">
        <v>1027650</v>
      </c>
      <c r="G41" s="27" t="inlineStr">
        <is>
          <t>Core</t>
        </is>
      </c>
    </row>
    <row r="42">
      <c r="F42" t="n">
        <v>1000177</v>
      </c>
      <c r="G42" s="27" t="inlineStr">
        <is>
          <t>IT</t>
        </is>
      </c>
    </row>
    <row r="43">
      <c r="F43" s="27" t="n">
        <v>1010164</v>
      </c>
      <c r="G43" s="27" t="inlineStr">
        <is>
          <t>IT</t>
        </is>
      </c>
    </row>
    <row r="44">
      <c r="F44" t="n">
        <v>1028541</v>
      </c>
      <c r="G44" s="27" t="inlineStr">
        <is>
          <t>IT</t>
        </is>
      </c>
    </row>
    <row r="45">
      <c r="F45" s="27" t="n">
        <v>1005530</v>
      </c>
      <c r="G45" s="27" t="inlineStr">
        <is>
          <t>IT</t>
        </is>
      </c>
    </row>
    <row r="46">
      <c r="F46" t="n">
        <v>1018674</v>
      </c>
      <c r="G46" s="27" t="inlineStr">
        <is>
          <t>IT</t>
        </is>
      </c>
    </row>
    <row r="47">
      <c r="F47" s="27" t="n">
        <v>1032836</v>
      </c>
      <c r="G47" s="27" t="inlineStr">
        <is>
          <t>IT</t>
        </is>
      </c>
    </row>
    <row r="48">
      <c r="F48" t="n">
        <v>1020365</v>
      </c>
      <c r="G48" s="27" t="inlineStr">
        <is>
          <t>IT</t>
        </is>
      </c>
    </row>
    <row r="49">
      <c r="F49" s="27" t="n">
        <v>1022573</v>
      </c>
      <c r="G49" s="27" t="inlineStr">
        <is>
          <t>IT</t>
        </is>
      </c>
    </row>
    <row r="50">
      <c r="F50" t="n">
        <v>1024729</v>
      </c>
      <c r="G50" s="27" t="inlineStr">
        <is>
          <t>IT</t>
        </is>
      </c>
    </row>
    <row r="51">
      <c r="F51" s="27" t="n">
        <v>1029447</v>
      </c>
      <c r="G51" s="27" t="inlineStr">
        <is>
          <t>IT</t>
        </is>
      </c>
    </row>
    <row r="52">
      <c r="F52" t="n">
        <v>1022524</v>
      </c>
      <c r="G52" s="27" t="inlineStr">
        <is>
          <t>IT</t>
        </is>
      </c>
    </row>
    <row r="53">
      <c r="F53" s="27" t="n">
        <v>1023801</v>
      </c>
      <c r="G53" s="27" t="inlineStr">
        <is>
          <t>IT</t>
        </is>
      </c>
    </row>
    <row r="54">
      <c r="F54" t="n">
        <v>1031854</v>
      </c>
      <c r="G54" s="27" t="inlineStr">
        <is>
          <t>IT</t>
        </is>
      </c>
    </row>
    <row r="55">
      <c r="F55" s="27" t="n">
        <v>1021379</v>
      </c>
      <c r="G55" s="27" t="inlineStr">
        <is>
          <t>Core</t>
        </is>
      </c>
    </row>
    <row r="56">
      <c r="F56" t="n">
        <v>1030980</v>
      </c>
      <c r="G56" s="27" t="inlineStr">
        <is>
          <t>IT</t>
        </is>
      </c>
    </row>
    <row r="57">
      <c r="F57" s="27" t="n">
        <v>1022458</v>
      </c>
      <c r="G57" s="27" t="inlineStr">
        <is>
          <t>IT</t>
        </is>
      </c>
    </row>
    <row r="58">
      <c r="F58" t="n">
        <v>1004044</v>
      </c>
      <c r="G58" s="27" t="inlineStr">
        <is>
          <t>IT</t>
        </is>
      </c>
    </row>
    <row r="59">
      <c r="F59" s="27" t="n">
        <v>1032204</v>
      </c>
      <c r="G59" s="27" t="inlineStr">
        <is>
          <t>IT</t>
        </is>
      </c>
    </row>
    <row r="60">
      <c r="F60" t="n">
        <v>1000900</v>
      </c>
      <c r="G60" s="27" t="inlineStr">
        <is>
          <t>IT</t>
        </is>
      </c>
    </row>
    <row r="61">
      <c r="F61" s="27" t="n">
        <v>1031110</v>
      </c>
      <c r="G61" s="27" t="inlineStr">
        <is>
          <t>IT</t>
        </is>
      </c>
    </row>
    <row r="62">
      <c r="F62" t="n">
        <v>1028542</v>
      </c>
      <c r="G62" s="27" t="inlineStr">
        <is>
          <t>IT</t>
        </is>
      </c>
    </row>
    <row r="63">
      <c r="F63" s="27" t="n">
        <v>1019968</v>
      </c>
      <c r="G63" s="27" t="inlineStr">
        <is>
          <t>IT</t>
        </is>
      </c>
    </row>
    <row r="64">
      <c r="F64" t="n">
        <v>1027276</v>
      </c>
      <c r="G64" s="27" t="inlineStr">
        <is>
          <t>IT</t>
        </is>
      </c>
    </row>
    <row r="65">
      <c r="F65" s="27" t="n">
        <v>1028474</v>
      </c>
      <c r="G65" s="27" t="inlineStr">
        <is>
          <t>IT</t>
        </is>
      </c>
    </row>
    <row r="66">
      <c r="F66" t="n">
        <v>1030739</v>
      </c>
      <c r="G66" s="27" t="inlineStr">
        <is>
          <t>IT</t>
        </is>
      </c>
    </row>
    <row r="67">
      <c r="F67" s="27" t="n">
        <v>1022410</v>
      </c>
      <c r="G67" s="27" t="inlineStr">
        <is>
          <t>IT</t>
        </is>
      </c>
    </row>
    <row r="68">
      <c r="F68" t="n">
        <v>1033431</v>
      </c>
      <c r="G68" s="27" t="inlineStr">
        <is>
          <t>IT</t>
        </is>
      </c>
    </row>
    <row r="69">
      <c r="F69" s="27" t="n">
        <v>1003859</v>
      </c>
      <c r="G69" s="27" t="inlineStr">
        <is>
          <t>Infra</t>
        </is>
      </c>
    </row>
    <row r="70">
      <c r="F70" t="n">
        <v>1028537</v>
      </c>
      <c r="G70" s="27" t="inlineStr">
        <is>
          <t>IT</t>
        </is>
      </c>
    </row>
    <row r="71">
      <c r="F71" s="27" t="n">
        <v>1033097</v>
      </c>
      <c r="G71" s="27" t="inlineStr">
        <is>
          <t>QA</t>
        </is>
      </c>
    </row>
    <row r="72">
      <c r="F72" t="n">
        <v>1020723</v>
      </c>
      <c r="G72" s="27" t="inlineStr">
        <is>
          <t>IT</t>
        </is>
      </c>
    </row>
    <row r="73">
      <c r="F73" s="27" t="n">
        <v>1027551</v>
      </c>
      <c r="G73" s="27" t="inlineStr">
        <is>
          <t>IT</t>
        </is>
      </c>
    </row>
    <row r="74">
      <c r="F74" t="n">
        <v>1033925</v>
      </c>
      <c r="G74" s="27" t="inlineStr">
        <is>
          <t>Cognos</t>
        </is>
      </c>
    </row>
    <row r="75">
      <c r="F75" s="27" t="n">
        <v>1026354</v>
      </c>
      <c r="G75" s="27" t="inlineStr">
        <is>
          <t>IT</t>
        </is>
      </c>
    </row>
    <row r="76">
      <c r="F76" t="n">
        <v>1029023</v>
      </c>
      <c r="G76" s="27" t="inlineStr">
        <is>
          <t>IT</t>
        </is>
      </c>
    </row>
    <row r="77">
      <c r="F77" s="27" t="n">
        <v>1028583</v>
      </c>
      <c r="G77" s="27" t="inlineStr">
        <is>
          <t>IT</t>
        </is>
      </c>
    </row>
    <row r="78">
      <c r="F78" t="n">
        <v>1026864</v>
      </c>
      <c r="G78" s="27" t="inlineStr">
        <is>
          <t>IT</t>
        </is>
      </c>
    </row>
    <row r="79">
      <c r="F79" s="27" t="n">
        <v>1019672</v>
      </c>
      <c r="G79" s="27" t="inlineStr">
        <is>
          <t>IT</t>
        </is>
      </c>
    </row>
    <row r="80">
      <c r="F80" t="n">
        <v>1031825</v>
      </c>
      <c r="G80" s="27" t="inlineStr">
        <is>
          <t>IT</t>
        </is>
      </c>
    </row>
    <row r="81">
      <c r="F81" s="27" t="n">
        <v>1018271</v>
      </c>
      <c r="G81" s="27" t="inlineStr">
        <is>
          <t>IT</t>
        </is>
      </c>
    </row>
    <row r="82">
      <c r="F82" t="n">
        <v>1031867</v>
      </c>
      <c r="G82" s="27" t="inlineStr">
        <is>
          <t>IT</t>
        </is>
      </c>
    </row>
    <row r="83">
      <c r="F83" s="27" t="n">
        <v>1025532</v>
      </c>
      <c r="G83" s="27" t="inlineStr">
        <is>
          <t>IT</t>
        </is>
      </c>
    </row>
    <row r="84">
      <c r="F84" t="n">
        <v>1019295</v>
      </c>
      <c r="G84" s="27" t="inlineStr">
        <is>
          <t>IT</t>
        </is>
      </c>
    </row>
    <row r="85">
      <c r="F85" s="27" t="n">
        <v>1008177</v>
      </c>
      <c r="G85" s="27" t="inlineStr">
        <is>
          <t>Infra</t>
        </is>
      </c>
    </row>
    <row r="86">
      <c r="F86" t="n">
        <v>1019765</v>
      </c>
      <c r="G86" s="27" t="inlineStr">
        <is>
          <t>IT</t>
        </is>
      </c>
    </row>
    <row r="87">
      <c r="F87" s="27" t="n">
        <v>1013201</v>
      </c>
      <c r="G87" s="27" t="inlineStr">
        <is>
          <t>IT</t>
        </is>
      </c>
    </row>
    <row r="88">
      <c r="F88" t="n">
        <v>1032896</v>
      </c>
      <c r="G88" s="27" t="inlineStr">
        <is>
          <t>IT</t>
        </is>
      </c>
    </row>
    <row r="89">
      <c r="F89" s="27" t="n">
        <v>1025126</v>
      </c>
      <c r="G89" s="27" t="inlineStr">
        <is>
          <t>IT</t>
        </is>
      </c>
    </row>
    <row r="90">
      <c r="F90" t="n">
        <v>1024996</v>
      </c>
      <c r="G90" s="27" t="inlineStr">
        <is>
          <t>IT</t>
        </is>
      </c>
    </row>
    <row r="91">
      <c r="F91" s="27" t="n">
        <v>1027666</v>
      </c>
      <c r="G91" s="27" t="inlineStr">
        <is>
          <t>IT</t>
        </is>
      </c>
    </row>
    <row r="92">
      <c r="F92" t="n">
        <v>1025129</v>
      </c>
      <c r="G92" s="27" t="inlineStr">
        <is>
          <t>IT</t>
        </is>
      </c>
    </row>
    <row r="93">
      <c r="F93" s="27" t="n">
        <v>1025395</v>
      </c>
      <c r="G93" s="27" t="inlineStr">
        <is>
          <t>IT</t>
        </is>
      </c>
    </row>
    <row r="94">
      <c r="F94" t="n">
        <v>1031856</v>
      </c>
      <c r="G94" s="27" t="inlineStr">
        <is>
          <t>IT</t>
        </is>
      </c>
    </row>
    <row r="95">
      <c r="F95" s="27" t="n">
        <v>1025421</v>
      </c>
      <c r="G95" s="27" t="inlineStr">
        <is>
          <t>IT</t>
        </is>
      </c>
    </row>
    <row r="96">
      <c r="F96" t="n">
        <v>1017141</v>
      </c>
      <c r="G96" s="27" t="inlineStr">
        <is>
          <t>IT</t>
        </is>
      </c>
    </row>
    <row r="97">
      <c r="F97" s="27" t="n">
        <v>1027866</v>
      </c>
      <c r="G97" s="27" t="inlineStr">
        <is>
          <t>IT</t>
        </is>
      </c>
    </row>
    <row r="98">
      <c r="F98" t="n">
        <v>1004641</v>
      </c>
      <c r="G98" s="27" t="inlineStr">
        <is>
          <t>IT</t>
        </is>
      </c>
    </row>
    <row r="99">
      <c r="F99" s="27" t="n">
        <v>1022868</v>
      </c>
      <c r="G99" s="27" t="inlineStr">
        <is>
          <t>IT</t>
        </is>
      </c>
    </row>
    <row r="100">
      <c r="F100" t="n">
        <v>1032377</v>
      </c>
      <c r="G100" s="27" t="inlineStr">
        <is>
          <t>IT</t>
        </is>
      </c>
    </row>
    <row r="101">
      <c r="F101" s="27" t="n">
        <v>1024396</v>
      </c>
      <c r="G101" s="27" t="inlineStr">
        <is>
          <t>IT</t>
        </is>
      </c>
    </row>
    <row r="102">
      <c r="F102" t="n">
        <v>1027391</v>
      </c>
      <c r="G102" s="27" t="inlineStr">
        <is>
          <t>IT</t>
        </is>
      </c>
    </row>
    <row r="103">
      <c r="F103" s="27" t="n">
        <v>1018072</v>
      </c>
      <c r="G103" s="27" t="inlineStr">
        <is>
          <t>IT</t>
        </is>
      </c>
    </row>
    <row r="104">
      <c r="F104" t="n">
        <v>1024491</v>
      </c>
      <c r="G104" s="27" t="inlineStr">
        <is>
          <t>IT</t>
        </is>
      </c>
    </row>
    <row r="105">
      <c r="F105" s="27" t="n">
        <v>1029038</v>
      </c>
      <c r="G105" s="27" t="inlineStr">
        <is>
          <t>IT</t>
        </is>
      </c>
    </row>
    <row r="106">
      <c r="F106" t="n">
        <v>1031865</v>
      </c>
      <c r="G106" s="27" t="inlineStr">
        <is>
          <t>IT</t>
        </is>
      </c>
    </row>
    <row r="107">
      <c r="F107" s="27" t="n">
        <v>1031846</v>
      </c>
      <c r="G107" s="27" t="inlineStr">
        <is>
          <t>IT</t>
        </is>
      </c>
    </row>
    <row r="108">
      <c r="F108" t="n">
        <v>1033432</v>
      </c>
      <c r="G108" s="27" t="inlineStr">
        <is>
          <t>IT</t>
        </is>
      </c>
    </row>
    <row r="109">
      <c r="F109" s="27" t="n">
        <v>1020173</v>
      </c>
      <c r="G109" s="27" t="inlineStr">
        <is>
          <t>IT</t>
        </is>
      </c>
    </row>
    <row r="110">
      <c r="F110" t="n">
        <v>1028539</v>
      </c>
      <c r="G110" s="27" t="inlineStr">
        <is>
          <t>IT</t>
        </is>
      </c>
    </row>
    <row r="111">
      <c r="F111" s="27" t="n">
        <v>1029717</v>
      </c>
      <c r="G111" s="27" t="inlineStr">
        <is>
          <t>IT</t>
        </is>
      </c>
    </row>
    <row r="112">
      <c r="F112" t="n">
        <v>1023397</v>
      </c>
      <c r="G112" s="27" t="inlineStr">
        <is>
          <t>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02"/>
  <sheetViews>
    <sheetView showGridLines="0" workbookViewId="0">
      <selection activeCell="A3" sqref="A3"/>
    </sheetView>
  </sheetViews>
  <sheetFormatPr baseColWidth="8" defaultRowHeight="14.1"/>
  <cols>
    <col width="38.875" bestFit="1" customWidth="1" min="1" max="1"/>
    <col width="27.375" bestFit="1" customWidth="1" min="2" max="3"/>
    <col width="28.625" bestFit="1" customWidth="1" min="4" max="4"/>
    <col width="13.125" bestFit="1" customWidth="1" min="5" max="5"/>
    <col width="19.625" bestFit="1" customWidth="1" min="6" max="6"/>
    <col width="22.125" bestFit="1" customWidth="1" min="7" max="7"/>
    <col width="19.625" bestFit="1" customWidth="1" min="8" max="8"/>
    <col width="21.125" bestFit="1" customWidth="1" min="9" max="9"/>
    <col width="22.875" bestFit="1" customWidth="1" min="10" max="10"/>
    <col width="13.125" bestFit="1" customWidth="1" min="11" max="11"/>
    <col width="27.375" customWidth="1" min="12" max="13"/>
  </cols>
  <sheetData>
    <row r="1" ht="17.45" customHeight="1">
      <c r="A1" s="16" t="inlineStr">
        <is>
          <t>LEAVE</t>
        </is>
      </c>
      <c r="C1" s="20">
        <f>SUM(T_LEAVE[ERROR IND])&amp;" Errors"</f>
        <v/>
      </c>
    </row>
    <row r="2">
      <c r="A2" s="13" t="inlineStr">
        <is>
          <t>Required</t>
        </is>
      </c>
      <c r="B2" s="13" t="inlineStr">
        <is>
          <t>Required</t>
        </is>
      </c>
      <c r="C2" s="13" t="inlineStr">
        <is>
          <t>Required</t>
        </is>
      </c>
      <c r="D2" s="13" t="inlineStr">
        <is>
          <t>Required</t>
        </is>
      </c>
      <c r="E2" s="13" t="inlineStr">
        <is>
          <t>Required</t>
        </is>
      </c>
      <c r="F2" s="18" t="inlineStr">
        <is>
          <t>Optional</t>
        </is>
      </c>
      <c r="G2" s="18" t="inlineStr">
        <is>
          <t>Optional</t>
        </is>
      </c>
    </row>
    <row r="3">
      <c r="A3" t="inlineStr">
        <is>
          <t>EMPLOYEE</t>
        </is>
      </c>
      <c r="B3" t="inlineStr">
        <is>
          <t>START DATE</t>
        </is>
      </c>
      <c r="C3" t="inlineStr">
        <is>
          <t>END DATE</t>
        </is>
      </c>
      <c r="D3" t="inlineStr">
        <is>
          <t>LEAVE TYPE</t>
        </is>
      </c>
      <c r="E3" t="inlineStr">
        <is>
          <t>DAY VALUE</t>
        </is>
      </c>
      <c r="F3" t="inlineStr">
        <is>
          <t>MY LEAVE COLUMN 1</t>
        </is>
      </c>
      <c r="G3" t="inlineStr">
        <is>
          <t>MY LEAVE COLUMN 2</t>
        </is>
      </c>
      <c r="H3" s="14" t="inlineStr">
        <is>
          <t>EMPLOYEE SYS ID</t>
        </is>
      </c>
      <c r="I3" s="14" t="inlineStr">
        <is>
          <t>LEAVE TYPE SYS ID</t>
        </is>
      </c>
      <c r="J3" s="14" t="inlineStr">
        <is>
          <t>LEAVE TYPE SYMBOL</t>
        </is>
      </c>
      <c r="K3" s="14" t="inlineStr">
        <is>
          <t>ERROR IND</t>
        </is>
      </c>
      <c r="L3" s="14" t="inlineStr">
        <is>
          <t>ERROR</t>
        </is>
      </c>
    </row>
    <row r="4">
      <c r="A4" t="inlineStr">
        <is>
          <t>Veera Satya Kishore Swamy Allaka (1029895)</t>
        </is>
      </c>
      <c r="B4" s="17" t="inlineStr">
        <is>
          <t>Tuesday, 16 January 2024</t>
        </is>
      </c>
      <c r="C4" s="17" t="inlineStr">
        <is>
          <t>Friday, 19 January 2024</t>
        </is>
      </c>
      <c r="D4" t="inlineStr">
        <is>
          <t>Privilege</t>
        </is>
      </c>
      <c r="E4" t="n">
        <v>4</v>
      </c>
      <c r="F4" s="17" t="n"/>
      <c r="G4" s="17" t="n"/>
      <c r="H4">
        <f>IF(T_LEAVE[[#This Row],[EMPLOYEE]]="","",MATCH(T_LEAVE[[#This Row],[EMPLOYEE]],L_EMPLABELS,0))</f>
        <v/>
      </c>
      <c r="I4">
        <f>IF(T_LEAVE[[#This Row],[EMPLOYEE]]="","",MATCH(T_LEAVE[[#This Row],[LEAVE TYPE]],L_LEAVETYPES,0))</f>
        <v/>
      </c>
      <c r="J4">
        <f t="array" ref="J4">IFERROR(INDEX(T_LEAVE_TYPES[SYMBOL],T_LEAVE[[#This Row],[LEAVE TYPE SYS ID]]),"")</f>
        <v/>
      </c>
      <c r="K4">
        <f>IF(T_LEAVE[[#This Row],[EMPLOYEE]]="","",IF(T_LEAVE[[#This Row],[ERROR]]="",0,1))</f>
        <v/>
      </c>
      <c r="L4">
        <f t="array" ref="L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">
      <c r="A5" t="inlineStr">
        <is>
          <t>D Malar Vizhi (1021304)</t>
        </is>
      </c>
      <c r="B5" s="15" t="inlineStr">
        <is>
          <t>Tuesday, 16 January 2024</t>
        </is>
      </c>
      <c r="C5" s="15" t="inlineStr">
        <is>
          <t>Tuesday, 16 January 2024</t>
        </is>
      </c>
      <c r="D5" t="inlineStr">
        <is>
          <t xml:space="preserve">Casual / Sick </t>
        </is>
      </c>
      <c r="E5" t="n">
        <v>1</v>
      </c>
      <c r="F5" s="1" t="n"/>
      <c r="G5" s="1" t="n"/>
      <c r="H5">
        <f>IF(T_LEAVE[[#This Row],[EMPLOYEE]]="","",MATCH(T_LEAVE[[#This Row],[EMPLOYEE]],L_EMPLABELS,0))</f>
        <v/>
      </c>
      <c r="I5">
        <f>IF(T_LEAVE[[#This Row],[EMPLOYEE]]="","",MATCH(T_LEAVE[[#This Row],[LEAVE TYPE]],L_LEAVETYPES,0))</f>
        <v/>
      </c>
      <c r="J5">
        <f t="array" ref="J5">IFERROR(INDEX(T_LEAVE_TYPES[SYMBOL],T_LEAVE[[#This Row],[LEAVE TYPE SYS ID]]),"")</f>
        <v/>
      </c>
      <c r="K5">
        <f>IF(T_LEAVE[[#This Row],[EMPLOYEE]]="","",IF(T_LEAVE[[#This Row],[ERROR]]="",0,1))</f>
        <v/>
      </c>
      <c r="L5">
        <f t="array" ref="L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">
      <c r="A6" t="inlineStr">
        <is>
          <t>Atluri Priyanka (1030243)</t>
        </is>
      </c>
      <c r="B6" s="15" t="inlineStr">
        <is>
          <t>Tuesday, 16 January 2024</t>
        </is>
      </c>
      <c r="C6" s="15" t="inlineStr">
        <is>
          <t>Wednesday, 17 January 2024</t>
        </is>
      </c>
      <c r="D6" t="inlineStr">
        <is>
          <t xml:space="preserve">Casual / Sick </t>
        </is>
      </c>
      <c r="E6" t="n">
        <v>2</v>
      </c>
      <c r="F6" s="1" t="n"/>
      <c r="G6" s="1" t="n"/>
      <c r="H6">
        <f>IF(T_LEAVE[[#This Row],[EMPLOYEE]]="","",MATCH(T_LEAVE[[#This Row],[EMPLOYEE]],L_EMPLABELS,0))</f>
        <v/>
      </c>
      <c r="I6">
        <f>IF(T_LEAVE[[#This Row],[EMPLOYEE]]="","",MATCH(T_LEAVE[[#This Row],[LEAVE TYPE]],L_LEAVETYPES,0))</f>
        <v/>
      </c>
      <c r="J6">
        <f t="array" ref="J6">IFERROR(INDEX(T_LEAVE_TYPES[SYMBOL],T_LEAVE[[#This Row],[LEAVE TYPE SYS ID]]),"")</f>
        <v/>
      </c>
      <c r="K6">
        <f>IF(T_LEAVE[[#This Row],[EMPLOYEE]]="","",IF(T_LEAVE[[#This Row],[ERROR]]="",0,1))</f>
        <v/>
      </c>
      <c r="L6">
        <f t="array" ref="L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">
      <c r="A7" t="inlineStr">
        <is>
          <t>ABHISEK  SARANGI (1029782)</t>
        </is>
      </c>
      <c r="B7" s="15" t="inlineStr">
        <is>
          <t>Thursday, 14 December 2023</t>
        </is>
      </c>
      <c r="C7" s="15" t="inlineStr">
        <is>
          <t>Friday, 15 December 2023</t>
        </is>
      </c>
      <c r="D7" t="inlineStr">
        <is>
          <t xml:space="preserve">Casual / Sick </t>
        </is>
      </c>
      <c r="E7" t="n">
        <v>2</v>
      </c>
      <c r="F7" s="1" t="n"/>
      <c r="G7" s="1" t="n"/>
      <c r="H7">
        <f>IF(T_LEAVE[[#This Row],[EMPLOYEE]]="","",MATCH(T_LEAVE[[#This Row],[EMPLOYEE]],L_EMPLABELS,0))</f>
        <v/>
      </c>
      <c r="I7">
        <f>IF(T_LEAVE[[#This Row],[EMPLOYEE]]="","",MATCH(T_LEAVE[[#This Row],[LEAVE TYPE]],L_LEAVETYPES,0))</f>
        <v/>
      </c>
      <c r="J7">
        <f t="array" ref="J7">IFERROR(INDEX(T_LEAVE_TYPES[SYMBOL],T_LEAVE[[#This Row],[LEAVE TYPE SYS ID]]),"")</f>
        <v/>
      </c>
      <c r="K7">
        <f>IF(T_LEAVE[[#This Row],[EMPLOYEE]]="","",IF(T_LEAVE[[#This Row],[ERROR]]="",0,1))</f>
        <v/>
      </c>
      <c r="L7">
        <f t="array" ref="L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">
      <c r="A8" t="inlineStr">
        <is>
          <t>ABHISEK  SARANGI (1029782)</t>
        </is>
      </c>
      <c r="B8" s="15" t="inlineStr">
        <is>
          <t>Wednesday, 29 November 2023</t>
        </is>
      </c>
      <c r="C8" s="15" t="inlineStr">
        <is>
          <t>Wednesday, 29 November 2023</t>
        </is>
      </c>
      <c r="D8" t="inlineStr">
        <is>
          <t xml:space="preserve">Casual / Sick </t>
        </is>
      </c>
      <c r="E8" t="n">
        <v>1</v>
      </c>
      <c r="F8" s="1" t="n"/>
      <c r="G8" s="1" t="n"/>
      <c r="H8">
        <f>IF(T_LEAVE[[#This Row],[EMPLOYEE]]="","",MATCH(T_LEAVE[[#This Row],[EMPLOYEE]],L_EMPLABELS,0))</f>
        <v/>
      </c>
      <c r="I8">
        <f>IF(T_LEAVE[[#This Row],[EMPLOYEE]]="","",MATCH(T_LEAVE[[#This Row],[LEAVE TYPE]],L_LEAVETYPES,0))</f>
        <v/>
      </c>
      <c r="J8">
        <f t="array" ref="J8">IFERROR(INDEX(T_LEAVE_TYPES[SYMBOL],T_LEAVE[[#This Row],[LEAVE TYPE SYS ID]]),"")</f>
        <v/>
      </c>
      <c r="K8">
        <f>IF(T_LEAVE[[#This Row],[EMPLOYEE]]="","",IF(T_LEAVE[[#This Row],[ERROR]]="",0,1))</f>
        <v/>
      </c>
      <c r="L8">
        <f t="array" ref="L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">
      <c r="A9" t="inlineStr">
        <is>
          <t>ABHISEK  SARANGI (1029782)</t>
        </is>
      </c>
      <c r="B9" s="15" t="inlineStr">
        <is>
          <t>Friday, 06 October 2023</t>
        </is>
      </c>
      <c r="C9" s="15" t="inlineStr">
        <is>
          <t>Friday, 06 October 2023</t>
        </is>
      </c>
      <c r="D9" t="inlineStr">
        <is>
          <t xml:space="preserve">Casual / Sick </t>
        </is>
      </c>
      <c r="E9" t="n">
        <v>1</v>
      </c>
      <c r="F9" s="1" t="n"/>
      <c r="G9" s="1" t="n"/>
      <c r="H9">
        <f>IF(T_LEAVE[[#This Row],[EMPLOYEE]]="","",MATCH(T_LEAVE[[#This Row],[EMPLOYEE]],L_EMPLABELS,0))</f>
        <v/>
      </c>
      <c r="I9">
        <f>IF(T_LEAVE[[#This Row],[EMPLOYEE]]="","",MATCH(T_LEAVE[[#This Row],[LEAVE TYPE]],L_LEAVETYPES,0))</f>
        <v/>
      </c>
      <c r="J9">
        <f t="array" ref="J9">IFERROR(INDEX(T_LEAVE_TYPES[SYMBOL],T_LEAVE[[#This Row],[LEAVE TYPE SYS ID]]),"")</f>
        <v/>
      </c>
      <c r="K9">
        <f>IF(T_LEAVE[[#This Row],[EMPLOYEE]]="","",IF(T_LEAVE[[#This Row],[ERROR]]="",0,1))</f>
        <v/>
      </c>
      <c r="L9">
        <f t="array" ref="L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">
      <c r="A10" t="inlineStr">
        <is>
          <t>Yanamadala Likhitha Sree (1029868)</t>
        </is>
      </c>
      <c r="B10" s="15" t="inlineStr">
        <is>
          <t>Monday, 08 January 2024</t>
        </is>
      </c>
      <c r="C10" s="15" t="inlineStr">
        <is>
          <t>Monday, 08 January 2024</t>
        </is>
      </c>
      <c r="D10" t="inlineStr">
        <is>
          <t>Privilege</t>
        </is>
      </c>
      <c r="E10" t="n">
        <v>1</v>
      </c>
      <c r="F10" s="1" t="n"/>
      <c r="G10" s="1" t="n"/>
      <c r="H10">
        <f>IF(T_LEAVE[[#This Row],[EMPLOYEE]]="","",MATCH(T_LEAVE[[#This Row],[EMPLOYEE]],L_EMPLABELS,0))</f>
        <v/>
      </c>
      <c r="I10">
        <f>IF(T_LEAVE[[#This Row],[EMPLOYEE]]="","",MATCH(T_LEAVE[[#This Row],[LEAVE TYPE]],L_LEAVETYPES,0))</f>
        <v/>
      </c>
      <c r="J10">
        <f t="array" ref="J10">IFERROR(INDEX(T_LEAVE_TYPES[SYMBOL],T_LEAVE[[#This Row],[LEAVE TYPE SYS ID]]),"")</f>
        <v/>
      </c>
      <c r="K10">
        <f>IF(T_LEAVE[[#This Row],[EMPLOYEE]]="","",IF(T_LEAVE[[#This Row],[ERROR]]="",0,1))</f>
        <v/>
      </c>
      <c r="L10">
        <f t="array" ref="L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">
      <c r="A11" t="inlineStr">
        <is>
          <t>Nagarjun Naidu Mannem (1019816)</t>
        </is>
      </c>
      <c r="B11" s="15" t="inlineStr">
        <is>
          <t>Thursday, 28 December 2023</t>
        </is>
      </c>
      <c r="C11" s="15" t="inlineStr">
        <is>
          <t>Thursday, 28 December 2023</t>
        </is>
      </c>
      <c r="D11" t="inlineStr">
        <is>
          <t>Privilege</t>
        </is>
      </c>
      <c r="E11" t="n">
        <v>1</v>
      </c>
      <c r="F11" s="1" t="n"/>
      <c r="G11" s="1" t="n"/>
      <c r="H11">
        <f>IF(T_LEAVE[[#This Row],[EMPLOYEE]]="","",MATCH(T_LEAVE[[#This Row],[EMPLOYEE]],L_EMPLABELS,0))</f>
        <v/>
      </c>
      <c r="I11">
        <f>IF(T_LEAVE[[#This Row],[EMPLOYEE]]="","",MATCH(T_LEAVE[[#This Row],[LEAVE TYPE]],L_LEAVETYPES,0))</f>
        <v/>
      </c>
      <c r="J11">
        <f t="array" ref="J11">IFERROR(INDEX(T_LEAVE_TYPES[SYMBOL],T_LEAVE[[#This Row],[LEAVE TYPE SYS ID]]),"")</f>
        <v/>
      </c>
      <c r="K11">
        <f>IF(T_LEAVE[[#This Row],[EMPLOYEE]]="","",IF(T_LEAVE[[#This Row],[ERROR]]="",0,1))</f>
        <v/>
      </c>
      <c r="L11">
        <f t="array" ref="L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">
      <c r="A12" t="inlineStr">
        <is>
          <t>Nagarjun Naidu Mannem (1019816)</t>
        </is>
      </c>
      <c r="B12" s="15" t="inlineStr">
        <is>
          <t>Friday, 22 December 2023</t>
        </is>
      </c>
      <c r="C12" s="15" t="inlineStr">
        <is>
          <t>Friday, 22 December 2023</t>
        </is>
      </c>
      <c r="D12" t="inlineStr">
        <is>
          <t>Privilege</t>
        </is>
      </c>
      <c r="E12" t="n">
        <v>1</v>
      </c>
      <c r="F12" s="1" t="n"/>
      <c r="G12" s="1" t="n"/>
      <c r="H12">
        <f>IF(T_LEAVE[[#This Row],[EMPLOYEE]]="","",MATCH(T_LEAVE[[#This Row],[EMPLOYEE]],L_EMPLABELS,0))</f>
        <v/>
      </c>
      <c r="I12">
        <f>IF(T_LEAVE[[#This Row],[EMPLOYEE]]="","",MATCH(T_LEAVE[[#This Row],[LEAVE TYPE]],L_LEAVETYPES,0))</f>
        <v/>
      </c>
      <c r="J12">
        <f t="array" ref="J12">IFERROR(INDEX(T_LEAVE_TYPES[SYMBOL],T_LEAVE[[#This Row],[LEAVE TYPE SYS ID]]),"")</f>
        <v/>
      </c>
      <c r="K12">
        <f>IF(T_LEAVE[[#This Row],[EMPLOYEE]]="","",IF(T_LEAVE[[#This Row],[ERROR]]="",0,1))</f>
        <v/>
      </c>
      <c r="L12">
        <f t="array" ref="L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">
      <c r="A13" t="inlineStr">
        <is>
          <t>Nagarjun Naidu Mannem (1019816)</t>
        </is>
      </c>
      <c r="B13" s="15" t="inlineStr">
        <is>
          <t>Thursday, 02 November 2023</t>
        </is>
      </c>
      <c r="C13" s="15" t="inlineStr">
        <is>
          <t>Monday, 06 November 2023</t>
        </is>
      </c>
      <c r="D13" t="inlineStr">
        <is>
          <t xml:space="preserve">Casual / Sick </t>
        </is>
      </c>
      <c r="E13" t="n">
        <v>3</v>
      </c>
      <c r="F13" s="1" t="n"/>
      <c r="G13" s="1" t="n"/>
      <c r="H13">
        <f>IF(T_LEAVE[[#This Row],[EMPLOYEE]]="","",MATCH(T_LEAVE[[#This Row],[EMPLOYEE]],L_EMPLABELS,0))</f>
        <v/>
      </c>
      <c r="I13">
        <f>IF(T_LEAVE[[#This Row],[EMPLOYEE]]="","",MATCH(T_LEAVE[[#This Row],[LEAVE TYPE]],L_LEAVETYPES,0))</f>
        <v/>
      </c>
      <c r="J13">
        <f t="array" ref="J13">IFERROR(INDEX(T_LEAVE_TYPES[SYMBOL],T_LEAVE[[#This Row],[LEAVE TYPE SYS ID]]),"")</f>
        <v/>
      </c>
      <c r="K13">
        <f>IF(T_LEAVE[[#This Row],[EMPLOYEE]]="","",IF(T_LEAVE[[#This Row],[ERROR]]="",0,1))</f>
        <v/>
      </c>
      <c r="L13">
        <f t="array" ref="L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">
      <c r="A14" t="inlineStr">
        <is>
          <t>Nagarjun Naidu Mannem (1019816)</t>
        </is>
      </c>
      <c r="B14" s="15" t="inlineStr">
        <is>
          <t>Friday, 13 October 2023</t>
        </is>
      </c>
      <c r="C14" s="15" t="inlineStr">
        <is>
          <t>Monday, 16 October 2023</t>
        </is>
      </c>
      <c r="D14" t="inlineStr">
        <is>
          <t xml:space="preserve">Casual / Sick </t>
        </is>
      </c>
      <c r="E14" t="n">
        <v>2</v>
      </c>
      <c r="F14" s="1" t="n"/>
      <c r="G14" s="1" t="n"/>
      <c r="H14">
        <f>IF(T_LEAVE[[#This Row],[EMPLOYEE]]="","",MATCH(T_LEAVE[[#This Row],[EMPLOYEE]],L_EMPLABELS,0))</f>
        <v/>
      </c>
      <c r="I14">
        <f>IF(T_LEAVE[[#This Row],[EMPLOYEE]]="","",MATCH(T_LEAVE[[#This Row],[LEAVE TYPE]],L_LEAVETYPES,0))</f>
        <v/>
      </c>
      <c r="J14">
        <f t="array" ref="J14">IFERROR(INDEX(T_LEAVE_TYPES[SYMBOL],T_LEAVE[[#This Row],[LEAVE TYPE SYS ID]]),"")</f>
        <v/>
      </c>
      <c r="K14">
        <f>IF(T_LEAVE[[#This Row],[EMPLOYEE]]="","",IF(T_LEAVE[[#This Row],[ERROR]]="",0,1))</f>
        <v/>
      </c>
      <c r="L14">
        <f t="array" ref="L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">
      <c r="A15" t="inlineStr">
        <is>
          <t>Nagarjun Naidu Mannem (1019816)</t>
        </is>
      </c>
      <c r="B15" s="15" t="inlineStr">
        <is>
          <t>Monday, 25 September 2023</t>
        </is>
      </c>
      <c r="C15" s="15" t="inlineStr">
        <is>
          <t>Monday, 25 September 2023</t>
        </is>
      </c>
      <c r="D15" t="inlineStr">
        <is>
          <t>Privilege</t>
        </is>
      </c>
      <c r="E15" t="n">
        <v>1</v>
      </c>
      <c r="F15" s="1" t="n"/>
      <c r="G15" s="1" t="n"/>
      <c r="H15">
        <f>IF(T_LEAVE[[#This Row],[EMPLOYEE]]="","",MATCH(T_LEAVE[[#This Row],[EMPLOYEE]],L_EMPLABELS,0))</f>
        <v/>
      </c>
      <c r="I15">
        <f>IF(T_LEAVE[[#This Row],[EMPLOYEE]]="","",MATCH(T_LEAVE[[#This Row],[LEAVE TYPE]],L_LEAVETYPES,0))</f>
        <v/>
      </c>
      <c r="J15">
        <f t="array" ref="J15">IFERROR(INDEX(T_LEAVE_TYPES[SYMBOL],T_LEAVE[[#This Row],[LEAVE TYPE SYS ID]]),"")</f>
        <v/>
      </c>
      <c r="K15">
        <f>IF(T_LEAVE[[#This Row],[EMPLOYEE]]="","",IF(T_LEAVE[[#This Row],[ERROR]]="",0,1))</f>
        <v/>
      </c>
      <c r="L15">
        <f t="array" ref="L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">
      <c r="A16" t="inlineStr">
        <is>
          <t>Nagarjun Naidu Mannem (1019816)</t>
        </is>
      </c>
      <c r="B16" s="15" t="inlineStr">
        <is>
          <t>Monday, 31 July 2023</t>
        </is>
      </c>
      <c r="C16" s="15" t="inlineStr">
        <is>
          <t>Monday, 31 July 2023</t>
        </is>
      </c>
      <c r="D16" t="inlineStr">
        <is>
          <t>Privilege</t>
        </is>
      </c>
      <c r="E16" t="n">
        <v>1</v>
      </c>
      <c r="F16" s="1" t="n"/>
      <c r="G16" s="1" t="n"/>
      <c r="H16">
        <f>IF(T_LEAVE[[#This Row],[EMPLOYEE]]="","",MATCH(T_LEAVE[[#This Row],[EMPLOYEE]],L_EMPLABELS,0))</f>
        <v/>
      </c>
      <c r="I16">
        <f>IF(T_LEAVE[[#This Row],[EMPLOYEE]]="","",MATCH(T_LEAVE[[#This Row],[LEAVE TYPE]],L_LEAVETYPES,0))</f>
        <v/>
      </c>
      <c r="J16">
        <f t="array" ref="J16">IFERROR(INDEX(T_LEAVE_TYPES[SYMBOL],T_LEAVE[[#This Row],[LEAVE TYPE SYS ID]]),"")</f>
        <v/>
      </c>
      <c r="K16">
        <f>IF(T_LEAVE[[#This Row],[EMPLOYEE]]="","",IF(T_LEAVE[[#This Row],[ERROR]]="",0,1))</f>
        <v/>
      </c>
      <c r="L16">
        <f t="array" ref="L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">
      <c r="A17" t="inlineStr">
        <is>
          <t>Nagarjun Naidu Mannem (1019816)</t>
        </is>
      </c>
      <c r="B17" s="15" t="inlineStr">
        <is>
          <t>Wednesday, 24 May 2023</t>
        </is>
      </c>
      <c r="C17" s="15" t="inlineStr">
        <is>
          <t>Thursday, 25 May 2023</t>
        </is>
      </c>
      <c r="D17" t="inlineStr">
        <is>
          <t xml:space="preserve">Casual / Sick </t>
        </is>
      </c>
      <c r="E17" t="n">
        <v>2</v>
      </c>
      <c r="F17" s="1" t="n"/>
      <c r="G17" s="1" t="n"/>
      <c r="H17">
        <f>IF(T_LEAVE[[#This Row],[EMPLOYEE]]="","",MATCH(T_LEAVE[[#This Row],[EMPLOYEE]],L_EMPLABELS,0))</f>
        <v/>
      </c>
      <c r="I17">
        <f>IF(T_LEAVE[[#This Row],[EMPLOYEE]]="","",MATCH(T_LEAVE[[#This Row],[LEAVE TYPE]],L_LEAVETYPES,0))</f>
        <v/>
      </c>
      <c r="J17">
        <f t="array" ref="J17">IFERROR(INDEX(T_LEAVE_TYPES[SYMBOL],T_LEAVE[[#This Row],[LEAVE TYPE SYS ID]]),"")</f>
        <v/>
      </c>
      <c r="K17">
        <f>IF(T_LEAVE[[#This Row],[EMPLOYEE]]="","",IF(T_LEAVE[[#This Row],[ERROR]]="",0,1))</f>
        <v/>
      </c>
      <c r="L17">
        <f t="array" ref="L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">
      <c r="A18" t="inlineStr">
        <is>
          <t>Nagarjun Naidu Mannem (1019816)</t>
        </is>
      </c>
      <c r="B18" s="15" t="inlineStr">
        <is>
          <t>Tuesday, 09 May 2023</t>
        </is>
      </c>
      <c r="C18" s="15" t="inlineStr">
        <is>
          <t>Tuesday, 09 May 2023</t>
        </is>
      </c>
      <c r="D18" t="inlineStr">
        <is>
          <t>Privilege</t>
        </is>
      </c>
      <c r="E18" t="n">
        <v>1</v>
      </c>
      <c r="F18" s="1" t="n"/>
      <c r="G18" s="1" t="n"/>
      <c r="H18">
        <f>IF(T_LEAVE[[#This Row],[EMPLOYEE]]="","",MATCH(T_LEAVE[[#This Row],[EMPLOYEE]],L_EMPLABELS,0))</f>
        <v/>
      </c>
      <c r="I18">
        <f>IF(T_LEAVE[[#This Row],[EMPLOYEE]]="","",MATCH(T_LEAVE[[#This Row],[LEAVE TYPE]],L_LEAVETYPES,0))</f>
        <v/>
      </c>
      <c r="J18">
        <f t="array" ref="J18">IFERROR(INDEX(T_LEAVE_TYPES[SYMBOL],T_LEAVE[[#This Row],[LEAVE TYPE SYS ID]]),"")</f>
        <v/>
      </c>
      <c r="K18">
        <f>IF(T_LEAVE[[#This Row],[EMPLOYEE]]="","",IF(T_LEAVE[[#This Row],[ERROR]]="",0,1))</f>
        <v/>
      </c>
      <c r="L18">
        <f t="array" ref="L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">
      <c r="A19" t="inlineStr">
        <is>
          <t>Nagarjun Naidu Mannem (1019816)</t>
        </is>
      </c>
      <c r="B19" s="15" t="inlineStr">
        <is>
          <t>Friday, 14 April 2023</t>
        </is>
      </c>
      <c r="C19" s="15" t="inlineStr">
        <is>
          <t>Friday, 14 April 2023</t>
        </is>
      </c>
      <c r="D19" t="inlineStr">
        <is>
          <t>Privilege</t>
        </is>
      </c>
      <c r="E19" t="n">
        <v>1</v>
      </c>
      <c r="F19" s="1" t="n"/>
      <c r="G19" s="1" t="n"/>
      <c r="H19">
        <f>IF(T_LEAVE[[#This Row],[EMPLOYEE]]="","",MATCH(T_LEAVE[[#This Row],[EMPLOYEE]],L_EMPLABELS,0))</f>
        <v/>
      </c>
      <c r="I19">
        <f>IF(T_LEAVE[[#This Row],[EMPLOYEE]]="","",MATCH(T_LEAVE[[#This Row],[LEAVE TYPE]],L_LEAVETYPES,0))</f>
        <v/>
      </c>
      <c r="J19">
        <f t="array" ref="J19">IFERROR(INDEX(T_LEAVE_TYPES[SYMBOL],T_LEAVE[[#This Row],[LEAVE TYPE SYS ID]]),"")</f>
        <v/>
      </c>
      <c r="K19">
        <f>IF(T_LEAVE[[#This Row],[EMPLOYEE]]="","",IF(T_LEAVE[[#This Row],[ERROR]]="",0,1))</f>
        <v/>
      </c>
      <c r="L19">
        <f t="array" ref="L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">
      <c r="A20" t="inlineStr">
        <is>
          <t>Nagarjun Naidu Mannem (1019816)</t>
        </is>
      </c>
      <c r="B20" s="15" t="inlineStr">
        <is>
          <t>Monday, 16 January 2023</t>
        </is>
      </c>
      <c r="C20" s="15" t="inlineStr">
        <is>
          <t>Monday, 16 January 2023</t>
        </is>
      </c>
      <c r="D20" t="inlineStr">
        <is>
          <t>Privilege</t>
        </is>
      </c>
      <c r="E20" t="n">
        <v>1</v>
      </c>
      <c r="F20" s="1" t="n"/>
      <c r="G20" s="1" t="n"/>
      <c r="H20">
        <f>IF(T_LEAVE[[#This Row],[EMPLOYEE]]="","",MATCH(T_LEAVE[[#This Row],[EMPLOYEE]],L_EMPLABELS,0))</f>
        <v/>
      </c>
      <c r="I20">
        <f>IF(T_LEAVE[[#This Row],[EMPLOYEE]]="","",MATCH(T_LEAVE[[#This Row],[LEAVE TYPE]],L_LEAVETYPES,0))</f>
        <v/>
      </c>
      <c r="J20">
        <f t="array" ref="J20">IFERROR(INDEX(T_LEAVE_TYPES[SYMBOL],T_LEAVE[[#This Row],[LEAVE TYPE SYS ID]]),"")</f>
        <v/>
      </c>
      <c r="K20">
        <f>IF(T_LEAVE[[#This Row],[EMPLOYEE]]="","",IF(T_LEAVE[[#This Row],[ERROR]]="",0,1))</f>
        <v/>
      </c>
      <c r="L20">
        <f t="array" ref="L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">
      <c r="A21" t="inlineStr">
        <is>
          <t>Nagarjun Naidu Mannem (1019816)</t>
        </is>
      </c>
      <c r="B21" s="15" t="inlineStr">
        <is>
          <t>Tuesday, 28 March 2023</t>
        </is>
      </c>
      <c r="C21" s="15" t="inlineStr">
        <is>
          <t>Tuesday, 28 March 2023</t>
        </is>
      </c>
      <c r="D21" t="inlineStr">
        <is>
          <t xml:space="preserve">Casual / Sick </t>
        </is>
      </c>
      <c r="E21" t="n">
        <v>1</v>
      </c>
      <c r="F21" s="1" t="n"/>
      <c r="G21" s="1" t="n"/>
      <c r="H21">
        <f>IF(T_LEAVE[[#This Row],[EMPLOYEE]]="","",MATCH(T_LEAVE[[#This Row],[EMPLOYEE]],L_EMPLABELS,0))</f>
        <v/>
      </c>
      <c r="I21">
        <f>IF(T_LEAVE[[#This Row],[EMPLOYEE]]="","",MATCH(T_LEAVE[[#This Row],[LEAVE TYPE]],L_LEAVETYPES,0))</f>
        <v/>
      </c>
      <c r="J21">
        <f t="array" ref="J21">IFERROR(INDEX(T_LEAVE_TYPES[SYMBOL],T_LEAVE[[#This Row],[LEAVE TYPE SYS ID]]),"")</f>
        <v/>
      </c>
      <c r="K21">
        <f>IF(T_LEAVE[[#This Row],[EMPLOYEE]]="","",IF(T_LEAVE[[#This Row],[ERROR]]="",0,1))</f>
        <v/>
      </c>
      <c r="L21">
        <f t="array" ref="L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">
      <c r="A22" t="inlineStr">
        <is>
          <t>Atluri Priyanka (1030243)</t>
        </is>
      </c>
      <c r="B22" s="15" t="inlineStr">
        <is>
          <t>Friday, 29 December 2023</t>
        </is>
      </c>
      <c r="C22" s="15" t="inlineStr">
        <is>
          <t>Friday, 29 December 2023</t>
        </is>
      </c>
      <c r="D22" t="inlineStr">
        <is>
          <t xml:space="preserve">Casual / Sick </t>
        </is>
      </c>
      <c r="E22" t="n">
        <v>1</v>
      </c>
      <c r="F22" s="1" t="n"/>
      <c r="G22" s="1" t="n"/>
      <c r="H22">
        <f>IF(T_LEAVE[[#This Row],[EMPLOYEE]]="","",MATCH(T_LEAVE[[#This Row],[EMPLOYEE]],L_EMPLABELS,0))</f>
        <v/>
      </c>
      <c r="I22">
        <f>IF(T_LEAVE[[#This Row],[EMPLOYEE]]="","",MATCH(T_LEAVE[[#This Row],[LEAVE TYPE]],L_LEAVETYPES,0))</f>
        <v/>
      </c>
      <c r="J22">
        <f t="array" ref="J22">IFERROR(INDEX(T_LEAVE_TYPES[SYMBOL],T_LEAVE[[#This Row],[LEAVE TYPE SYS ID]]),"")</f>
        <v/>
      </c>
      <c r="K22">
        <f>IF(T_LEAVE[[#This Row],[EMPLOYEE]]="","",IF(T_LEAVE[[#This Row],[ERROR]]="",0,1))</f>
        <v/>
      </c>
      <c r="L22">
        <f t="array" ref="L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">
      <c r="A23" t="inlineStr">
        <is>
          <t>Atluri Priyanka (1030243)</t>
        </is>
      </c>
      <c r="B23" s="15" t="inlineStr">
        <is>
          <t>Monday, 25 September 2023</t>
        </is>
      </c>
      <c r="C23" s="15" t="inlineStr">
        <is>
          <t>Monday, 25 September 2023</t>
        </is>
      </c>
      <c r="D23" t="inlineStr">
        <is>
          <t xml:space="preserve">Casual / Sick </t>
        </is>
      </c>
      <c r="E23" t="n">
        <v>1</v>
      </c>
      <c r="F23" s="1" t="n"/>
      <c r="G23" s="1" t="n"/>
      <c r="H23">
        <f>IF(T_LEAVE[[#This Row],[EMPLOYEE]]="","",MATCH(T_LEAVE[[#This Row],[EMPLOYEE]],L_EMPLABELS,0))</f>
        <v/>
      </c>
      <c r="I23">
        <f>IF(T_LEAVE[[#This Row],[EMPLOYEE]]="","",MATCH(T_LEAVE[[#This Row],[LEAVE TYPE]],L_LEAVETYPES,0))</f>
        <v/>
      </c>
      <c r="J23">
        <f t="array" ref="J23">IFERROR(INDEX(T_LEAVE_TYPES[SYMBOL],T_LEAVE[[#This Row],[LEAVE TYPE SYS ID]]),"")</f>
        <v/>
      </c>
      <c r="K23">
        <f>IF(T_LEAVE[[#This Row],[EMPLOYEE]]="","",IF(T_LEAVE[[#This Row],[ERROR]]="",0,1))</f>
        <v/>
      </c>
      <c r="L23">
        <f t="array" ref="L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">
      <c r="A24" t="inlineStr">
        <is>
          <t>Atluri Priyanka (1030243)</t>
        </is>
      </c>
      <c r="B24" s="15" t="inlineStr">
        <is>
          <t>Monday, 15 May 2023</t>
        </is>
      </c>
      <c r="C24" s="15" t="inlineStr">
        <is>
          <t>Monday, 15 May 2023</t>
        </is>
      </c>
      <c r="D24" t="inlineStr">
        <is>
          <t xml:space="preserve">Casual / Sick </t>
        </is>
      </c>
      <c r="E24" t="n">
        <v>1</v>
      </c>
      <c r="F24" s="1" t="n"/>
      <c r="G24" s="1" t="n"/>
      <c r="H24">
        <f>IF(T_LEAVE[[#This Row],[EMPLOYEE]]="","",MATCH(T_LEAVE[[#This Row],[EMPLOYEE]],L_EMPLABELS,0))</f>
        <v/>
      </c>
      <c r="I24">
        <f>IF(T_LEAVE[[#This Row],[EMPLOYEE]]="","",MATCH(T_LEAVE[[#This Row],[LEAVE TYPE]],L_LEAVETYPES,0))</f>
        <v/>
      </c>
      <c r="J24">
        <f t="array" ref="J24">IFERROR(INDEX(T_LEAVE_TYPES[SYMBOL],T_LEAVE[[#This Row],[LEAVE TYPE SYS ID]]),"")</f>
        <v/>
      </c>
      <c r="K24">
        <f>IF(T_LEAVE[[#This Row],[EMPLOYEE]]="","",IF(T_LEAVE[[#This Row],[ERROR]]="",0,1))</f>
        <v/>
      </c>
      <c r="L24">
        <f t="array" ref="L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">
      <c r="A25" t="inlineStr">
        <is>
          <t>Rangabhatla Sai Harish (1029533)</t>
        </is>
      </c>
      <c r="B25" s="15" t="inlineStr">
        <is>
          <t>Thursday, 28 December 2023</t>
        </is>
      </c>
      <c r="C25" s="15" t="inlineStr">
        <is>
          <t>Friday, 29 December 2023</t>
        </is>
      </c>
      <c r="D25" t="inlineStr">
        <is>
          <t xml:space="preserve">Casual / Sick </t>
        </is>
      </c>
      <c r="E25" t="n">
        <v>2</v>
      </c>
      <c r="F25" s="1" t="n"/>
      <c r="G25" s="1" t="n"/>
      <c r="H25">
        <f>IF(T_LEAVE[[#This Row],[EMPLOYEE]]="","",MATCH(T_LEAVE[[#This Row],[EMPLOYEE]],L_EMPLABELS,0))</f>
        <v/>
      </c>
      <c r="I25">
        <f>IF(T_LEAVE[[#This Row],[EMPLOYEE]]="","",MATCH(T_LEAVE[[#This Row],[LEAVE TYPE]],L_LEAVETYPES,0))</f>
        <v/>
      </c>
      <c r="J25">
        <f t="array" ref="J25">IFERROR(INDEX(T_LEAVE_TYPES[SYMBOL],T_LEAVE[[#This Row],[LEAVE TYPE SYS ID]]),"")</f>
        <v/>
      </c>
      <c r="K25">
        <f>IF(T_LEAVE[[#This Row],[EMPLOYEE]]="","",IF(T_LEAVE[[#This Row],[ERROR]]="",0,1))</f>
        <v/>
      </c>
      <c r="L25">
        <f t="array" ref="L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">
      <c r="A26" t="inlineStr">
        <is>
          <t>Rahul Dev (1028364)</t>
        </is>
      </c>
      <c r="B26" s="15" t="inlineStr">
        <is>
          <t>Thursday, 30 November 2023</t>
        </is>
      </c>
      <c r="C26" s="15" t="inlineStr">
        <is>
          <t>Thursday, 30 November 2023</t>
        </is>
      </c>
      <c r="D26" t="inlineStr">
        <is>
          <t xml:space="preserve">Casual / Sick </t>
        </is>
      </c>
      <c r="E26" t="n">
        <v>1</v>
      </c>
      <c r="F26" s="1" t="n"/>
      <c r="G26" s="1" t="n"/>
      <c r="H26">
        <f>IF(T_LEAVE[[#This Row],[EMPLOYEE]]="","",MATCH(T_LEAVE[[#This Row],[EMPLOYEE]],L_EMPLABELS,0))</f>
        <v/>
      </c>
      <c r="I26">
        <f>IF(T_LEAVE[[#This Row],[EMPLOYEE]]="","",MATCH(T_LEAVE[[#This Row],[LEAVE TYPE]],L_LEAVETYPES,0))</f>
        <v/>
      </c>
      <c r="J26">
        <f t="array" ref="J26">IFERROR(INDEX(T_LEAVE_TYPES[SYMBOL],T_LEAVE[[#This Row],[LEAVE TYPE SYS ID]]),"")</f>
        <v/>
      </c>
      <c r="K26">
        <f>IF(T_LEAVE[[#This Row],[EMPLOYEE]]="","",IF(T_LEAVE[[#This Row],[ERROR]]="",0,1))</f>
        <v/>
      </c>
      <c r="L26">
        <f t="array" ref="L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">
      <c r="A27" t="inlineStr">
        <is>
          <t>Rahul Dev (1028364)</t>
        </is>
      </c>
      <c r="B27" s="15" t="inlineStr">
        <is>
          <t>Tuesday, 31 October 2023</t>
        </is>
      </c>
      <c r="C27" s="15" t="inlineStr">
        <is>
          <t>Tuesday, 31 October 2023</t>
        </is>
      </c>
      <c r="D27" t="inlineStr">
        <is>
          <t xml:space="preserve">Casual / Sick </t>
        </is>
      </c>
      <c r="E27" t="n">
        <v>1</v>
      </c>
      <c r="F27" s="1" t="n"/>
      <c r="G27" s="1" t="n"/>
      <c r="H27">
        <f>IF(T_LEAVE[[#This Row],[EMPLOYEE]]="","",MATCH(T_LEAVE[[#This Row],[EMPLOYEE]],L_EMPLABELS,0))</f>
        <v/>
      </c>
      <c r="I27">
        <f>IF(T_LEAVE[[#This Row],[EMPLOYEE]]="","",MATCH(T_LEAVE[[#This Row],[LEAVE TYPE]],L_LEAVETYPES,0))</f>
        <v/>
      </c>
      <c r="J27">
        <f t="array" ref="J27">IFERROR(INDEX(T_LEAVE_TYPES[SYMBOL],T_LEAVE[[#This Row],[LEAVE TYPE SYS ID]]),"")</f>
        <v/>
      </c>
      <c r="K27">
        <f>IF(T_LEAVE[[#This Row],[EMPLOYEE]]="","",IF(T_LEAVE[[#This Row],[ERROR]]="",0,1))</f>
        <v/>
      </c>
      <c r="L27">
        <f t="array" ref="L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">
      <c r="A28" t="inlineStr">
        <is>
          <t>Rahul Dev (1028364)</t>
        </is>
      </c>
      <c r="B28" s="15" t="inlineStr">
        <is>
          <t>Monday, 10 July 2023</t>
        </is>
      </c>
      <c r="C28" s="15" t="inlineStr">
        <is>
          <t>Wednesday, 12 July 2023</t>
        </is>
      </c>
      <c r="D28" t="inlineStr">
        <is>
          <t>Privilege</t>
        </is>
      </c>
      <c r="E28" t="n">
        <v>3</v>
      </c>
      <c r="F28" s="1" t="n"/>
      <c r="G28" s="1" t="n"/>
      <c r="H28">
        <f>IF(T_LEAVE[[#This Row],[EMPLOYEE]]="","",MATCH(T_LEAVE[[#This Row],[EMPLOYEE]],L_EMPLABELS,0))</f>
        <v/>
      </c>
      <c r="I28">
        <f>IF(T_LEAVE[[#This Row],[EMPLOYEE]]="","",MATCH(T_LEAVE[[#This Row],[LEAVE TYPE]],L_LEAVETYPES,0))</f>
        <v/>
      </c>
      <c r="J28">
        <f t="array" ref="J28">IFERROR(INDEX(T_LEAVE_TYPES[SYMBOL],T_LEAVE[[#This Row],[LEAVE TYPE SYS ID]]),"")</f>
        <v/>
      </c>
      <c r="K28">
        <f>IF(T_LEAVE[[#This Row],[EMPLOYEE]]="","",IF(T_LEAVE[[#This Row],[ERROR]]="",0,1))</f>
        <v/>
      </c>
      <c r="L28">
        <f t="array" ref="L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">
      <c r="A29" t="inlineStr">
        <is>
          <t>Rahul Dev (1028364)</t>
        </is>
      </c>
      <c r="B29" s="15" t="inlineStr">
        <is>
          <t>Monday, 22 May 2023</t>
        </is>
      </c>
      <c r="C29" s="15" t="inlineStr">
        <is>
          <t>Monday, 22 May 2023</t>
        </is>
      </c>
      <c r="D29" t="inlineStr">
        <is>
          <t xml:space="preserve">Casual / Sick </t>
        </is>
      </c>
      <c r="E29" t="n">
        <v>1</v>
      </c>
      <c r="F29" s="1" t="n"/>
      <c r="G29" s="1" t="n"/>
      <c r="H29">
        <f>IF(T_LEAVE[[#This Row],[EMPLOYEE]]="","",MATCH(T_LEAVE[[#This Row],[EMPLOYEE]],L_EMPLABELS,0))</f>
        <v/>
      </c>
      <c r="I29">
        <f>IF(T_LEAVE[[#This Row],[EMPLOYEE]]="","",MATCH(T_LEAVE[[#This Row],[LEAVE TYPE]],L_LEAVETYPES,0))</f>
        <v/>
      </c>
      <c r="J29">
        <f t="array" ref="J29">IFERROR(INDEX(T_LEAVE_TYPES[SYMBOL],T_LEAVE[[#This Row],[LEAVE TYPE SYS ID]]),"")</f>
        <v/>
      </c>
      <c r="K29">
        <f>IF(T_LEAVE[[#This Row],[EMPLOYEE]]="","",IF(T_LEAVE[[#This Row],[ERROR]]="",0,1))</f>
        <v/>
      </c>
      <c r="L29">
        <f t="array" ref="L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">
      <c r="A30" t="inlineStr">
        <is>
          <t>Rahul Dev (1028364)</t>
        </is>
      </c>
      <c r="B30" s="15" t="inlineStr">
        <is>
          <t>Monday, 24 April 2023</t>
        </is>
      </c>
      <c r="C30" s="15" t="inlineStr">
        <is>
          <t>Monday, 24 April 2023</t>
        </is>
      </c>
      <c r="D30" t="inlineStr">
        <is>
          <t xml:space="preserve">Casual / Sick </t>
        </is>
      </c>
      <c r="E30" t="n">
        <v>1</v>
      </c>
      <c r="F30" s="1" t="n"/>
      <c r="G30" s="1" t="n"/>
      <c r="H30">
        <f>IF(T_LEAVE[[#This Row],[EMPLOYEE]]="","",MATCH(T_LEAVE[[#This Row],[EMPLOYEE]],L_EMPLABELS,0))</f>
        <v/>
      </c>
      <c r="I30">
        <f>IF(T_LEAVE[[#This Row],[EMPLOYEE]]="","",MATCH(T_LEAVE[[#This Row],[LEAVE TYPE]],L_LEAVETYPES,0))</f>
        <v/>
      </c>
      <c r="J30">
        <f t="array" ref="J30">IFERROR(INDEX(T_LEAVE_TYPES[SYMBOL],T_LEAVE[[#This Row],[LEAVE TYPE SYS ID]]),"")</f>
        <v/>
      </c>
      <c r="K30">
        <f>IF(T_LEAVE[[#This Row],[EMPLOYEE]]="","",IF(T_LEAVE[[#This Row],[ERROR]]="",0,1))</f>
        <v/>
      </c>
      <c r="L30">
        <f t="array" ref="L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">
      <c r="A31" t="inlineStr">
        <is>
          <t>Rahul Dev (1028364)</t>
        </is>
      </c>
      <c r="B31" s="15" t="inlineStr">
        <is>
          <t>Tuesday, 21 March 2023</t>
        </is>
      </c>
      <c r="C31" s="15" t="inlineStr">
        <is>
          <t>Tuesday, 21 March 2023</t>
        </is>
      </c>
      <c r="D31" t="inlineStr">
        <is>
          <t xml:space="preserve">Casual / Sick </t>
        </is>
      </c>
      <c r="E31" t="n">
        <v>1</v>
      </c>
      <c r="F31" s="1" t="n"/>
      <c r="G31" s="1" t="n"/>
      <c r="H31">
        <f>IF(T_LEAVE[[#This Row],[EMPLOYEE]]="","",MATCH(T_LEAVE[[#This Row],[EMPLOYEE]],L_EMPLABELS,0))</f>
        <v/>
      </c>
      <c r="I31">
        <f>IF(T_LEAVE[[#This Row],[EMPLOYEE]]="","",MATCH(T_LEAVE[[#This Row],[LEAVE TYPE]],L_LEAVETYPES,0))</f>
        <v/>
      </c>
      <c r="J31">
        <f t="array" ref="J31">IFERROR(INDEX(T_LEAVE_TYPES[SYMBOL],T_LEAVE[[#This Row],[LEAVE TYPE SYS ID]]),"")</f>
        <v/>
      </c>
      <c r="K31">
        <f>IF(T_LEAVE[[#This Row],[EMPLOYEE]]="","",IF(T_LEAVE[[#This Row],[ERROR]]="",0,1))</f>
        <v/>
      </c>
      <c r="L31">
        <f t="array" ref="L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">
      <c r="A32" t="inlineStr">
        <is>
          <t>Rahul Dev (1028364)</t>
        </is>
      </c>
      <c r="B32" s="15" t="inlineStr">
        <is>
          <t>Monday, 13 February 2023</t>
        </is>
      </c>
      <c r="C32" s="15" t="inlineStr">
        <is>
          <t>Monday, 13 February 2023</t>
        </is>
      </c>
      <c r="D32" t="inlineStr">
        <is>
          <t>Privilege</t>
        </is>
      </c>
      <c r="E32" t="n">
        <v>1</v>
      </c>
      <c r="F32" s="1" t="n"/>
      <c r="G32" s="1" t="n"/>
      <c r="H32">
        <f>IF(T_LEAVE[[#This Row],[EMPLOYEE]]="","",MATCH(T_LEAVE[[#This Row],[EMPLOYEE]],L_EMPLABELS,0))</f>
        <v/>
      </c>
      <c r="I32">
        <f>IF(T_LEAVE[[#This Row],[EMPLOYEE]]="","",MATCH(T_LEAVE[[#This Row],[LEAVE TYPE]],L_LEAVETYPES,0))</f>
        <v/>
      </c>
      <c r="J32">
        <f t="array" ref="J32">IFERROR(INDEX(T_LEAVE_TYPES[SYMBOL],T_LEAVE[[#This Row],[LEAVE TYPE SYS ID]]),"")</f>
        <v/>
      </c>
      <c r="K32">
        <f>IF(T_LEAVE[[#This Row],[EMPLOYEE]]="","",IF(T_LEAVE[[#This Row],[ERROR]]="",0,1))</f>
        <v/>
      </c>
      <c r="L32">
        <f t="array" ref="L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">
      <c r="A33" t="inlineStr">
        <is>
          <t>D Malar Vizhi (1021304)</t>
        </is>
      </c>
      <c r="B33" s="15" t="inlineStr">
        <is>
          <t>Thursday, 21 December 2023</t>
        </is>
      </c>
      <c r="C33" s="15" t="inlineStr">
        <is>
          <t>Friday, 22 December 2023</t>
        </is>
      </c>
      <c r="D33" t="inlineStr">
        <is>
          <t>Privilege</t>
        </is>
      </c>
      <c r="E33" t="n">
        <v>2</v>
      </c>
      <c r="F33" s="1" t="n"/>
      <c r="G33" s="1" t="n"/>
      <c r="H33">
        <f>IF(T_LEAVE[[#This Row],[EMPLOYEE]]="","",MATCH(T_LEAVE[[#This Row],[EMPLOYEE]],L_EMPLABELS,0))</f>
        <v/>
      </c>
      <c r="I33">
        <f>IF(T_LEAVE[[#This Row],[EMPLOYEE]]="","",MATCH(T_LEAVE[[#This Row],[LEAVE TYPE]],L_LEAVETYPES,0))</f>
        <v/>
      </c>
      <c r="J33">
        <f t="array" ref="J33">IFERROR(INDEX(T_LEAVE_TYPES[SYMBOL],T_LEAVE[[#This Row],[LEAVE TYPE SYS ID]]),"")</f>
        <v/>
      </c>
      <c r="K33">
        <f>IF(T_LEAVE[[#This Row],[EMPLOYEE]]="","",IF(T_LEAVE[[#This Row],[ERROR]]="",0,1))</f>
        <v/>
      </c>
      <c r="L33">
        <f t="array" ref="L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">
      <c r="A34" t="inlineStr">
        <is>
          <t>Varshitha B V (1030691)</t>
        </is>
      </c>
      <c r="B34" s="15" t="inlineStr">
        <is>
          <t>Friday, 29 December 2023</t>
        </is>
      </c>
      <c r="C34" s="15" t="inlineStr">
        <is>
          <t>Friday, 29 December 2023</t>
        </is>
      </c>
      <c r="D34" t="inlineStr">
        <is>
          <t xml:space="preserve">Casual / Sick </t>
        </is>
      </c>
      <c r="E34" t="n">
        <v>1</v>
      </c>
      <c r="F34" s="1" t="n"/>
      <c r="G34" s="1" t="n"/>
      <c r="H34">
        <f>IF(T_LEAVE[[#This Row],[EMPLOYEE]]="","",MATCH(T_LEAVE[[#This Row],[EMPLOYEE]],L_EMPLABELS,0))</f>
        <v/>
      </c>
      <c r="I34">
        <f>IF(T_LEAVE[[#This Row],[EMPLOYEE]]="","",MATCH(T_LEAVE[[#This Row],[LEAVE TYPE]],L_LEAVETYPES,0))</f>
        <v/>
      </c>
      <c r="J34">
        <f t="array" ref="J34">IFERROR(INDEX(T_LEAVE_TYPES[SYMBOL],T_LEAVE[[#This Row],[LEAVE TYPE SYS ID]]),"")</f>
        <v/>
      </c>
      <c r="K34">
        <f>IF(T_LEAVE[[#This Row],[EMPLOYEE]]="","",IF(T_LEAVE[[#This Row],[ERROR]]="",0,1))</f>
        <v/>
      </c>
      <c r="L34">
        <f t="array" ref="L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">
      <c r="A35" t="inlineStr">
        <is>
          <t>Varshitha B V (1030691)</t>
        </is>
      </c>
      <c r="B35" s="15" t="inlineStr">
        <is>
          <t>Wednesday, 13 December 2023</t>
        </is>
      </c>
      <c r="C35" s="15" t="inlineStr">
        <is>
          <t>Wednesday, 13 December 2023</t>
        </is>
      </c>
      <c r="D35" t="inlineStr">
        <is>
          <t xml:space="preserve">Casual / Sick </t>
        </is>
      </c>
      <c r="E35" t="n">
        <v>1</v>
      </c>
      <c r="F35" s="1" t="n"/>
      <c r="G35" s="1" t="n"/>
      <c r="H35">
        <f>IF(T_LEAVE[[#This Row],[EMPLOYEE]]="","",MATCH(T_LEAVE[[#This Row],[EMPLOYEE]],L_EMPLABELS,0))</f>
        <v/>
      </c>
      <c r="I35">
        <f>IF(T_LEAVE[[#This Row],[EMPLOYEE]]="","",MATCH(T_LEAVE[[#This Row],[LEAVE TYPE]],L_LEAVETYPES,0))</f>
        <v/>
      </c>
      <c r="J35">
        <f t="array" ref="J35">IFERROR(INDEX(T_LEAVE_TYPES[SYMBOL],T_LEAVE[[#This Row],[LEAVE TYPE SYS ID]]),"")</f>
        <v/>
      </c>
      <c r="K35">
        <f>IF(T_LEAVE[[#This Row],[EMPLOYEE]]="","",IF(T_LEAVE[[#This Row],[ERROR]]="",0,1))</f>
        <v/>
      </c>
      <c r="L35">
        <f t="array" ref="L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">
      <c r="A36" t="inlineStr">
        <is>
          <t>Akash Vasant Kadam (1031064)</t>
        </is>
      </c>
      <c r="B36" s="15" t="inlineStr">
        <is>
          <t>Friday, 29 December 2023</t>
        </is>
      </c>
      <c r="C36" s="15" t="inlineStr">
        <is>
          <t>Friday, 29 December 2023</t>
        </is>
      </c>
      <c r="D36" t="inlineStr">
        <is>
          <t xml:space="preserve">Casual / Sick </t>
        </is>
      </c>
      <c r="E36" t="n">
        <v>1</v>
      </c>
      <c r="F36" s="1" t="n"/>
      <c r="G36" s="1" t="n"/>
      <c r="H36">
        <f>IF(T_LEAVE[[#This Row],[EMPLOYEE]]="","",MATCH(T_LEAVE[[#This Row],[EMPLOYEE]],L_EMPLABELS,0))</f>
        <v/>
      </c>
      <c r="I36">
        <f>IF(T_LEAVE[[#This Row],[EMPLOYEE]]="","",MATCH(T_LEAVE[[#This Row],[LEAVE TYPE]],L_LEAVETYPES,0))</f>
        <v/>
      </c>
      <c r="J36">
        <f t="array" ref="J36">IFERROR(INDEX(T_LEAVE_TYPES[SYMBOL],T_LEAVE[[#This Row],[LEAVE TYPE SYS ID]]),"")</f>
        <v/>
      </c>
      <c r="K36">
        <f>IF(T_LEAVE[[#This Row],[EMPLOYEE]]="","",IF(T_LEAVE[[#This Row],[ERROR]]="",0,1))</f>
        <v/>
      </c>
      <c r="L36">
        <f t="array" ref="L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">
      <c r="A37" t="inlineStr">
        <is>
          <t>Nikhil Balaji Agwane (1031086)</t>
        </is>
      </c>
      <c r="B37" s="15" t="inlineStr">
        <is>
          <t>Tuesday, 19 December 2023</t>
        </is>
      </c>
      <c r="C37" s="15" t="inlineStr">
        <is>
          <t>Tuesday, 19 December 2023</t>
        </is>
      </c>
      <c r="D37" t="inlineStr">
        <is>
          <t xml:space="preserve">Casual / Sick </t>
        </is>
      </c>
      <c r="E37" t="n">
        <v>1</v>
      </c>
      <c r="F37" s="1" t="n"/>
      <c r="G37" s="1" t="n"/>
      <c r="H37">
        <f>IF(T_LEAVE[[#This Row],[EMPLOYEE]]="","",MATCH(T_LEAVE[[#This Row],[EMPLOYEE]],L_EMPLABELS,0))</f>
        <v/>
      </c>
      <c r="I37">
        <f>IF(T_LEAVE[[#This Row],[EMPLOYEE]]="","",MATCH(T_LEAVE[[#This Row],[LEAVE TYPE]],L_LEAVETYPES,0))</f>
        <v/>
      </c>
      <c r="J37">
        <f t="array" ref="J37">IFERROR(INDEX(T_LEAVE_TYPES[SYMBOL],T_LEAVE[[#This Row],[LEAVE TYPE SYS ID]]),"")</f>
        <v/>
      </c>
      <c r="K37">
        <f>IF(T_LEAVE[[#This Row],[EMPLOYEE]]="","",IF(T_LEAVE[[#This Row],[ERROR]]="",0,1))</f>
        <v/>
      </c>
      <c r="L37">
        <f t="array" ref="L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">
      <c r="A38" t="inlineStr">
        <is>
          <t>ABHISEK  SARANGI (1029782)</t>
        </is>
      </c>
      <c r="B38" s="15" t="inlineStr">
        <is>
          <t>Thursday, 10 August 2023</t>
        </is>
      </c>
      <c r="C38" s="15" t="inlineStr">
        <is>
          <t>Thursday, 10 August 2023</t>
        </is>
      </c>
      <c r="D38" t="inlineStr">
        <is>
          <t xml:space="preserve">Casual / Sick </t>
        </is>
      </c>
      <c r="E38" t="n">
        <v>1</v>
      </c>
      <c r="F38" s="1" t="n"/>
      <c r="G38" s="1" t="n"/>
      <c r="H38">
        <f>IF(T_LEAVE[[#This Row],[EMPLOYEE]]="","",MATCH(T_LEAVE[[#This Row],[EMPLOYEE]],L_EMPLABELS,0))</f>
        <v/>
      </c>
      <c r="I38">
        <f>IF(T_LEAVE[[#This Row],[EMPLOYEE]]="","",MATCH(T_LEAVE[[#This Row],[LEAVE TYPE]],L_LEAVETYPES,0))</f>
        <v/>
      </c>
      <c r="J38">
        <f t="array" ref="J38">IFERROR(INDEX(T_LEAVE_TYPES[SYMBOL],T_LEAVE[[#This Row],[LEAVE TYPE SYS ID]]),"")</f>
        <v/>
      </c>
      <c r="K38">
        <f>IF(T_LEAVE[[#This Row],[EMPLOYEE]]="","",IF(T_LEAVE[[#This Row],[ERROR]]="",0,1))</f>
        <v/>
      </c>
      <c r="L38">
        <f t="array" ref="L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">
      <c r="A39" t="inlineStr">
        <is>
          <t>ABHISEK  SARANGI (1029782)</t>
        </is>
      </c>
      <c r="B39" s="15" t="inlineStr">
        <is>
          <t>Friday, 24 February 2023</t>
        </is>
      </c>
      <c r="C39" s="15" t="inlineStr">
        <is>
          <t>Friday, 24 February 2023</t>
        </is>
      </c>
      <c r="D39" t="inlineStr">
        <is>
          <t xml:space="preserve">Casual / Sick </t>
        </is>
      </c>
      <c r="E39" t="n">
        <v>1</v>
      </c>
      <c r="F39" s="1" t="n"/>
      <c r="G39" s="1" t="n"/>
      <c r="H39">
        <f>IF(T_LEAVE[[#This Row],[EMPLOYEE]]="","",MATCH(T_LEAVE[[#This Row],[EMPLOYEE]],L_EMPLABELS,0))</f>
        <v/>
      </c>
      <c r="I39">
        <f>IF(T_LEAVE[[#This Row],[EMPLOYEE]]="","",MATCH(T_LEAVE[[#This Row],[LEAVE TYPE]],L_LEAVETYPES,0))</f>
        <v/>
      </c>
      <c r="J39">
        <f t="array" ref="J39">IFERROR(INDEX(T_LEAVE_TYPES[SYMBOL],T_LEAVE[[#This Row],[LEAVE TYPE SYS ID]]),"")</f>
        <v/>
      </c>
      <c r="K39">
        <f>IF(T_LEAVE[[#This Row],[EMPLOYEE]]="","",IF(T_LEAVE[[#This Row],[ERROR]]="",0,1))</f>
        <v/>
      </c>
      <c r="L39">
        <f t="array" ref="L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">
      <c r="A40" t="inlineStr">
        <is>
          <t>ABHISEK  SARANGI (1029782)</t>
        </is>
      </c>
      <c r="B40" s="15" t="inlineStr">
        <is>
          <t>Monday, 19 December 2022</t>
        </is>
      </c>
      <c r="C40" s="15" t="inlineStr">
        <is>
          <t>Monday, 19 December 2022</t>
        </is>
      </c>
      <c r="D40" t="inlineStr">
        <is>
          <t>Privilege</t>
        </is>
      </c>
      <c r="E40" t="n">
        <v>1</v>
      </c>
      <c r="F40" s="1" t="n"/>
      <c r="G40" s="1" t="n"/>
      <c r="H40">
        <f>IF(T_LEAVE[[#This Row],[EMPLOYEE]]="","",MATCH(T_LEAVE[[#This Row],[EMPLOYEE]],L_EMPLABELS,0))</f>
        <v/>
      </c>
      <c r="I40">
        <f>IF(T_LEAVE[[#This Row],[EMPLOYEE]]="","",MATCH(T_LEAVE[[#This Row],[LEAVE TYPE]],L_LEAVETYPES,0))</f>
        <v/>
      </c>
      <c r="J40">
        <f t="array" ref="J40">IFERROR(INDEX(T_LEAVE_TYPES[SYMBOL],T_LEAVE[[#This Row],[LEAVE TYPE SYS ID]]),"")</f>
        <v/>
      </c>
      <c r="K40">
        <f>IF(T_LEAVE[[#This Row],[EMPLOYEE]]="","",IF(T_LEAVE[[#This Row],[ERROR]]="",0,1))</f>
        <v/>
      </c>
      <c r="L40">
        <f t="array" ref="L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">
      <c r="A41" t="inlineStr">
        <is>
          <t>ABHISEK  SARANGI (1029782)</t>
        </is>
      </c>
      <c r="B41" s="15" t="inlineStr">
        <is>
          <t>Thursday, 15 December 2022</t>
        </is>
      </c>
      <c r="C41" s="15" t="inlineStr">
        <is>
          <t>Friday, 16 December 2022</t>
        </is>
      </c>
      <c r="D41" t="inlineStr">
        <is>
          <t>Privilege</t>
        </is>
      </c>
      <c r="E41" t="n">
        <v>2</v>
      </c>
      <c r="F41" s="1" t="n"/>
      <c r="G41" s="1" t="n"/>
      <c r="H41">
        <f>IF(T_LEAVE[[#This Row],[EMPLOYEE]]="","",MATCH(T_LEAVE[[#This Row],[EMPLOYEE]],L_EMPLABELS,0))</f>
        <v/>
      </c>
      <c r="I41">
        <f>IF(T_LEAVE[[#This Row],[EMPLOYEE]]="","",MATCH(T_LEAVE[[#This Row],[LEAVE TYPE]],L_LEAVETYPES,0))</f>
        <v/>
      </c>
      <c r="J41">
        <f t="array" ref="J41">IFERROR(INDEX(T_LEAVE_TYPES[SYMBOL],T_LEAVE[[#This Row],[LEAVE TYPE SYS ID]]),"")</f>
        <v/>
      </c>
      <c r="K41">
        <f>IF(T_LEAVE[[#This Row],[EMPLOYEE]]="","",IF(T_LEAVE[[#This Row],[ERROR]]="",0,1))</f>
        <v/>
      </c>
      <c r="L41">
        <f t="array" ref="L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">
      <c r="A42" t="inlineStr">
        <is>
          <t>Kommunuri Arun Raju (1033251)</t>
        </is>
      </c>
      <c r="B42" s="15" t="inlineStr">
        <is>
          <t>Tuesday, 26 December 2023</t>
        </is>
      </c>
      <c r="C42" s="15" t="inlineStr">
        <is>
          <t>Wednesday, 27 December 2023</t>
        </is>
      </c>
      <c r="D42" t="inlineStr">
        <is>
          <t>Privilege</t>
        </is>
      </c>
      <c r="E42" t="n">
        <v>2</v>
      </c>
      <c r="F42" s="1" t="n"/>
      <c r="G42" s="1" t="n"/>
      <c r="H42">
        <f>IF(T_LEAVE[[#This Row],[EMPLOYEE]]="","",MATCH(T_LEAVE[[#This Row],[EMPLOYEE]],L_EMPLABELS,0))</f>
        <v/>
      </c>
      <c r="I42">
        <f>IF(T_LEAVE[[#This Row],[EMPLOYEE]]="","",MATCH(T_LEAVE[[#This Row],[LEAVE TYPE]],L_LEAVETYPES,0))</f>
        <v/>
      </c>
      <c r="J42">
        <f t="array" ref="J42">IFERROR(INDEX(T_LEAVE_TYPES[SYMBOL],T_LEAVE[[#This Row],[LEAVE TYPE SYS ID]]),"")</f>
        <v/>
      </c>
      <c r="K42">
        <f>IF(T_LEAVE[[#This Row],[EMPLOYEE]]="","",IF(T_LEAVE[[#This Row],[ERROR]]="",0,1))</f>
        <v/>
      </c>
      <c r="L42">
        <f t="array" ref="L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">
      <c r="A43" t="inlineStr">
        <is>
          <t>Kommunuri Arun Raju (1033251)</t>
        </is>
      </c>
      <c r="B43" s="15" t="inlineStr">
        <is>
          <t>Tuesday, 12 December 2023</t>
        </is>
      </c>
      <c r="C43" s="15" t="inlineStr">
        <is>
          <t>Tuesday, 12 December 2023</t>
        </is>
      </c>
      <c r="D43" t="inlineStr">
        <is>
          <t xml:space="preserve">Casual / Sick </t>
        </is>
      </c>
      <c r="E43" t="n">
        <v>1</v>
      </c>
      <c r="F43" s="1" t="n"/>
      <c r="G43" s="1" t="n"/>
      <c r="H43">
        <f>IF(T_LEAVE[[#This Row],[EMPLOYEE]]="","",MATCH(T_LEAVE[[#This Row],[EMPLOYEE]],L_EMPLABELS,0))</f>
        <v/>
      </c>
      <c r="I43">
        <f>IF(T_LEAVE[[#This Row],[EMPLOYEE]]="","",MATCH(T_LEAVE[[#This Row],[LEAVE TYPE]],L_LEAVETYPES,0))</f>
        <v/>
      </c>
      <c r="J43">
        <f t="array" ref="J43">IFERROR(INDEX(T_LEAVE_TYPES[SYMBOL],T_LEAVE[[#This Row],[LEAVE TYPE SYS ID]]),"")</f>
        <v/>
      </c>
      <c r="K43">
        <f>IF(T_LEAVE[[#This Row],[EMPLOYEE]]="","",IF(T_LEAVE[[#This Row],[ERROR]]="",0,1))</f>
        <v/>
      </c>
      <c r="L43">
        <f t="array" ref="L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">
      <c r="A44" t="inlineStr">
        <is>
          <t>Maddi Vamsi (1029528)</t>
        </is>
      </c>
      <c r="B44" s="15" t="inlineStr">
        <is>
          <t>Tuesday, 26 December 2023</t>
        </is>
      </c>
      <c r="C44" s="15" t="inlineStr">
        <is>
          <t>Wednesday, 27 December 2023</t>
        </is>
      </c>
      <c r="D44" t="inlineStr">
        <is>
          <t>Privilege</t>
        </is>
      </c>
      <c r="E44" t="n">
        <v>2</v>
      </c>
      <c r="F44" s="1" t="n"/>
      <c r="G44" s="1" t="n"/>
      <c r="H44">
        <f>IF(T_LEAVE[[#This Row],[EMPLOYEE]]="","",MATCH(T_LEAVE[[#This Row],[EMPLOYEE]],L_EMPLABELS,0))</f>
        <v/>
      </c>
      <c r="I44">
        <f>IF(T_LEAVE[[#This Row],[EMPLOYEE]]="","",MATCH(T_LEAVE[[#This Row],[LEAVE TYPE]],L_LEAVETYPES,0))</f>
        <v/>
      </c>
      <c r="J44">
        <f t="array" ref="J44">IFERROR(INDEX(T_LEAVE_TYPES[SYMBOL],T_LEAVE[[#This Row],[LEAVE TYPE SYS ID]]),"")</f>
        <v/>
      </c>
      <c r="K44">
        <f>IF(T_LEAVE[[#This Row],[EMPLOYEE]]="","",IF(T_LEAVE[[#This Row],[ERROR]]="",0,1))</f>
        <v/>
      </c>
      <c r="L44">
        <f t="array" ref="L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">
      <c r="A45" t="inlineStr">
        <is>
          <t>Maddi Vamsi (1029528)</t>
        </is>
      </c>
      <c r="B45" s="15" t="inlineStr">
        <is>
          <t>Friday, 10 November 2023</t>
        </is>
      </c>
      <c r="C45" s="15" t="inlineStr">
        <is>
          <t>Friday, 10 November 2023</t>
        </is>
      </c>
      <c r="D45" t="inlineStr">
        <is>
          <t xml:space="preserve">Casual / Sick </t>
        </is>
      </c>
      <c r="E45" t="n">
        <v>1</v>
      </c>
      <c r="F45" s="1" t="n"/>
      <c r="G45" s="1" t="n"/>
      <c r="H45">
        <f>IF(T_LEAVE[[#This Row],[EMPLOYEE]]="","",MATCH(T_LEAVE[[#This Row],[EMPLOYEE]],L_EMPLABELS,0))</f>
        <v/>
      </c>
      <c r="I45">
        <f>IF(T_LEAVE[[#This Row],[EMPLOYEE]]="","",MATCH(T_LEAVE[[#This Row],[LEAVE TYPE]],L_LEAVETYPES,0))</f>
        <v/>
      </c>
      <c r="J45">
        <f t="array" ref="J45">IFERROR(INDEX(T_LEAVE_TYPES[SYMBOL],T_LEAVE[[#This Row],[LEAVE TYPE SYS ID]]),"")</f>
        <v/>
      </c>
      <c r="K45">
        <f>IF(T_LEAVE[[#This Row],[EMPLOYEE]]="","",IF(T_LEAVE[[#This Row],[ERROR]]="",0,1))</f>
        <v/>
      </c>
      <c r="L45">
        <f t="array" ref="L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">
      <c r="A46" t="inlineStr">
        <is>
          <t>Maddi Vamsi (1029528)</t>
        </is>
      </c>
      <c r="B46" s="15" t="inlineStr">
        <is>
          <t>Wednesday, 06 September 2023</t>
        </is>
      </c>
      <c r="C46" s="15" t="inlineStr">
        <is>
          <t>Wednesday, 06 September 2023</t>
        </is>
      </c>
      <c r="D46" t="inlineStr">
        <is>
          <t xml:space="preserve">Casual / Sick </t>
        </is>
      </c>
      <c r="E46" t="n">
        <v>1</v>
      </c>
      <c r="F46" s="1" t="n"/>
      <c r="G46" s="1" t="n"/>
      <c r="H46">
        <f>IF(T_LEAVE[[#This Row],[EMPLOYEE]]="","",MATCH(T_LEAVE[[#This Row],[EMPLOYEE]],L_EMPLABELS,0))</f>
        <v/>
      </c>
      <c r="I46">
        <f>IF(T_LEAVE[[#This Row],[EMPLOYEE]]="","",MATCH(T_LEAVE[[#This Row],[LEAVE TYPE]],L_LEAVETYPES,0))</f>
        <v/>
      </c>
      <c r="J46">
        <f t="array" ref="J46">IFERROR(INDEX(T_LEAVE_TYPES[SYMBOL],T_LEAVE[[#This Row],[LEAVE TYPE SYS ID]]),"")</f>
        <v/>
      </c>
      <c r="K46">
        <f>IF(T_LEAVE[[#This Row],[EMPLOYEE]]="","",IF(T_LEAVE[[#This Row],[ERROR]]="",0,1))</f>
        <v/>
      </c>
      <c r="L46">
        <f t="array" ref="L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">
      <c r="A47" t="inlineStr">
        <is>
          <t>Maddi Vamsi (1029528)</t>
        </is>
      </c>
      <c r="B47" s="15" t="inlineStr">
        <is>
          <t>Monday, 14 August 2023</t>
        </is>
      </c>
      <c r="C47" s="15" t="inlineStr">
        <is>
          <t>Monday, 14 August 2023</t>
        </is>
      </c>
      <c r="D47" t="inlineStr">
        <is>
          <t xml:space="preserve">Casual / Sick </t>
        </is>
      </c>
      <c r="E47" t="n">
        <v>1</v>
      </c>
      <c r="F47" s="1" t="n"/>
      <c r="G47" s="1" t="n"/>
      <c r="H47">
        <f>IF(T_LEAVE[[#This Row],[EMPLOYEE]]="","",MATCH(T_LEAVE[[#This Row],[EMPLOYEE]],L_EMPLABELS,0))</f>
        <v/>
      </c>
      <c r="I47">
        <f>IF(T_LEAVE[[#This Row],[EMPLOYEE]]="","",MATCH(T_LEAVE[[#This Row],[LEAVE TYPE]],L_LEAVETYPES,0))</f>
        <v/>
      </c>
      <c r="J47">
        <f t="array" ref="J47">IFERROR(INDEX(T_LEAVE_TYPES[SYMBOL],T_LEAVE[[#This Row],[LEAVE TYPE SYS ID]]),"")</f>
        <v/>
      </c>
      <c r="K47">
        <f>IF(T_LEAVE[[#This Row],[EMPLOYEE]]="","",IF(T_LEAVE[[#This Row],[ERROR]]="",0,1))</f>
        <v/>
      </c>
      <c r="L47">
        <f t="array" ref="L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">
      <c r="A48" t="inlineStr">
        <is>
          <t>Maddi Vamsi (1029528)</t>
        </is>
      </c>
      <c r="B48" s="15" t="inlineStr">
        <is>
          <t>Monday, 19 June 2023</t>
        </is>
      </c>
      <c r="C48" s="15" t="inlineStr">
        <is>
          <t>Monday, 19 June 2023</t>
        </is>
      </c>
      <c r="D48" t="inlineStr">
        <is>
          <t xml:space="preserve">Casual / Sick </t>
        </is>
      </c>
      <c r="E48" t="n">
        <v>1</v>
      </c>
      <c r="F48" s="1" t="n"/>
      <c r="G48" s="1" t="n"/>
      <c r="H48">
        <f>IF(T_LEAVE[[#This Row],[EMPLOYEE]]="","",MATCH(T_LEAVE[[#This Row],[EMPLOYEE]],L_EMPLABELS,0))</f>
        <v/>
      </c>
      <c r="I48">
        <f>IF(T_LEAVE[[#This Row],[EMPLOYEE]]="","",MATCH(T_LEAVE[[#This Row],[LEAVE TYPE]],L_LEAVETYPES,0))</f>
        <v/>
      </c>
      <c r="J48">
        <f t="array" ref="J48">IFERROR(INDEX(T_LEAVE_TYPES[SYMBOL],T_LEAVE[[#This Row],[LEAVE TYPE SYS ID]]),"")</f>
        <v/>
      </c>
      <c r="K48">
        <f>IF(T_LEAVE[[#This Row],[EMPLOYEE]]="","",IF(T_LEAVE[[#This Row],[ERROR]]="",0,1))</f>
        <v/>
      </c>
      <c r="L48">
        <f t="array" ref="L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">
      <c r="A49" t="inlineStr">
        <is>
          <t>Maddi Vamsi (1029528)</t>
        </is>
      </c>
      <c r="B49" s="15" t="inlineStr">
        <is>
          <t>Monday, 29 May 2023</t>
        </is>
      </c>
      <c r="C49" s="15" t="inlineStr">
        <is>
          <t>Monday, 29 May 2023</t>
        </is>
      </c>
      <c r="D49" t="inlineStr">
        <is>
          <t>Privilege</t>
        </is>
      </c>
      <c r="E49" t="n">
        <v>1</v>
      </c>
      <c r="F49" s="1" t="n"/>
      <c r="G49" s="1" t="n"/>
      <c r="H49">
        <f>IF(T_LEAVE[[#This Row],[EMPLOYEE]]="","",MATCH(T_LEAVE[[#This Row],[EMPLOYEE]],L_EMPLABELS,0))</f>
        <v/>
      </c>
      <c r="I49">
        <f>IF(T_LEAVE[[#This Row],[EMPLOYEE]]="","",MATCH(T_LEAVE[[#This Row],[LEAVE TYPE]],L_LEAVETYPES,0))</f>
        <v/>
      </c>
      <c r="J49">
        <f t="array" ref="J49">IFERROR(INDEX(T_LEAVE_TYPES[SYMBOL],T_LEAVE[[#This Row],[LEAVE TYPE SYS ID]]),"")</f>
        <v/>
      </c>
      <c r="K49">
        <f>IF(T_LEAVE[[#This Row],[EMPLOYEE]]="","",IF(T_LEAVE[[#This Row],[ERROR]]="",0,1))</f>
        <v/>
      </c>
      <c r="L49">
        <f t="array" ref="L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">
      <c r="A50" t="inlineStr">
        <is>
          <t>Maddi Vamsi (1029528)</t>
        </is>
      </c>
      <c r="B50" s="15" t="inlineStr">
        <is>
          <t>Tuesday, 02 May 2023</t>
        </is>
      </c>
      <c r="C50" s="15" t="inlineStr">
        <is>
          <t>Wednesday, 03 May 2023</t>
        </is>
      </c>
      <c r="D50" t="inlineStr">
        <is>
          <t>Privilege</t>
        </is>
      </c>
      <c r="E50" t="n">
        <v>2</v>
      </c>
      <c r="F50" s="1" t="n"/>
      <c r="G50" s="1" t="n"/>
      <c r="H50">
        <f>IF(T_LEAVE[[#This Row],[EMPLOYEE]]="","",MATCH(T_LEAVE[[#This Row],[EMPLOYEE]],L_EMPLABELS,0))</f>
        <v/>
      </c>
      <c r="I50">
        <f>IF(T_LEAVE[[#This Row],[EMPLOYEE]]="","",MATCH(T_LEAVE[[#This Row],[LEAVE TYPE]],L_LEAVETYPES,0))</f>
        <v/>
      </c>
      <c r="J50">
        <f t="array" ref="J50">IFERROR(INDEX(T_LEAVE_TYPES[SYMBOL],T_LEAVE[[#This Row],[LEAVE TYPE SYS ID]]),"")</f>
        <v/>
      </c>
      <c r="K50">
        <f>IF(T_LEAVE[[#This Row],[EMPLOYEE]]="","",IF(T_LEAVE[[#This Row],[ERROR]]="",0,1))</f>
        <v/>
      </c>
      <c r="L50">
        <f t="array" ref="L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">
      <c r="A51" t="inlineStr">
        <is>
          <t>Maddi Vamsi (1029528)</t>
        </is>
      </c>
      <c r="B51" s="15" t="inlineStr">
        <is>
          <t>Thursday, 23 February 2023</t>
        </is>
      </c>
      <c r="C51" s="15" t="inlineStr">
        <is>
          <t>Thursday, 23 February 2023</t>
        </is>
      </c>
      <c r="D51" t="inlineStr">
        <is>
          <t xml:space="preserve">Casual / Sick </t>
        </is>
      </c>
      <c r="E51" t="n">
        <v>1</v>
      </c>
      <c r="F51" s="1" t="n"/>
      <c r="G51" s="1" t="n"/>
      <c r="H51">
        <f>IF(T_LEAVE[[#This Row],[EMPLOYEE]]="","",MATCH(T_LEAVE[[#This Row],[EMPLOYEE]],L_EMPLABELS,0))</f>
        <v/>
      </c>
      <c r="I51">
        <f>IF(T_LEAVE[[#This Row],[EMPLOYEE]]="","",MATCH(T_LEAVE[[#This Row],[LEAVE TYPE]],L_LEAVETYPES,0))</f>
        <v/>
      </c>
      <c r="J51">
        <f t="array" ref="J51">IFERROR(INDEX(T_LEAVE_TYPES[SYMBOL],T_LEAVE[[#This Row],[LEAVE TYPE SYS ID]]),"")</f>
        <v/>
      </c>
      <c r="K51">
        <f>IF(T_LEAVE[[#This Row],[EMPLOYEE]]="","",IF(T_LEAVE[[#This Row],[ERROR]]="",0,1))</f>
        <v/>
      </c>
      <c r="L51">
        <f t="array" ref="L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">
      <c r="A52" t="inlineStr">
        <is>
          <t>ABHISEK  SARANGI (1029782)</t>
        </is>
      </c>
      <c r="B52" s="15" t="inlineStr">
        <is>
          <t>Monday, 05 December 2022</t>
        </is>
      </c>
      <c r="C52" s="15" t="inlineStr">
        <is>
          <t>Monday, 05 December 2022</t>
        </is>
      </c>
      <c r="D52" t="inlineStr">
        <is>
          <t>Privilege</t>
        </is>
      </c>
      <c r="E52" t="n">
        <v>1</v>
      </c>
      <c r="F52" s="1" t="n"/>
      <c r="G52" s="1" t="n"/>
      <c r="H52">
        <f>IF(T_LEAVE[[#This Row],[EMPLOYEE]]="","",MATCH(T_LEAVE[[#This Row],[EMPLOYEE]],L_EMPLABELS,0))</f>
        <v/>
      </c>
      <c r="I52">
        <f>IF(T_LEAVE[[#This Row],[EMPLOYEE]]="","",MATCH(T_LEAVE[[#This Row],[LEAVE TYPE]],L_LEAVETYPES,0))</f>
        <v/>
      </c>
      <c r="J52">
        <f t="array" ref="J52">IFERROR(INDEX(T_LEAVE_TYPES[SYMBOL],T_LEAVE[[#This Row],[LEAVE TYPE SYS ID]]),"")</f>
        <v/>
      </c>
      <c r="K52">
        <f>IF(T_LEAVE[[#This Row],[EMPLOYEE]]="","",IF(T_LEAVE[[#This Row],[ERROR]]="",0,1))</f>
        <v/>
      </c>
      <c r="L52">
        <f t="array" ref="L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">
      <c r="A53" t="inlineStr">
        <is>
          <t>Gaurav Jha (1030908)</t>
        </is>
      </c>
      <c r="B53" s="15" t="inlineStr">
        <is>
          <t>Tuesday, 26 December 2023</t>
        </is>
      </c>
      <c r="C53" s="15" t="inlineStr">
        <is>
          <t>Friday, 29 December 2023</t>
        </is>
      </c>
      <c r="D53" t="inlineStr">
        <is>
          <t>Privilege</t>
        </is>
      </c>
      <c r="E53" t="n">
        <v>4</v>
      </c>
      <c r="F53" s="1" t="n"/>
      <c r="G53" s="1" t="n"/>
      <c r="H53">
        <f>IF(T_LEAVE[[#This Row],[EMPLOYEE]]="","",MATCH(T_LEAVE[[#This Row],[EMPLOYEE]],L_EMPLABELS,0))</f>
        <v/>
      </c>
      <c r="I53">
        <f>IF(T_LEAVE[[#This Row],[EMPLOYEE]]="","",MATCH(T_LEAVE[[#This Row],[LEAVE TYPE]],L_LEAVETYPES,0))</f>
        <v/>
      </c>
      <c r="J53">
        <f t="array" ref="J53">IFERROR(INDEX(T_LEAVE_TYPES[SYMBOL],T_LEAVE[[#This Row],[LEAVE TYPE SYS ID]]),"")</f>
        <v/>
      </c>
      <c r="K53">
        <f>IF(T_LEAVE[[#This Row],[EMPLOYEE]]="","",IF(T_LEAVE[[#This Row],[ERROR]]="",0,1))</f>
        <v/>
      </c>
      <c r="L53">
        <f t="array" ref="L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">
      <c r="A54" t="inlineStr">
        <is>
          <t>ABHISEK  SARANGI (1029782)</t>
        </is>
      </c>
      <c r="B54" s="15" t="inlineStr">
        <is>
          <t>Thursday, 01 December 2022</t>
        </is>
      </c>
      <c r="C54" s="15" t="inlineStr">
        <is>
          <t>Friday, 02 December 2022</t>
        </is>
      </c>
      <c r="D54" t="inlineStr">
        <is>
          <t xml:space="preserve">Casual / Sick </t>
        </is>
      </c>
      <c r="E54" t="n">
        <v>2</v>
      </c>
      <c r="F54" s="1" t="n"/>
      <c r="G54" s="1" t="n"/>
      <c r="H54">
        <f>IF(T_LEAVE[[#This Row],[EMPLOYEE]]="","",MATCH(T_LEAVE[[#This Row],[EMPLOYEE]],L_EMPLABELS,0))</f>
        <v/>
      </c>
      <c r="I54">
        <f>IF(T_LEAVE[[#This Row],[EMPLOYEE]]="","",MATCH(T_LEAVE[[#This Row],[LEAVE TYPE]],L_LEAVETYPES,0))</f>
        <v/>
      </c>
      <c r="J54">
        <f t="array" ref="J54">IFERROR(INDEX(T_LEAVE_TYPES[SYMBOL],T_LEAVE[[#This Row],[LEAVE TYPE SYS ID]]),"")</f>
        <v/>
      </c>
      <c r="K54">
        <f>IF(T_LEAVE[[#This Row],[EMPLOYEE]]="","",IF(T_LEAVE[[#This Row],[ERROR]]="",0,1))</f>
        <v/>
      </c>
      <c r="L54">
        <f t="array" ref="L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">
      <c r="A55" t="inlineStr">
        <is>
          <t>ABHISEK  SARANGI (1029782)</t>
        </is>
      </c>
      <c r="B55" s="15" t="inlineStr">
        <is>
          <t>Wednesday, 30 November 2022</t>
        </is>
      </c>
      <c r="C55" s="15" t="inlineStr">
        <is>
          <t>Wednesday, 30 November 2022</t>
        </is>
      </c>
      <c r="D55" t="inlineStr">
        <is>
          <t xml:space="preserve">Casual / Sick </t>
        </is>
      </c>
      <c r="E55" t="n">
        <v>1</v>
      </c>
      <c r="F55" s="1" t="n"/>
      <c r="G55" s="1" t="n"/>
      <c r="H55">
        <f>IF(T_LEAVE[[#This Row],[EMPLOYEE]]="","",MATCH(T_LEAVE[[#This Row],[EMPLOYEE]],L_EMPLABELS,0))</f>
        <v/>
      </c>
      <c r="I55">
        <f>IF(T_LEAVE[[#This Row],[EMPLOYEE]]="","",MATCH(T_LEAVE[[#This Row],[LEAVE TYPE]],L_LEAVETYPES,0))</f>
        <v/>
      </c>
      <c r="J55">
        <f t="array" ref="J55">IFERROR(INDEX(T_LEAVE_TYPES[SYMBOL],T_LEAVE[[#This Row],[LEAVE TYPE SYS ID]]),"")</f>
        <v/>
      </c>
      <c r="K55">
        <f>IF(T_LEAVE[[#This Row],[EMPLOYEE]]="","",IF(T_LEAVE[[#This Row],[ERROR]]="",0,1))</f>
        <v/>
      </c>
      <c r="L55">
        <f t="array" ref="L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">
      <c r="A56" t="inlineStr">
        <is>
          <t>ABHISEK  SARANGI (1029782)</t>
        </is>
      </c>
      <c r="B56" s="15" t="inlineStr">
        <is>
          <t>Monday, 28 November 2022</t>
        </is>
      </c>
      <c r="C56" s="15" t="inlineStr">
        <is>
          <t>Monday, 28 November 2022</t>
        </is>
      </c>
      <c r="D56" t="inlineStr">
        <is>
          <t xml:space="preserve">Casual / Sick </t>
        </is>
      </c>
      <c r="E56" t="n">
        <v>1</v>
      </c>
      <c r="F56" s="1" t="n"/>
      <c r="G56" s="1" t="n"/>
      <c r="H56">
        <f>IF(T_LEAVE[[#This Row],[EMPLOYEE]]="","",MATCH(T_LEAVE[[#This Row],[EMPLOYEE]],L_EMPLABELS,0))</f>
        <v/>
      </c>
      <c r="I56">
        <f>IF(T_LEAVE[[#This Row],[EMPLOYEE]]="","",MATCH(T_LEAVE[[#This Row],[LEAVE TYPE]],L_LEAVETYPES,0))</f>
        <v/>
      </c>
      <c r="J56">
        <f t="array" ref="J56">IFERROR(INDEX(T_LEAVE_TYPES[SYMBOL],T_LEAVE[[#This Row],[LEAVE TYPE SYS ID]]),"")</f>
        <v/>
      </c>
      <c r="K56">
        <f>IF(T_LEAVE[[#This Row],[EMPLOYEE]]="","",IF(T_LEAVE[[#This Row],[ERROR]]="",0,1))</f>
        <v/>
      </c>
      <c r="L56">
        <f t="array" ref="L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">
      <c r="A57" t="inlineStr">
        <is>
          <t>Rahul Dev (1028364)</t>
        </is>
      </c>
      <c r="B57" s="15" t="inlineStr">
        <is>
          <t>Friday, 29 December 2023</t>
        </is>
      </c>
      <c r="C57" s="15" t="inlineStr">
        <is>
          <t>Friday, 29 December 2023</t>
        </is>
      </c>
      <c r="D57" t="inlineStr">
        <is>
          <t xml:space="preserve">Casual / Sick </t>
        </is>
      </c>
      <c r="E57" t="n">
        <v>1</v>
      </c>
      <c r="F57" s="1" t="n"/>
      <c r="G57" s="1" t="n"/>
      <c r="H57">
        <f>IF(T_LEAVE[[#This Row],[EMPLOYEE]]="","",MATCH(T_LEAVE[[#This Row],[EMPLOYEE]],L_EMPLABELS,0))</f>
        <v/>
      </c>
      <c r="I57">
        <f>IF(T_LEAVE[[#This Row],[EMPLOYEE]]="","",MATCH(T_LEAVE[[#This Row],[LEAVE TYPE]],L_LEAVETYPES,0))</f>
        <v/>
      </c>
      <c r="J57">
        <f t="array" ref="J57">IFERROR(INDEX(T_LEAVE_TYPES[SYMBOL],T_LEAVE[[#This Row],[LEAVE TYPE SYS ID]]),"")</f>
        <v/>
      </c>
      <c r="K57">
        <f>IF(T_LEAVE[[#This Row],[EMPLOYEE]]="","",IF(T_LEAVE[[#This Row],[ERROR]]="",0,1))</f>
        <v/>
      </c>
      <c r="L57">
        <f t="array" ref="L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">
      <c r="A58" t="inlineStr">
        <is>
          <t>Shashi Kumar D (1028007)</t>
        </is>
      </c>
      <c r="B58" s="15" t="inlineStr">
        <is>
          <t>Thursday, 28 December 2023</t>
        </is>
      </c>
      <c r="C58" s="15" t="inlineStr">
        <is>
          <t>Thursday, 28 December 2023</t>
        </is>
      </c>
      <c r="D58" t="inlineStr">
        <is>
          <t xml:space="preserve">Casual / Sick </t>
        </is>
      </c>
      <c r="E58" t="n">
        <v>0.5</v>
      </c>
      <c r="F58" s="1" t="n"/>
      <c r="G58" s="1" t="n"/>
      <c r="H58">
        <f>IF(T_LEAVE[[#This Row],[EMPLOYEE]]="","",MATCH(T_LEAVE[[#This Row],[EMPLOYEE]],L_EMPLABELS,0))</f>
        <v/>
      </c>
      <c r="I58">
        <f>IF(T_LEAVE[[#This Row],[EMPLOYEE]]="","",MATCH(T_LEAVE[[#This Row],[LEAVE TYPE]],L_LEAVETYPES,0))</f>
        <v/>
      </c>
      <c r="J58">
        <f t="array" ref="J58">IFERROR(INDEX(T_LEAVE_TYPES[SYMBOL],T_LEAVE[[#This Row],[LEAVE TYPE SYS ID]]),"")</f>
        <v/>
      </c>
      <c r="K58">
        <f>IF(T_LEAVE[[#This Row],[EMPLOYEE]]="","",IF(T_LEAVE[[#This Row],[ERROR]]="",0,1))</f>
        <v/>
      </c>
      <c r="L58">
        <f t="array" ref="L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">
      <c r="A59" t="inlineStr">
        <is>
          <t>Shashi Kumar D (1028007)</t>
        </is>
      </c>
      <c r="B59" s="15" t="inlineStr">
        <is>
          <t>Wednesday, 27 December 2023</t>
        </is>
      </c>
      <c r="C59" s="15" t="inlineStr">
        <is>
          <t>Wednesday, 27 December 2023</t>
        </is>
      </c>
      <c r="D59" t="inlineStr">
        <is>
          <t xml:space="preserve">Casual / Sick </t>
        </is>
      </c>
      <c r="E59" t="n">
        <v>1</v>
      </c>
      <c r="F59" s="1" t="n"/>
      <c r="G59" s="1" t="n"/>
      <c r="H59">
        <f>IF(T_LEAVE[[#This Row],[EMPLOYEE]]="","",MATCH(T_LEAVE[[#This Row],[EMPLOYEE]],L_EMPLABELS,0))</f>
        <v/>
      </c>
      <c r="I59">
        <f>IF(T_LEAVE[[#This Row],[EMPLOYEE]]="","",MATCH(T_LEAVE[[#This Row],[LEAVE TYPE]],L_LEAVETYPES,0))</f>
        <v/>
      </c>
      <c r="J59">
        <f t="array" ref="J59">IFERROR(INDEX(T_LEAVE_TYPES[SYMBOL],T_LEAVE[[#This Row],[LEAVE TYPE SYS ID]]),"")</f>
        <v/>
      </c>
      <c r="K59">
        <f>IF(T_LEAVE[[#This Row],[EMPLOYEE]]="","",IF(T_LEAVE[[#This Row],[ERROR]]="",0,1))</f>
        <v/>
      </c>
      <c r="L59">
        <f t="array" ref="L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">
      <c r="A60" t="inlineStr">
        <is>
          <t>Kummari Yeshwanth (1029885)</t>
        </is>
      </c>
      <c r="B60" s="15" t="inlineStr">
        <is>
          <t>Tuesday, 26 December 2023</t>
        </is>
      </c>
      <c r="C60" s="15" t="inlineStr">
        <is>
          <t>Tuesday, 26 December 2023</t>
        </is>
      </c>
      <c r="D60" t="inlineStr">
        <is>
          <t xml:space="preserve">Casual / Sick </t>
        </is>
      </c>
      <c r="E60" t="n">
        <v>1</v>
      </c>
      <c r="F60" s="1" t="n"/>
      <c r="G60" s="1" t="n"/>
      <c r="H60">
        <f>IF(T_LEAVE[[#This Row],[EMPLOYEE]]="","",MATCH(T_LEAVE[[#This Row],[EMPLOYEE]],L_EMPLABELS,0))</f>
        <v/>
      </c>
      <c r="I60">
        <f>IF(T_LEAVE[[#This Row],[EMPLOYEE]]="","",MATCH(T_LEAVE[[#This Row],[LEAVE TYPE]],L_LEAVETYPES,0))</f>
        <v/>
      </c>
      <c r="J60">
        <f t="array" ref="J60">IFERROR(INDEX(T_LEAVE_TYPES[SYMBOL],T_LEAVE[[#This Row],[LEAVE TYPE SYS ID]]),"")</f>
        <v/>
      </c>
      <c r="K60">
        <f>IF(T_LEAVE[[#This Row],[EMPLOYEE]]="","",IF(T_LEAVE[[#This Row],[ERROR]]="",0,1))</f>
        <v/>
      </c>
      <c r="L60">
        <f t="array" ref="L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">
      <c r="A61" t="inlineStr">
        <is>
          <t>Kummari Yeshwanth (1029885)</t>
        </is>
      </c>
      <c r="B61" s="15" t="inlineStr">
        <is>
          <t>Thursday, 21 December 2023</t>
        </is>
      </c>
      <c r="C61" s="15" t="inlineStr">
        <is>
          <t>Friday, 22 December 2023</t>
        </is>
      </c>
      <c r="D61" t="inlineStr">
        <is>
          <t xml:space="preserve">Casual / Sick </t>
        </is>
      </c>
      <c r="E61" t="n">
        <v>2</v>
      </c>
      <c r="F61" s="1" t="n"/>
      <c r="G61" s="1" t="n"/>
      <c r="H61">
        <f>IF(T_LEAVE[[#This Row],[EMPLOYEE]]="","",MATCH(T_LEAVE[[#This Row],[EMPLOYEE]],L_EMPLABELS,0))</f>
        <v/>
      </c>
      <c r="I61">
        <f>IF(T_LEAVE[[#This Row],[EMPLOYEE]]="","",MATCH(T_LEAVE[[#This Row],[LEAVE TYPE]],L_LEAVETYPES,0))</f>
        <v/>
      </c>
      <c r="J61">
        <f t="array" ref="J61">IFERROR(INDEX(T_LEAVE_TYPES[SYMBOL],T_LEAVE[[#This Row],[LEAVE TYPE SYS ID]]),"")</f>
        <v/>
      </c>
      <c r="K61">
        <f>IF(T_LEAVE[[#This Row],[EMPLOYEE]]="","",IF(T_LEAVE[[#This Row],[ERROR]]="",0,1))</f>
        <v/>
      </c>
      <c r="L61">
        <f t="array" ref="L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">
      <c r="A62" t="inlineStr">
        <is>
          <t>Ankit Radheshyam Patil (1031039)</t>
        </is>
      </c>
      <c r="B62" s="15" t="inlineStr">
        <is>
          <t>Friday, 22 December 2023</t>
        </is>
      </c>
      <c r="C62" s="15" t="inlineStr">
        <is>
          <t>Friday, 22 December 2023</t>
        </is>
      </c>
      <c r="D62" t="inlineStr">
        <is>
          <t xml:space="preserve">Casual / Sick </t>
        </is>
      </c>
      <c r="E62" t="n">
        <v>1</v>
      </c>
      <c r="F62" s="1" t="n"/>
      <c r="G62" s="1" t="n"/>
      <c r="H62">
        <f>IF(T_LEAVE[[#This Row],[EMPLOYEE]]="","",MATCH(T_LEAVE[[#This Row],[EMPLOYEE]],L_EMPLABELS,0))</f>
        <v/>
      </c>
      <c r="I62">
        <f>IF(T_LEAVE[[#This Row],[EMPLOYEE]]="","",MATCH(T_LEAVE[[#This Row],[LEAVE TYPE]],L_LEAVETYPES,0))</f>
        <v/>
      </c>
      <c r="J62">
        <f t="array" ref="J62">IFERROR(INDEX(T_LEAVE_TYPES[SYMBOL],T_LEAVE[[#This Row],[LEAVE TYPE SYS ID]]),"")</f>
        <v/>
      </c>
      <c r="K62">
        <f>IF(T_LEAVE[[#This Row],[EMPLOYEE]]="","",IF(T_LEAVE[[#This Row],[ERROR]]="",0,1))</f>
        <v/>
      </c>
      <c r="L62">
        <f t="array" ref="L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">
      <c r="A63" t="inlineStr">
        <is>
          <t>Smruti Prangya Rath (1033217)</t>
        </is>
      </c>
      <c r="B63" s="15" t="inlineStr">
        <is>
          <t>Friday, 22 December 2023</t>
        </is>
      </c>
      <c r="C63" s="15" t="inlineStr">
        <is>
          <t>Friday, 22 December 2023</t>
        </is>
      </c>
      <c r="D63" t="inlineStr">
        <is>
          <t xml:space="preserve">Casual / Sick </t>
        </is>
      </c>
      <c r="E63" t="n">
        <v>1</v>
      </c>
      <c r="F63" s="1" t="n"/>
      <c r="G63" s="1" t="n"/>
      <c r="H63">
        <f>IF(T_LEAVE[[#This Row],[EMPLOYEE]]="","",MATCH(T_LEAVE[[#This Row],[EMPLOYEE]],L_EMPLABELS,0))</f>
        <v/>
      </c>
      <c r="I63">
        <f>IF(T_LEAVE[[#This Row],[EMPLOYEE]]="","",MATCH(T_LEAVE[[#This Row],[LEAVE TYPE]],L_LEAVETYPES,0))</f>
        <v/>
      </c>
      <c r="J63">
        <f t="array" ref="J63">IFERROR(INDEX(T_LEAVE_TYPES[SYMBOL],T_LEAVE[[#This Row],[LEAVE TYPE SYS ID]]),"")</f>
        <v/>
      </c>
      <c r="K63">
        <f>IF(T_LEAVE[[#This Row],[EMPLOYEE]]="","",IF(T_LEAVE[[#This Row],[ERROR]]="",0,1))</f>
        <v/>
      </c>
      <c r="L63">
        <f t="array" ref="L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">
      <c r="A64" t="inlineStr">
        <is>
          <t>Piyush Raj (1033218)</t>
        </is>
      </c>
      <c r="B64" s="15" t="inlineStr">
        <is>
          <t>Thursday, 21 December 2023</t>
        </is>
      </c>
      <c r="C64" s="15" t="inlineStr">
        <is>
          <t>Thursday, 21 December 2023</t>
        </is>
      </c>
      <c r="D64" t="inlineStr">
        <is>
          <t xml:space="preserve">Casual / Sick </t>
        </is>
      </c>
      <c r="E64" t="n">
        <v>1</v>
      </c>
      <c r="F64" s="1" t="n"/>
      <c r="G64" s="1" t="n"/>
      <c r="H64">
        <f>IF(T_LEAVE[[#This Row],[EMPLOYEE]]="","",MATCH(T_LEAVE[[#This Row],[EMPLOYEE]],L_EMPLABELS,0))</f>
        <v/>
      </c>
      <c r="I64">
        <f>IF(T_LEAVE[[#This Row],[EMPLOYEE]]="","",MATCH(T_LEAVE[[#This Row],[LEAVE TYPE]],L_LEAVETYPES,0))</f>
        <v/>
      </c>
      <c r="J64">
        <f t="array" ref="J64">IFERROR(INDEX(T_LEAVE_TYPES[SYMBOL],T_LEAVE[[#This Row],[LEAVE TYPE SYS ID]]),"")</f>
        <v/>
      </c>
      <c r="K64">
        <f>IF(T_LEAVE[[#This Row],[EMPLOYEE]]="","",IF(T_LEAVE[[#This Row],[ERROR]]="",0,1))</f>
        <v/>
      </c>
      <c r="L64">
        <f t="array" ref="L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">
      <c r="A65" t="inlineStr">
        <is>
          <t>Talada Sumanth (1029520)</t>
        </is>
      </c>
      <c r="B65" s="15" t="inlineStr">
        <is>
          <t>Friday, 22 December 2023</t>
        </is>
      </c>
      <c r="C65" s="15" t="inlineStr">
        <is>
          <t>Friday, 22 December 2023</t>
        </is>
      </c>
      <c r="D65" t="inlineStr">
        <is>
          <t xml:space="preserve">Casual / Sick </t>
        </is>
      </c>
      <c r="E65" t="n">
        <v>1</v>
      </c>
      <c r="F65" s="1" t="n"/>
      <c r="G65" s="1" t="n"/>
      <c r="H65">
        <f>IF(T_LEAVE[[#This Row],[EMPLOYEE]]="","",MATCH(T_LEAVE[[#This Row],[EMPLOYEE]],L_EMPLABELS,0))</f>
        <v/>
      </c>
      <c r="I65">
        <f>IF(T_LEAVE[[#This Row],[EMPLOYEE]]="","",MATCH(T_LEAVE[[#This Row],[LEAVE TYPE]],L_LEAVETYPES,0))</f>
        <v/>
      </c>
      <c r="J65">
        <f t="array" ref="J65">IFERROR(INDEX(T_LEAVE_TYPES[SYMBOL],T_LEAVE[[#This Row],[LEAVE TYPE SYS ID]]),"")</f>
        <v/>
      </c>
      <c r="K65">
        <f>IF(T_LEAVE[[#This Row],[EMPLOYEE]]="","",IF(T_LEAVE[[#This Row],[ERROR]]="",0,1))</f>
        <v/>
      </c>
      <c r="L65">
        <f t="array" ref="L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">
      <c r="A66" t="inlineStr">
        <is>
          <t>Mitesh Malviya (1031067)</t>
        </is>
      </c>
      <c r="B66" s="15" t="inlineStr">
        <is>
          <t>Wednesday, 20 December 2023</t>
        </is>
      </c>
      <c r="C66" s="15" t="inlineStr">
        <is>
          <t>Wednesday, 20 December 2023</t>
        </is>
      </c>
      <c r="D66" t="inlineStr">
        <is>
          <t xml:space="preserve">Casual / Sick </t>
        </is>
      </c>
      <c r="E66" t="n">
        <v>1</v>
      </c>
      <c r="F66" s="1" t="n"/>
      <c r="G66" s="1" t="n"/>
      <c r="H66">
        <f>IF(T_LEAVE[[#This Row],[EMPLOYEE]]="","",MATCH(T_LEAVE[[#This Row],[EMPLOYEE]],L_EMPLABELS,0))</f>
        <v/>
      </c>
      <c r="I66">
        <f>IF(T_LEAVE[[#This Row],[EMPLOYEE]]="","",MATCH(T_LEAVE[[#This Row],[LEAVE TYPE]],L_LEAVETYPES,0))</f>
        <v/>
      </c>
      <c r="J66">
        <f t="array" ref="J66">IFERROR(INDEX(T_LEAVE_TYPES[SYMBOL],T_LEAVE[[#This Row],[LEAVE TYPE SYS ID]]),"")</f>
        <v/>
      </c>
      <c r="K66">
        <f>IF(T_LEAVE[[#This Row],[EMPLOYEE]]="","",IF(T_LEAVE[[#This Row],[ERROR]]="",0,1))</f>
        <v/>
      </c>
      <c r="L66">
        <f t="array" ref="L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">
      <c r="A67" t="inlineStr">
        <is>
          <t>Mitesh Malviya (1031067)</t>
        </is>
      </c>
      <c r="B67" s="15" t="inlineStr">
        <is>
          <t>Tuesday, 19 December 2023</t>
        </is>
      </c>
      <c r="C67" s="15" t="inlineStr">
        <is>
          <t>Tuesday, 19 December 2023</t>
        </is>
      </c>
      <c r="D67" t="inlineStr">
        <is>
          <t xml:space="preserve">Casual / Sick </t>
        </is>
      </c>
      <c r="E67" t="n">
        <v>0.5</v>
      </c>
      <c r="F67" s="1" t="n"/>
      <c r="G67" s="1" t="n"/>
      <c r="H67">
        <f>IF(T_LEAVE[[#This Row],[EMPLOYEE]]="","",MATCH(T_LEAVE[[#This Row],[EMPLOYEE]],L_EMPLABELS,0))</f>
        <v/>
      </c>
      <c r="I67">
        <f>IF(T_LEAVE[[#This Row],[EMPLOYEE]]="","",MATCH(T_LEAVE[[#This Row],[LEAVE TYPE]],L_LEAVETYPES,0))</f>
        <v/>
      </c>
      <c r="J67">
        <f t="array" ref="J67">IFERROR(INDEX(T_LEAVE_TYPES[SYMBOL],T_LEAVE[[#This Row],[LEAVE TYPE SYS ID]]),"")</f>
        <v/>
      </c>
      <c r="K67">
        <f>IF(T_LEAVE[[#This Row],[EMPLOYEE]]="","",IF(T_LEAVE[[#This Row],[ERROR]]="",0,1))</f>
        <v/>
      </c>
      <c r="L67">
        <f t="array" ref="L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">
      <c r="A68" t="inlineStr">
        <is>
          <t>Atluri Priyanka (1030243)</t>
        </is>
      </c>
      <c r="B68" s="15" t="inlineStr">
        <is>
          <t>Monday, 18 December 2023</t>
        </is>
      </c>
      <c r="C68" s="15" t="inlineStr">
        <is>
          <t>Monday, 18 December 2023</t>
        </is>
      </c>
      <c r="D68" t="inlineStr">
        <is>
          <t xml:space="preserve">Casual / Sick </t>
        </is>
      </c>
      <c r="E68" t="n">
        <v>1</v>
      </c>
      <c r="F68" s="1" t="n"/>
      <c r="G68" s="1" t="n"/>
      <c r="H68">
        <f>IF(T_LEAVE[[#This Row],[EMPLOYEE]]="","",MATCH(T_LEAVE[[#This Row],[EMPLOYEE]],L_EMPLABELS,0))</f>
        <v/>
      </c>
      <c r="I68">
        <f>IF(T_LEAVE[[#This Row],[EMPLOYEE]]="","",MATCH(T_LEAVE[[#This Row],[LEAVE TYPE]],L_LEAVETYPES,0))</f>
        <v/>
      </c>
      <c r="J68">
        <f t="array" ref="J68">IFERROR(INDEX(T_LEAVE_TYPES[SYMBOL],T_LEAVE[[#This Row],[LEAVE TYPE SYS ID]]),"")</f>
        <v/>
      </c>
      <c r="K68">
        <f>IF(T_LEAVE[[#This Row],[EMPLOYEE]]="","",IF(T_LEAVE[[#This Row],[ERROR]]="",0,1))</f>
        <v/>
      </c>
      <c r="L68">
        <f t="array" ref="L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">
      <c r="A69" t="inlineStr">
        <is>
          <t>D Malar Vizhi (1021304)</t>
        </is>
      </c>
      <c r="B69" s="15" t="inlineStr">
        <is>
          <t>Monday, 04 December 2023</t>
        </is>
      </c>
      <c r="C69" s="15" t="inlineStr">
        <is>
          <t>Monday, 04 December 2023</t>
        </is>
      </c>
      <c r="D69" t="inlineStr">
        <is>
          <t>Privilege</t>
        </is>
      </c>
      <c r="E69" t="n">
        <v>1</v>
      </c>
      <c r="F69" s="1" t="n"/>
      <c r="G69" s="1" t="n"/>
      <c r="H69">
        <f>IF(T_LEAVE[[#This Row],[EMPLOYEE]]="","",MATCH(T_LEAVE[[#This Row],[EMPLOYEE]],L_EMPLABELS,0))</f>
        <v/>
      </c>
      <c r="I69">
        <f>IF(T_LEAVE[[#This Row],[EMPLOYEE]]="","",MATCH(T_LEAVE[[#This Row],[LEAVE TYPE]],L_LEAVETYPES,0))</f>
        <v/>
      </c>
      <c r="J69">
        <f t="array" ref="J69">IFERROR(INDEX(T_LEAVE_TYPES[SYMBOL],T_LEAVE[[#This Row],[LEAVE TYPE SYS ID]]),"")</f>
        <v/>
      </c>
      <c r="K69">
        <f>IF(T_LEAVE[[#This Row],[EMPLOYEE]]="","",IF(T_LEAVE[[#This Row],[ERROR]]="",0,1))</f>
        <v/>
      </c>
      <c r="L69">
        <f t="array" ref="L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">
      <c r="A70" t="inlineStr">
        <is>
          <t>D Malar Vizhi (1021304)</t>
        </is>
      </c>
      <c r="B70" s="15" t="inlineStr">
        <is>
          <t>Friday, 15 December 2023</t>
        </is>
      </c>
      <c r="C70" s="15" t="inlineStr">
        <is>
          <t>Friday, 15 December 2023</t>
        </is>
      </c>
      <c r="D70" t="inlineStr">
        <is>
          <t>Privilege</t>
        </is>
      </c>
      <c r="E70" t="n">
        <v>1</v>
      </c>
      <c r="F70" s="1" t="n"/>
      <c r="G70" s="1" t="n"/>
      <c r="H70">
        <f>IF(T_LEAVE[[#This Row],[EMPLOYEE]]="","",MATCH(T_LEAVE[[#This Row],[EMPLOYEE]],L_EMPLABELS,0))</f>
        <v/>
      </c>
      <c r="I70">
        <f>IF(T_LEAVE[[#This Row],[EMPLOYEE]]="","",MATCH(T_LEAVE[[#This Row],[LEAVE TYPE]],L_LEAVETYPES,0))</f>
        <v/>
      </c>
      <c r="J70">
        <f t="array" ref="J70">IFERROR(INDEX(T_LEAVE_TYPES[SYMBOL],T_LEAVE[[#This Row],[LEAVE TYPE SYS ID]]),"")</f>
        <v/>
      </c>
      <c r="K70">
        <f>IF(T_LEAVE[[#This Row],[EMPLOYEE]]="","",IF(T_LEAVE[[#This Row],[ERROR]]="",0,1))</f>
        <v/>
      </c>
      <c r="L70">
        <f t="array" ref="L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">
      <c r="A71" t="inlineStr">
        <is>
          <t>Poola Partha Saradhi (1030911)</t>
        </is>
      </c>
      <c r="B71" s="15" t="inlineStr">
        <is>
          <t>Thursday, 14 December 2023</t>
        </is>
      </c>
      <c r="C71" s="15" t="inlineStr">
        <is>
          <t>Friday, 15 December 2023</t>
        </is>
      </c>
      <c r="D71" t="inlineStr">
        <is>
          <t xml:space="preserve">Casual / Sick </t>
        </is>
      </c>
      <c r="E71" t="n">
        <v>2</v>
      </c>
      <c r="F71" s="1" t="n"/>
      <c r="G71" s="1" t="n"/>
      <c r="H71">
        <f>IF(T_LEAVE[[#This Row],[EMPLOYEE]]="","",MATCH(T_LEAVE[[#This Row],[EMPLOYEE]],L_EMPLABELS,0))</f>
        <v/>
      </c>
      <c r="I71">
        <f>IF(T_LEAVE[[#This Row],[EMPLOYEE]]="","",MATCH(T_LEAVE[[#This Row],[LEAVE TYPE]],L_LEAVETYPES,0))</f>
        <v/>
      </c>
      <c r="J71">
        <f t="array" ref="J71">IFERROR(INDEX(T_LEAVE_TYPES[SYMBOL],T_LEAVE[[#This Row],[LEAVE TYPE SYS ID]]),"")</f>
        <v/>
      </c>
      <c r="K71">
        <f>IF(T_LEAVE[[#This Row],[EMPLOYEE]]="","",IF(T_LEAVE[[#This Row],[ERROR]]="",0,1))</f>
        <v/>
      </c>
      <c r="L71">
        <f t="array" ref="L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">
      <c r="A72" t="inlineStr">
        <is>
          <t>Rajesh Kumar M (1027422)</t>
        </is>
      </c>
      <c r="B72" s="15" t="inlineStr">
        <is>
          <t>Thursday, 21 December 2023</t>
        </is>
      </c>
      <c r="C72" s="15" t="inlineStr">
        <is>
          <t>Wednesday, 27 December 2023</t>
        </is>
      </c>
      <c r="D72" t="inlineStr">
        <is>
          <t xml:space="preserve">Casual / Sick </t>
        </is>
      </c>
      <c r="E72" t="n">
        <v>4</v>
      </c>
      <c r="F72" s="1" t="n"/>
      <c r="G72" s="1" t="n"/>
      <c r="H72">
        <f>IF(T_LEAVE[[#This Row],[EMPLOYEE]]="","",MATCH(T_LEAVE[[#This Row],[EMPLOYEE]],L_EMPLABELS,0))</f>
        <v/>
      </c>
      <c r="I72">
        <f>IF(T_LEAVE[[#This Row],[EMPLOYEE]]="","",MATCH(T_LEAVE[[#This Row],[LEAVE TYPE]],L_LEAVETYPES,0))</f>
        <v/>
      </c>
      <c r="J72">
        <f t="array" ref="J72">IFERROR(INDEX(T_LEAVE_TYPES[SYMBOL],T_LEAVE[[#This Row],[LEAVE TYPE SYS ID]]),"")</f>
        <v/>
      </c>
      <c r="K72">
        <f>IF(T_LEAVE[[#This Row],[EMPLOYEE]]="","",IF(T_LEAVE[[#This Row],[ERROR]]="",0,1))</f>
        <v/>
      </c>
      <c r="L72">
        <f t="array" ref="L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">
      <c r="A73" t="inlineStr">
        <is>
          <t>Kamesh Ravichandran (1029302)</t>
        </is>
      </c>
      <c r="B73" s="15" t="inlineStr">
        <is>
          <t>Wednesday, 22 November 2023</t>
        </is>
      </c>
      <c r="C73" s="15" t="inlineStr">
        <is>
          <t>Friday, 24 November 2023</t>
        </is>
      </c>
      <c r="D73" t="inlineStr">
        <is>
          <t xml:space="preserve">Casual / Sick </t>
        </is>
      </c>
      <c r="E73" t="n">
        <v>3</v>
      </c>
      <c r="F73" s="1" t="n"/>
      <c r="G73" s="1" t="n"/>
      <c r="H73">
        <f>IF(T_LEAVE[[#This Row],[EMPLOYEE]]="","",MATCH(T_LEAVE[[#This Row],[EMPLOYEE]],L_EMPLABELS,0))</f>
        <v/>
      </c>
      <c r="I73">
        <f>IF(T_LEAVE[[#This Row],[EMPLOYEE]]="","",MATCH(T_LEAVE[[#This Row],[LEAVE TYPE]],L_LEAVETYPES,0))</f>
        <v/>
      </c>
      <c r="J73">
        <f t="array" ref="J73">IFERROR(INDEX(T_LEAVE_TYPES[SYMBOL],T_LEAVE[[#This Row],[LEAVE TYPE SYS ID]]),"")</f>
        <v/>
      </c>
      <c r="K73">
        <f>IF(T_LEAVE[[#This Row],[EMPLOYEE]]="","",IF(T_LEAVE[[#This Row],[ERROR]]="",0,1))</f>
        <v/>
      </c>
      <c r="L73">
        <f t="array" ref="L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">
      <c r="A74" t="inlineStr">
        <is>
          <t>Kamesh Ravichandran (1029302)</t>
        </is>
      </c>
      <c r="B74" s="15" t="inlineStr">
        <is>
          <t>Wednesday, 30 August 2023</t>
        </is>
      </c>
      <c r="C74" s="15" t="inlineStr">
        <is>
          <t>Wednesday, 30 August 2023</t>
        </is>
      </c>
      <c r="D74" t="inlineStr">
        <is>
          <t xml:space="preserve">Casual / Sick </t>
        </is>
      </c>
      <c r="E74" t="n">
        <v>1</v>
      </c>
      <c r="F74" s="1" t="n"/>
      <c r="G74" s="1" t="n"/>
      <c r="H74">
        <f>IF(T_LEAVE[[#This Row],[EMPLOYEE]]="","",MATCH(T_LEAVE[[#This Row],[EMPLOYEE]],L_EMPLABELS,0))</f>
        <v/>
      </c>
      <c r="I74">
        <f>IF(T_LEAVE[[#This Row],[EMPLOYEE]]="","",MATCH(T_LEAVE[[#This Row],[LEAVE TYPE]],L_LEAVETYPES,0))</f>
        <v/>
      </c>
      <c r="J74">
        <f t="array" ref="J74">IFERROR(INDEX(T_LEAVE_TYPES[SYMBOL],T_LEAVE[[#This Row],[LEAVE TYPE SYS ID]]),"")</f>
        <v/>
      </c>
      <c r="K74">
        <f>IF(T_LEAVE[[#This Row],[EMPLOYEE]]="","",IF(T_LEAVE[[#This Row],[ERROR]]="",0,1))</f>
        <v/>
      </c>
      <c r="L74">
        <f t="array" ref="L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">
      <c r="A75" t="inlineStr">
        <is>
          <t>Kamesh Ravichandran (1029302)</t>
        </is>
      </c>
      <c r="B75" s="15" t="inlineStr">
        <is>
          <t>Wednesday, 28 June 2023</t>
        </is>
      </c>
      <c r="C75" s="15" t="inlineStr">
        <is>
          <t>Wednesday, 28 June 2023</t>
        </is>
      </c>
      <c r="D75" t="inlineStr">
        <is>
          <t xml:space="preserve">Casual / Sick </t>
        </is>
      </c>
      <c r="E75" t="n">
        <v>1</v>
      </c>
      <c r="F75" s="1" t="n"/>
      <c r="G75" s="1" t="n"/>
      <c r="H75">
        <f>IF(T_LEAVE[[#This Row],[EMPLOYEE]]="","",MATCH(T_LEAVE[[#This Row],[EMPLOYEE]],L_EMPLABELS,0))</f>
        <v/>
      </c>
      <c r="I75">
        <f>IF(T_LEAVE[[#This Row],[EMPLOYEE]]="","",MATCH(T_LEAVE[[#This Row],[LEAVE TYPE]],L_LEAVETYPES,0))</f>
        <v/>
      </c>
      <c r="J75">
        <f t="array" ref="J75">IFERROR(INDEX(T_LEAVE_TYPES[SYMBOL],T_LEAVE[[#This Row],[LEAVE TYPE SYS ID]]),"")</f>
        <v/>
      </c>
      <c r="K75">
        <f>IF(T_LEAVE[[#This Row],[EMPLOYEE]]="","",IF(T_LEAVE[[#This Row],[ERROR]]="",0,1))</f>
        <v/>
      </c>
      <c r="L75">
        <f t="array" ref="L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">
      <c r="A76" t="inlineStr">
        <is>
          <t>Ananya  Nidhi (1023748)</t>
        </is>
      </c>
      <c r="B76" s="15" t="inlineStr">
        <is>
          <t>Thursday, 30 November 2023</t>
        </is>
      </c>
      <c r="C76" s="15" t="inlineStr">
        <is>
          <t>Wednesday, 06 December 2023</t>
        </is>
      </c>
      <c r="D76" t="inlineStr">
        <is>
          <t>Privilege</t>
        </is>
      </c>
      <c r="E76" t="n">
        <v>5</v>
      </c>
      <c r="F76" s="1" t="n"/>
      <c r="G76" s="1" t="n"/>
      <c r="H76">
        <f>IF(T_LEAVE[[#This Row],[EMPLOYEE]]="","",MATCH(T_LEAVE[[#This Row],[EMPLOYEE]],L_EMPLABELS,0))</f>
        <v/>
      </c>
      <c r="I76">
        <f>IF(T_LEAVE[[#This Row],[EMPLOYEE]]="","",MATCH(T_LEAVE[[#This Row],[LEAVE TYPE]],L_LEAVETYPES,0))</f>
        <v/>
      </c>
      <c r="J76">
        <f t="array" ref="J76">IFERROR(INDEX(T_LEAVE_TYPES[SYMBOL],T_LEAVE[[#This Row],[LEAVE TYPE SYS ID]]),"")</f>
        <v/>
      </c>
      <c r="K76">
        <f>IF(T_LEAVE[[#This Row],[EMPLOYEE]]="","",IF(T_LEAVE[[#This Row],[ERROR]]="",0,1))</f>
        <v/>
      </c>
      <c r="L76">
        <f t="array" ref="L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">
      <c r="A77" t="inlineStr">
        <is>
          <t>Ananya  Nidhi (1023748)</t>
        </is>
      </c>
      <c r="B77" s="15" t="inlineStr">
        <is>
          <t>Wednesday, 29 November 2023</t>
        </is>
      </c>
      <c r="C77" s="15" t="inlineStr">
        <is>
          <t>Wednesday, 29 November 2023</t>
        </is>
      </c>
      <c r="D77" t="inlineStr">
        <is>
          <t xml:space="preserve">Casual / Sick </t>
        </is>
      </c>
      <c r="E77" t="n">
        <v>1</v>
      </c>
      <c r="F77" s="1" t="n"/>
      <c r="G77" s="1" t="n"/>
      <c r="H77">
        <f>IF(T_LEAVE[[#This Row],[EMPLOYEE]]="","",MATCH(T_LEAVE[[#This Row],[EMPLOYEE]],L_EMPLABELS,0))</f>
        <v/>
      </c>
      <c r="I77">
        <f>IF(T_LEAVE[[#This Row],[EMPLOYEE]]="","",MATCH(T_LEAVE[[#This Row],[LEAVE TYPE]],L_LEAVETYPES,0))</f>
        <v/>
      </c>
      <c r="J77">
        <f t="array" ref="J77">IFERROR(INDEX(T_LEAVE_TYPES[SYMBOL],T_LEAVE[[#This Row],[LEAVE TYPE SYS ID]]),"")</f>
        <v/>
      </c>
      <c r="K77">
        <f>IF(T_LEAVE[[#This Row],[EMPLOYEE]]="","",IF(T_LEAVE[[#This Row],[ERROR]]="",0,1))</f>
        <v/>
      </c>
      <c r="L77">
        <f t="array" ref="L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">
      <c r="A78" t="inlineStr">
        <is>
          <t>Ambika G Prabhu (1027414)</t>
        </is>
      </c>
      <c r="B78" s="15" t="inlineStr">
        <is>
          <t>Monday, 11 December 2023</t>
        </is>
      </c>
      <c r="C78" s="15" t="inlineStr">
        <is>
          <t>Monday, 11 December 2023</t>
        </is>
      </c>
      <c r="D78" t="inlineStr">
        <is>
          <t>Privilege</t>
        </is>
      </c>
      <c r="E78" t="n">
        <v>1</v>
      </c>
      <c r="F78" s="1" t="n"/>
      <c r="G78" s="1" t="n"/>
      <c r="H78">
        <f>IF(T_LEAVE[[#This Row],[EMPLOYEE]]="","",MATCH(T_LEAVE[[#This Row],[EMPLOYEE]],L_EMPLABELS,0))</f>
        <v/>
      </c>
      <c r="I78">
        <f>IF(T_LEAVE[[#This Row],[EMPLOYEE]]="","",MATCH(T_LEAVE[[#This Row],[LEAVE TYPE]],L_LEAVETYPES,0))</f>
        <v/>
      </c>
      <c r="J78">
        <f t="array" ref="J78">IFERROR(INDEX(T_LEAVE_TYPES[SYMBOL],T_LEAVE[[#This Row],[LEAVE TYPE SYS ID]]),"")</f>
        <v/>
      </c>
      <c r="K78">
        <f>IF(T_LEAVE[[#This Row],[EMPLOYEE]]="","",IF(T_LEAVE[[#This Row],[ERROR]]="",0,1))</f>
        <v/>
      </c>
      <c r="L78">
        <f t="array" ref="L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">
      <c r="A79" t="inlineStr">
        <is>
          <t>Shashi Kumar D (1028007)</t>
        </is>
      </c>
      <c r="B79" s="15" t="inlineStr">
        <is>
          <t>Monday, 11 December 2023</t>
        </is>
      </c>
      <c r="C79" s="15" t="inlineStr">
        <is>
          <t>Monday, 11 December 2023</t>
        </is>
      </c>
      <c r="D79" t="inlineStr">
        <is>
          <t xml:space="preserve">Casual / Sick </t>
        </is>
      </c>
      <c r="E79" t="n">
        <v>1</v>
      </c>
      <c r="F79" s="1" t="n"/>
      <c r="G79" s="1" t="n"/>
      <c r="H79">
        <f>IF(T_LEAVE[[#This Row],[EMPLOYEE]]="","",MATCH(T_LEAVE[[#This Row],[EMPLOYEE]],L_EMPLABELS,0))</f>
        <v/>
      </c>
      <c r="I79">
        <f>IF(T_LEAVE[[#This Row],[EMPLOYEE]]="","",MATCH(T_LEAVE[[#This Row],[LEAVE TYPE]],L_LEAVETYPES,0))</f>
        <v/>
      </c>
      <c r="J79">
        <f t="array" ref="J79">IFERROR(INDEX(T_LEAVE_TYPES[SYMBOL],T_LEAVE[[#This Row],[LEAVE TYPE SYS ID]]),"")</f>
        <v/>
      </c>
      <c r="K79">
        <f>IF(T_LEAVE[[#This Row],[EMPLOYEE]]="","",IF(T_LEAVE[[#This Row],[ERROR]]="",0,1))</f>
        <v/>
      </c>
      <c r="L79">
        <f t="array" ref="L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">
      <c r="A80" t="inlineStr">
        <is>
          <t>Shashi Kumar D (1028007)</t>
        </is>
      </c>
      <c r="B80" s="15" t="inlineStr">
        <is>
          <t>Friday, 01 December 2023</t>
        </is>
      </c>
      <c r="C80" s="15" t="inlineStr">
        <is>
          <t>Friday, 01 December 2023</t>
        </is>
      </c>
      <c r="D80" t="inlineStr">
        <is>
          <t xml:space="preserve">Casual / Sick </t>
        </is>
      </c>
      <c r="E80" t="n">
        <v>1</v>
      </c>
      <c r="F80" s="1" t="n"/>
      <c r="G80" s="1" t="n"/>
      <c r="H80">
        <f>IF(T_LEAVE[[#This Row],[EMPLOYEE]]="","",MATCH(T_LEAVE[[#This Row],[EMPLOYEE]],L_EMPLABELS,0))</f>
        <v/>
      </c>
      <c r="I80">
        <f>IF(T_LEAVE[[#This Row],[EMPLOYEE]]="","",MATCH(T_LEAVE[[#This Row],[LEAVE TYPE]],L_LEAVETYPES,0))</f>
        <v/>
      </c>
      <c r="J80">
        <f t="array" ref="J80">IFERROR(INDEX(T_LEAVE_TYPES[SYMBOL],T_LEAVE[[#This Row],[LEAVE TYPE SYS ID]]),"")</f>
        <v/>
      </c>
      <c r="K80">
        <f>IF(T_LEAVE[[#This Row],[EMPLOYEE]]="","",IF(T_LEAVE[[#This Row],[ERROR]]="",0,1))</f>
        <v/>
      </c>
      <c r="L80">
        <f t="array" ref="L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1">
      <c r="A81" t="inlineStr">
        <is>
          <t>Rangabhatla Sai Harish (1029533)</t>
        </is>
      </c>
      <c r="B81" s="15" t="inlineStr">
        <is>
          <t>Friday, 08 December 2023</t>
        </is>
      </c>
      <c r="C81" s="15" t="inlineStr">
        <is>
          <t>Friday, 08 December 2023</t>
        </is>
      </c>
      <c r="D81" t="inlineStr">
        <is>
          <t xml:space="preserve">Casual / Sick </t>
        </is>
      </c>
      <c r="E81" t="n">
        <v>1</v>
      </c>
      <c r="F81" s="1" t="n"/>
      <c r="G81" s="1" t="n"/>
      <c r="H81">
        <f>IF(T_LEAVE[[#This Row],[EMPLOYEE]]="","",MATCH(T_LEAVE[[#This Row],[EMPLOYEE]],L_EMPLABELS,0))</f>
        <v/>
      </c>
      <c r="I81">
        <f>IF(T_LEAVE[[#This Row],[EMPLOYEE]]="","",MATCH(T_LEAVE[[#This Row],[LEAVE TYPE]],L_LEAVETYPES,0))</f>
        <v/>
      </c>
      <c r="J81">
        <f t="array" ref="J81">IFERROR(INDEX(T_LEAVE_TYPES[SYMBOL],T_LEAVE[[#This Row],[LEAVE TYPE SYS ID]]),"")</f>
        <v/>
      </c>
      <c r="K81">
        <f>IF(T_LEAVE[[#This Row],[EMPLOYEE]]="","",IF(T_LEAVE[[#This Row],[ERROR]]="",0,1))</f>
        <v/>
      </c>
      <c r="L81">
        <f t="array" ref="L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2">
      <c r="A82" t="inlineStr">
        <is>
          <t>Ananya  Nidhi (1023748)</t>
        </is>
      </c>
      <c r="B82" s="15" t="inlineStr">
        <is>
          <t>Tuesday, 28 November 2023</t>
        </is>
      </c>
      <c r="C82" s="15" t="inlineStr">
        <is>
          <t>Tuesday, 28 November 2023</t>
        </is>
      </c>
      <c r="D82" t="inlineStr">
        <is>
          <t xml:space="preserve">Casual / Sick </t>
        </is>
      </c>
      <c r="E82" t="n">
        <v>0.5</v>
      </c>
      <c r="F82" s="1" t="n"/>
      <c r="G82" s="1" t="n"/>
      <c r="H82">
        <f>IF(T_LEAVE[[#This Row],[EMPLOYEE]]="","",MATCH(T_LEAVE[[#This Row],[EMPLOYEE]],L_EMPLABELS,0))</f>
        <v/>
      </c>
      <c r="I82">
        <f>IF(T_LEAVE[[#This Row],[EMPLOYEE]]="","",MATCH(T_LEAVE[[#This Row],[LEAVE TYPE]],L_LEAVETYPES,0))</f>
        <v/>
      </c>
      <c r="J82">
        <f t="array" ref="J82">IFERROR(INDEX(T_LEAVE_TYPES[SYMBOL],T_LEAVE[[#This Row],[LEAVE TYPE SYS ID]]),"")</f>
        <v/>
      </c>
      <c r="K82">
        <f>IF(T_LEAVE[[#This Row],[EMPLOYEE]]="","",IF(T_LEAVE[[#This Row],[ERROR]]="",0,1))</f>
        <v/>
      </c>
      <c r="L82">
        <f t="array" ref="L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3">
      <c r="A83" t="inlineStr">
        <is>
          <t>Ananya  Nidhi (1023748)</t>
        </is>
      </c>
      <c r="B83" s="15" t="inlineStr">
        <is>
          <t>Tuesday, 28 November 2023</t>
        </is>
      </c>
      <c r="C83" s="15" t="inlineStr">
        <is>
          <t>Thursday, 28 December 2023</t>
        </is>
      </c>
      <c r="D83" t="inlineStr">
        <is>
          <t xml:space="preserve">Casual / Sick </t>
        </is>
      </c>
      <c r="E83" t="n">
        <v>0.5</v>
      </c>
      <c r="F83" s="1" t="n"/>
      <c r="G83" s="1" t="n"/>
      <c r="H83">
        <f>IF(T_LEAVE[[#This Row],[EMPLOYEE]]="","",MATCH(T_LEAVE[[#This Row],[EMPLOYEE]],L_EMPLABELS,0))</f>
        <v/>
      </c>
      <c r="I83">
        <f>IF(T_LEAVE[[#This Row],[EMPLOYEE]]="","",MATCH(T_LEAVE[[#This Row],[LEAVE TYPE]],L_LEAVETYPES,0))</f>
        <v/>
      </c>
      <c r="J83">
        <f t="array" ref="J83">IFERROR(INDEX(T_LEAVE_TYPES[SYMBOL],T_LEAVE[[#This Row],[LEAVE TYPE SYS ID]]),"")</f>
        <v/>
      </c>
      <c r="K83">
        <f>IF(T_LEAVE[[#This Row],[EMPLOYEE]]="","",IF(T_LEAVE[[#This Row],[ERROR]]="",0,1))</f>
        <v/>
      </c>
      <c r="L83">
        <f t="array" ref="L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4">
      <c r="A84" t="inlineStr">
        <is>
          <t>Ananya  Nidhi (1023748)</t>
        </is>
      </c>
      <c r="B84" s="15" t="inlineStr">
        <is>
          <t>Tuesday, 28 November 2023</t>
        </is>
      </c>
      <c r="C84" s="15" t="inlineStr">
        <is>
          <t>Thursday, 28 December 2023</t>
        </is>
      </c>
      <c r="D84" t="inlineStr">
        <is>
          <t xml:space="preserve">Casual / Sick </t>
        </is>
      </c>
      <c r="E84" t="n">
        <v>0.5</v>
      </c>
      <c r="F84" s="1" t="n"/>
      <c r="G84" s="1" t="n"/>
      <c r="H84">
        <f>IF(T_LEAVE[[#This Row],[EMPLOYEE]]="","",MATCH(T_LEAVE[[#This Row],[EMPLOYEE]],L_EMPLABELS,0))</f>
        <v/>
      </c>
      <c r="I84">
        <f>IF(T_LEAVE[[#This Row],[EMPLOYEE]]="","",MATCH(T_LEAVE[[#This Row],[LEAVE TYPE]],L_LEAVETYPES,0))</f>
        <v/>
      </c>
      <c r="J84">
        <f t="array" ref="J84">IFERROR(INDEX(T_LEAVE_TYPES[SYMBOL],T_LEAVE[[#This Row],[LEAVE TYPE SYS ID]]),"")</f>
        <v/>
      </c>
      <c r="K84">
        <f>IF(T_LEAVE[[#This Row],[EMPLOYEE]]="","",IF(T_LEAVE[[#This Row],[ERROR]]="",0,1))</f>
        <v/>
      </c>
      <c r="L84">
        <f t="array" ref="L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5">
      <c r="A85" t="inlineStr">
        <is>
          <t>Madhu Gandham (1029876)</t>
        </is>
      </c>
      <c r="B85" s="15" t="inlineStr">
        <is>
          <t>Thursday, 07 December 2023</t>
        </is>
      </c>
      <c r="C85" s="15" t="inlineStr">
        <is>
          <t>Friday, 08 December 2023</t>
        </is>
      </c>
      <c r="D85" t="inlineStr">
        <is>
          <t xml:space="preserve">Casual / Sick </t>
        </is>
      </c>
      <c r="E85" t="n">
        <v>2</v>
      </c>
      <c r="F85" s="1" t="n"/>
      <c r="G85" s="1" t="n"/>
      <c r="H85">
        <f>IF(T_LEAVE[[#This Row],[EMPLOYEE]]="","",MATCH(T_LEAVE[[#This Row],[EMPLOYEE]],L_EMPLABELS,0))</f>
        <v/>
      </c>
      <c r="I85">
        <f>IF(T_LEAVE[[#This Row],[EMPLOYEE]]="","",MATCH(T_LEAVE[[#This Row],[LEAVE TYPE]],L_LEAVETYPES,0))</f>
        <v/>
      </c>
      <c r="J85">
        <f t="array" ref="J85">IFERROR(INDEX(T_LEAVE_TYPES[SYMBOL],T_LEAVE[[#This Row],[LEAVE TYPE SYS ID]]),"")</f>
        <v/>
      </c>
      <c r="K85">
        <f>IF(T_LEAVE[[#This Row],[EMPLOYEE]]="","",IF(T_LEAVE[[#This Row],[ERROR]]="",0,1))</f>
        <v/>
      </c>
      <c r="L85">
        <f t="array" ref="L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6">
      <c r="A86" t="inlineStr">
        <is>
          <t>Akash Vasant Kadam (1031064)</t>
        </is>
      </c>
      <c r="B86" s="15" t="inlineStr">
        <is>
          <t>Friday, 08 December 2023</t>
        </is>
      </c>
      <c r="C86" s="15" t="inlineStr">
        <is>
          <t>Friday, 08 December 2023</t>
        </is>
      </c>
      <c r="D86" t="inlineStr">
        <is>
          <t xml:space="preserve">Casual / Sick </t>
        </is>
      </c>
      <c r="E86" t="n">
        <v>1</v>
      </c>
      <c r="F86" s="1" t="n"/>
      <c r="G86" s="1" t="n"/>
      <c r="H86">
        <f>IF(T_LEAVE[[#This Row],[EMPLOYEE]]="","",MATCH(T_LEAVE[[#This Row],[EMPLOYEE]],L_EMPLABELS,0))</f>
        <v/>
      </c>
      <c r="I86">
        <f>IF(T_LEAVE[[#This Row],[EMPLOYEE]]="","",MATCH(T_LEAVE[[#This Row],[LEAVE TYPE]],L_LEAVETYPES,0))</f>
        <v/>
      </c>
      <c r="J86">
        <f t="array" ref="J86">IFERROR(INDEX(T_LEAVE_TYPES[SYMBOL],T_LEAVE[[#This Row],[LEAVE TYPE SYS ID]]),"")</f>
        <v/>
      </c>
      <c r="K86">
        <f>IF(T_LEAVE[[#This Row],[EMPLOYEE]]="","",IF(T_LEAVE[[#This Row],[ERROR]]="",0,1))</f>
        <v/>
      </c>
      <c r="L86">
        <f t="array" ref="L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7">
      <c r="A87" t="inlineStr">
        <is>
          <t>Ananya  Nidhi (1023748)</t>
        </is>
      </c>
      <c r="B87" s="15" t="inlineStr">
        <is>
          <t>Wednesday, 15 November 2023</t>
        </is>
      </c>
      <c r="C87" s="15" t="inlineStr">
        <is>
          <t>Wednesday, 15 November 2023</t>
        </is>
      </c>
      <c r="D87" t="inlineStr">
        <is>
          <t xml:space="preserve">Casual / Sick </t>
        </is>
      </c>
      <c r="E87" t="n">
        <v>0.5</v>
      </c>
      <c r="F87" s="1" t="n"/>
      <c r="G87" s="1" t="n"/>
      <c r="H87">
        <f>IF(T_LEAVE[[#This Row],[EMPLOYEE]]="","",MATCH(T_LEAVE[[#This Row],[EMPLOYEE]],L_EMPLABELS,0))</f>
        <v/>
      </c>
      <c r="I87">
        <f>IF(T_LEAVE[[#This Row],[EMPLOYEE]]="","",MATCH(T_LEAVE[[#This Row],[LEAVE TYPE]],L_LEAVETYPES,0))</f>
        <v/>
      </c>
      <c r="J87">
        <f t="array" ref="J87">IFERROR(INDEX(T_LEAVE_TYPES[SYMBOL],T_LEAVE[[#This Row],[LEAVE TYPE SYS ID]]),"")</f>
        <v/>
      </c>
      <c r="K87">
        <f>IF(T_LEAVE[[#This Row],[EMPLOYEE]]="","",IF(T_LEAVE[[#This Row],[ERROR]]="",0,1))</f>
        <v/>
      </c>
      <c r="L87">
        <f t="array" ref="L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8">
      <c r="A88" t="inlineStr">
        <is>
          <t>Darshan Balu Gade (1031095)</t>
        </is>
      </c>
      <c r="B88" s="15" t="inlineStr">
        <is>
          <t>Thursday, 07 December 2023</t>
        </is>
      </c>
      <c r="C88" s="15" t="inlineStr">
        <is>
          <t>Thursday, 07 December 2023</t>
        </is>
      </c>
      <c r="D88" t="inlineStr">
        <is>
          <t xml:space="preserve">Casual / Sick </t>
        </is>
      </c>
      <c r="E88" t="n">
        <v>1</v>
      </c>
      <c r="F88" s="1" t="n"/>
      <c r="G88" s="1" t="n"/>
      <c r="H88">
        <f>IF(T_LEAVE[[#This Row],[EMPLOYEE]]="","",MATCH(T_LEAVE[[#This Row],[EMPLOYEE]],L_EMPLABELS,0))</f>
        <v/>
      </c>
      <c r="I88">
        <f>IF(T_LEAVE[[#This Row],[EMPLOYEE]]="","",MATCH(T_LEAVE[[#This Row],[LEAVE TYPE]],L_LEAVETYPES,0))</f>
        <v/>
      </c>
      <c r="J88">
        <f t="array" ref="J88">IFERROR(INDEX(T_LEAVE_TYPES[SYMBOL],T_LEAVE[[#This Row],[LEAVE TYPE SYS ID]]),"")</f>
        <v/>
      </c>
      <c r="K88">
        <f>IF(T_LEAVE[[#This Row],[EMPLOYEE]]="","",IF(T_LEAVE[[#This Row],[ERROR]]="",0,1))</f>
        <v/>
      </c>
      <c r="L88">
        <f t="array" ref="L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9">
      <c r="A89" t="inlineStr">
        <is>
          <t>Yanamadala Likhitha Sree (1029868)</t>
        </is>
      </c>
      <c r="B89" s="15" t="inlineStr">
        <is>
          <t>Wednesday, 06 December 2023</t>
        </is>
      </c>
      <c r="C89" s="15" t="inlineStr">
        <is>
          <t>Wednesday, 06 December 2023</t>
        </is>
      </c>
      <c r="D89" t="inlineStr">
        <is>
          <t xml:space="preserve">Casual / Sick </t>
        </is>
      </c>
      <c r="E89" t="n">
        <v>1</v>
      </c>
      <c r="F89" s="1" t="n"/>
      <c r="G89" s="1" t="n"/>
      <c r="H89">
        <f>IF(T_LEAVE[[#This Row],[EMPLOYEE]]="","",MATCH(T_LEAVE[[#This Row],[EMPLOYEE]],L_EMPLABELS,0))</f>
        <v/>
      </c>
      <c r="I89">
        <f>IF(T_LEAVE[[#This Row],[EMPLOYEE]]="","",MATCH(T_LEAVE[[#This Row],[LEAVE TYPE]],L_LEAVETYPES,0))</f>
        <v/>
      </c>
      <c r="J89">
        <f t="array" ref="J89">IFERROR(INDEX(T_LEAVE_TYPES[SYMBOL],T_LEAVE[[#This Row],[LEAVE TYPE SYS ID]]),"")</f>
        <v/>
      </c>
      <c r="K89">
        <f>IF(T_LEAVE[[#This Row],[EMPLOYEE]]="","",IF(T_LEAVE[[#This Row],[ERROR]]="",0,1))</f>
        <v/>
      </c>
      <c r="L89">
        <f t="array" ref="L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0">
      <c r="A90" t="inlineStr">
        <is>
          <t>Ankit Sanjayrao Itankar (1031068)</t>
        </is>
      </c>
      <c r="B90" s="15" t="inlineStr">
        <is>
          <t>Monday, 18 December 2023</t>
        </is>
      </c>
      <c r="C90" s="15" t="inlineStr">
        <is>
          <t>Friday, 22 December 2023</t>
        </is>
      </c>
      <c r="D90" t="inlineStr">
        <is>
          <t>Privilege</t>
        </is>
      </c>
      <c r="E90" t="n">
        <v>5</v>
      </c>
      <c r="F90" s="1" t="n"/>
      <c r="G90" s="1" t="n"/>
      <c r="H90">
        <f>IF(T_LEAVE[[#This Row],[EMPLOYEE]]="","",MATCH(T_LEAVE[[#This Row],[EMPLOYEE]],L_EMPLABELS,0))</f>
        <v/>
      </c>
      <c r="I90">
        <f>IF(T_LEAVE[[#This Row],[EMPLOYEE]]="","",MATCH(T_LEAVE[[#This Row],[LEAVE TYPE]],L_LEAVETYPES,0))</f>
        <v/>
      </c>
      <c r="J90">
        <f t="array" ref="J90">IFERROR(INDEX(T_LEAVE_TYPES[SYMBOL],T_LEAVE[[#This Row],[LEAVE TYPE SYS ID]]),"")</f>
        <v/>
      </c>
      <c r="K90">
        <f>IF(T_LEAVE[[#This Row],[EMPLOYEE]]="","",IF(T_LEAVE[[#This Row],[ERROR]]="",0,1))</f>
        <v/>
      </c>
      <c r="L90">
        <f t="array" ref="L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1">
      <c r="A91" t="inlineStr">
        <is>
          <t>Saurabh Rajendra Kadam (1031040)</t>
        </is>
      </c>
      <c r="B91" s="15" t="inlineStr">
        <is>
          <t>Thursday, 21 December 2023</t>
        </is>
      </c>
      <c r="C91" s="15" t="inlineStr">
        <is>
          <t>Friday, 22 December 2023</t>
        </is>
      </c>
      <c r="D91" t="inlineStr">
        <is>
          <t xml:space="preserve">Casual / Sick </t>
        </is>
      </c>
      <c r="E91" t="n">
        <v>2</v>
      </c>
      <c r="F91" s="1" t="n"/>
      <c r="G91" s="1" t="n"/>
      <c r="H91">
        <f>IF(T_LEAVE[[#This Row],[EMPLOYEE]]="","",MATCH(T_LEAVE[[#This Row],[EMPLOYEE]],L_EMPLABELS,0))</f>
        <v/>
      </c>
      <c r="I91">
        <f>IF(T_LEAVE[[#This Row],[EMPLOYEE]]="","",MATCH(T_LEAVE[[#This Row],[LEAVE TYPE]],L_LEAVETYPES,0))</f>
        <v/>
      </c>
      <c r="J91">
        <f t="array" ref="J91">IFERROR(INDEX(T_LEAVE_TYPES[SYMBOL],T_LEAVE[[#This Row],[LEAVE TYPE SYS ID]]),"")</f>
        <v/>
      </c>
      <c r="K91">
        <f>IF(T_LEAVE[[#This Row],[EMPLOYEE]]="","",IF(T_LEAVE[[#This Row],[ERROR]]="",0,1))</f>
        <v/>
      </c>
      <c r="L91">
        <f t="array" ref="L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2">
      <c r="A92" t="inlineStr">
        <is>
          <t>Ananya  Nidhi (1023748)</t>
        </is>
      </c>
      <c r="B92" s="15" t="inlineStr">
        <is>
          <t>Thursday, 07 September 2023</t>
        </is>
      </c>
      <c r="C92" s="15" t="inlineStr">
        <is>
          <t>Thursday, 07 September 2023</t>
        </is>
      </c>
      <c r="D92" t="inlineStr">
        <is>
          <t xml:space="preserve">Casual / Sick </t>
        </is>
      </c>
      <c r="E92" t="n">
        <v>1</v>
      </c>
      <c r="F92" s="1" t="n"/>
      <c r="G92" s="1" t="n"/>
      <c r="H92">
        <f>IF(T_LEAVE[[#This Row],[EMPLOYEE]]="","",MATCH(T_LEAVE[[#This Row],[EMPLOYEE]],L_EMPLABELS,0))</f>
        <v/>
      </c>
      <c r="I92">
        <f>IF(T_LEAVE[[#This Row],[EMPLOYEE]]="","",MATCH(T_LEAVE[[#This Row],[LEAVE TYPE]],L_LEAVETYPES,0))</f>
        <v/>
      </c>
      <c r="J92">
        <f t="array" ref="J92">IFERROR(INDEX(T_LEAVE_TYPES[SYMBOL],T_LEAVE[[#This Row],[LEAVE TYPE SYS ID]]),"")</f>
        <v/>
      </c>
      <c r="K92">
        <f>IF(T_LEAVE[[#This Row],[EMPLOYEE]]="","",IF(T_LEAVE[[#This Row],[ERROR]]="",0,1))</f>
        <v/>
      </c>
      <c r="L92">
        <f t="array" ref="L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3">
      <c r="A93" t="inlineStr">
        <is>
          <t>Mitesh Malviya (1031067)</t>
        </is>
      </c>
      <c r="B93" s="15" t="inlineStr">
        <is>
          <t>Thursday, 07 December 2023</t>
        </is>
      </c>
      <c r="C93" s="15" t="inlineStr">
        <is>
          <t>Thursday, 07 December 2023</t>
        </is>
      </c>
      <c r="D93" t="inlineStr">
        <is>
          <t xml:space="preserve">Casual / Sick </t>
        </is>
      </c>
      <c r="E93" t="n">
        <v>1</v>
      </c>
      <c r="F93" s="1" t="n"/>
      <c r="G93" s="1" t="n"/>
      <c r="H93">
        <f>IF(T_LEAVE[[#This Row],[EMPLOYEE]]="","",MATCH(T_LEAVE[[#This Row],[EMPLOYEE]],L_EMPLABELS,0))</f>
        <v/>
      </c>
      <c r="I93">
        <f>IF(T_LEAVE[[#This Row],[EMPLOYEE]]="","",MATCH(T_LEAVE[[#This Row],[LEAVE TYPE]],L_LEAVETYPES,0))</f>
        <v/>
      </c>
      <c r="J93">
        <f t="array" ref="J93">IFERROR(INDEX(T_LEAVE_TYPES[SYMBOL],T_LEAVE[[#This Row],[LEAVE TYPE SYS ID]]),"")</f>
        <v/>
      </c>
      <c r="K93">
        <f>IF(T_LEAVE[[#This Row],[EMPLOYEE]]="","",IF(T_LEAVE[[#This Row],[ERROR]]="",0,1))</f>
        <v/>
      </c>
      <c r="L93">
        <f t="array" ref="L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4">
      <c r="A94" t="inlineStr">
        <is>
          <t>Ananya  Nidhi (1023748)</t>
        </is>
      </c>
      <c r="B94" s="15" t="inlineStr">
        <is>
          <t>Wednesday, 23 August 2023</t>
        </is>
      </c>
      <c r="C94" s="15" t="inlineStr">
        <is>
          <t>Wednesday, 23 August 2023</t>
        </is>
      </c>
      <c r="D94" t="inlineStr">
        <is>
          <t xml:space="preserve">Casual / Sick </t>
        </is>
      </c>
      <c r="E94" t="n">
        <v>1</v>
      </c>
      <c r="F94" s="1" t="n"/>
      <c r="G94" s="1" t="n"/>
      <c r="H94">
        <f>IF(T_LEAVE[[#This Row],[EMPLOYEE]]="","",MATCH(T_LEAVE[[#This Row],[EMPLOYEE]],L_EMPLABELS,0))</f>
        <v/>
      </c>
      <c r="I94">
        <f>IF(T_LEAVE[[#This Row],[EMPLOYEE]]="","",MATCH(T_LEAVE[[#This Row],[LEAVE TYPE]],L_LEAVETYPES,0))</f>
        <v/>
      </c>
      <c r="J94">
        <f t="array" ref="J94">IFERROR(INDEX(T_LEAVE_TYPES[SYMBOL],T_LEAVE[[#This Row],[LEAVE TYPE SYS ID]]),"")</f>
        <v/>
      </c>
      <c r="K94">
        <f>IF(T_LEAVE[[#This Row],[EMPLOYEE]]="","",IF(T_LEAVE[[#This Row],[ERROR]]="",0,1))</f>
        <v/>
      </c>
      <c r="L94">
        <f t="array" ref="L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5">
      <c r="A95" t="inlineStr">
        <is>
          <t>Bhagyashree Patil (1030253)</t>
        </is>
      </c>
      <c r="B95" s="15" t="inlineStr">
        <is>
          <t>Friday, 01 December 2023</t>
        </is>
      </c>
      <c r="C95" s="15" t="inlineStr">
        <is>
          <t>Friday, 01 December 2023</t>
        </is>
      </c>
      <c r="D95" t="inlineStr">
        <is>
          <t xml:space="preserve">Casual / Sick </t>
        </is>
      </c>
      <c r="E95" t="n">
        <v>1</v>
      </c>
      <c r="F95" s="1" t="n"/>
      <c r="G95" s="1" t="n"/>
      <c r="H95">
        <f>IF(T_LEAVE[[#This Row],[EMPLOYEE]]="","",MATCH(T_LEAVE[[#This Row],[EMPLOYEE]],L_EMPLABELS,0))</f>
        <v/>
      </c>
      <c r="I95">
        <f>IF(T_LEAVE[[#This Row],[EMPLOYEE]]="","",MATCH(T_LEAVE[[#This Row],[LEAVE TYPE]],L_LEAVETYPES,0))</f>
        <v/>
      </c>
      <c r="J95">
        <f t="array" ref="J95">IFERROR(INDEX(T_LEAVE_TYPES[SYMBOL],T_LEAVE[[#This Row],[LEAVE TYPE SYS ID]]),"")</f>
        <v/>
      </c>
      <c r="K95">
        <f>IF(T_LEAVE[[#This Row],[EMPLOYEE]]="","",IF(T_LEAVE[[#This Row],[ERROR]]="",0,1))</f>
        <v/>
      </c>
      <c r="L95">
        <f t="array" ref="L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6">
      <c r="A96" t="inlineStr">
        <is>
          <t>Mitesh Malviya (1031067)</t>
        </is>
      </c>
      <c r="B96" s="15" t="inlineStr">
        <is>
          <t>Wednesday, 06 December 2023</t>
        </is>
      </c>
      <c r="C96" s="15" t="inlineStr">
        <is>
          <t>Wednesday, 06 December 2023</t>
        </is>
      </c>
      <c r="D96" t="inlineStr">
        <is>
          <t xml:space="preserve">Casual / Sick </t>
        </is>
      </c>
      <c r="E96" t="n">
        <v>0.5</v>
      </c>
      <c r="F96" s="1" t="n"/>
      <c r="G96" s="1" t="n"/>
      <c r="H96">
        <f>IF(T_LEAVE[[#This Row],[EMPLOYEE]]="","",MATCH(T_LEAVE[[#This Row],[EMPLOYEE]],L_EMPLABELS,0))</f>
        <v/>
      </c>
      <c r="I96">
        <f>IF(T_LEAVE[[#This Row],[EMPLOYEE]]="","",MATCH(T_LEAVE[[#This Row],[LEAVE TYPE]],L_LEAVETYPES,0))</f>
        <v/>
      </c>
      <c r="J96">
        <f t="array" ref="J96">IFERROR(INDEX(T_LEAVE_TYPES[SYMBOL],T_LEAVE[[#This Row],[LEAVE TYPE SYS ID]]),"")</f>
        <v/>
      </c>
      <c r="K96">
        <f>IF(T_LEAVE[[#This Row],[EMPLOYEE]]="","",IF(T_LEAVE[[#This Row],[ERROR]]="",0,1))</f>
        <v/>
      </c>
      <c r="L96">
        <f t="array" ref="L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7">
      <c r="A97" t="inlineStr">
        <is>
          <t>Talada Sumanth (1029520)</t>
        </is>
      </c>
      <c r="B97" s="15" t="inlineStr">
        <is>
          <t>Thursday, 07 December 2023</t>
        </is>
      </c>
      <c r="C97" s="15" t="inlineStr">
        <is>
          <t>Thursday, 07 December 2023</t>
        </is>
      </c>
      <c r="D97" t="inlineStr">
        <is>
          <t xml:space="preserve">Casual / Sick </t>
        </is>
      </c>
      <c r="E97" t="n">
        <v>1</v>
      </c>
      <c r="F97" s="1" t="n"/>
      <c r="G97" s="1" t="n"/>
      <c r="H97">
        <f>IF(T_LEAVE[[#This Row],[EMPLOYEE]]="","",MATCH(T_LEAVE[[#This Row],[EMPLOYEE]],L_EMPLABELS,0))</f>
        <v/>
      </c>
      <c r="I97">
        <f>IF(T_LEAVE[[#This Row],[EMPLOYEE]]="","",MATCH(T_LEAVE[[#This Row],[LEAVE TYPE]],L_LEAVETYPES,0))</f>
        <v/>
      </c>
      <c r="J97">
        <f t="array" ref="J97">IFERROR(INDEX(T_LEAVE_TYPES[SYMBOL],T_LEAVE[[#This Row],[LEAVE TYPE SYS ID]]),"")</f>
        <v/>
      </c>
      <c r="K97">
        <f>IF(T_LEAVE[[#This Row],[EMPLOYEE]]="","",IF(T_LEAVE[[#This Row],[ERROR]]="",0,1))</f>
        <v/>
      </c>
      <c r="L97">
        <f t="array" ref="L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8">
      <c r="A98" t="inlineStr">
        <is>
          <t>Ananya  Nidhi (1023748)</t>
        </is>
      </c>
      <c r="B98" s="15" t="inlineStr">
        <is>
          <t>Wednesday, 12 July 2023</t>
        </is>
      </c>
      <c r="C98" s="15" t="inlineStr">
        <is>
          <t>Wednesday, 12 July 2023</t>
        </is>
      </c>
      <c r="D98" t="inlineStr">
        <is>
          <t xml:space="preserve">Casual / Sick </t>
        </is>
      </c>
      <c r="E98" t="n">
        <v>1</v>
      </c>
      <c r="F98" s="1" t="n"/>
      <c r="G98" s="1" t="n"/>
      <c r="H98">
        <f>IF(T_LEAVE[[#This Row],[EMPLOYEE]]="","",MATCH(T_LEAVE[[#This Row],[EMPLOYEE]],L_EMPLABELS,0))</f>
        <v/>
      </c>
      <c r="I98">
        <f>IF(T_LEAVE[[#This Row],[EMPLOYEE]]="","",MATCH(T_LEAVE[[#This Row],[LEAVE TYPE]],L_LEAVETYPES,0))</f>
        <v/>
      </c>
      <c r="J98">
        <f t="array" ref="J98">IFERROR(INDEX(T_LEAVE_TYPES[SYMBOL],T_LEAVE[[#This Row],[LEAVE TYPE SYS ID]]),"")</f>
        <v/>
      </c>
      <c r="K98">
        <f>IF(T_LEAVE[[#This Row],[EMPLOYEE]]="","",IF(T_LEAVE[[#This Row],[ERROR]]="",0,1))</f>
        <v/>
      </c>
      <c r="L98">
        <f t="array" ref="L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99">
      <c r="A99" t="inlineStr">
        <is>
          <t>Anirudh Mehta (1033230)</t>
        </is>
      </c>
      <c r="B99" s="15" t="inlineStr">
        <is>
          <t>Tuesday, 05 December 2023</t>
        </is>
      </c>
      <c r="C99" s="15" t="inlineStr">
        <is>
          <t>Tuesday, 05 December 2023</t>
        </is>
      </c>
      <c r="D99" t="inlineStr">
        <is>
          <t xml:space="preserve">Casual / Sick </t>
        </is>
      </c>
      <c r="E99" t="n">
        <v>1</v>
      </c>
      <c r="F99" s="1" t="n"/>
      <c r="G99" s="1" t="n"/>
      <c r="H99">
        <f>IF(T_LEAVE[[#This Row],[EMPLOYEE]]="","",MATCH(T_LEAVE[[#This Row],[EMPLOYEE]],L_EMPLABELS,0))</f>
        <v/>
      </c>
      <c r="I99">
        <f>IF(T_LEAVE[[#This Row],[EMPLOYEE]]="","",MATCH(T_LEAVE[[#This Row],[LEAVE TYPE]],L_LEAVETYPES,0))</f>
        <v/>
      </c>
      <c r="J99">
        <f t="array" ref="J99">IFERROR(INDEX(T_LEAVE_TYPES[SYMBOL],T_LEAVE[[#This Row],[LEAVE TYPE SYS ID]]),"")</f>
        <v/>
      </c>
      <c r="K99">
        <f>IF(T_LEAVE[[#This Row],[EMPLOYEE]]="","",IF(T_LEAVE[[#This Row],[ERROR]]="",0,1))</f>
        <v/>
      </c>
      <c r="L99">
        <f t="array" ref="L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0">
      <c r="A100" t="inlineStr">
        <is>
          <t>Ananya  Nidhi (1023748)</t>
        </is>
      </c>
      <c r="B100" s="15" t="inlineStr">
        <is>
          <t>Thursday, 15 June 2023</t>
        </is>
      </c>
      <c r="C100" s="15" t="inlineStr">
        <is>
          <t>Friday, 16 June 2023</t>
        </is>
      </c>
      <c r="D100" t="inlineStr">
        <is>
          <t xml:space="preserve">Casual / Sick </t>
        </is>
      </c>
      <c r="E100" t="n">
        <v>2</v>
      </c>
      <c r="F100" s="1" t="n"/>
      <c r="G100" s="1" t="n"/>
      <c r="H100">
        <f>IF(T_LEAVE[[#This Row],[EMPLOYEE]]="","",MATCH(T_LEAVE[[#This Row],[EMPLOYEE]],L_EMPLABELS,0))</f>
        <v/>
      </c>
      <c r="I100">
        <f>IF(T_LEAVE[[#This Row],[EMPLOYEE]]="","",MATCH(T_LEAVE[[#This Row],[LEAVE TYPE]],L_LEAVETYPES,0))</f>
        <v/>
      </c>
      <c r="J100">
        <f t="array" ref="J100">IFERROR(INDEX(T_LEAVE_TYPES[SYMBOL],T_LEAVE[[#This Row],[LEAVE TYPE SYS ID]]),"")</f>
        <v/>
      </c>
      <c r="K100">
        <f>IF(T_LEAVE[[#This Row],[EMPLOYEE]]="","",IF(T_LEAVE[[#This Row],[ERROR]]="",0,1))</f>
        <v/>
      </c>
      <c r="L100">
        <f t="array" ref="L1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1">
      <c r="A101" t="inlineStr">
        <is>
          <t>Rangabhatla Sai Harish (1029533)</t>
        </is>
      </c>
      <c r="B101" s="15" t="inlineStr">
        <is>
          <t>Wednesday, 11 October 2023</t>
        </is>
      </c>
      <c r="C101" s="15" t="inlineStr">
        <is>
          <t>Friday, 13 October 2023</t>
        </is>
      </c>
      <c r="D101" t="inlineStr">
        <is>
          <t xml:space="preserve">Casual / Sick </t>
        </is>
      </c>
      <c r="E101" t="n">
        <v>3</v>
      </c>
      <c r="F101" s="1" t="n"/>
      <c r="G101" s="1" t="n"/>
      <c r="H101">
        <f>IF(T_LEAVE[[#This Row],[EMPLOYEE]]="","",MATCH(T_LEAVE[[#This Row],[EMPLOYEE]],L_EMPLABELS,0))</f>
        <v/>
      </c>
      <c r="I101">
        <f>IF(T_LEAVE[[#This Row],[EMPLOYEE]]="","",MATCH(T_LEAVE[[#This Row],[LEAVE TYPE]],L_LEAVETYPES,0))</f>
        <v/>
      </c>
      <c r="J101">
        <f t="array" ref="J101">IFERROR(INDEX(T_LEAVE_TYPES[SYMBOL],T_LEAVE[[#This Row],[LEAVE TYPE SYS ID]]),"")</f>
        <v/>
      </c>
      <c r="K101">
        <f>IF(T_LEAVE[[#This Row],[EMPLOYEE]]="","",IF(T_LEAVE[[#This Row],[ERROR]]="",0,1))</f>
        <v/>
      </c>
      <c r="L101">
        <f t="array" ref="L1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2">
      <c r="A102" t="inlineStr">
        <is>
          <t>Ananya  Nidhi (1023748)</t>
        </is>
      </c>
      <c r="B102" s="15" t="inlineStr">
        <is>
          <t>Thursday, 23 February 2023</t>
        </is>
      </c>
      <c r="C102" s="15" t="inlineStr">
        <is>
          <t>Thursday, 23 February 2023</t>
        </is>
      </c>
      <c r="D102" t="inlineStr">
        <is>
          <t xml:space="preserve">Casual / Sick </t>
        </is>
      </c>
      <c r="E102" t="n">
        <v>1</v>
      </c>
      <c r="F102" s="1" t="n"/>
      <c r="G102" s="1" t="n"/>
      <c r="H102">
        <f>IF(T_LEAVE[[#This Row],[EMPLOYEE]]="","",MATCH(T_LEAVE[[#This Row],[EMPLOYEE]],L_EMPLABELS,0))</f>
        <v/>
      </c>
      <c r="I102">
        <f>IF(T_LEAVE[[#This Row],[EMPLOYEE]]="","",MATCH(T_LEAVE[[#This Row],[LEAVE TYPE]],L_LEAVETYPES,0))</f>
        <v/>
      </c>
      <c r="J102">
        <f t="array" ref="J102">IFERROR(INDEX(T_LEAVE_TYPES[SYMBOL],T_LEAVE[[#This Row],[LEAVE TYPE SYS ID]]),"")</f>
        <v/>
      </c>
      <c r="K102">
        <f>IF(T_LEAVE[[#This Row],[EMPLOYEE]]="","",IF(T_LEAVE[[#This Row],[ERROR]]="",0,1))</f>
        <v/>
      </c>
      <c r="L102">
        <f t="array" ref="L1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3">
      <c r="A103" t="inlineStr">
        <is>
          <t>Rangabhatla Sai Harish (1029533)</t>
        </is>
      </c>
      <c r="B103" s="15" t="inlineStr">
        <is>
          <t>Friday, 06 October 2023</t>
        </is>
      </c>
      <c r="C103" s="15" t="inlineStr">
        <is>
          <t>Friday, 06 October 2023</t>
        </is>
      </c>
      <c r="D103" t="inlineStr">
        <is>
          <t xml:space="preserve">Casual / Sick </t>
        </is>
      </c>
      <c r="E103" t="n">
        <v>1</v>
      </c>
      <c r="F103" s="1" t="n"/>
      <c r="G103" s="1" t="n"/>
      <c r="H103">
        <f>IF(T_LEAVE[[#This Row],[EMPLOYEE]]="","",MATCH(T_LEAVE[[#This Row],[EMPLOYEE]],L_EMPLABELS,0))</f>
        <v/>
      </c>
      <c r="I103">
        <f>IF(T_LEAVE[[#This Row],[EMPLOYEE]]="","",MATCH(T_LEAVE[[#This Row],[LEAVE TYPE]],L_LEAVETYPES,0))</f>
        <v/>
      </c>
      <c r="J103">
        <f t="array" ref="J103">IFERROR(INDEX(T_LEAVE_TYPES[SYMBOL],T_LEAVE[[#This Row],[LEAVE TYPE SYS ID]]),"")</f>
        <v/>
      </c>
      <c r="K103">
        <f>IF(T_LEAVE[[#This Row],[EMPLOYEE]]="","",IF(T_LEAVE[[#This Row],[ERROR]]="",0,1))</f>
        <v/>
      </c>
      <c r="L103">
        <f t="array" ref="L10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4">
      <c r="A104" t="inlineStr">
        <is>
          <t>Ananya  Nidhi (1023748)</t>
        </is>
      </c>
      <c r="B104" s="15" t="inlineStr">
        <is>
          <t>Monday, 16 January 2023</t>
        </is>
      </c>
      <c r="C104" s="15" t="inlineStr">
        <is>
          <t>Wednesday, 18 January 2023</t>
        </is>
      </c>
      <c r="D104" t="inlineStr">
        <is>
          <t>Privilege</t>
        </is>
      </c>
      <c r="E104" t="n">
        <v>3</v>
      </c>
      <c r="F104" s="1" t="n"/>
      <c r="G104" s="1" t="n"/>
      <c r="H104">
        <f>IF(T_LEAVE[[#This Row],[EMPLOYEE]]="","",MATCH(T_LEAVE[[#This Row],[EMPLOYEE]],L_EMPLABELS,0))</f>
        <v/>
      </c>
      <c r="I104">
        <f>IF(T_LEAVE[[#This Row],[EMPLOYEE]]="","",MATCH(T_LEAVE[[#This Row],[LEAVE TYPE]],L_LEAVETYPES,0))</f>
        <v/>
      </c>
      <c r="J104">
        <f t="array" ref="J104">IFERROR(INDEX(T_LEAVE_TYPES[SYMBOL],T_LEAVE[[#This Row],[LEAVE TYPE SYS ID]]),"")</f>
        <v/>
      </c>
      <c r="K104">
        <f>IF(T_LEAVE[[#This Row],[EMPLOYEE]]="","",IF(T_LEAVE[[#This Row],[ERROR]]="",0,1))</f>
        <v/>
      </c>
      <c r="L104">
        <f t="array" ref="L10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5">
      <c r="A105" t="inlineStr">
        <is>
          <t>Ananya  Nidhi (1023748)</t>
        </is>
      </c>
      <c r="B105" s="15" t="inlineStr">
        <is>
          <t>Monday, 27 February 2023</t>
        </is>
      </c>
      <c r="C105" s="15" t="inlineStr">
        <is>
          <t>Friday, 03 March 2023</t>
        </is>
      </c>
      <c r="D105" t="inlineStr">
        <is>
          <t>Privilege</t>
        </is>
      </c>
      <c r="E105" t="n">
        <v>5</v>
      </c>
      <c r="F105" s="1" t="n"/>
      <c r="G105" s="1" t="n"/>
      <c r="H105">
        <f>IF(T_LEAVE[[#This Row],[EMPLOYEE]]="","",MATCH(T_LEAVE[[#This Row],[EMPLOYEE]],L_EMPLABELS,0))</f>
        <v/>
      </c>
      <c r="I105">
        <f>IF(T_LEAVE[[#This Row],[EMPLOYEE]]="","",MATCH(T_LEAVE[[#This Row],[LEAVE TYPE]],L_LEAVETYPES,0))</f>
        <v/>
      </c>
      <c r="J105">
        <f t="array" ref="J105">IFERROR(INDEX(T_LEAVE_TYPES[SYMBOL],T_LEAVE[[#This Row],[LEAVE TYPE SYS ID]]),"")</f>
        <v/>
      </c>
      <c r="K105">
        <f>IF(T_LEAVE[[#This Row],[EMPLOYEE]]="","",IF(T_LEAVE[[#This Row],[ERROR]]="",0,1))</f>
        <v/>
      </c>
      <c r="L105">
        <f t="array" ref="L10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6">
      <c r="A106" t="inlineStr">
        <is>
          <t>Ananya  Nidhi (1023748)</t>
        </is>
      </c>
      <c r="B106" s="15" t="inlineStr">
        <is>
          <t>Wednesday, 14 December 2022</t>
        </is>
      </c>
      <c r="C106" s="15" t="inlineStr">
        <is>
          <t>Friday, 16 December 2022</t>
        </is>
      </c>
      <c r="D106" t="inlineStr">
        <is>
          <t>Privilege</t>
        </is>
      </c>
      <c r="E106" t="n">
        <v>3</v>
      </c>
      <c r="F106" s="1" t="n"/>
      <c r="G106" s="1" t="n"/>
      <c r="H106">
        <f>IF(T_LEAVE[[#This Row],[EMPLOYEE]]="","",MATCH(T_LEAVE[[#This Row],[EMPLOYEE]],L_EMPLABELS,0))</f>
        <v/>
      </c>
      <c r="I106">
        <f>IF(T_LEAVE[[#This Row],[EMPLOYEE]]="","",MATCH(T_LEAVE[[#This Row],[LEAVE TYPE]],L_LEAVETYPES,0))</f>
        <v/>
      </c>
      <c r="J106">
        <f t="array" ref="J106">IFERROR(INDEX(T_LEAVE_TYPES[SYMBOL],T_LEAVE[[#This Row],[LEAVE TYPE SYS ID]]),"")</f>
        <v/>
      </c>
      <c r="K106">
        <f>IF(T_LEAVE[[#This Row],[EMPLOYEE]]="","",IF(T_LEAVE[[#This Row],[ERROR]]="",0,1))</f>
        <v/>
      </c>
      <c r="L106">
        <f t="array" ref="L10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7">
      <c r="A107" t="inlineStr">
        <is>
          <t>Ananya  Nidhi (1023748)</t>
        </is>
      </c>
      <c r="B107" s="15" t="inlineStr">
        <is>
          <t>Thursday, 13 October 2022</t>
        </is>
      </c>
      <c r="C107" s="15" t="inlineStr">
        <is>
          <t>Friday, 14 October 2022</t>
        </is>
      </c>
      <c r="D107" t="inlineStr">
        <is>
          <t xml:space="preserve">Casual / Sick </t>
        </is>
      </c>
      <c r="E107" t="n">
        <v>2</v>
      </c>
      <c r="F107" s="1" t="n"/>
      <c r="G107" s="1" t="n"/>
      <c r="H107">
        <f>IF(T_LEAVE[[#This Row],[EMPLOYEE]]="","",MATCH(T_LEAVE[[#This Row],[EMPLOYEE]],L_EMPLABELS,0))</f>
        <v/>
      </c>
      <c r="I107">
        <f>IF(T_LEAVE[[#This Row],[EMPLOYEE]]="","",MATCH(T_LEAVE[[#This Row],[LEAVE TYPE]],L_LEAVETYPES,0))</f>
        <v/>
      </c>
      <c r="J107">
        <f t="array" ref="J107">IFERROR(INDEX(T_LEAVE_TYPES[SYMBOL],T_LEAVE[[#This Row],[LEAVE TYPE SYS ID]]),"")</f>
        <v/>
      </c>
      <c r="K107">
        <f>IF(T_LEAVE[[#This Row],[EMPLOYEE]]="","",IF(T_LEAVE[[#This Row],[ERROR]]="",0,1))</f>
        <v/>
      </c>
      <c r="L107">
        <f t="array" ref="L10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8">
      <c r="A108" t="inlineStr">
        <is>
          <t>Archana  R P (1031768)</t>
        </is>
      </c>
      <c r="B108" s="15" t="inlineStr">
        <is>
          <t>Tuesday, 26 December 2023</t>
        </is>
      </c>
      <c r="C108" s="15" t="inlineStr">
        <is>
          <t>Wednesday, 27 December 2023</t>
        </is>
      </c>
      <c r="D108" t="inlineStr">
        <is>
          <t xml:space="preserve">Casual / Sick </t>
        </is>
      </c>
      <c r="E108" t="n">
        <v>2</v>
      </c>
      <c r="F108" s="1" t="n"/>
      <c r="G108" s="1" t="n"/>
      <c r="H108">
        <f>IF(T_LEAVE[[#This Row],[EMPLOYEE]]="","",MATCH(T_LEAVE[[#This Row],[EMPLOYEE]],L_EMPLABELS,0))</f>
        <v/>
      </c>
      <c r="I108">
        <f>IF(T_LEAVE[[#This Row],[EMPLOYEE]]="","",MATCH(T_LEAVE[[#This Row],[LEAVE TYPE]],L_LEAVETYPES,0))</f>
        <v/>
      </c>
      <c r="J108">
        <f t="array" ref="J108">IFERROR(INDEX(T_LEAVE_TYPES[SYMBOL],T_LEAVE[[#This Row],[LEAVE TYPE SYS ID]]),"")</f>
        <v/>
      </c>
      <c r="K108">
        <f>IF(T_LEAVE[[#This Row],[EMPLOYEE]]="","",IF(T_LEAVE[[#This Row],[ERROR]]="",0,1))</f>
        <v/>
      </c>
      <c r="L108">
        <f t="array" ref="L10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09">
      <c r="A109" t="inlineStr">
        <is>
          <t>Archana  R P (1031768)</t>
        </is>
      </c>
      <c r="B109" s="15" t="inlineStr">
        <is>
          <t>Wednesday, 29 November 2023</t>
        </is>
      </c>
      <c r="C109" s="15" t="inlineStr">
        <is>
          <t>Wednesday, 29 November 2023</t>
        </is>
      </c>
      <c r="D109" t="inlineStr">
        <is>
          <t xml:space="preserve">Casual / Sick </t>
        </is>
      </c>
      <c r="E109" t="n">
        <v>1</v>
      </c>
      <c r="F109" s="1" t="n"/>
      <c r="G109" s="1" t="n"/>
      <c r="H109">
        <f>IF(T_LEAVE[[#This Row],[EMPLOYEE]]="","",MATCH(T_LEAVE[[#This Row],[EMPLOYEE]],L_EMPLABELS,0))</f>
        <v/>
      </c>
      <c r="I109">
        <f>IF(T_LEAVE[[#This Row],[EMPLOYEE]]="","",MATCH(T_LEAVE[[#This Row],[LEAVE TYPE]],L_LEAVETYPES,0))</f>
        <v/>
      </c>
      <c r="J109">
        <f t="array" ref="J109">IFERROR(INDEX(T_LEAVE_TYPES[SYMBOL],T_LEAVE[[#This Row],[LEAVE TYPE SYS ID]]),"")</f>
        <v/>
      </c>
      <c r="K109">
        <f>IF(T_LEAVE[[#This Row],[EMPLOYEE]]="","",IF(T_LEAVE[[#This Row],[ERROR]]="",0,1))</f>
        <v/>
      </c>
      <c r="L109">
        <f t="array" ref="L10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0">
      <c r="A110" t="inlineStr">
        <is>
          <t>Archana  R P (1031768)</t>
        </is>
      </c>
      <c r="B110" s="15" t="inlineStr">
        <is>
          <t>Wednesday, 08 November 2023</t>
        </is>
      </c>
      <c r="C110" s="15" t="inlineStr">
        <is>
          <t>Wednesday, 08 November 2023</t>
        </is>
      </c>
      <c r="D110" t="inlineStr">
        <is>
          <t xml:space="preserve">Casual / Sick </t>
        </is>
      </c>
      <c r="E110" t="n">
        <v>1</v>
      </c>
      <c r="F110" s="1" t="n"/>
      <c r="G110" s="1" t="n"/>
      <c r="H110">
        <f>IF(T_LEAVE[[#This Row],[EMPLOYEE]]="","",MATCH(T_LEAVE[[#This Row],[EMPLOYEE]],L_EMPLABELS,0))</f>
        <v/>
      </c>
      <c r="I110">
        <f>IF(T_LEAVE[[#This Row],[EMPLOYEE]]="","",MATCH(T_LEAVE[[#This Row],[LEAVE TYPE]],L_LEAVETYPES,0))</f>
        <v/>
      </c>
      <c r="J110">
        <f t="array" ref="J110">IFERROR(INDEX(T_LEAVE_TYPES[SYMBOL],T_LEAVE[[#This Row],[LEAVE TYPE SYS ID]]),"")</f>
        <v/>
      </c>
      <c r="K110">
        <f>IF(T_LEAVE[[#This Row],[EMPLOYEE]]="","",IF(T_LEAVE[[#This Row],[ERROR]]="",0,1))</f>
        <v/>
      </c>
      <c r="L110">
        <f t="array" ref="L1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1">
      <c r="A111" t="inlineStr">
        <is>
          <t>Yanamadala Likhitha Sree (1029868)</t>
        </is>
      </c>
      <c r="B111" s="15" t="inlineStr">
        <is>
          <t>Friday, 24 November 2023</t>
        </is>
      </c>
      <c r="C111" s="15" t="inlineStr">
        <is>
          <t>Friday, 24 November 2023</t>
        </is>
      </c>
      <c r="D111" t="inlineStr">
        <is>
          <t xml:space="preserve">Casual / Sick </t>
        </is>
      </c>
      <c r="E111" t="n">
        <v>1</v>
      </c>
      <c r="F111" s="1" t="n"/>
      <c r="G111" s="1" t="n"/>
      <c r="H111">
        <f>IF(T_LEAVE[[#This Row],[EMPLOYEE]]="","",MATCH(T_LEAVE[[#This Row],[EMPLOYEE]],L_EMPLABELS,0))</f>
        <v/>
      </c>
      <c r="I111">
        <f>IF(T_LEAVE[[#This Row],[EMPLOYEE]]="","",MATCH(T_LEAVE[[#This Row],[LEAVE TYPE]],L_LEAVETYPES,0))</f>
        <v/>
      </c>
      <c r="J111">
        <f t="array" ref="J111">IFERROR(INDEX(T_LEAVE_TYPES[SYMBOL],T_LEAVE[[#This Row],[LEAVE TYPE SYS ID]]),"")</f>
        <v/>
      </c>
      <c r="K111">
        <f>IF(T_LEAVE[[#This Row],[EMPLOYEE]]="","",IF(T_LEAVE[[#This Row],[ERROR]]="",0,1))</f>
        <v/>
      </c>
      <c r="L111">
        <f t="array" ref="L1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2">
      <c r="A112" t="inlineStr">
        <is>
          <t>Ambika G Prabhu (1027414)</t>
        </is>
      </c>
      <c r="B112" s="15" t="inlineStr">
        <is>
          <t>Thursday, 23 November 2023</t>
        </is>
      </c>
      <c r="C112" s="15" t="inlineStr">
        <is>
          <t>Thursday, 23 November 2023</t>
        </is>
      </c>
      <c r="D112" t="inlineStr">
        <is>
          <t>Privilege</t>
        </is>
      </c>
      <c r="E112" t="n">
        <v>1</v>
      </c>
      <c r="F112" s="1" t="n"/>
      <c r="G112" s="1" t="n"/>
      <c r="H112">
        <f>IF(T_LEAVE[[#This Row],[EMPLOYEE]]="","",MATCH(T_LEAVE[[#This Row],[EMPLOYEE]],L_EMPLABELS,0))</f>
        <v/>
      </c>
      <c r="I112">
        <f>IF(T_LEAVE[[#This Row],[EMPLOYEE]]="","",MATCH(T_LEAVE[[#This Row],[LEAVE TYPE]],L_LEAVETYPES,0))</f>
        <v/>
      </c>
      <c r="J112">
        <f t="array" ref="J112">IFERROR(INDEX(T_LEAVE_TYPES[SYMBOL],T_LEAVE[[#This Row],[LEAVE TYPE SYS ID]]),"")</f>
        <v/>
      </c>
      <c r="K112">
        <f>IF(T_LEAVE[[#This Row],[EMPLOYEE]]="","",IF(T_LEAVE[[#This Row],[ERROR]]="",0,1))</f>
        <v/>
      </c>
      <c r="L112">
        <f t="array" ref="L1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3">
      <c r="A113" t="inlineStr">
        <is>
          <t>Archana  R P (1031768)</t>
        </is>
      </c>
      <c r="B113" s="15" t="inlineStr">
        <is>
          <t>Wednesday, 13 September 2023</t>
        </is>
      </c>
      <c r="C113" s="15" t="inlineStr">
        <is>
          <t>Wednesday, 13 September 2023</t>
        </is>
      </c>
      <c r="D113" t="inlineStr">
        <is>
          <t xml:space="preserve">Casual / Sick </t>
        </is>
      </c>
      <c r="E113" t="n">
        <v>1</v>
      </c>
      <c r="F113" s="1" t="n"/>
      <c r="G113" s="1" t="n"/>
      <c r="H113">
        <f>IF(T_LEAVE[[#This Row],[EMPLOYEE]]="","",MATCH(T_LEAVE[[#This Row],[EMPLOYEE]],L_EMPLABELS,0))</f>
        <v/>
      </c>
      <c r="I113">
        <f>IF(T_LEAVE[[#This Row],[EMPLOYEE]]="","",MATCH(T_LEAVE[[#This Row],[LEAVE TYPE]],L_LEAVETYPES,0))</f>
        <v/>
      </c>
      <c r="J113">
        <f t="array" ref="J113">IFERROR(INDEX(T_LEAVE_TYPES[SYMBOL],T_LEAVE[[#This Row],[LEAVE TYPE SYS ID]]),"")</f>
        <v/>
      </c>
      <c r="K113">
        <f>IF(T_LEAVE[[#This Row],[EMPLOYEE]]="","",IF(T_LEAVE[[#This Row],[ERROR]]="",0,1))</f>
        <v/>
      </c>
      <c r="L113">
        <f t="array" ref="L1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4">
      <c r="A114" t="inlineStr">
        <is>
          <t>Darshan Balu Gade (1031095)</t>
        </is>
      </c>
      <c r="B114" s="15" t="inlineStr">
        <is>
          <t>Thursday, 23 November 2023</t>
        </is>
      </c>
      <c r="C114" s="15" t="inlineStr">
        <is>
          <t>Thursday, 23 November 2023</t>
        </is>
      </c>
      <c r="D114" t="inlineStr">
        <is>
          <t xml:space="preserve">Casual / Sick </t>
        </is>
      </c>
      <c r="E114" t="n">
        <v>1</v>
      </c>
      <c r="F114" s="1" t="n"/>
      <c r="G114" s="1" t="n"/>
      <c r="H114">
        <f>IF(T_LEAVE[[#This Row],[EMPLOYEE]]="","",MATCH(T_LEAVE[[#This Row],[EMPLOYEE]],L_EMPLABELS,0))</f>
        <v/>
      </c>
      <c r="I114">
        <f>IF(T_LEAVE[[#This Row],[EMPLOYEE]]="","",MATCH(T_LEAVE[[#This Row],[LEAVE TYPE]],L_LEAVETYPES,0))</f>
        <v/>
      </c>
      <c r="J114">
        <f t="array" ref="J114">IFERROR(INDEX(T_LEAVE_TYPES[SYMBOL],T_LEAVE[[#This Row],[LEAVE TYPE SYS ID]]),"")</f>
        <v/>
      </c>
      <c r="K114">
        <f>IF(T_LEAVE[[#This Row],[EMPLOYEE]]="","",IF(T_LEAVE[[#This Row],[ERROR]]="",0,1))</f>
        <v/>
      </c>
      <c r="L114">
        <f t="array" ref="L1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5">
      <c r="A115" t="inlineStr">
        <is>
          <t>D Malar Vizhi (1021304)</t>
        </is>
      </c>
      <c r="B115" s="15" t="inlineStr">
        <is>
          <t>Tuesday, 21 November 2023</t>
        </is>
      </c>
      <c r="C115" s="15" t="inlineStr">
        <is>
          <t>Tuesday, 21 November 2023</t>
        </is>
      </c>
      <c r="D115" t="inlineStr">
        <is>
          <t>Privilege</t>
        </is>
      </c>
      <c r="E115" t="n">
        <v>1</v>
      </c>
      <c r="F115" s="1" t="n"/>
      <c r="G115" s="1" t="n"/>
      <c r="H115">
        <f>IF(T_LEAVE[[#This Row],[EMPLOYEE]]="","",MATCH(T_LEAVE[[#This Row],[EMPLOYEE]],L_EMPLABELS,0))</f>
        <v/>
      </c>
      <c r="I115">
        <f>IF(T_LEAVE[[#This Row],[EMPLOYEE]]="","",MATCH(T_LEAVE[[#This Row],[LEAVE TYPE]],L_LEAVETYPES,0))</f>
        <v/>
      </c>
      <c r="J115">
        <f t="array" ref="J115">IFERROR(INDEX(T_LEAVE_TYPES[SYMBOL],T_LEAVE[[#This Row],[LEAVE TYPE SYS ID]]),"")</f>
        <v/>
      </c>
      <c r="K115">
        <f>IF(T_LEAVE[[#This Row],[EMPLOYEE]]="","",IF(T_LEAVE[[#This Row],[ERROR]]="",0,1))</f>
        <v/>
      </c>
      <c r="L115">
        <f t="array" ref="L1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6">
      <c r="A116" t="inlineStr">
        <is>
          <t>Gaurav Jha (1030908)</t>
        </is>
      </c>
      <c r="B116" s="15" t="inlineStr">
        <is>
          <t>Friday, 17 November 2023</t>
        </is>
      </c>
      <c r="C116" s="15" t="inlineStr">
        <is>
          <t>Friday, 17 November 2023</t>
        </is>
      </c>
      <c r="D116" t="inlineStr">
        <is>
          <t xml:space="preserve">Casual / Sick </t>
        </is>
      </c>
      <c r="E116" t="n">
        <v>1</v>
      </c>
      <c r="F116" s="1" t="n"/>
      <c r="G116" s="1" t="n"/>
      <c r="H116">
        <f>IF(T_LEAVE[[#This Row],[EMPLOYEE]]="","",MATCH(T_LEAVE[[#This Row],[EMPLOYEE]],L_EMPLABELS,0))</f>
        <v/>
      </c>
      <c r="I116">
        <f>IF(T_LEAVE[[#This Row],[EMPLOYEE]]="","",MATCH(T_LEAVE[[#This Row],[LEAVE TYPE]],L_LEAVETYPES,0))</f>
        <v/>
      </c>
      <c r="J116">
        <f t="array" ref="J116">IFERROR(INDEX(T_LEAVE_TYPES[SYMBOL],T_LEAVE[[#This Row],[LEAVE TYPE SYS ID]]),"")</f>
        <v/>
      </c>
      <c r="K116">
        <f>IF(T_LEAVE[[#This Row],[EMPLOYEE]]="","",IF(T_LEAVE[[#This Row],[ERROR]]="",0,1))</f>
        <v/>
      </c>
      <c r="L116">
        <f t="array" ref="L1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7">
      <c r="A117" t="inlineStr">
        <is>
          <t>Archana  R P (1031768)</t>
        </is>
      </c>
      <c r="B117" s="15" t="inlineStr">
        <is>
          <t>Monday, 03 July 2023</t>
        </is>
      </c>
      <c r="C117" s="15" t="inlineStr">
        <is>
          <t>Monday, 03 July 2023</t>
        </is>
      </c>
      <c r="D117" t="inlineStr">
        <is>
          <t xml:space="preserve">Casual / Sick </t>
        </is>
      </c>
      <c r="E117" t="n">
        <v>1</v>
      </c>
      <c r="F117" s="1" t="n"/>
      <c r="G117" s="1" t="n"/>
      <c r="H117">
        <f>IF(T_LEAVE[[#This Row],[EMPLOYEE]]="","",MATCH(T_LEAVE[[#This Row],[EMPLOYEE]],L_EMPLABELS,0))</f>
        <v/>
      </c>
      <c r="I117">
        <f>IF(T_LEAVE[[#This Row],[EMPLOYEE]]="","",MATCH(T_LEAVE[[#This Row],[LEAVE TYPE]],L_LEAVETYPES,0))</f>
        <v/>
      </c>
      <c r="J117">
        <f t="array" ref="J117">IFERROR(INDEX(T_LEAVE_TYPES[SYMBOL],T_LEAVE[[#This Row],[LEAVE TYPE SYS ID]]),"")</f>
        <v/>
      </c>
      <c r="K117">
        <f>IF(T_LEAVE[[#This Row],[EMPLOYEE]]="","",IF(T_LEAVE[[#This Row],[ERROR]]="",0,1))</f>
        <v/>
      </c>
      <c r="L117">
        <f t="array" ref="L1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8">
      <c r="A118" t="inlineStr">
        <is>
          <t>Veera Satya Kishore Swamy Allaka (1029895)</t>
        </is>
      </c>
      <c r="B118" s="15" t="inlineStr">
        <is>
          <t>Friday, 17 November 2023</t>
        </is>
      </c>
      <c r="C118" s="15" t="inlineStr">
        <is>
          <t>Friday, 17 November 2023</t>
        </is>
      </c>
      <c r="D118" t="inlineStr">
        <is>
          <t xml:space="preserve">Casual / Sick </t>
        </is>
      </c>
      <c r="E118" t="n">
        <v>1</v>
      </c>
      <c r="F118" s="1" t="n"/>
      <c r="G118" s="1" t="n"/>
      <c r="H118">
        <f>IF(T_LEAVE[[#This Row],[EMPLOYEE]]="","",MATCH(T_LEAVE[[#This Row],[EMPLOYEE]],L_EMPLABELS,0))</f>
        <v/>
      </c>
      <c r="I118">
        <f>IF(T_LEAVE[[#This Row],[EMPLOYEE]]="","",MATCH(T_LEAVE[[#This Row],[LEAVE TYPE]],L_LEAVETYPES,0))</f>
        <v/>
      </c>
      <c r="J118">
        <f t="array" ref="J118">IFERROR(INDEX(T_LEAVE_TYPES[SYMBOL],T_LEAVE[[#This Row],[LEAVE TYPE SYS ID]]),"")</f>
        <v/>
      </c>
      <c r="K118">
        <f>IF(T_LEAVE[[#This Row],[EMPLOYEE]]="","",IF(T_LEAVE[[#This Row],[ERROR]]="",0,1))</f>
        <v/>
      </c>
      <c r="L118">
        <f t="array" ref="L1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19">
      <c r="A119" t="inlineStr">
        <is>
          <t>Katakam Vijaykumar (1017149)</t>
        </is>
      </c>
      <c r="B119" s="15" t="inlineStr">
        <is>
          <t>Friday, 03 June 2022</t>
        </is>
      </c>
      <c r="C119" s="15" t="inlineStr">
        <is>
          <t>Friday, 03 June 2022</t>
        </is>
      </c>
      <c r="D119" t="inlineStr">
        <is>
          <t>Privilege</t>
        </is>
      </c>
      <c r="E119" t="n">
        <v>1</v>
      </c>
      <c r="F119" s="1" t="n"/>
      <c r="G119" s="1" t="n"/>
      <c r="H119">
        <f>IF(T_LEAVE[[#This Row],[EMPLOYEE]]="","",MATCH(T_LEAVE[[#This Row],[EMPLOYEE]],L_EMPLABELS,0))</f>
        <v/>
      </c>
      <c r="I119">
        <f>IF(T_LEAVE[[#This Row],[EMPLOYEE]]="","",MATCH(T_LEAVE[[#This Row],[LEAVE TYPE]],L_LEAVETYPES,0))</f>
        <v/>
      </c>
      <c r="J119">
        <f t="array" ref="J119">IFERROR(INDEX(T_LEAVE_TYPES[SYMBOL],T_LEAVE[[#This Row],[LEAVE TYPE SYS ID]]),"")</f>
        <v/>
      </c>
      <c r="K119">
        <f>IF(T_LEAVE[[#This Row],[EMPLOYEE]]="","",IF(T_LEAVE[[#This Row],[ERROR]]="",0,1))</f>
        <v/>
      </c>
      <c r="L119">
        <f t="array" ref="L1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0">
      <c r="A120" t="inlineStr">
        <is>
          <t>Ankit Sanjayrao Itankar (1031068)</t>
        </is>
      </c>
      <c r="B120" s="15" t="inlineStr">
        <is>
          <t>Friday, 03 November 2023</t>
        </is>
      </c>
      <c r="C120" s="15" t="inlineStr">
        <is>
          <t>Friday, 03 November 2023</t>
        </is>
      </c>
      <c r="D120" t="inlineStr">
        <is>
          <t xml:space="preserve">Casual / Sick </t>
        </is>
      </c>
      <c r="E120" t="n">
        <v>1</v>
      </c>
      <c r="F120" s="1" t="n"/>
      <c r="G120" s="1" t="n"/>
      <c r="H120">
        <f>IF(T_LEAVE[[#This Row],[EMPLOYEE]]="","",MATCH(T_LEAVE[[#This Row],[EMPLOYEE]],L_EMPLABELS,0))</f>
        <v/>
      </c>
      <c r="I120">
        <f>IF(T_LEAVE[[#This Row],[EMPLOYEE]]="","",MATCH(T_LEAVE[[#This Row],[LEAVE TYPE]],L_LEAVETYPES,0))</f>
        <v/>
      </c>
      <c r="J120">
        <f t="array" ref="J120">IFERROR(INDEX(T_LEAVE_TYPES[SYMBOL],T_LEAVE[[#This Row],[LEAVE TYPE SYS ID]]),"")</f>
        <v/>
      </c>
      <c r="K120">
        <f>IF(T_LEAVE[[#This Row],[EMPLOYEE]]="","",IF(T_LEAVE[[#This Row],[ERROR]]="",0,1))</f>
        <v/>
      </c>
      <c r="L120">
        <f t="array" ref="L1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1">
      <c r="A121" t="inlineStr">
        <is>
          <t>Madhusmita Das (1028452)</t>
        </is>
      </c>
      <c r="B121" s="15" t="inlineStr">
        <is>
          <t>Tuesday, 21 November 2023</t>
        </is>
      </c>
      <c r="C121" s="15" t="inlineStr">
        <is>
          <t>Wednesday, 20 December 2023</t>
        </is>
      </c>
      <c r="D121" t="inlineStr">
        <is>
          <t>Privilege</t>
        </is>
      </c>
      <c r="E121" t="n">
        <v>22</v>
      </c>
      <c r="F121" s="1" t="n"/>
      <c r="G121" s="1" t="n"/>
      <c r="H121">
        <f>IF(T_LEAVE[[#This Row],[EMPLOYEE]]="","",MATCH(T_LEAVE[[#This Row],[EMPLOYEE]],L_EMPLABELS,0))</f>
        <v/>
      </c>
      <c r="I121">
        <f>IF(T_LEAVE[[#This Row],[EMPLOYEE]]="","",MATCH(T_LEAVE[[#This Row],[LEAVE TYPE]],L_LEAVETYPES,0))</f>
        <v/>
      </c>
      <c r="J121">
        <f t="array" ref="J121">IFERROR(INDEX(T_LEAVE_TYPES[SYMBOL],T_LEAVE[[#This Row],[LEAVE TYPE SYS ID]]),"")</f>
        <v/>
      </c>
      <c r="K121">
        <f>IF(T_LEAVE[[#This Row],[EMPLOYEE]]="","",IF(T_LEAVE[[#This Row],[ERROR]]="",0,1))</f>
        <v/>
      </c>
      <c r="L121">
        <f t="array" ref="L1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2">
      <c r="A122" t="inlineStr">
        <is>
          <t>Archana  R P (1031768)</t>
        </is>
      </c>
      <c r="B122" s="15" t="inlineStr">
        <is>
          <t>Friday, 05 May 2023</t>
        </is>
      </c>
      <c r="C122" s="15" t="inlineStr">
        <is>
          <t>Monday, 08 May 2023</t>
        </is>
      </c>
      <c r="D122" t="inlineStr">
        <is>
          <t xml:space="preserve">Casual / Sick </t>
        </is>
      </c>
      <c r="E122" t="n">
        <v>2</v>
      </c>
      <c r="F122" s="1" t="n"/>
      <c r="G122" s="1" t="n"/>
      <c r="H122">
        <f>IF(T_LEAVE[[#This Row],[EMPLOYEE]]="","",MATCH(T_LEAVE[[#This Row],[EMPLOYEE]],L_EMPLABELS,0))</f>
        <v/>
      </c>
      <c r="I122">
        <f>IF(T_LEAVE[[#This Row],[EMPLOYEE]]="","",MATCH(T_LEAVE[[#This Row],[LEAVE TYPE]],L_LEAVETYPES,0))</f>
        <v/>
      </c>
      <c r="J122">
        <f t="array" ref="J122">IFERROR(INDEX(T_LEAVE_TYPES[SYMBOL],T_LEAVE[[#This Row],[LEAVE TYPE SYS ID]]),"")</f>
        <v/>
      </c>
      <c r="K122">
        <f>IF(T_LEAVE[[#This Row],[EMPLOYEE]]="","",IF(T_LEAVE[[#This Row],[ERROR]]="",0,1))</f>
        <v/>
      </c>
      <c r="L122">
        <f t="array" ref="L1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3">
      <c r="A123" t="inlineStr">
        <is>
          <t>Baratam  Ashish (1027410)</t>
        </is>
      </c>
      <c r="B123" s="15" t="inlineStr">
        <is>
          <t>Friday, 22 December 2023</t>
        </is>
      </c>
      <c r="C123" s="15" t="inlineStr">
        <is>
          <t>Friday, 22 December 2023</t>
        </is>
      </c>
      <c r="D123" t="inlineStr">
        <is>
          <t xml:space="preserve">Casual / Sick </t>
        </is>
      </c>
      <c r="E123" t="n">
        <v>1</v>
      </c>
      <c r="F123" s="1" t="n"/>
      <c r="G123" s="1" t="n"/>
      <c r="H123">
        <f>IF(T_LEAVE[[#This Row],[EMPLOYEE]]="","",MATCH(T_LEAVE[[#This Row],[EMPLOYEE]],L_EMPLABELS,0))</f>
        <v/>
      </c>
      <c r="I123">
        <f>IF(T_LEAVE[[#This Row],[EMPLOYEE]]="","",MATCH(T_LEAVE[[#This Row],[LEAVE TYPE]],L_LEAVETYPES,0))</f>
        <v/>
      </c>
      <c r="J123">
        <f t="array" ref="J123">IFERROR(INDEX(T_LEAVE_TYPES[SYMBOL],T_LEAVE[[#This Row],[LEAVE TYPE SYS ID]]),"")</f>
        <v/>
      </c>
      <c r="K123">
        <f>IF(T_LEAVE[[#This Row],[EMPLOYEE]]="","",IF(T_LEAVE[[#This Row],[ERROR]]="",0,1))</f>
        <v/>
      </c>
      <c r="L123">
        <f t="array" ref="L1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4">
      <c r="A124" t="inlineStr">
        <is>
          <t>Saurabh Rajendra Kadam (1031040)</t>
        </is>
      </c>
      <c r="B124" s="15" t="inlineStr">
        <is>
          <t>Thursday, 16 November 2023</t>
        </is>
      </c>
      <c r="C124" s="15" t="inlineStr">
        <is>
          <t>Thursday, 16 November 2023</t>
        </is>
      </c>
      <c r="D124" t="inlineStr">
        <is>
          <t xml:space="preserve">Casual / Sick </t>
        </is>
      </c>
      <c r="E124" t="n">
        <v>1</v>
      </c>
      <c r="F124" s="1" t="n"/>
      <c r="G124" s="1" t="n"/>
      <c r="H124">
        <f>IF(T_LEAVE[[#This Row],[EMPLOYEE]]="","",MATCH(T_LEAVE[[#This Row],[EMPLOYEE]],L_EMPLABELS,0))</f>
        <v/>
      </c>
      <c r="I124">
        <f>IF(T_LEAVE[[#This Row],[EMPLOYEE]]="","",MATCH(T_LEAVE[[#This Row],[LEAVE TYPE]],L_LEAVETYPES,0))</f>
        <v/>
      </c>
      <c r="J124">
        <f t="array" ref="J124">IFERROR(INDEX(T_LEAVE_TYPES[SYMBOL],T_LEAVE[[#This Row],[LEAVE TYPE SYS ID]]),"")</f>
        <v/>
      </c>
      <c r="K124">
        <f>IF(T_LEAVE[[#This Row],[EMPLOYEE]]="","",IF(T_LEAVE[[#This Row],[ERROR]]="",0,1))</f>
        <v/>
      </c>
      <c r="L124">
        <f t="array" ref="L1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5">
      <c r="A125" t="inlineStr">
        <is>
          <t>Baratam  Ashish (1027410)</t>
        </is>
      </c>
      <c r="B125" s="15" t="inlineStr">
        <is>
          <t>Monday, 23 October 2023</t>
        </is>
      </c>
      <c r="C125" s="15" t="inlineStr">
        <is>
          <t>Monday, 23 October 2023</t>
        </is>
      </c>
      <c r="D125" t="inlineStr">
        <is>
          <t xml:space="preserve">Casual / Sick </t>
        </is>
      </c>
      <c r="E125" t="n">
        <v>1</v>
      </c>
      <c r="F125" s="1" t="n"/>
      <c r="G125" s="1" t="n"/>
      <c r="H125">
        <f>IF(T_LEAVE[[#This Row],[EMPLOYEE]]="","",MATCH(T_LEAVE[[#This Row],[EMPLOYEE]],L_EMPLABELS,0))</f>
        <v/>
      </c>
      <c r="I125">
        <f>IF(T_LEAVE[[#This Row],[EMPLOYEE]]="","",MATCH(T_LEAVE[[#This Row],[LEAVE TYPE]],L_LEAVETYPES,0))</f>
        <v/>
      </c>
      <c r="J125">
        <f t="array" ref="J125">IFERROR(INDEX(T_LEAVE_TYPES[SYMBOL],T_LEAVE[[#This Row],[LEAVE TYPE SYS ID]]),"")</f>
        <v/>
      </c>
      <c r="K125">
        <f>IF(T_LEAVE[[#This Row],[EMPLOYEE]]="","",IF(T_LEAVE[[#This Row],[ERROR]]="",0,1))</f>
        <v/>
      </c>
      <c r="L125">
        <f t="array" ref="L1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6">
      <c r="A126" t="inlineStr">
        <is>
          <t>Ankit Sanjayrao Itankar (1031068)</t>
        </is>
      </c>
      <c r="B126" s="15" t="inlineStr">
        <is>
          <t>Monday, 20 November 2023</t>
        </is>
      </c>
      <c r="C126" s="15" t="inlineStr">
        <is>
          <t>Monday, 20 November 2023</t>
        </is>
      </c>
      <c r="D126" t="inlineStr">
        <is>
          <t>Privilege</t>
        </is>
      </c>
      <c r="E126" t="n">
        <v>1</v>
      </c>
      <c r="F126" s="1" t="n"/>
      <c r="G126" s="1" t="n"/>
      <c r="H126">
        <f>IF(T_LEAVE[[#This Row],[EMPLOYEE]]="","",MATCH(T_LEAVE[[#This Row],[EMPLOYEE]],L_EMPLABELS,0))</f>
        <v/>
      </c>
      <c r="I126">
        <f>IF(T_LEAVE[[#This Row],[EMPLOYEE]]="","",MATCH(T_LEAVE[[#This Row],[LEAVE TYPE]],L_LEAVETYPES,0))</f>
        <v/>
      </c>
      <c r="J126">
        <f t="array" ref="J126">IFERROR(INDEX(T_LEAVE_TYPES[SYMBOL],T_LEAVE[[#This Row],[LEAVE TYPE SYS ID]]),"")</f>
        <v/>
      </c>
      <c r="K126">
        <f>IF(T_LEAVE[[#This Row],[EMPLOYEE]]="","",IF(T_LEAVE[[#This Row],[ERROR]]="",0,1))</f>
        <v/>
      </c>
      <c r="L126">
        <f t="array" ref="L1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7">
      <c r="A127" t="inlineStr">
        <is>
          <t>Atluri Priyanka (1030243)</t>
        </is>
      </c>
      <c r="B127" s="15" t="inlineStr">
        <is>
          <t>Friday, 10 November 2023</t>
        </is>
      </c>
      <c r="C127" s="15" t="inlineStr">
        <is>
          <t>Friday, 10 November 2023</t>
        </is>
      </c>
      <c r="D127" t="inlineStr">
        <is>
          <t xml:space="preserve">Casual / Sick </t>
        </is>
      </c>
      <c r="E127" t="n">
        <v>1</v>
      </c>
      <c r="F127" s="1" t="n"/>
      <c r="G127" s="1" t="n"/>
      <c r="H127">
        <f>IF(T_LEAVE[[#This Row],[EMPLOYEE]]="","",MATCH(T_LEAVE[[#This Row],[EMPLOYEE]],L_EMPLABELS,0))</f>
        <v/>
      </c>
      <c r="I127">
        <f>IF(T_LEAVE[[#This Row],[EMPLOYEE]]="","",MATCH(T_LEAVE[[#This Row],[LEAVE TYPE]],L_LEAVETYPES,0))</f>
        <v/>
      </c>
      <c r="J127">
        <f t="array" ref="J127">IFERROR(INDEX(T_LEAVE_TYPES[SYMBOL],T_LEAVE[[#This Row],[LEAVE TYPE SYS ID]]),"")</f>
        <v/>
      </c>
      <c r="K127">
        <f>IF(T_LEAVE[[#This Row],[EMPLOYEE]]="","",IF(T_LEAVE[[#This Row],[ERROR]]="",0,1))</f>
        <v/>
      </c>
      <c r="L127">
        <f t="array" ref="L1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8">
      <c r="A128" t="inlineStr">
        <is>
          <t>Baratam  Ashish (1027410)</t>
        </is>
      </c>
      <c r="B128" s="15" t="inlineStr">
        <is>
          <t>Thursday, 02 November 2023</t>
        </is>
      </c>
      <c r="C128" s="15" t="inlineStr">
        <is>
          <t>Friday, 03 November 2023</t>
        </is>
      </c>
      <c r="D128" t="inlineStr">
        <is>
          <t xml:space="preserve">Casual / Sick </t>
        </is>
      </c>
      <c r="E128" t="n">
        <v>2</v>
      </c>
      <c r="F128" s="1" t="n"/>
      <c r="G128" s="1" t="n"/>
      <c r="H128">
        <f>IF(T_LEAVE[[#This Row],[EMPLOYEE]]="","",MATCH(T_LEAVE[[#This Row],[EMPLOYEE]],L_EMPLABELS,0))</f>
        <v/>
      </c>
      <c r="I128">
        <f>IF(T_LEAVE[[#This Row],[EMPLOYEE]]="","",MATCH(T_LEAVE[[#This Row],[LEAVE TYPE]],L_LEAVETYPES,0))</f>
        <v/>
      </c>
      <c r="J128">
        <f t="array" ref="J128">IFERROR(INDEX(T_LEAVE_TYPES[SYMBOL],T_LEAVE[[#This Row],[LEAVE TYPE SYS ID]]),"")</f>
        <v/>
      </c>
      <c r="K128">
        <f>IF(T_LEAVE[[#This Row],[EMPLOYEE]]="","",IF(T_LEAVE[[#This Row],[ERROR]]="",0,1))</f>
        <v/>
      </c>
      <c r="L128">
        <f t="array" ref="L1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29">
      <c r="A129" t="inlineStr">
        <is>
          <t>Bhagyashree Patil (1030253)</t>
        </is>
      </c>
      <c r="B129" s="15" t="inlineStr">
        <is>
          <t>Wednesday, 15 November 2023</t>
        </is>
      </c>
      <c r="C129" s="15" t="inlineStr">
        <is>
          <t>Wednesday, 15 November 2023</t>
        </is>
      </c>
      <c r="D129" t="inlineStr">
        <is>
          <t xml:space="preserve">Casual / Sick </t>
        </is>
      </c>
      <c r="E129" t="n">
        <v>1</v>
      </c>
      <c r="F129" s="1" t="n"/>
      <c r="G129" s="1" t="n"/>
      <c r="H129">
        <f>IF(T_LEAVE[[#This Row],[EMPLOYEE]]="","",MATCH(T_LEAVE[[#This Row],[EMPLOYEE]],L_EMPLABELS,0))</f>
        <v/>
      </c>
      <c r="I129">
        <f>IF(T_LEAVE[[#This Row],[EMPLOYEE]]="","",MATCH(T_LEAVE[[#This Row],[LEAVE TYPE]],L_LEAVETYPES,0))</f>
        <v/>
      </c>
      <c r="J129">
        <f t="array" ref="J129">IFERROR(INDEX(T_LEAVE_TYPES[SYMBOL],T_LEAVE[[#This Row],[LEAVE TYPE SYS ID]]),"")</f>
        <v/>
      </c>
      <c r="K129">
        <f>IF(T_LEAVE[[#This Row],[EMPLOYEE]]="","",IF(T_LEAVE[[#This Row],[ERROR]]="",0,1))</f>
        <v/>
      </c>
      <c r="L129">
        <f t="array" ref="L1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0">
      <c r="A130" t="inlineStr">
        <is>
          <t>Bhagyashree Patil (1030253)</t>
        </is>
      </c>
      <c r="B130" s="15" t="inlineStr">
        <is>
          <t>Friday, 10 November 2023</t>
        </is>
      </c>
      <c r="C130" s="15" t="inlineStr">
        <is>
          <t>Friday, 10 November 2023</t>
        </is>
      </c>
      <c r="D130" t="inlineStr">
        <is>
          <t xml:space="preserve">Casual / Sick </t>
        </is>
      </c>
      <c r="E130" t="n">
        <v>1</v>
      </c>
      <c r="F130" s="1" t="n"/>
      <c r="G130" s="1" t="n"/>
      <c r="H130">
        <f>IF(T_LEAVE[[#This Row],[EMPLOYEE]]="","",MATCH(T_LEAVE[[#This Row],[EMPLOYEE]],L_EMPLABELS,0))</f>
        <v/>
      </c>
      <c r="I130">
        <f>IF(T_LEAVE[[#This Row],[EMPLOYEE]]="","",MATCH(T_LEAVE[[#This Row],[LEAVE TYPE]],L_LEAVETYPES,0))</f>
        <v/>
      </c>
      <c r="J130">
        <f t="array" ref="J130">IFERROR(INDEX(T_LEAVE_TYPES[SYMBOL],T_LEAVE[[#This Row],[LEAVE TYPE SYS ID]]),"")</f>
        <v/>
      </c>
      <c r="K130">
        <f>IF(T_LEAVE[[#This Row],[EMPLOYEE]]="","",IF(T_LEAVE[[#This Row],[ERROR]]="",0,1))</f>
        <v/>
      </c>
      <c r="L130">
        <f t="array" ref="L1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1">
      <c r="A131" t="inlineStr">
        <is>
          <t>Poola Partha Saradhi (1030911)</t>
        </is>
      </c>
      <c r="B131" s="15" t="inlineStr">
        <is>
          <t>Wednesday, 15 November 2023</t>
        </is>
      </c>
      <c r="C131" s="15" t="inlineStr">
        <is>
          <t>Wednesday, 15 November 2023</t>
        </is>
      </c>
      <c r="D131" t="inlineStr">
        <is>
          <t xml:space="preserve">Casual / Sick </t>
        </is>
      </c>
      <c r="E131" t="n">
        <v>1</v>
      </c>
      <c r="F131" s="1" t="n"/>
      <c r="G131" s="1" t="n"/>
      <c r="H131">
        <f>IF(T_LEAVE[[#This Row],[EMPLOYEE]]="","",MATCH(T_LEAVE[[#This Row],[EMPLOYEE]],L_EMPLABELS,0))</f>
        <v/>
      </c>
      <c r="I131">
        <f>IF(T_LEAVE[[#This Row],[EMPLOYEE]]="","",MATCH(T_LEAVE[[#This Row],[LEAVE TYPE]],L_LEAVETYPES,0))</f>
        <v/>
      </c>
      <c r="J131">
        <f t="array" ref="J131">IFERROR(INDEX(T_LEAVE_TYPES[SYMBOL],T_LEAVE[[#This Row],[LEAVE TYPE SYS ID]]),"")</f>
        <v/>
      </c>
      <c r="K131">
        <f>IF(T_LEAVE[[#This Row],[EMPLOYEE]]="","",IF(T_LEAVE[[#This Row],[ERROR]]="",0,1))</f>
        <v/>
      </c>
      <c r="L131">
        <f t="array" ref="L1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2">
      <c r="A132" t="inlineStr">
        <is>
          <t>Gaurav Sharma (1029867)</t>
        </is>
      </c>
      <c r="B132" s="15" t="inlineStr">
        <is>
          <t>Monday, 20 November 2023</t>
        </is>
      </c>
      <c r="C132" s="15" t="inlineStr">
        <is>
          <t>Friday, 24 November 2023</t>
        </is>
      </c>
      <c r="D132" t="inlineStr">
        <is>
          <t xml:space="preserve">Casual / Sick </t>
        </is>
      </c>
      <c r="E132" t="n">
        <v>5</v>
      </c>
      <c r="F132" s="1" t="n"/>
      <c r="G132" s="1" t="n"/>
      <c r="H132">
        <f>IF(T_LEAVE[[#This Row],[EMPLOYEE]]="","",MATCH(T_LEAVE[[#This Row],[EMPLOYEE]],L_EMPLABELS,0))</f>
        <v/>
      </c>
      <c r="I132">
        <f>IF(T_LEAVE[[#This Row],[EMPLOYEE]]="","",MATCH(T_LEAVE[[#This Row],[LEAVE TYPE]],L_LEAVETYPES,0))</f>
        <v/>
      </c>
      <c r="J132">
        <f t="array" ref="J132">IFERROR(INDEX(T_LEAVE_TYPES[SYMBOL],T_LEAVE[[#This Row],[LEAVE TYPE SYS ID]]),"")</f>
        <v/>
      </c>
      <c r="K132">
        <f>IF(T_LEAVE[[#This Row],[EMPLOYEE]]="","",IF(T_LEAVE[[#This Row],[ERROR]]="",0,1))</f>
        <v/>
      </c>
      <c r="L132">
        <f t="array" ref="L1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3">
      <c r="A133" t="inlineStr">
        <is>
          <t>Nikhil Balaji Agwane (1031086)</t>
        </is>
      </c>
      <c r="B133" s="15" t="inlineStr">
        <is>
          <t>Friday, 17 November 2023</t>
        </is>
      </c>
      <c r="C133" s="15" t="inlineStr">
        <is>
          <t>Friday, 17 November 2023</t>
        </is>
      </c>
      <c r="D133" t="inlineStr">
        <is>
          <t xml:space="preserve">Casual / Sick </t>
        </is>
      </c>
      <c r="E133" t="n">
        <v>1</v>
      </c>
      <c r="F133" s="1" t="n"/>
      <c r="G133" s="1" t="n"/>
      <c r="H133">
        <f>IF(T_LEAVE[[#This Row],[EMPLOYEE]]="","",MATCH(T_LEAVE[[#This Row],[EMPLOYEE]],L_EMPLABELS,0))</f>
        <v/>
      </c>
      <c r="I133">
        <f>IF(T_LEAVE[[#This Row],[EMPLOYEE]]="","",MATCH(T_LEAVE[[#This Row],[LEAVE TYPE]],L_LEAVETYPES,0))</f>
        <v/>
      </c>
      <c r="J133">
        <f t="array" ref="J133">IFERROR(INDEX(T_LEAVE_TYPES[SYMBOL],T_LEAVE[[#This Row],[LEAVE TYPE SYS ID]]),"")</f>
        <v/>
      </c>
      <c r="K133">
        <f>IF(T_LEAVE[[#This Row],[EMPLOYEE]]="","",IF(T_LEAVE[[#This Row],[ERROR]]="",0,1))</f>
        <v/>
      </c>
      <c r="L133">
        <f t="array" ref="L1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4">
      <c r="A134" t="inlineStr">
        <is>
          <t>Ojasvi Gulabrao Hedau (1031087)</t>
        </is>
      </c>
      <c r="B134" s="15" t="inlineStr">
        <is>
          <t>Friday, 17 November 2023</t>
        </is>
      </c>
      <c r="C134" s="15" t="inlineStr">
        <is>
          <t>Friday, 17 November 2023</t>
        </is>
      </c>
      <c r="D134" t="inlineStr">
        <is>
          <t xml:space="preserve">Casual / Sick </t>
        </is>
      </c>
      <c r="E134" t="n">
        <v>1</v>
      </c>
      <c r="F134" s="1" t="n"/>
      <c r="G134" s="1" t="n"/>
      <c r="H134">
        <f>IF(T_LEAVE[[#This Row],[EMPLOYEE]]="","",MATCH(T_LEAVE[[#This Row],[EMPLOYEE]],L_EMPLABELS,0))</f>
        <v/>
      </c>
      <c r="I134">
        <f>IF(T_LEAVE[[#This Row],[EMPLOYEE]]="","",MATCH(T_LEAVE[[#This Row],[LEAVE TYPE]],L_LEAVETYPES,0))</f>
        <v/>
      </c>
      <c r="J134">
        <f t="array" ref="J134">IFERROR(INDEX(T_LEAVE_TYPES[SYMBOL],T_LEAVE[[#This Row],[LEAVE TYPE SYS ID]]),"")</f>
        <v/>
      </c>
      <c r="K134">
        <f>IF(T_LEAVE[[#This Row],[EMPLOYEE]]="","",IF(T_LEAVE[[#This Row],[ERROR]]="",0,1))</f>
        <v/>
      </c>
      <c r="L134">
        <f t="array" ref="L1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5">
      <c r="A135" t="inlineStr">
        <is>
          <t>Mitesh Malviya (1031067)</t>
        </is>
      </c>
      <c r="B135" s="15" t="inlineStr">
        <is>
          <t>Monday, 20 November 2023</t>
        </is>
      </c>
      <c r="C135" s="15" t="inlineStr">
        <is>
          <t>Tuesday, 21 November 2023</t>
        </is>
      </c>
      <c r="D135" t="inlineStr">
        <is>
          <t>Privilege</t>
        </is>
      </c>
      <c r="E135" t="n">
        <v>2</v>
      </c>
      <c r="F135" s="1" t="n"/>
      <c r="G135" s="1" t="n"/>
      <c r="H135">
        <f>IF(T_LEAVE[[#This Row],[EMPLOYEE]]="","",MATCH(T_LEAVE[[#This Row],[EMPLOYEE]],L_EMPLABELS,0))</f>
        <v/>
      </c>
      <c r="I135">
        <f>IF(T_LEAVE[[#This Row],[EMPLOYEE]]="","",MATCH(T_LEAVE[[#This Row],[LEAVE TYPE]],L_LEAVETYPES,0))</f>
        <v/>
      </c>
      <c r="J135">
        <f t="array" ref="J135">IFERROR(INDEX(T_LEAVE_TYPES[SYMBOL],T_LEAVE[[#This Row],[LEAVE TYPE SYS ID]]),"")</f>
        <v/>
      </c>
      <c r="K135">
        <f>IF(T_LEAVE[[#This Row],[EMPLOYEE]]="","",IF(T_LEAVE[[#This Row],[ERROR]]="",0,1))</f>
        <v/>
      </c>
      <c r="L135">
        <f t="array" ref="L1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6">
      <c r="A136" t="inlineStr">
        <is>
          <t>Darshan Balu Gade (1031095)</t>
        </is>
      </c>
      <c r="B136" s="15" t="inlineStr">
        <is>
          <t>Friday, 17 November 2023</t>
        </is>
      </c>
      <c r="C136" s="15" t="inlineStr">
        <is>
          <t>Friday, 17 November 2023</t>
        </is>
      </c>
      <c r="D136" t="inlineStr">
        <is>
          <t xml:space="preserve">Casual / Sick </t>
        </is>
      </c>
      <c r="E136" t="n">
        <v>1</v>
      </c>
      <c r="F136" s="1" t="n"/>
      <c r="G136" s="1" t="n"/>
      <c r="H136">
        <f>IF(T_LEAVE[[#This Row],[EMPLOYEE]]="","",MATCH(T_LEAVE[[#This Row],[EMPLOYEE]],L_EMPLABELS,0))</f>
        <v/>
      </c>
      <c r="I136">
        <f>IF(T_LEAVE[[#This Row],[EMPLOYEE]]="","",MATCH(T_LEAVE[[#This Row],[LEAVE TYPE]],L_LEAVETYPES,0))</f>
        <v/>
      </c>
      <c r="J136">
        <f t="array" ref="J136">IFERROR(INDEX(T_LEAVE_TYPES[SYMBOL],T_LEAVE[[#This Row],[LEAVE TYPE SYS ID]]),"")</f>
        <v/>
      </c>
      <c r="K136">
        <f>IF(T_LEAVE[[#This Row],[EMPLOYEE]]="","",IF(T_LEAVE[[#This Row],[ERROR]]="",0,1))</f>
        <v/>
      </c>
      <c r="L136">
        <f t="array" ref="L1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7">
      <c r="A137" t="inlineStr">
        <is>
          <t>D Malar Vizhi (1021304)</t>
        </is>
      </c>
      <c r="B137" s="15" t="inlineStr">
        <is>
          <t>Monday, 11 September 2023</t>
        </is>
      </c>
      <c r="C137" s="15" t="inlineStr">
        <is>
          <t>Monday, 11 September 2023</t>
        </is>
      </c>
      <c r="D137" t="inlineStr">
        <is>
          <t>Privilege</t>
        </is>
      </c>
      <c r="E137" t="n">
        <v>1</v>
      </c>
      <c r="F137" s="1" t="n"/>
      <c r="G137" s="1" t="n"/>
      <c r="H137">
        <f>IF(T_LEAVE[[#This Row],[EMPLOYEE]]="","",MATCH(T_LEAVE[[#This Row],[EMPLOYEE]],L_EMPLABELS,0))</f>
        <v/>
      </c>
      <c r="I137">
        <f>IF(T_LEAVE[[#This Row],[EMPLOYEE]]="","",MATCH(T_LEAVE[[#This Row],[LEAVE TYPE]],L_LEAVETYPES,0))</f>
        <v/>
      </c>
      <c r="J137">
        <f t="array" ref="J137">IFERROR(INDEX(T_LEAVE_TYPES[SYMBOL],T_LEAVE[[#This Row],[LEAVE TYPE SYS ID]]),"")</f>
        <v/>
      </c>
      <c r="K137">
        <f>IF(T_LEAVE[[#This Row],[EMPLOYEE]]="","",IF(T_LEAVE[[#This Row],[ERROR]]="",0,1))</f>
        <v/>
      </c>
      <c r="L137">
        <f t="array" ref="L1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8">
      <c r="A138" t="inlineStr">
        <is>
          <t>Ankit Radheshyam Patil (1031039)</t>
        </is>
      </c>
      <c r="B138" s="15" t="inlineStr">
        <is>
          <t>Friday, 17 November 2023</t>
        </is>
      </c>
      <c r="C138" s="15" t="inlineStr">
        <is>
          <t>Friday, 17 November 2023</t>
        </is>
      </c>
      <c r="D138" t="inlineStr">
        <is>
          <t>Privilege</t>
        </is>
      </c>
      <c r="E138" t="n">
        <v>1</v>
      </c>
      <c r="F138" s="1" t="n"/>
      <c r="G138" s="1" t="n"/>
      <c r="H138">
        <f>IF(T_LEAVE[[#This Row],[EMPLOYEE]]="","",MATCH(T_LEAVE[[#This Row],[EMPLOYEE]],L_EMPLABELS,0))</f>
        <v/>
      </c>
      <c r="I138">
        <f>IF(T_LEAVE[[#This Row],[EMPLOYEE]]="","",MATCH(T_LEAVE[[#This Row],[LEAVE TYPE]],L_LEAVETYPES,0))</f>
        <v/>
      </c>
      <c r="J138">
        <f t="array" ref="J138">IFERROR(INDEX(T_LEAVE_TYPES[SYMBOL],T_LEAVE[[#This Row],[LEAVE TYPE SYS ID]]),"")</f>
        <v/>
      </c>
      <c r="K138">
        <f>IF(T_LEAVE[[#This Row],[EMPLOYEE]]="","",IF(T_LEAVE[[#This Row],[ERROR]]="",0,1))</f>
        <v/>
      </c>
      <c r="L138">
        <f t="array" ref="L1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39">
      <c r="A139" t="inlineStr">
        <is>
          <t>D Malar Vizhi (1021304)</t>
        </is>
      </c>
      <c r="B139" s="15" t="inlineStr">
        <is>
          <t>Monday, 21 August 2023</t>
        </is>
      </c>
      <c r="C139" s="15" t="inlineStr">
        <is>
          <t>Thursday, 24 August 2023</t>
        </is>
      </c>
      <c r="D139" t="inlineStr">
        <is>
          <t>Privilege</t>
        </is>
      </c>
      <c r="E139" t="n">
        <v>4</v>
      </c>
      <c r="F139" s="1" t="n"/>
      <c r="G139" s="1" t="n"/>
      <c r="H139">
        <f>IF(T_LEAVE[[#This Row],[EMPLOYEE]]="","",MATCH(T_LEAVE[[#This Row],[EMPLOYEE]],L_EMPLABELS,0))</f>
        <v/>
      </c>
      <c r="I139">
        <f>IF(T_LEAVE[[#This Row],[EMPLOYEE]]="","",MATCH(T_LEAVE[[#This Row],[LEAVE TYPE]],L_LEAVETYPES,0))</f>
        <v/>
      </c>
      <c r="J139">
        <f t="array" ref="J139">IFERROR(INDEX(T_LEAVE_TYPES[SYMBOL],T_LEAVE[[#This Row],[LEAVE TYPE SYS ID]]),"")</f>
        <v/>
      </c>
      <c r="K139">
        <f>IF(T_LEAVE[[#This Row],[EMPLOYEE]]="","",IF(T_LEAVE[[#This Row],[ERROR]]="",0,1))</f>
        <v/>
      </c>
      <c r="L139">
        <f t="array" ref="L1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0">
      <c r="A140" t="inlineStr">
        <is>
          <t>D Malar Vizhi (1021304)</t>
        </is>
      </c>
      <c r="B140" s="15" t="inlineStr">
        <is>
          <t>Friday, 04 August 2023</t>
        </is>
      </c>
      <c r="C140" s="15" t="inlineStr">
        <is>
          <t>Friday, 04 August 2023</t>
        </is>
      </c>
      <c r="D140" t="inlineStr">
        <is>
          <t xml:space="preserve">Casual / Sick </t>
        </is>
      </c>
      <c r="E140" t="n">
        <v>1</v>
      </c>
      <c r="F140" s="1" t="n"/>
      <c r="G140" s="1" t="n"/>
      <c r="H140">
        <f>IF(T_LEAVE[[#This Row],[EMPLOYEE]]="","",MATCH(T_LEAVE[[#This Row],[EMPLOYEE]],L_EMPLABELS,0))</f>
        <v/>
      </c>
      <c r="I140">
        <f>IF(T_LEAVE[[#This Row],[EMPLOYEE]]="","",MATCH(T_LEAVE[[#This Row],[LEAVE TYPE]],L_LEAVETYPES,0))</f>
        <v/>
      </c>
      <c r="J140">
        <f t="array" ref="J140">IFERROR(INDEX(T_LEAVE_TYPES[SYMBOL],T_LEAVE[[#This Row],[LEAVE TYPE SYS ID]]),"")</f>
        <v/>
      </c>
      <c r="K140">
        <f>IF(T_LEAVE[[#This Row],[EMPLOYEE]]="","",IF(T_LEAVE[[#This Row],[ERROR]]="",0,1))</f>
        <v/>
      </c>
      <c r="L140">
        <f t="array" ref="L1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1">
      <c r="A141" t="inlineStr">
        <is>
          <t>D Malar Vizhi (1021304)</t>
        </is>
      </c>
      <c r="B141" s="15" t="inlineStr">
        <is>
          <t>Friday, 14 July 2023</t>
        </is>
      </c>
      <c r="C141" s="15" t="inlineStr">
        <is>
          <t>Friday, 14 July 2023</t>
        </is>
      </c>
      <c r="D141" t="inlineStr">
        <is>
          <t xml:space="preserve">Casual / Sick </t>
        </is>
      </c>
      <c r="E141" t="n">
        <v>1</v>
      </c>
      <c r="F141" s="1" t="n"/>
      <c r="G141" s="1" t="n"/>
      <c r="H141">
        <f>IF(T_LEAVE[[#This Row],[EMPLOYEE]]="","",MATCH(T_LEAVE[[#This Row],[EMPLOYEE]],L_EMPLABELS,0))</f>
        <v/>
      </c>
      <c r="I141">
        <f>IF(T_LEAVE[[#This Row],[EMPLOYEE]]="","",MATCH(T_LEAVE[[#This Row],[LEAVE TYPE]],L_LEAVETYPES,0))</f>
        <v/>
      </c>
      <c r="J141">
        <f t="array" ref="J141">IFERROR(INDEX(T_LEAVE_TYPES[SYMBOL],T_LEAVE[[#This Row],[LEAVE TYPE SYS ID]]),"")</f>
        <v/>
      </c>
      <c r="K141">
        <f>IF(T_LEAVE[[#This Row],[EMPLOYEE]]="","",IF(T_LEAVE[[#This Row],[ERROR]]="",0,1))</f>
        <v/>
      </c>
      <c r="L141">
        <f t="array" ref="L1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2">
      <c r="A142" t="inlineStr">
        <is>
          <t>D Malar Vizhi (1021304)</t>
        </is>
      </c>
      <c r="B142" s="15" t="inlineStr">
        <is>
          <t>Wednesday, 05 July 2023</t>
        </is>
      </c>
      <c r="C142" s="15" t="inlineStr">
        <is>
          <t>Wednesday, 05 July 2023</t>
        </is>
      </c>
      <c r="D142" t="inlineStr">
        <is>
          <t xml:space="preserve">Casual / Sick </t>
        </is>
      </c>
      <c r="E142" t="n">
        <v>1</v>
      </c>
      <c r="F142" s="1" t="n"/>
      <c r="G142" s="1" t="n"/>
      <c r="H142">
        <f>IF(T_LEAVE[[#This Row],[EMPLOYEE]]="","",MATCH(T_LEAVE[[#This Row],[EMPLOYEE]],L_EMPLABELS,0))</f>
        <v/>
      </c>
      <c r="I142">
        <f>IF(T_LEAVE[[#This Row],[EMPLOYEE]]="","",MATCH(T_LEAVE[[#This Row],[LEAVE TYPE]],L_LEAVETYPES,0))</f>
        <v/>
      </c>
      <c r="J142">
        <f t="array" ref="J142">IFERROR(INDEX(T_LEAVE_TYPES[SYMBOL],T_LEAVE[[#This Row],[LEAVE TYPE SYS ID]]),"")</f>
        <v/>
      </c>
      <c r="K142">
        <f>IF(T_LEAVE[[#This Row],[EMPLOYEE]]="","",IF(T_LEAVE[[#This Row],[ERROR]]="",0,1))</f>
        <v/>
      </c>
      <c r="L142">
        <f t="array" ref="L1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3">
      <c r="A143" t="inlineStr">
        <is>
          <t>D Malar Vizhi (1021304)</t>
        </is>
      </c>
      <c r="B143" s="15" t="inlineStr">
        <is>
          <t>Wednesday, 07 June 2023</t>
        </is>
      </c>
      <c r="C143" s="15" t="inlineStr">
        <is>
          <t>Wednesday, 07 June 2023</t>
        </is>
      </c>
      <c r="D143" t="inlineStr">
        <is>
          <t xml:space="preserve">Casual / Sick </t>
        </is>
      </c>
      <c r="E143" t="n">
        <v>1</v>
      </c>
      <c r="F143" s="1" t="n"/>
      <c r="G143" s="1" t="n"/>
      <c r="H143">
        <f>IF(T_LEAVE[[#This Row],[EMPLOYEE]]="","",MATCH(T_LEAVE[[#This Row],[EMPLOYEE]],L_EMPLABELS,0))</f>
        <v/>
      </c>
      <c r="I143">
        <f>IF(T_LEAVE[[#This Row],[EMPLOYEE]]="","",MATCH(T_LEAVE[[#This Row],[LEAVE TYPE]],L_LEAVETYPES,0))</f>
        <v/>
      </c>
      <c r="J143">
        <f t="array" ref="J143">IFERROR(INDEX(T_LEAVE_TYPES[SYMBOL],T_LEAVE[[#This Row],[LEAVE TYPE SYS ID]]),"")</f>
        <v/>
      </c>
      <c r="K143">
        <f>IF(T_LEAVE[[#This Row],[EMPLOYEE]]="","",IF(T_LEAVE[[#This Row],[ERROR]]="",0,1))</f>
        <v/>
      </c>
      <c r="L143">
        <f t="array" ref="L1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4">
      <c r="A144" t="inlineStr">
        <is>
          <t>D Malar Vizhi (1021304)</t>
        </is>
      </c>
      <c r="B144" s="15" t="inlineStr">
        <is>
          <t>Tuesday, 25 April 2023</t>
        </is>
      </c>
      <c r="C144" s="15" t="inlineStr">
        <is>
          <t>Tuesday, 25 April 2023</t>
        </is>
      </c>
      <c r="D144" t="inlineStr">
        <is>
          <t xml:space="preserve">Casual / Sick </t>
        </is>
      </c>
      <c r="E144" t="n">
        <v>1</v>
      </c>
      <c r="F144" s="1" t="n"/>
      <c r="G144" s="1" t="n"/>
      <c r="H144">
        <f>IF(T_LEAVE[[#This Row],[EMPLOYEE]]="","",MATCH(T_LEAVE[[#This Row],[EMPLOYEE]],L_EMPLABELS,0))</f>
        <v/>
      </c>
      <c r="I144">
        <f>IF(T_LEAVE[[#This Row],[EMPLOYEE]]="","",MATCH(T_LEAVE[[#This Row],[LEAVE TYPE]],L_LEAVETYPES,0))</f>
        <v/>
      </c>
      <c r="J144">
        <f t="array" ref="J144">IFERROR(INDEX(T_LEAVE_TYPES[SYMBOL],T_LEAVE[[#This Row],[LEAVE TYPE SYS ID]]),"")</f>
        <v/>
      </c>
      <c r="K144">
        <f>IF(T_LEAVE[[#This Row],[EMPLOYEE]]="","",IF(T_LEAVE[[#This Row],[ERROR]]="",0,1))</f>
        <v/>
      </c>
      <c r="L144">
        <f t="array" ref="L1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5">
      <c r="A145" t="inlineStr">
        <is>
          <t>D Malar Vizhi (1021304)</t>
        </is>
      </c>
      <c r="B145" s="15" t="inlineStr">
        <is>
          <t>Monday, 03 April 2023</t>
        </is>
      </c>
      <c r="C145" s="15" t="inlineStr">
        <is>
          <t>Monday, 03 April 2023</t>
        </is>
      </c>
      <c r="D145" t="inlineStr">
        <is>
          <t xml:space="preserve">Casual / Sick </t>
        </is>
      </c>
      <c r="E145" t="n">
        <v>1</v>
      </c>
      <c r="F145" s="1" t="n"/>
      <c r="G145" s="1" t="n"/>
      <c r="H145">
        <f>IF(T_LEAVE[[#This Row],[EMPLOYEE]]="","",MATCH(T_LEAVE[[#This Row],[EMPLOYEE]],L_EMPLABELS,0))</f>
        <v/>
      </c>
      <c r="I145">
        <f>IF(T_LEAVE[[#This Row],[EMPLOYEE]]="","",MATCH(T_LEAVE[[#This Row],[LEAVE TYPE]],L_LEAVETYPES,0))</f>
        <v/>
      </c>
      <c r="J145">
        <f t="array" ref="J145">IFERROR(INDEX(T_LEAVE_TYPES[SYMBOL],T_LEAVE[[#This Row],[LEAVE TYPE SYS ID]]),"")</f>
        <v/>
      </c>
      <c r="K145">
        <f>IF(T_LEAVE[[#This Row],[EMPLOYEE]]="","",IF(T_LEAVE[[#This Row],[ERROR]]="",0,1))</f>
        <v/>
      </c>
      <c r="L145">
        <f t="array" ref="L1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6">
      <c r="A146" t="inlineStr">
        <is>
          <t>Veera Satya Kishore Swamy Allaka (1029895)</t>
        </is>
      </c>
      <c r="B146" s="15" t="inlineStr">
        <is>
          <t>Thursday, 09 November 2023</t>
        </is>
      </c>
      <c r="C146" s="15" t="inlineStr">
        <is>
          <t>Thursday, 09 November 2023</t>
        </is>
      </c>
      <c r="D146" t="inlineStr">
        <is>
          <t xml:space="preserve">Casual / Sick </t>
        </is>
      </c>
      <c r="E146" t="n">
        <v>1</v>
      </c>
      <c r="F146" s="1" t="n"/>
      <c r="G146" s="1" t="n"/>
      <c r="H146">
        <f>IF(T_LEAVE[[#This Row],[EMPLOYEE]]="","",MATCH(T_LEAVE[[#This Row],[EMPLOYEE]],L_EMPLABELS,0))</f>
        <v/>
      </c>
      <c r="I146">
        <f>IF(T_LEAVE[[#This Row],[EMPLOYEE]]="","",MATCH(T_LEAVE[[#This Row],[LEAVE TYPE]],L_LEAVETYPES,0))</f>
        <v/>
      </c>
      <c r="J146">
        <f t="array" ref="J146">IFERROR(INDEX(T_LEAVE_TYPES[SYMBOL],T_LEAVE[[#This Row],[LEAVE TYPE SYS ID]]),"")</f>
        <v/>
      </c>
      <c r="K146">
        <f>IF(T_LEAVE[[#This Row],[EMPLOYEE]]="","",IF(T_LEAVE[[#This Row],[ERROR]]="",0,1))</f>
        <v/>
      </c>
      <c r="L146">
        <f t="array" ref="L1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7">
      <c r="A147" t="inlineStr">
        <is>
          <t>Baratam  Ashish (1027410)</t>
        </is>
      </c>
      <c r="B147" s="15" t="inlineStr">
        <is>
          <t>Monday, 30 October 2023</t>
        </is>
      </c>
      <c r="C147" s="15" t="inlineStr">
        <is>
          <t>Tuesday, 31 October 2023</t>
        </is>
      </c>
      <c r="D147" t="inlineStr">
        <is>
          <t xml:space="preserve">Casual / Sick </t>
        </is>
      </c>
      <c r="E147" t="n">
        <v>2</v>
      </c>
      <c r="F147" s="1" t="n"/>
      <c r="G147" s="1" t="n"/>
      <c r="H147">
        <f>IF(T_LEAVE[[#This Row],[EMPLOYEE]]="","",MATCH(T_LEAVE[[#This Row],[EMPLOYEE]],L_EMPLABELS,0))</f>
        <v/>
      </c>
      <c r="I147">
        <f>IF(T_LEAVE[[#This Row],[EMPLOYEE]]="","",MATCH(T_LEAVE[[#This Row],[LEAVE TYPE]],L_LEAVETYPES,0))</f>
        <v/>
      </c>
      <c r="J147">
        <f t="array" ref="J147">IFERROR(INDEX(T_LEAVE_TYPES[SYMBOL],T_LEAVE[[#This Row],[LEAVE TYPE SYS ID]]),"")</f>
        <v/>
      </c>
      <c r="K147">
        <f>IF(T_LEAVE[[#This Row],[EMPLOYEE]]="","",IF(T_LEAVE[[#This Row],[ERROR]]="",0,1))</f>
        <v/>
      </c>
      <c r="L147">
        <f t="array" ref="L1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8">
      <c r="A148" t="inlineStr">
        <is>
          <t>Sunil Kumar Gupta (1029521)</t>
        </is>
      </c>
      <c r="B148" s="15" t="inlineStr">
        <is>
          <t>Tuesday, 31 October 2023</t>
        </is>
      </c>
      <c r="C148" s="15" t="inlineStr">
        <is>
          <t>Tuesday, 31 October 2023</t>
        </is>
      </c>
      <c r="D148" t="inlineStr">
        <is>
          <t>Privilege</t>
        </is>
      </c>
      <c r="E148" t="n">
        <v>1</v>
      </c>
      <c r="F148" s="1" t="n"/>
      <c r="G148" s="1" t="n"/>
      <c r="H148">
        <f>IF(T_LEAVE[[#This Row],[EMPLOYEE]]="","",MATCH(T_LEAVE[[#This Row],[EMPLOYEE]],L_EMPLABELS,0))</f>
        <v/>
      </c>
      <c r="I148">
        <f>IF(T_LEAVE[[#This Row],[EMPLOYEE]]="","",MATCH(T_LEAVE[[#This Row],[LEAVE TYPE]],L_LEAVETYPES,0))</f>
        <v/>
      </c>
      <c r="J148">
        <f t="array" ref="J148">IFERROR(INDEX(T_LEAVE_TYPES[SYMBOL],T_LEAVE[[#This Row],[LEAVE TYPE SYS ID]]),"")</f>
        <v/>
      </c>
      <c r="K148">
        <f>IF(T_LEAVE[[#This Row],[EMPLOYEE]]="","",IF(T_LEAVE[[#This Row],[ERROR]]="",0,1))</f>
        <v/>
      </c>
      <c r="L148">
        <f t="array" ref="L1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49">
      <c r="A149" t="inlineStr">
        <is>
          <t>Gaurav Sharma (1029867)</t>
        </is>
      </c>
      <c r="B149" s="15" t="inlineStr">
        <is>
          <t>Friday, 03 November 2023</t>
        </is>
      </c>
      <c r="C149" s="15" t="inlineStr">
        <is>
          <t>Friday, 03 November 2023</t>
        </is>
      </c>
      <c r="D149" t="inlineStr">
        <is>
          <t xml:space="preserve">Casual / Sick </t>
        </is>
      </c>
      <c r="E149" t="n">
        <v>1</v>
      </c>
      <c r="F149" s="1" t="n"/>
      <c r="G149" s="1" t="n"/>
      <c r="H149">
        <f>IF(T_LEAVE[[#This Row],[EMPLOYEE]]="","",MATCH(T_LEAVE[[#This Row],[EMPLOYEE]],L_EMPLABELS,0))</f>
        <v/>
      </c>
      <c r="I149">
        <f>IF(T_LEAVE[[#This Row],[EMPLOYEE]]="","",MATCH(T_LEAVE[[#This Row],[LEAVE TYPE]],L_LEAVETYPES,0))</f>
        <v/>
      </c>
      <c r="J149">
        <f t="array" ref="J149">IFERROR(INDEX(T_LEAVE_TYPES[SYMBOL],T_LEAVE[[#This Row],[LEAVE TYPE SYS ID]]),"")</f>
        <v/>
      </c>
      <c r="K149">
        <f>IF(T_LEAVE[[#This Row],[EMPLOYEE]]="","",IF(T_LEAVE[[#This Row],[ERROR]]="",0,1))</f>
        <v/>
      </c>
      <c r="L149">
        <f t="array" ref="L1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0">
      <c r="A150" t="inlineStr">
        <is>
          <t>Baratam  Ashish (1027410)</t>
        </is>
      </c>
      <c r="B150" s="15" t="inlineStr">
        <is>
          <t>Sunday, 16 April 2023</t>
        </is>
      </c>
      <c r="C150" s="15" t="inlineStr">
        <is>
          <t>Wednesday, 26 April 2023</t>
        </is>
      </c>
      <c r="D150" t="inlineStr">
        <is>
          <t>Privilege</t>
        </is>
      </c>
      <c r="E150" t="n">
        <v>8</v>
      </c>
      <c r="F150" s="1" t="n"/>
      <c r="G150" s="1" t="n"/>
      <c r="H150">
        <f>IF(T_LEAVE[[#This Row],[EMPLOYEE]]="","",MATCH(T_LEAVE[[#This Row],[EMPLOYEE]],L_EMPLABELS,0))</f>
        <v/>
      </c>
      <c r="I150">
        <f>IF(T_LEAVE[[#This Row],[EMPLOYEE]]="","",MATCH(T_LEAVE[[#This Row],[LEAVE TYPE]],L_LEAVETYPES,0))</f>
        <v/>
      </c>
      <c r="J150">
        <f t="array" ref="J150">IFERROR(INDEX(T_LEAVE_TYPES[SYMBOL],T_LEAVE[[#This Row],[LEAVE TYPE SYS ID]]),"")</f>
        <v/>
      </c>
      <c r="K150">
        <f>IF(T_LEAVE[[#This Row],[EMPLOYEE]]="","",IF(T_LEAVE[[#This Row],[ERROR]]="",0,1))</f>
        <v/>
      </c>
      <c r="L150">
        <f t="array" ref="L1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1">
      <c r="A151" t="inlineStr">
        <is>
          <t>Baratam  Ashish (1027410)</t>
        </is>
      </c>
      <c r="B151" s="15" t="inlineStr">
        <is>
          <t>Friday, 17 March 2023</t>
        </is>
      </c>
      <c r="C151" s="15" t="inlineStr">
        <is>
          <t>Friday, 17 March 2023</t>
        </is>
      </c>
      <c r="D151" t="inlineStr">
        <is>
          <t xml:space="preserve">Casual / Sick </t>
        </is>
      </c>
      <c r="E151" t="n">
        <v>1</v>
      </c>
      <c r="F151" s="1" t="n"/>
      <c r="G151" s="1" t="n"/>
      <c r="H151">
        <f>IF(T_LEAVE[[#This Row],[EMPLOYEE]]="","",MATCH(T_LEAVE[[#This Row],[EMPLOYEE]],L_EMPLABELS,0))</f>
        <v/>
      </c>
      <c r="I151">
        <f>IF(T_LEAVE[[#This Row],[EMPLOYEE]]="","",MATCH(T_LEAVE[[#This Row],[LEAVE TYPE]],L_LEAVETYPES,0))</f>
        <v/>
      </c>
      <c r="J151">
        <f t="array" ref="J151">IFERROR(INDEX(T_LEAVE_TYPES[SYMBOL],T_LEAVE[[#This Row],[LEAVE TYPE SYS ID]]),"")</f>
        <v/>
      </c>
      <c r="K151">
        <f>IF(T_LEAVE[[#This Row],[EMPLOYEE]]="","",IF(T_LEAVE[[#This Row],[ERROR]]="",0,1))</f>
        <v/>
      </c>
      <c r="L151">
        <f t="array" ref="L1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2">
      <c r="A152" t="inlineStr">
        <is>
          <t>Madhu Gandham (1029876)</t>
        </is>
      </c>
      <c r="B152" s="15" t="inlineStr">
        <is>
          <t>Friday, 20 October 2023</t>
        </is>
      </c>
      <c r="C152" s="15" t="inlineStr">
        <is>
          <t>Friday, 20 October 2023</t>
        </is>
      </c>
      <c r="D152" t="inlineStr">
        <is>
          <t xml:space="preserve">Casual / Sick </t>
        </is>
      </c>
      <c r="E152" t="n">
        <v>1</v>
      </c>
      <c r="F152" s="1" t="n"/>
      <c r="G152" s="1" t="n"/>
      <c r="H152">
        <f>IF(T_LEAVE[[#This Row],[EMPLOYEE]]="","",MATCH(T_LEAVE[[#This Row],[EMPLOYEE]],L_EMPLABELS,0))</f>
        <v/>
      </c>
      <c r="I152">
        <f>IF(T_LEAVE[[#This Row],[EMPLOYEE]]="","",MATCH(T_LEAVE[[#This Row],[LEAVE TYPE]],L_LEAVETYPES,0))</f>
        <v/>
      </c>
      <c r="J152">
        <f t="array" ref="J152">IFERROR(INDEX(T_LEAVE_TYPES[SYMBOL],T_LEAVE[[#This Row],[LEAVE TYPE SYS ID]]),"")</f>
        <v/>
      </c>
      <c r="K152">
        <f>IF(T_LEAVE[[#This Row],[EMPLOYEE]]="","",IF(T_LEAVE[[#This Row],[ERROR]]="",0,1))</f>
        <v/>
      </c>
      <c r="L152">
        <f t="array" ref="L1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3">
      <c r="A153" t="inlineStr">
        <is>
          <t>Talada Sumanth (1029520)</t>
        </is>
      </c>
      <c r="B153" s="15" t="inlineStr">
        <is>
          <t>Tuesday, 10 October 2023</t>
        </is>
      </c>
      <c r="C153" s="15" t="inlineStr">
        <is>
          <t>Wednesday, 11 October 2023</t>
        </is>
      </c>
      <c r="D153" t="inlineStr">
        <is>
          <t xml:space="preserve">Casual / Sick </t>
        </is>
      </c>
      <c r="E153" t="n">
        <v>2</v>
      </c>
      <c r="F153" s="1" t="n"/>
      <c r="G153" s="1" t="n"/>
      <c r="H153">
        <f>IF(T_LEAVE[[#This Row],[EMPLOYEE]]="","",MATCH(T_LEAVE[[#This Row],[EMPLOYEE]],L_EMPLABELS,0))</f>
        <v/>
      </c>
      <c r="I153">
        <f>IF(T_LEAVE[[#This Row],[EMPLOYEE]]="","",MATCH(T_LEAVE[[#This Row],[LEAVE TYPE]],L_LEAVETYPES,0))</f>
        <v/>
      </c>
      <c r="J153">
        <f t="array" ref="J153">IFERROR(INDEX(T_LEAVE_TYPES[SYMBOL],T_LEAVE[[#This Row],[LEAVE TYPE SYS ID]]),"")</f>
        <v/>
      </c>
      <c r="K153">
        <f>IF(T_LEAVE[[#This Row],[EMPLOYEE]]="","",IF(T_LEAVE[[#This Row],[ERROR]]="",0,1))</f>
        <v/>
      </c>
      <c r="L153">
        <f t="array" ref="L1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4">
      <c r="A154" t="inlineStr">
        <is>
          <t>Ambika G Prabhu (1027414)</t>
        </is>
      </c>
      <c r="B154" s="15" t="inlineStr">
        <is>
          <t>Friday, 18 August 2023</t>
        </is>
      </c>
      <c r="C154" s="15" t="inlineStr">
        <is>
          <t>Friday, 18 August 2023</t>
        </is>
      </c>
      <c r="D154" t="inlineStr">
        <is>
          <t>Privilege</t>
        </is>
      </c>
      <c r="E154" t="n">
        <v>1</v>
      </c>
      <c r="F154" s="1" t="n"/>
      <c r="G154" s="1" t="n"/>
      <c r="H154">
        <f>IF(T_LEAVE[[#This Row],[EMPLOYEE]]="","",MATCH(T_LEAVE[[#This Row],[EMPLOYEE]],L_EMPLABELS,0))</f>
        <v/>
      </c>
      <c r="I154">
        <f>IF(T_LEAVE[[#This Row],[EMPLOYEE]]="","",MATCH(T_LEAVE[[#This Row],[LEAVE TYPE]],L_LEAVETYPES,0))</f>
        <v/>
      </c>
      <c r="J154">
        <f t="array" ref="J154">IFERROR(INDEX(T_LEAVE_TYPES[SYMBOL],T_LEAVE[[#This Row],[LEAVE TYPE SYS ID]]),"")</f>
        <v/>
      </c>
      <c r="K154">
        <f>IF(T_LEAVE[[#This Row],[EMPLOYEE]]="","",IF(T_LEAVE[[#This Row],[ERROR]]="",0,1))</f>
        <v/>
      </c>
      <c r="L154">
        <f t="array" ref="L1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5">
      <c r="A155" t="inlineStr">
        <is>
          <t>Ambika G Prabhu (1027414)</t>
        </is>
      </c>
      <c r="B155" s="15" t="inlineStr">
        <is>
          <t>Monday, 26 June 2023</t>
        </is>
      </c>
      <c r="C155" s="15" t="inlineStr">
        <is>
          <t>Wednesday, 28 June 2023</t>
        </is>
      </c>
      <c r="D155" t="inlineStr">
        <is>
          <t xml:space="preserve">Casual / Sick </t>
        </is>
      </c>
      <c r="E155" t="n">
        <v>3</v>
      </c>
      <c r="F155" s="1" t="n"/>
      <c r="G155" s="1" t="n"/>
      <c r="H155">
        <f>IF(T_LEAVE[[#This Row],[EMPLOYEE]]="","",MATCH(T_LEAVE[[#This Row],[EMPLOYEE]],L_EMPLABELS,0))</f>
        <v/>
      </c>
      <c r="I155">
        <f>IF(T_LEAVE[[#This Row],[EMPLOYEE]]="","",MATCH(T_LEAVE[[#This Row],[LEAVE TYPE]],L_LEAVETYPES,0))</f>
        <v/>
      </c>
      <c r="J155">
        <f t="array" ref="J155">IFERROR(INDEX(T_LEAVE_TYPES[SYMBOL],T_LEAVE[[#This Row],[LEAVE TYPE SYS ID]]),"")</f>
        <v/>
      </c>
      <c r="K155">
        <f>IF(T_LEAVE[[#This Row],[EMPLOYEE]]="","",IF(T_LEAVE[[#This Row],[ERROR]]="",0,1))</f>
        <v/>
      </c>
      <c r="L155">
        <f t="array" ref="L1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6">
      <c r="A156" t="inlineStr">
        <is>
          <t>Ambika G Prabhu (1027414)</t>
        </is>
      </c>
      <c r="B156" s="15" t="inlineStr">
        <is>
          <t>Wednesday, 02 August 2023</t>
        </is>
      </c>
      <c r="C156" s="15" t="inlineStr">
        <is>
          <t>Wednesday, 02 August 2023</t>
        </is>
      </c>
      <c r="D156" t="inlineStr">
        <is>
          <t xml:space="preserve">Casual / Sick </t>
        </is>
      </c>
      <c r="E156" t="n">
        <v>1</v>
      </c>
      <c r="F156" s="1" t="n"/>
      <c r="G156" s="1" t="n"/>
      <c r="H156">
        <f>IF(T_LEAVE[[#This Row],[EMPLOYEE]]="","",MATCH(T_LEAVE[[#This Row],[EMPLOYEE]],L_EMPLABELS,0))</f>
        <v/>
      </c>
      <c r="I156">
        <f>IF(T_LEAVE[[#This Row],[EMPLOYEE]]="","",MATCH(T_LEAVE[[#This Row],[LEAVE TYPE]],L_LEAVETYPES,0))</f>
        <v/>
      </c>
      <c r="J156">
        <f t="array" ref="J156">IFERROR(INDEX(T_LEAVE_TYPES[SYMBOL],T_LEAVE[[#This Row],[LEAVE TYPE SYS ID]]),"")</f>
        <v/>
      </c>
      <c r="K156">
        <f>IF(T_LEAVE[[#This Row],[EMPLOYEE]]="","",IF(T_LEAVE[[#This Row],[ERROR]]="",0,1))</f>
        <v/>
      </c>
      <c r="L156">
        <f t="array" ref="L1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7">
      <c r="A157" t="inlineStr">
        <is>
          <t>Ambika G Prabhu (1027414)</t>
        </is>
      </c>
      <c r="B157" s="15" t="inlineStr">
        <is>
          <t>Monday, 04 September 2023</t>
        </is>
      </c>
      <c r="C157" s="15" t="inlineStr">
        <is>
          <t>Monday, 04 September 2023</t>
        </is>
      </c>
      <c r="D157" t="inlineStr">
        <is>
          <t xml:space="preserve">Casual / Sick </t>
        </is>
      </c>
      <c r="E157" t="n">
        <v>1</v>
      </c>
      <c r="F157" s="1" t="n"/>
      <c r="G157" s="1" t="n"/>
      <c r="H157">
        <f>IF(T_LEAVE[[#This Row],[EMPLOYEE]]="","",MATCH(T_LEAVE[[#This Row],[EMPLOYEE]],L_EMPLABELS,0))</f>
        <v/>
      </c>
      <c r="I157">
        <f>IF(T_LEAVE[[#This Row],[EMPLOYEE]]="","",MATCH(T_LEAVE[[#This Row],[LEAVE TYPE]],L_LEAVETYPES,0))</f>
        <v/>
      </c>
      <c r="J157">
        <f t="array" ref="J157">IFERROR(INDEX(T_LEAVE_TYPES[SYMBOL],T_LEAVE[[#This Row],[LEAVE TYPE SYS ID]]),"")</f>
        <v/>
      </c>
      <c r="K157">
        <f>IF(T_LEAVE[[#This Row],[EMPLOYEE]]="","",IF(T_LEAVE[[#This Row],[ERROR]]="",0,1))</f>
        <v/>
      </c>
      <c r="L157">
        <f t="array" ref="L1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8">
      <c r="A158" t="inlineStr">
        <is>
          <t>Ambika G Prabhu (1027414)</t>
        </is>
      </c>
      <c r="B158" s="15" t="inlineStr">
        <is>
          <t>Monday, 25 September 2023</t>
        </is>
      </c>
      <c r="C158" s="15" t="inlineStr">
        <is>
          <t>Monday, 25 September 2023</t>
        </is>
      </c>
      <c r="D158" t="inlineStr">
        <is>
          <t>Privilege</t>
        </is>
      </c>
      <c r="E158" t="n">
        <v>1</v>
      </c>
      <c r="F158" s="1" t="n"/>
      <c r="G158" s="1" t="n"/>
      <c r="H158">
        <f>IF(T_LEAVE[[#This Row],[EMPLOYEE]]="","",MATCH(T_LEAVE[[#This Row],[EMPLOYEE]],L_EMPLABELS,0))</f>
        <v/>
      </c>
      <c r="I158">
        <f>IF(T_LEAVE[[#This Row],[EMPLOYEE]]="","",MATCH(T_LEAVE[[#This Row],[LEAVE TYPE]],L_LEAVETYPES,0))</f>
        <v/>
      </c>
      <c r="J158">
        <f t="array" ref="J158">IFERROR(INDEX(T_LEAVE_TYPES[SYMBOL],T_LEAVE[[#This Row],[LEAVE TYPE SYS ID]]),"")</f>
        <v/>
      </c>
      <c r="K158">
        <f>IF(T_LEAVE[[#This Row],[EMPLOYEE]]="","",IF(T_LEAVE[[#This Row],[ERROR]]="",0,1))</f>
        <v/>
      </c>
      <c r="L158">
        <f t="array" ref="L1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59">
      <c r="A159" t="inlineStr">
        <is>
          <t>Baratam  Ashish (1027410)</t>
        </is>
      </c>
      <c r="B159" s="15" t="inlineStr">
        <is>
          <t>Monday, 16 January 2023</t>
        </is>
      </c>
      <c r="C159" s="15" t="inlineStr">
        <is>
          <t>Friday, 20 January 2023</t>
        </is>
      </c>
      <c r="D159" t="inlineStr">
        <is>
          <t>Privilege</t>
        </is>
      </c>
      <c r="E159" t="n">
        <v>5</v>
      </c>
      <c r="F159" s="1" t="n"/>
      <c r="G159" s="1" t="n"/>
      <c r="H159">
        <f>IF(T_LEAVE[[#This Row],[EMPLOYEE]]="","",MATCH(T_LEAVE[[#This Row],[EMPLOYEE]],L_EMPLABELS,0))</f>
        <v/>
      </c>
      <c r="I159">
        <f>IF(T_LEAVE[[#This Row],[EMPLOYEE]]="","",MATCH(T_LEAVE[[#This Row],[LEAVE TYPE]],L_LEAVETYPES,0))</f>
        <v/>
      </c>
      <c r="J159">
        <f t="array" ref="J159">IFERROR(INDEX(T_LEAVE_TYPES[SYMBOL],T_LEAVE[[#This Row],[LEAVE TYPE SYS ID]]),"")</f>
        <v/>
      </c>
      <c r="K159">
        <f>IF(T_LEAVE[[#This Row],[EMPLOYEE]]="","",IF(T_LEAVE[[#This Row],[ERROR]]="",0,1))</f>
        <v/>
      </c>
      <c r="L159">
        <f t="array" ref="L1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0">
      <c r="A160" t="inlineStr">
        <is>
          <t>Baratam  Ashish (1027410)</t>
        </is>
      </c>
      <c r="B160" s="15" t="inlineStr">
        <is>
          <t>Friday, 09 September 2022</t>
        </is>
      </c>
      <c r="C160" s="15" t="inlineStr">
        <is>
          <t>Friday, 09 September 2022</t>
        </is>
      </c>
      <c r="D160" t="inlineStr">
        <is>
          <t xml:space="preserve">Casual / Sick </t>
        </is>
      </c>
      <c r="E160" t="n">
        <v>1</v>
      </c>
      <c r="F160" s="1" t="n"/>
      <c r="G160" s="1" t="n"/>
      <c r="H160">
        <f>IF(T_LEAVE[[#This Row],[EMPLOYEE]]="","",MATCH(T_LEAVE[[#This Row],[EMPLOYEE]],L_EMPLABELS,0))</f>
        <v/>
      </c>
      <c r="I160">
        <f>IF(T_LEAVE[[#This Row],[EMPLOYEE]]="","",MATCH(T_LEAVE[[#This Row],[LEAVE TYPE]],L_LEAVETYPES,0))</f>
        <v/>
      </c>
      <c r="J160">
        <f t="array" ref="J160">IFERROR(INDEX(T_LEAVE_TYPES[SYMBOL],T_LEAVE[[#This Row],[LEAVE TYPE SYS ID]]),"")</f>
        <v/>
      </c>
      <c r="K160">
        <f>IF(T_LEAVE[[#This Row],[EMPLOYEE]]="","",IF(T_LEAVE[[#This Row],[ERROR]]="",0,1))</f>
        <v/>
      </c>
      <c r="L160">
        <f t="array" ref="L1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1">
      <c r="A161" t="inlineStr">
        <is>
          <t>Baratam  Ashish (1027410)</t>
        </is>
      </c>
      <c r="B161" s="15" t="inlineStr">
        <is>
          <t>Tuesday, 02 August 2022</t>
        </is>
      </c>
      <c r="C161" s="15" t="inlineStr">
        <is>
          <t>Tuesday, 02 August 2022</t>
        </is>
      </c>
      <c r="D161" t="inlineStr">
        <is>
          <t>Privilege</t>
        </is>
      </c>
      <c r="E161" t="n">
        <v>1</v>
      </c>
      <c r="F161" s="1" t="n"/>
      <c r="G161" s="1" t="n"/>
      <c r="H161">
        <f>IF(T_LEAVE[[#This Row],[EMPLOYEE]]="","",MATCH(T_LEAVE[[#This Row],[EMPLOYEE]],L_EMPLABELS,0))</f>
        <v/>
      </c>
      <c r="I161">
        <f>IF(T_LEAVE[[#This Row],[EMPLOYEE]]="","",MATCH(T_LEAVE[[#This Row],[LEAVE TYPE]],L_LEAVETYPES,0))</f>
        <v/>
      </c>
      <c r="J161">
        <f t="array" ref="J161">IFERROR(INDEX(T_LEAVE_TYPES[SYMBOL],T_LEAVE[[#This Row],[LEAVE TYPE SYS ID]]),"")</f>
        <v/>
      </c>
      <c r="K161">
        <f>IF(T_LEAVE[[#This Row],[EMPLOYEE]]="","",IF(T_LEAVE[[#This Row],[ERROR]]="",0,1))</f>
        <v/>
      </c>
      <c r="L161">
        <f t="array" ref="L1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2">
      <c r="A162" t="inlineStr">
        <is>
          <t>Ankit Radheshyam Patil (1031039)</t>
        </is>
      </c>
      <c r="B162" s="15" t="inlineStr">
        <is>
          <t>Friday, 20 October 2023</t>
        </is>
      </c>
      <c r="C162" s="15" t="inlineStr">
        <is>
          <t>Friday, 20 October 2023</t>
        </is>
      </c>
      <c r="D162" t="inlineStr">
        <is>
          <t xml:space="preserve">Casual / Sick </t>
        </is>
      </c>
      <c r="E162" t="n">
        <v>1</v>
      </c>
      <c r="F162" s="1" t="n"/>
      <c r="G162" s="1" t="n"/>
      <c r="H162">
        <f>IF(T_LEAVE[[#This Row],[EMPLOYEE]]="","",MATCH(T_LEAVE[[#This Row],[EMPLOYEE]],L_EMPLABELS,0))</f>
        <v/>
      </c>
      <c r="I162">
        <f>IF(T_LEAVE[[#This Row],[EMPLOYEE]]="","",MATCH(T_LEAVE[[#This Row],[LEAVE TYPE]],L_LEAVETYPES,0))</f>
        <v/>
      </c>
      <c r="J162">
        <f t="array" ref="J162">IFERROR(INDEX(T_LEAVE_TYPES[SYMBOL],T_LEAVE[[#This Row],[LEAVE TYPE SYS ID]]),"")</f>
        <v/>
      </c>
      <c r="K162">
        <f>IF(T_LEAVE[[#This Row],[EMPLOYEE]]="","",IF(T_LEAVE[[#This Row],[ERROR]]="",0,1))</f>
        <v/>
      </c>
      <c r="L162">
        <f t="array" ref="L1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3">
      <c r="A163" t="inlineStr">
        <is>
          <t>Katakam Vijaykumar (1017149)</t>
        </is>
      </c>
      <c r="B163" s="28" t="inlineStr">
        <is>
          <t>Friday, 03 March 2023</t>
        </is>
      </c>
      <c r="C163" s="15" t="inlineStr">
        <is>
          <t>Friday, 03 March 2023</t>
        </is>
      </c>
      <c r="D163" t="inlineStr">
        <is>
          <t>Privilege</t>
        </is>
      </c>
      <c r="E163" t="n">
        <v>1</v>
      </c>
      <c r="F163" s="1" t="n"/>
      <c r="G163" s="1" t="n"/>
      <c r="H163">
        <f>IF(T_LEAVE[[#This Row],[EMPLOYEE]]="","",MATCH(T_LEAVE[[#This Row],[EMPLOYEE]],L_EMPLABELS,0))</f>
        <v/>
      </c>
      <c r="I163">
        <f>IF(T_LEAVE[[#This Row],[EMPLOYEE]]="","",MATCH(T_LEAVE[[#This Row],[LEAVE TYPE]],L_LEAVETYPES,0))</f>
        <v/>
      </c>
      <c r="J163">
        <f t="array" ref="J163">IFERROR(INDEX(T_LEAVE_TYPES[SYMBOL],T_LEAVE[[#This Row],[LEAVE TYPE SYS ID]]),"")</f>
        <v/>
      </c>
      <c r="K163">
        <f>IF(T_LEAVE[[#This Row],[EMPLOYEE]]="","",IF(T_LEAVE[[#This Row],[ERROR]]="",0,1))</f>
        <v/>
      </c>
      <c r="L163">
        <f t="array" ref="L1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4">
      <c r="A164" t="inlineStr">
        <is>
          <t>Mitesh Malviya (1031067)</t>
        </is>
      </c>
      <c r="B164" s="15" t="inlineStr">
        <is>
          <t>Tuesday, 17 October 2023</t>
        </is>
      </c>
      <c r="C164" s="15" t="inlineStr">
        <is>
          <t>Tuesday, 17 October 2023</t>
        </is>
      </c>
      <c r="D164" t="inlineStr">
        <is>
          <t xml:space="preserve">Casual / Sick </t>
        </is>
      </c>
      <c r="E164" t="n">
        <v>1</v>
      </c>
      <c r="F164" s="1" t="n"/>
      <c r="G164" s="1" t="n"/>
      <c r="H164">
        <f>IF(T_LEAVE[[#This Row],[EMPLOYEE]]="","",MATCH(T_LEAVE[[#This Row],[EMPLOYEE]],L_EMPLABELS,0))</f>
        <v/>
      </c>
      <c r="I164">
        <f>IF(T_LEAVE[[#This Row],[EMPLOYEE]]="","",MATCH(T_LEAVE[[#This Row],[LEAVE TYPE]],L_LEAVETYPES,0))</f>
        <v/>
      </c>
      <c r="J164">
        <f t="array" ref="J164">IFERROR(INDEX(T_LEAVE_TYPES[SYMBOL],T_LEAVE[[#This Row],[LEAVE TYPE SYS ID]]),"")</f>
        <v/>
      </c>
      <c r="K164">
        <f>IF(T_LEAVE[[#This Row],[EMPLOYEE]]="","",IF(T_LEAVE[[#This Row],[ERROR]]="",0,1))</f>
        <v/>
      </c>
      <c r="L164">
        <f t="array" ref="L1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5">
      <c r="A165" t="inlineStr">
        <is>
          <t>Bhagyashree Patil (1030253)</t>
        </is>
      </c>
      <c r="B165" s="15" t="inlineStr">
        <is>
          <t>Friday, 13 October 2023</t>
        </is>
      </c>
      <c r="C165" s="15" t="inlineStr">
        <is>
          <t>Friday, 13 October 2023</t>
        </is>
      </c>
      <c r="D165" t="inlineStr">
        <is>
          <t xml:space="preserve">Casual / Sick </t>
        </is>
      </c>
      <c r="E165" t="n">
        <v>1</v>
      </c>
      <c r="F165" s="1" t="n"/>
      <c r="G165" s="1" t="n"/>
      <c r="H165">
        <f>IF(T_LEAVE[[#This Row],[EMPLOYEE]]="","",MATCH(T_LEAVE[[#This Row],[EMPLOYEE]],L_EMPLABELS,0))</f>
        <v/>
      </c>
      <c r="I165">
        <f>IF(T_LEAVE[[#This Row],[EMPLOYEE]]="","",MATCH(T_LEAVE[[#This Row],[LEAVE TYPE]],L_LEAVETYPES,0))</f>
        <v/>
      </c>
      <c r="J165">
        <f t="array" ref="J165">IFERROR(INDEX(T_LEAVE_TYPES[SYMBOL],T_LEAVE[[#This Row],[LEAVE TYPE SYS ID]]),"")</f>
        <v/>
      </c>
      <c r="K165">
        <f>IF(T_LEAVE[[#This Row],[EMPLOYEE]]="","",IF(T_LEAVE[[#This Row],[ERROR]]="",0,1))</f>
        <v/>
      </c>
      <c r="L165">
        <f t="array" ref="L1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6">
      <c r="A166" t="inlineStr">
        <is>
          <t>Golla Venugopal (1028128)</t>
        </is>
      </c>
      <c r="B166" s="15" t="inlineStr">
        <is>
          <t>Monday, 28 August 2023</t>
        </is>
      </c>
      <c r="C166" s="15" t="inlineStr">
        <is>
          <t>Wednesday, 30 August 2023</t>
        </is>
      </c>
      <c r="D166" t="inlineStr">
        <is>
          <t>Privilege</t>
        </is>
      </c>
      <c r="E166" t="n">
        <v>3</v>
      </c>
      <c r="F166" s="1" t="n"/>
      <c r="G166" s="1" t="n"/>
      <c r="H166">
        <f>IF(T_LEAVE[[#This Row],[EMPLOYEE]]="","",MATCH(T_LEAVE[[#This Row],[EMPLOYEE]],L_EMPLABELS,0))</f>
        <v/>
      </c>
      <c r="I166">
        <f>IF(T_LEAVE[[#This Row],[EMPLOYEE]]="","",MATCH(T_LEAVE[[#This Row],[LEAVE TYPE]],L_LEAVETYPES,0))</f>
        <v/>
      </c>
      <c r="J166">
        <f t="array" ref="J166">IFERROR(INDEX(T_LEAVE_TYPES[SYMBOL],T_LEAVE[[#This Row],[LEAVE TYPE SYS ID]]),"")</f>
        <v/>
      </c>
      <c r="K166">
        <f>IF(T_LEAVE[[#This Row],[EMPLOYEE]]="","",IF(T_LEAVE[[#This Row],[ERROR]]="",0,1))</f>
        <v/>
      </c>
      <c r="L166">
        <f t="array" ref="L1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7">
      <c r="A167" t="inlineStr">
        <is>
          <t>Golla Venugopal (1028128)</t>
        </is>
      </c>
      <c r="B167" s="15" t="inlineStr">
        <is>
          <t>Tuesday, 10 October 2023</t>
        </is>
      </c>
      <c r="C167" s="15" t="inlineStr">
        <is>
          <t>Tuesday, 10 October 2023</t>
        </is>
      </c>
      <c r="D167" t="inlineStr">
        <is>
          <t xml:space="preserve">Casual / Sick </t>
        </is>
      </c>
      <c r="E167" t="n">
        <v>1</v>
      </c>
      <c r="F167" s="1" t="n"/>
      <c r="G167" s="1" t="n"/>
      <c r="H167">
        <f>IF(T_LEAVE[[#This Row],[EMPLOYEE]]="","",MATCH(T_LEAVE[[#This Row],[EMPLOYEE]],L_EMPLABELS,0))</f>
        <v/>
      </c>
      <c r="I167">
        <f>IF(T_LEAVE[[#This Row],[EMPLOYEE]]="","",MATCH(T_LEAVE[[#This Row],[LEAVE TYPE]],L_LEAVETYPES,0))</f>
        <v/>
      </c>
      <c r="J167">
        <f t="array" ref="J167">IFERROR(INDEX(T_LEAVE_TYPES[SYMBOL],T_LEAVE[[#This Row],[LEAVE TYPE SYS ID]]),"")</f>
        <v/>
      </c>
      <c r="K167">
        <f>IF(T_LEAVE[[#This Row],[EMPLOYEE]]="","",IF(T_LEAVE[[#This Row],[ERROR]]="",0,1))</f>
        <v/>
      </c>
      <c r="L167">
        <f t="array" ref="L1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8">
      <c r="A168" t="inlineStr">
        <is>
          <t>Ankit Sanjayrao Itankar (1031068)</t>
        </is>
      </c>
      <c r="B168" s="15" t="inlineStr">
        <is>
          <t>Monday, 09 October 2023</t>
        </is>
      </c>
      <c r="C168" s="15" t="inlineStr">
        <is>
          <t>Wednesday, 11 October 2023</t>
        </is>
      </c>
      <c r="D168" t="inlineStr">
        <is>
          <t xml:space="preserve">Casual / Sick </t>
        </is>
      </c>
      <c r="E168" t="n">
        <v>3</v>
      </c>
      <c r="F168" s="1" t="n"/>
      <c r="G168" s="1" t="n"/>
      <c r="H168">
        <f>IF(T_LEAVE[[#This Row],[EMPLOYEE]]="","",MATCH(T_LEAVE[[#This Row],[EMPLOYEE]],L_EMPLABELS,0))</f>
        <v/>
      </c>
      <c r="I168">
        <f>IF(T_LEAVE[[#This Row],[EMPLOYEE]]="","",MATCH(T_LEAVE[[#This Row],[LEAVE TYPE]],L_LEAVETYPES,0))</f>
        <v/>
      </c>
      <c r="J168">
        <f t="array" ref="J168">IFERROR(INDEX(T_LEAVE_TYPES[SYMBOL],T_LEAVE[[#This Row],[LEAVE TYPE SYS ID]]),"")</f>
        <v/>
      </c>
      <c r="K168">
        <f>IF(T_LEAVE[[#This Row],[EMPLOYEE]]="","",IF(T_LEAVE[[#This Row],[ERROR]]="",0,1))</f>
        <v/>
      </c>
      <c r="L168">
        <f t="array" ref="L1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69">
      <c r="A169" t="inlineStr">
        <is>
          <t>Sunil Kumar Gupta (1029521)</t>
        </is>
      </c>
      <c r="B169" s="15" t="inlineStr">
        <is>
          <t>Thursday, 28 September 2023</t>
        </is>
      </c>
      <c r="C169" s="15" t="inlineStr">
        <is>
          <t>Thursday, 28 September 2023</t>
        </is>
      </c>
      <c r="D169" t="inlineStr">
        <is>
          <t xml:space="preserve">Casual / Sick </t>
        </is>
      </c>
      <c r="E169" t="n">
        <v>1</v>
      </c>
      <c r="F169" s="1" t="n"/>
      <c r="G169" s="1" t="n"/>
      <c r="H169">
        <f>IF(T_LEAVE[[#This Row],[EMPLOYEE]]="","",MATCH(T_LEAVE[[#This Row],[EMPLOYEE]],L_EMPLABELS,0))</f>
        <v/>
      </c>
      <c r="I169">
        <f>IF(T_LEAVE[[#This Row],[EMPLOYEE]]="","",MATCH(T_LEAVE[[#This Row],[LEAVE TYPE]],L_LEAVETYPES,0))</f>
        <v/>
      </c>
      <c r="J169">
        <f t="array" ref="J169">IFERROR(INDEX(T_LEAVE_TYPES[SYMBOL],T_LEAVE[[#This Row],[LEAVE TYPE SYS ID]]),"")</f>
        <v/>
      </c>
      <c r="K169">
        <f>IF(T_LEAVE[[#This Row],[EMPLOYEE]]="","",IF(T_LEAVE[[#This Row],[ERROR]]="",0,1))</f>
        <v/>
      </c>
      <c r="L169">
        <f t="array" ref="L1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0">
      <c r="A170" t="inlineStr">
        <is>
          <t>Sunil Kumar Gupta (1029521)</t>
        </is>
      </c>
      <c r="B170" s="15" t="inlineStr">
        <is>
          <t>Monday, 25 September 2023</t>
        </is>
      </c>
      <c r="C170" s="15" t="inlineStr">
        <is>
          <t>Monday, 25 September 2023</t>
        </is>
      </c>
      <c r="D170" t="inlineStr">
        <is>
          <t xml:space="preserve">Casual / Sick </t>
        </is>
      </c>
      <c r="E170" t="n">
        <v>1</v>
      </c>
      <c r="F170" s="1" t="n"/>
      <c r="G170" s="1" t="n"/>
      <c r="H170">
        <f>IF(T_LEAVE[[#This Row],[EMPLOYEE]]="","",MATCH(T_LEAVE[[#This Row],[EMPLOYEE]],L_EMPLABELS,0))</f>
        <v/>
      </c>
      <c r="I170">
        <f>IF(T_LEAVE[[#This Row],[EMPLOYEE]]="","",MATCH(T_LEAVE[[#This Row],[LEAVE TYPE]],L_LEAVETYPES,0))</f>
        <v/>
      </c>
      <c r="J170">
        <f t="array" ref="J170">IFERROR(INDEX(T_LEAVE_TYPES[SYMBOL],T_LEAVE[[#This Row],[LEAVE TYPE SYS ID]]),"")</f>
        <v/>
      </c>
      <c r="K170">
        <f>IF(T_LEAVE[[#This Row],[EMPLOYEE]]="","",IF(T_LEAVE[[#This Row],[ERROR]]="",0,1))</f>
        <v/>
      </c>
      <c r="L170">
        <f t="array" ref="L1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1">
      <c r="A171" t="inlineStr">
        <is>
          <t>Veera Satya Kishore Swamy Allaka (1029895)</t>
        </is>
      </c>
      <c r="B171" s="15" t="inlineStr">
        <is>
          <t>Friday, 22 September 2023</t>
        </is>
      </c>
      <c r="C171" s="15" t="inlineStr">
        <is>
          <t>Friday, 22 September 2023</t>
        </is>
      </c>
      <c r="D171" t="inlineStr">
        <is>
          <t>Privilege</t>
        </is>
      </c>
      <c r="E171" t="n">
        <v>0.5</v>
      </c>
      <c r="F171" s="1" t="n"/>
      <c r="G171" s="1" t="n"/>
      <c r="H171">
        <f>IF(T_LEAVE[[#This Row],[EMPLOYEE]]="","",MATCH(T_LEAVE[[#This Row],[EMPLOYEE]],L_EMPLABELS,0))</f>
        <v/>
      </c>
      <c r="I171">
        <f>IF(T_LEAVE[[#This Row],[EMPLOYEE]]="","",MATCH(T_LEAVE[[#This Row],[LEAVE TYPE]],L_LEAVETYPES,0))</f>
        <v/>
      </c>
      <c r="J171">
        <f t="array" ref="J171">IFERROR(INDEX(T_LEAVE_TYPES[SYMBOL],T_LEAVE[[#This Row],[LEAVE TYPE SYS ID]]),"")</f>
        <v/>
      </c>
      <c r="K171">
        <f>IF(T_LEAVE[[#This Row],[EMPLOYEE]]="","",IF(T_LEAVE[[#This Row],[ERROR]]="",0,1))</f>
        <v/>
      </c>
      <c r="L171">
        <f t="array" ref="L1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2">
      <c r="A172" t="inlineStr">
        <is>
          <t>Gaurav Sharma (1029867)</t>
        </is>
      </c>
      <c r="B172" s="15" t="inlineStr">
        <is>
          <t>Tuesday, 19 September 2023</t>
        </is>
      </c>
      <c r="C172" s="15" t="inlineStr">
        <is>
          <t>Tuesday, 19 September 2023</t>
        </is>
      </c>
      <c r="D172" t="inlineStr">
        <is>
          <t xml:space="preserve">Casual / Sick </t>
        </is>
      </c>
      <c r="E172" t="n">
        <v>1</v>
      </c>
      <c r="F172" s="1" t="n"/>
      <c r="G172" s="1" t="n"/>
      <c r="H172">
        <f>IF(T_LEAVE[[#This Row],[EMPLOYEE]]="","",MATCH(T_LEAVE[[#This Row],[EMPLOYEE]],L_EMPLABELS,0))</f>
        <v/>
      </c>
      <c r="I172">
        <f>IF(T_LEAVE[[#This Row],[EMPLOYEE]]="","",MATCH(T_LEAVE[[#This Row],[LEAVE TYPE]],L_LEAVETYPES,0))</f>
        <v/>
      </c>
      <c r="J172">
        <f t="array" ref="J172">IFERROR(INDEX(T_LEAVE_TYPES[SYMBOL],T_LEAVE[[#This Row],[LEAVE TYPE SYS ID]]),"")</f>
        <v/>
      </c>
      <c r="K172">
        <f>IF(T_LEAVE[[#This Row],[EMPLOYEE]]="","",IF(T_LEAVE[[#This Row],[ERROR]]="",0,1))</f>
        <v/>
      </c>
      <c r="L172">
        <f t="array" ref="L1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3">
      <c r="A173" t="inlineStr">
        <is>
          <t>Yanamadala Likhitha Sree (1029868)</t>
        </is>
      </c>
      <c r="B173" s="15" t="inlineStr">
        <is>
          <t>Thursday, 21 September 2023</t>
        </is>
      </c>
      <c r="C173" s="15" t="inlineStr">
        <is>
          <t>Thursday, 21 September 2023</t>
        </is>
      </c>
      <c r="D173" t="inlineStr">
        <is>
          <t xml:space="preserve">Casual / Sick </t>
        </is>
      </c>
      <c r="E173" t="n">
        <v>1</v>
      </c>
      <c r="F173" s="1" t="n"/>
      <c r="G173" s="1" t="n"/>
      <c r="H173">
        <f>IF(T_LEAVE[[#This Row],[EMPLOYEE]]="","",MATCH(T_LEAVE[[#This Row],[EMPLOYEE]],L_EMPLABELS,0))</f>
        <v/>
      </c>
      <c r="I173">
        <f>IF(T_LEAVE[[#This Row],[EMPLOYEE]]="","",MATCH(T_LEAVE[[#This Row],[LEAVE TYPE]],L_LEAVETYPES,0))</f>
        <v/>
      </c>
      <c r="J173">
        <f t="array" ref="J173">IFERROR(INDEX(T_LEAVE_TYPES[SYMBOL],T_LEAVE[[#This Row],[LEAVE TYPE SYS ID]]),"")</f>
        <v/>
      </c>
      <c r="K173">
        <f>IF(T_LEAVE[[#This Row],[EMPLOYEE]]="","",IF(T_LEAVE[[#This Row],[ERROR]]="",0,1))</f>
        <v/>
      </c>
      <c r="L173">
        <f t="array" ref="L1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4">
      <c r="A174" t="inlineStr">
        <is>
          <t>Darshan Balu Gade (1031095)</t>
        </is>
      </c>
      <c r="B174" s="15" t="inlineStr">
        <is>
          <t>Friday, 15 September 2023</t>
        </is>
      </c>
      <c r="C174" s="15" t="inlineStr">
        <is>
          <t>Friday, 15 September 2023</t>
        </is>
      </c>
      <c r="D174" t="inlineStr">
        <is>
          <t xml:space="preserve">Casual / Sick </t>
        </is>
      </c>
      <c r="E174" t="n">
        <v>1</v>
      </c>
      <c r="F174" s="1" t="n"/>
      <c r="G174" s="1" t="n"/>
      <c r="H174">
        <f>IF(T_LEAVE[[#This Row],[EMPLOYEE]]="","",MATCH(T_LEAVE[[#This Row],[EMPLOYEE]],L_EMPLABELS,0))</f>
        <v/>
      </c>
      <c r="I174">
        <f>IF(T_LEAVE[[#This Row],[EMPLOYEE]]="","",MATCH(T_LEAVE[[#This Row],[LEAVE TYPE]],L_LEAVETYPES,0))</f>
        <v/>
      </c>
      <c r="J174">
        <f t="array" ref="J174">IFERROR(INDEX(T_LEAVE_TYPES[SYMBOL],T_LEAVE[[#This Row],[LEAVE TYPE SYS ID]]),"")</f>
        <v/>
      </c>
      <c r="K174">
        <f>IF(T_LEAVE[[#This Row],[EMPLOYEE]]="","",IF(T_LEAVE[[#This Row],[ERROR]]="",0,1))</f>
        <v/>
      </c>
      <c r="L174">
        <f t="array" ref="L1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5">
      <c r="A175" t="inlineStr">
        <is>
          <t>Ojasvi Gulabrao Hedau (1031087)</t>
        </is>
      </c>
      <c r="B175" s="15" t="inlineStr">
        <is>
          <t>Friday, 15 September 2023</t>
        </is>
      </c>
      <c r="C175" s="15" t="inlineStr">
        <is>
          <t>Friday, 15 September 2023</t>
        </is>
      </c>
      <c r="D175" t="inlineStr">
        <is>
          <t xml:space="preserve">Casual / Sick </t>
        </is>
      </c>
      <c r="E175" t="n">
        <v>1</v>
      </c>
      <c r="F175" s="1" t="n"/>
      <c r="G175" s="1" t="n"/>
      <c r="H175">
        <f>IF(T_LEAVE[[#This Row],[EMPLOYEE]]="","",MATCH(T_LEAVE[[#This Row],[EMPLOYEE]],L_EMPLABELS,0))</f>
        <v/>
      </c>
      <c r="I175">
        <f>IF(T_LEAVE[[#This Row],[EMPLOYEE]]="","",MATCH(T_LEAVE[[#This Row],[LEAVE TYPE]],L_LEAVETYPES,0))</f>
        <v/>
      </c>
      <c r="J175">
        <f t="array" ref="J175">IFERROR(INDEX(T_LEAVE_TYPES[SYMBOL],T_LEAVE[[#This Row],[LEAVE TYPE SYS ID]]),"")</f>
        <v/>
      </c>
      <c r="K175">
        <f>IF(T_LEAVE[[#This Row],[EMPLOYEE]]="","",IF(T_LEAVE[[#This Row],[ERROR]]="",0,1))</f>
        <v/>
      </c>
      <c r="L175">
        <f t="array" ref="L1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6">
      <c r="A176" t="inlineStr">
        <is>
          <t>Bhagyashree Patil (1030253)</t>
        </is>
      </c>
      <c r="B176" s="15" t="inlineStr">
        <is>
          <t>Tuesday, 19 September 2023</t>
        </is>
      </c>
      <c r="C176" s="15" t="inlineStr">
        <is>
          <t>Tuesday, 19 September 2023</t>
        </is>
      </c>
      <c r="D176" t="inlineStr">
        <is>
          <t xml:space="preserve">Casual / Sick </t>
        </is>
      </c>
      <c r="E176" t="n">
        <v>1</v>
      </c>
      <c r="F176" s="1" t="n"/>
      <c r="G176" s="1" t="n"/>
      <c r="H176">
        <f>IF(T_LEAVE[[#This Row],[EMPLOYEE]]="","",MATCH(T_LEAVE[[#This Row],[EMPLOYEE]],L_EMPLABELS,0))</f>
        <v/>
      </c>
      <c r="I176">
        <f>IF(T_LEAVE[[#This Row],[EMPLOYEE]]="","",MATCH(T_LEAVE[[#This Row],[LEAVE TYPE]],L_LEAVETYPES,0))</f>
        <v/>
      </c>
      <c r="J176">
        <f t="array" ref="J176">IFERROR(INDEX(T_LEAVE_TYPES[SYMBOL],T_LEAVE[[#This Row],[LEAVE TYPE SYS ID]]),"")</f>
        <v/>
      </c>
      <c r="K176">
        <f>IF(T_LEAVE[[#This Row],[EMPLOYEE]]="","",IF(T_LEAVE[[#This Row],[ERROR]]="",0,1))</f>
        <v/>
      </c>
      <c r="L176">
        <f t="array" ref="L1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7">
      <c r="A177" t="inlineStr">
        <is>
          <t>Shashi Kumar D (1028007)</t>
        </is>
      </c>
      <c r="B177" s="15" t="inlineStr">
        <is>
          <t>Friday, 01 September 2023</t>
        </is>
      </c>
      <c r="C177" s="15" t="inlineStr">
        <is>
          <t>Friday, 01 September 2023</t>
        </is>
      </c>
      <c r="D177" t="inlineStr">
        <is>
          <t xml:space="preserve">Casual / Sick </t>
        </is>
      </c>
      <c r="E177" t="n">
        <v>0.5</v>
      </c>
      <c r="F177" s="1" t="n"/>
      <c r="G177" s="1" t="n"/>
      <c r="H177">
        <f>IF(T_LEAVE[[#This Row],[EMPLOYEE]]="","",MATCH(T_LEAVE[[#This Row],[EMPLOYEE]],L_EMPLABELS,0))</f>
        <v/>
      </c>
      <c r="I177">
        <f>IF(T_LEAVE[[#This Row],[EMPLOYEE]]="","",MATCH(T_LEAVE[[#This Row],[LEAVE TYPE]],L_LEAVETYPES,0))</f>
        <v/>
      </c>
      <c r="J177">
        <f t="array" ref="J177">IFERROR(INDEX(T_LEAVE_TYPES[SYMBOL],T_LEAVE[[#This Row],[LEAVE TYPE SYS ID]]),"")</f>
        <v/>
      </c>
      <c r="K177">
        <f>IF(T_LEAVE[[#This Row],[EMPLOYEE]]="","",IF(T_LEAVE[[#This Row],[ERROR]]="",0,1))</f>
        <v/>
      </c>
      <c r="L177">
        <f t="array" ref="L1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8">
      <c r="A178" t="inlineStr">
        <is>
          <t>Kummari Yeshwanth (1029885)</t>
        </is>
      </c>
      <c r="B178" s="15" t="inlineStr">
        <is>
          <t>Monday, 04 September 2023</t>
        </is>
      </c>
      <c r="C178" s="15" t="inlineStr">
        <is>
          <t>Monday, 04 September 2023</t>
        </is>
      </c>
      <c r="D178" t="inlineStr">
        <is>
          <t xml:space="preserve">Casual / Sick </t>
        </is>
      </c>
      <c r="E178" t="n">
        <v>1</v>
      </c>
      <c r="F178" s="1" t="n"/>
      <c r="G178" s="1" t="n"/>
      <c r="H178">
        <f>IF(T_LEAVE[[#This Row],[EMPLOYEE]]="","",MATCH(T_LEAVE[[#This Row],[EMPLOYEE]],L_EMPLABELS,0))</f>
        <v/>
      </c>
      <c r="I178">
        <f>IF(T_LEAVE[[#This Row],[EMPLOYEE]]="","",MATCH(T_LEAVE[[#This Row],[LEAVE TYPE]],L_LEAVETYPES,0))</f>
        <v/>
      </c>
      <c r="J178">
        <f t="array" ref="J178">IFERROR(INDEX(T_LEAVE_TYPES[SYMBOL],T_LEAVE[[#This Row],[LEAVE TYPE SYS ID]]),"")</f>
        <v/>
      </c>
      <c r="K178">
        <f>IF(T_LEAVE[[#This Row],[EMPLOYEE]]="","",IF(T_LEAVE[[#This Row],[ERROR]]="",0,1))</f>
        <v/>
      </c>
      <c r="L178">
        <f t="array" ref="L1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79">
      <c r="A179" t="inlineStr">
        <is>
          <t>Ankit Radheshyam Patil (1031039)</t>
        </is>
      </c>
      <c r="B179" s="15" t="inlineStr">
        <is>
          <t>Monday, 04 September 2023</t>
        </is>
      </c>
      <c r="C179" s="15" t="inlineStr">
        <is>
          <t>Monday, 04 September 2023</t>
        </is>
      </c>
      <c r="D179" t="inlineStr">
        <is>
          <t xml:space="preserve">Casual / Sick </t>
        </is>
      </c>
      <c r="E179" t="n">
        <v>1</v>
      </c>
      <c r="F179" s="1" t="n"/>
      <c r="G179" s="1" t="n"/>
      <c r="H179">
        <f>IF(T_LEAVE[[#This Row],[EMPLOYEE]]="","",MATCH(T_LEAVE[[#This Row],[EMPLOYEE]],L_EMPLABELS,0))</f>
        <v/>
      </c>
      <c r="I179">
        <f>IF(T_LEAVE[[#This Row],[EMPLOYEE]]="","",MATCH(T_LEAVE[[#This Row],[LEAVE TYPE]],L_LEAVETYPES,0))</f>
        <v/>
      </c>
      <c r="J179">
        <f t="array" ref="J179">IFERROR(INDEX(T_LEAVE_TYPES[SYMBOL],T_LEAVE[[#This Row],[LEAVE TYPE SYS ID]]),"")</f>
        <v/>
      </c>
      <c r="K179">
        <f>IF(T_LEAVE[[#This Row],[EMPLOYEE]]="","",IF(T_LEAVE[[#This Row],[ERROR]]="",0,1))</f>
        <v/>
      </c>
      <c r="L179">
        <f t="array" ref="L1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0">
      <c r="A180" t="inlineStr">
        <is>
          <t>Kummari Yeshwanth (1029885)</t>
        </is>
      </c>
      <c r="B180" s="15" t="inlineStr">
        <is>
          <t>Monday, 04 September 2023</t>
        </is>
      </c>
      <c r="C180" s="15" t="inlineStr">
        <is>
          <t>Monday, 04 September 2023</t>
        </is>
      </c>
      <c r="D180" t="inlineStr">
        <is>
          <t>LOP</t>
        </is>
      </c>
      <c r="E180" t="n">
        <v>1</v>
      </c>
      <c r="F180" s="1" t="n"/>
      <c r="G180" s="1" t="n"/>
      <c r="H180">
        <f>IF(T_LEAVE[[#This Row],[EMPLOYEE]]="","",MATCH(T_LEAVE[[#This Row],[EMPLOYEE]],L_EMPLABELS,0))</f>
        <v/>
      </c>
      <c r="I180">
        <f>IF(T_LEAVE[[#This Row],[EMPLOYEE]]="","",MATCH(T_LEAVE[[#This Row],[LEAVE TYPE]],L_LEAVETYPES,0))</f>
        <v/>
      </c>
      <c r="J180">
        <f t="array" ref="J180">IFERROR(INDEX(T_LEAVE_TYPES[SYMBOL],T_LEAVE[[#This Row],[LEAVE TYPE SYS ID]]),"")</f>
        <v/>
      </c>
      <c r="K180">
        <f>IF(T_LEAVE[[#This Row],[EMPLOYEE]]="","",IF(T_LEAVE[[#This Row],[ERROR]]="",0,1))</f>
        <v/>
      </c>
      <c r="L180">
        <f t="array" ref="L1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1">
      <c r="A181" t="inlineStr">
        <is>
          <t>Katakam Vijaykumar (1017149)</t>
        </is>
      </c>
      <c r="B181" s="15" t="inlineStr">
        <is>
          <t>Friday, 03 September 2021</t>
        </is>
      </c>
      <c r="C181" s="15" t="inlineStr">
        <is>
          <t>Friday, 03 September 2021</t>
        </is>
      </c>
      <c r="D181" t="inlineStr">
        <is>
          <t xml:space="preserve">Casual / Sick </t>
        </is>
      </c>
      <c r="E181" t="n">
        <v>1</v>
      </c>
      <c r="F181" s="1" t="n"/>
      <c r="G181" s="1" t="n"/>
      <c r="H181">
        <f>IF(T_LEAVE[[#This Row],[EMPLOYEE]]="","",MATCH(T_LEAVE[[#This Row],[EMPLOYEE]],L_EMPLABELS,0))</f>
        <v/>
      </c>
      <c r="I181">
        <f>IF(T_LEAVE[[#This Row],[EMPLOYEE]]="","",MATCH(T_LEAVE[[#This Row],[LEAVE TYPE]],L_LEAVETYPES,0))</f>
        <v/>
      </c>
      <c r="J181">
        <f t="array" ref="J181">IFERROR(INDEX(T_LEAVE_TYPES[SYMBOL],T_LEAVE[[#This Row],[LEAVE TYPE SYS ID]]),"")</f>
        <v/>
      </c>
      <c r="K181">
        <f>IF(T_LEAVE[[#This Row],[EMPLOYEE]]="","",IF(T_LEAVE[[#This Row],[ERROR]]="",0,1))</f>
        <v/>
      </c>
      <c r="L181">
        <f t="array" ref="L1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2">
      <c r="A182" t="inlineStr">
        <is>
          <t>Talada Sumanth (1029520)</t>
        </is>
      </c>
      <c r="B182" s="15" t="inlineStr">
        <is>
          <t>Friday, 01 September 2023</t>
        </is>
      </c>
      <c r="C182" s="15" t="inlineStr">
        <is>
          <t>Friday, 01 September 2023</t>
        </is>
      </c>
      <c r="D182" t="inlineStr">
        <is>
          <t xml:space="preserve">Casual / Sick </t>
        </is>
      </c>
      <c r="E182" t="n">
        <v>1</v>
      </c>
      <c r="F182" s="1" t="n"/>
      <c r="G182" s="1" t="n"/>
      <c r="H182">
        <f>IF(T_LEAVE[[#This Row],[EMPLOYEE]]="","",MATCH(T_LEAVE[[#This Row],[EMPLOYEE]],L_EMPLABELS,0))</f>
        <v/>
      </c>
      <c r="I182">
        <f>IF(T_LEAVE[[#This Row],[EMPLOYEE]]="","",MATCH(T_LEAVE[[#This Row],[LEAVE TYPE]],L_LEAVETYPES,0))</f>
        <v/>
      </c>
      <c r="J182">
        <f t="array" ref="J182">IFERROR(INDEX(T_LEAVE_TYPES[SYMBOL],T_LEAVE[[#This Row],[LEAVE TYPE SYS ID]]),"")</f>
        <v/>
      </c>
      <c r="K182">
        <f>IF(T_LEAVE[[#This Row],[EMPLOYEE]]="","",IF(T_LEAVE[[#This Row],[ERROR]]="",0,1))</f>
        <v/>
      </c>
      <c r="L182">
        <f t="array" ref="L1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3">
      <c r="A183" t="inlineStr">
        <is>
          <t>Ojasvi Gulabrao Hedau (1031087)</t>
        </is>
      </c>
      <c r="B183" s="15" t="inlineStr">
        <is>
          <t>Friday, 25 August 2023</t>
        </is>
      </c>
      <c r="C183" s="15" t="inlineStr">
        <is>
          <t>Friday, 25 August 2023</t>
        </is>
      </c>
      <c r="D183" t="inlineStr">
        <is>
          <t xml:space="preserve">Casual / Sick </t>
        </is>
      </c>
      <c r="E183" t="n">
        <v>1</v>
      </c>
      <c r="F183" s="1" t="n"/>
      <c r="G183" s="1" t="n"/>
      <c r="H183">
        <f>IF(T_LEAVE[[#This Row],[EMPLOYEE]]="","",MATCH(T_LEAVE[[#This Row],[EMPLOYEE]],L_EMPLABELS,0))</f>
        <v/>
      </c>
      <c r="I183">
        <f>IF(T_LEAVE[[#This Row],[EMPLOYEE]]="","",MATCH(T_LEAVE[[#This Row],[LEAVE TYPE]],L_LEAVETYPES,0))</f>
        <v/>
      </c>
      <c r="J183">
        <f t="array" ref="J183">IFERROR(INDEX(T_LEAVE_TYPES[SYMBOL],T_LEAVE[[#This Row],[LEAVE TYPE SYS ID]]),"")</f>
        <v/>
      </c>
      <c r="K183">
        <f>IF(T_LEAVE[[#This Row],[EMPLOYEE]]="","",IF(T_LEAVE[[#This Row],[ERROR]]="",0,1))</f>
        <v/>
      </c>
      <c r="L183">
        <f t="array" ref="L1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4">
      <c r="A184" t="inlineStr">
        <is>
          <t>Atluri Priyanka (1030243)</t>
        </is>
      </c>
      <c r="B184" s="15" t="inlineStr">
        <is>
          <t>Wednesday, 23 August 2023</t>
        </is>
      </c>
      <c r="C184" s="15" t="inlineStr">
        <is>
          <t>Wednesday, 23 August 2023</t>
        </is>
      </c>
      <c r="D184" t="inlineStr">
        <is>
          <t xml:space="preserve">Casual / Sick </t>
        </is>
      </c>
      <c r="E184" t="n">
        <v>1</v>
      </c>
      <c r="F184" s="1" t="n"/>
      <c r="G184" s="1" t="n"/>
      <c r="H184">
        <f>IF(T_LEAVE[[#This Row],[EMPLOYEE]]="","",MATCH(T_LEAVE[[#This Row],[EMPLOYEE]],L_EMPLABELS,0))</f>
        <v/>
      </c>
      <c r="I184">
        <f>IF(T_LEAVE[[#This Row],[EMPLOYEE]]="","",MATCH(T_LEAVE[[#This Row],[LEAVE TYPE]],L_LEAVETYPES,0))</f>
        <v/>
      </c>
      <c r="J184">
        <f t="array" ref="J184">IFERROR(INDEX(T_LEAVE_TYPES[SYMBOL],T_LEAVE[[#This Row],[LEAVE TYPE SYS ID]]),"")</f>
        <v/>
      </c>
      <c r="K184">
        <f>IF(T_LEAVE[[#This Row],[EMPLOYEE]]="","",IF(T_LEAVE[[#This Row],[ERROR]]="",0,1))</f>
        <v/>
      </c>
      <c r="L184">
        <f t="array" ref="L1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5">
      <c r="A185" t="inlineStr">
        <is>
          <t>Ankit Sanjayrao Itankar (1031068)</t>
        </is>
      </c>
      <c r="B185" s="15" t="inlineStr">
        <is>
          <t>Friday, 25 August 2023</t>
        </is>
      </c>
      <c r="C185" s="15" t="inlineStr">
        <is>
          <t>Tuesday, 29 August 2023</t>
        </is>
      </c>
      <c r="D185" t="inlineStr">
        <is>
          <t>Privilege</t>
        </is>
      </c>
      <c r="E185" t="n">
        <v>3</v>
      </c>
      <c r="F185" s="1" t="n"/>
      <c r="G185" s="1" t="n"/>
      <c r="H185">
        <f>IF(T_LEAVE[[#This Row],[EMPLOYEE]]="","",MATCH(T_LEAVE[[#This Row],[EMPLOYEE]],L_EMPLABELS,0))</f>
        <v/>
      </c>
      <c r="I185">
        <f>IF(T_LEAVE[[#This Row],[EMPLOYEE]]="","",MATCH(T_LEAVE[[#This Row],[LEAVE TYPE]],L_LEAVETYPES,0))</f>
        <v/>
      </c>
      <c r="J185">
        <f t="array" ref="J185">IFERROR(INDEX(T_LEAVE_TYPES[SYMBOL],T_LEAVE[[#This Row],[LEAVE TYPE SYS ID]]),"")</f>
        <v/>
      </c>
      <c r="K185">
        <f>IF(T_LEAVE[[#This Row],[EMPLOYEE]]="","",IF(T_LEAVE[[#This Row],[ERROR]]="",0,1))</f>
        <v/>
      </c>
      <c r="L185">
        <f t="array" ref="L1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6">
      <c r="A186" t="inlineStr">
        <is>
          <t>Veera Satya Kishore Swamy Allaka (1029895)</t>
        </is>
      </c>
      <c r="B186" s="15" t="inlineStr">
        <is>
          <t>Wednesday, 16 August 2023</t>
        </is>
      </c>
      <c r="C186" s="15" t="inlineStr">
        <is>
          <t>Wednesday, 16 August 2023</t>
        </is>
      </c>
      <c r="D186" t="inlineStr">
        <is>
          <t xml:space="preserve">Casual / Sick </t>
        </is>
      </c>
      <c r="E186" t="n">
        <v>1</v>
      </c>
      <c r="F186" s="1" t="n"/>
      <c r="G186" s="1" t="n"/>
      <c r="H186">
        <f>IF(T_LEAVE[[#This Row],[EMPLOYEE]]="","",MATCH(T_LEAVE[[#This Row],[EMPLOYEE]],L_EMPLABELS,0))</f>
        <v/>
      </c>
      <c r="I186">
        <f>IF(T_LEAVE[[#This Row],[EMPLOYEE]]="","",MATCH(T_LEAVE[[#This Row],[LEAVE TYPE]],L_LEAVETYPES,0))</f>
        <v/>
      </c>
      <c r="J186">
        <f t="array" ref="J186">IFERROR(INDEX(T_LEAVE_TYPES[SYMBOL],T_LEAVE[[#This Row],[LEAVE TYPE SYS ID]]),"")</f>
        <v/>
      </c>
      <c r="K186">
        <f>IF(T_LEAVE[[#This Row],[EMPLOYEE]]="","",IF(T_LEAVE[[#This Row],[ERROR]]="",0,1))</f>
        <v/>
      </c>
      <c r="L186">
        <f t="array" ref="L1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7">
      <c r="A187" t="inlineStr">
        <is>
          <t>Poola Partha Saradhi (1030911)</t>
        </is>
      </c>
      <c r="B187" s="15" t="inlineStr">
        <is>
          <t>Friday, 04 August 2023</t>
        </is>
      </c>
      <c r="C187" s="15" t="inlineStr">
        <is>
          <t>Monday, 07 August 2023</t>
        </is>
      </c>
      <c r="D187" t="inlineStr">
        <is>
          <t xml:space="preserve">Casual / Sick </t>
        </is>
      </c>
      <c r="E187" t="n">
        <v>2</v>
      </c>
      <c r="F187" s="1" t="n"/>
      <c r="G187" s="1" t="n"/>
      <c r="H187">
        <f>IF(T_LEAVE[[#This Row],[EMPLOYEE]]="","",MATCH(T_LEAVE[[#This Row],[EMPLOYEE]],L_EMPLABELS,0))</f>
        <v/>
      </c>
      <c r="I187">
        <f>IF(T_LEAVE[[#This Row],[EMPLOYEE]]="","",MATCH(T_LEAVE[[#This Row],[LEAVE TYPE]],L_LEAVETYPES,0))</f>
        <v/>
      </c>
      <c r="J187">
        <f t="array" ref="J187">IFERROR(INDEX(T_LEAVE_TYPES[SYMBOL],T_LEAVE[[#This Row],[LEAVE TYPE SYS ID]]),"")</f>
        <v/>
      </c>
      <c r="K187">
        <f>IF(T_LEAVE[[#This Row],[EMPLOYEE]]="","",IF(T_LEAVE[[#This Row],[ERROR]]="",0,1))</f>
        <v/>
      </c>
      <c r="L187">
        <f t="array" ref="L1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8">
      <c r="A188" t="inlineStr">
        <is>
          <t>Nagarjun Naidu Mannem (1019816)</t>
        </is>
      </c>
      <c r="B188" s="15" t="inlineStr">
        <is>
          <t>Friday, 18 August 2023</t>
        </is>
      </c>
      <c r="C188" s="15" t="inlineStr">
        <is>
          <t>Wednesday, 23 August 2023</t>
        </is>
      </c>
      <c r="D188" t="inlineStr">
        <is>
          <t>Privilege</t>
        </is>
      </c>
      <c r="E188" t="n">
        <v>4</v>
      </c>
      <c r="F188" s="1" t="n"/>
      <c r="G188" s="1" t="n"/>
      <c r="H188">
        <f>IF(T_LEAVE[[#This Row],[EMPLOYEE]]="","",MATCH(T_LEAVE[[#This Row],[EMPLOYEE]],L_EMPLABELS,0))</f>
        <v/>
      </c>
      <c r="I188">
        <f>IF(T_LEAVE[[#This Row],[EMPLOYEE]]="","",MATCH(T_LEAVE[[#This Row],[LEAVE TYPE]],L_LEAVETYPES,0))</f>
        <v/>
      </c>
      <c r="J188">
        <f t="array" ref="J188">IFERROR(INDEX(T_LEAVE_TYPES[SYMBOL],T_LEAVE[[#This Row],[LEAVE TYPE SYS ID]]),"")</f>
        <v/>
      </c>
      <c r="K188">
        <f>IF(T_LEAVE[[#This Row],[EMPLOYEE]]="","",IF(T_LEAVE[[#This Row],[ERROR]]="",0,1))</f>
        <v/>
      </c>
      <c r="L188">
        <f t="array" ref="L1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89">
      <c r="A189" t="inlineStr">
        <is>
          <t>Varshitha B V (1030691)</t>
        </is>
      </c>
      <c r="B189" s="15" t="inlineStr">
        <is>
          <t>Monday, 07 August 2023</t>
        </is>
      </c>
      <c r="C189" s="15" t="inlineStr">
        <is>
          <t>Monday, 07 August 2023</t>
        </is>
      </c>
      <c r="D189" t="inlineStr">
        <is>
          <t xml:space="preserve">Casual / Sick </t>
        </is>
      </c>
      <c r="E189" t="n">
        <v>1</v>
      </c>
      <c r="F189" s="1" t="n"/>
      <c r="G189" s="1" t="n"/>
      <c r="H189">
        <f>IF(T_LEAVE[[#This Row],[EMPLOYEE]]="","",MATCH(T_LEAVE[[#This Row],[EMPLOYEE]],L_EMPLABELS,0))</f>
        <v/>
      </c>
      <c r="I189">
        <f>IF(T_LEAVE[[#This Row],[EMPLOYEE]]="","",MATCH(T_LEAVE[[#This Row],[LEAVE TYPE]],L_LEAVETYPES,0))</f>
        <v/>
      </c>
      <c r="J189">
        <f t="array" ref="J189">IFERROR(INDEX(T_LEAVE_TYPES[SYMBOL],T_LEAVE[[#This Row],[LEAVE TYPE SYS ID]]),"")</f>
        <v/>
      </c>
      <c r="K189">
        <f>IF(T_LEAVE[[#This Row],[EMPLOYEE]]="","",IF(T_LEAVE[[#This Row],[ERROR]]="",0,1))</f>
        <v/>
      </c>
      <c r="L189">
        <f t="array" ref="L1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0">
      <c r="A190" t="inlineStr">
        <is>
          <t>Kummari Yeshwanth (1029885)</t>
        </is>
      </c>
      <c r="B190" s="15" t="inlineStr">
        <is>
          <t>Tuesday, 01 August 2023</t>
        </is>
      </c>
      <c r="C190" s="15" t="inlineStr">
        <is>
          <t>Wednesday, 02 August 2023</t>
        </is>
      </c>
      <c r="D190" t="inlineStr">
        <is>
          <t>Privilege</t>
        </is>
      </c>
      <c r="E190" t="n">
        <v>2</v>
      </c>
      <c r="F190" s="1" t="n"/>
      <c r="G190" s="1" t="n"/>
      <c r="H190">
        <f>IF(T_LEAVE[[#This Row],[EMPLOYEE]]="","",MATCH(T_LEAVE[[#This Row],[EMPLOYEE]],L_EMPLABELS,0))</f>
        <v/>
      </c>
      <c r="I190">
        <f>IF(T_LEAVE[[#This Row],[EMPLOYEE]]="","",MATCH(T_LEAVE[[#This Row],[LEAVE TYPE]],L_LEAVETYPES,0))</f>
        <v/>
      </c>
      <c r="J190">
        <f t="array" ref="J190">IFERROR(INDEX(T_LEAVE_TYPES[SYMBOL],T_LEAVE[[#This Row],[LEAVE TYPE SYS ID]]),"")</f>
        <v/>
      </c>
      <c r="K190">
        <f>IF(T_LEAVE[[#This Row],[EMPLOYEE]]="","",IF(T_LEAVE[[#This Row],[ERROR]]="",0,1))</f>
        <v/>
      </c>
      <c r="L190">
        <f t="array" ref="L1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1">
      <c r="A191" t="inlineStr">
        <is>
          <t>Rajesh Kumar M (1027422)</t>
        </is>
      </c>
      <c r="B191" s="15" t="inlineStr">
        <is>
          <t>Wednesday, 26 July 2023</t>
        </is>
      </c>
      <c r="C191" s="15" t="inlineStr">
        <is>
          <t>Wednesday, 26 July 2023</t>
        </is>
      </c>
      <c r="D191" t="inlineStr">
        <is>
          <t xml:space="preserve">Casual / Sick </t>
        </is>
      </c>
      <c r="E191" t="n">
        <v>1</v>
      </c>
      <c r="F191" s="1" t="n"/>
      <c r="G191" s="1" t="n"/>
      <c r="H191">
        <f>IF(T_LEAVE[[#This Row],[EMPLOYEE]]="","",MATCH(T_LEAVE[[#This Row],[EMPLOYEE]],L_EMPLABELS,0))</f>
        <v/>
      </c>
      <c r="I191">
        <f>IF(T_LEAVE[[#This Row],[EMPLOYEE]]="","",MATCH(T_LEAVE[[#This Row],[LEAVE TYPE]],L_LEAVETYPES,0))</f>
        <v/>
      </c>
      <c r="J191">
        <f t="array" ref="J191">IFERROR(INDEX(T_LEAVE_TYPES[SYMBOL],T_LEAVE[[#This Row],[LEAVE TYPE SYS ID]]),"")</f>
        <v/>
      </c>
      <c r="K191">
        <f>IF(T_LEAVE[[#This Row],[EMPLOYEE]]="","",IF(T_LEAVE[[#This Row],[ERROR]]="",0,1))</f>
        <v/>
      </c>
      <c r="L191">
        <f t="array" ref="L1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2">
      <c r="A192" t="inlineStr">
        <is>
          <t>Sunil Kumar Gupta (1029521)</t>
        </is>
      </c>
      <c r="B192" s="15" t="inlineStr">
        <is>
          <t>Wednesday, 12 July 2023</t>
        </is>
      </c>
      <c r="C192" s="15" t="inlineStr">
        <is>
          <t>Wednesday, 12 July 2023</t>
        </is>
      </c>
      <c r="D192" t="inlineStr">
        <is>
          <t>Privilege</t>
        </is>
      </c>
      <c r="E192" t="n">
        <v>1</v>
      </c>
      <c r="F192" s="1" t="n"/>
      <c r="G192" s="1" t="n"/>
      <c r="H192">
        <f>IF(T_LEAVE[[#This Row],[EMPLOYEE]]="","",MATCH(T_LEAVE[[#This Row],[EMPLOYEE]],L_EMPLABELS,0))</f>
        <v/>
      </c>
      <c r="I192">
        <f>IF(T_LEAVE[[#This Row],[EMPLOYEE]]="","",MATCH(T_LEAVE[[#This Row],[LEAVE TYPE]],L_LEAVETYPES,0))</f>
        <v/>
      </c>
      <c r="J192">
        <f t="array" ref="J192">IFERROR(INDEX(T_LEAVE_TYPES[SYMBOL],T_LEAVE[[#This Row],[LEAVE TYPE SYS ID]]),"")</f>
        <v/>
      </c>
      <c r="K192">
        <f>IF(T_LEAVE[[#This Row],[EMPLOYEE]]="","",IF(T_LEAVE[[#This Row],[ERROR]]="",0,1))</f>
        <v/>
      </c>
      <c r="L192">
        <f t="array" ref="L1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3">
      <c r="A193" t="inlineStr">
        <is>
          <t>Shashi Kumar D (1028007)</t>
        </is>
      </c>
      <c r="B193" s="15" t="inlineStr">
        <is>
          <t>Friday, 30 June 2023</t>
        </is>
      </c>
      <c r="C193" s="15" t="inlineStr">
        <is>
          <t>Friday, 30 June 2023</t>
        </is>
      </c>
      <c r="D193" t="inlineStr">
        <is>
          <t xml:space="preserve">Casual / Sick </t>
        </is>
      </c>
      <c r="E193" t="n">
        <v>1</v>
      </c>
      <c r="F193" s="1" t="n"/>
      <c r="G193" s="1" t="n"/>
      <c r="H193">
        <f>IF(T_LEAVE[[#This Row],[EMPLOYEE]]="","",MATCH(T_LEAVE[[#This Row],[EMPLOYEE]],L_EMPLABELS,0))</f>
        <v/>
      </c>
      <c r="I193">
        <f>IF(T_LEAVE[[#This Row],[EMPLOYEE]]="","",MATCH(T_LEAVE[[#This Row],[LEAVE TYPE]],L_LEAVETYPES,0))</f>
        <v/>
      </c>
      <c r="J193">
        <f t="array" ref="J193">IFERROR(INDEX(T_LEAVE_TYPES[SYMBOL],T_LEAVE[[#This Row],[LEAVE TYPE SYS ID]]),"")</f>
        <v/>
      </c>
      <c r="K193">
        <f>IF(T_LEAVE[[#This Row],[EMPLOYEE]]="","",IF(T_LEAVE[[#This Row],[ERROR]]="",0,1))</f>
        <v/>
      </c>
      <c r="L193">
        <f t="array" ref="L1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4">
      <c r="A194" t="inlineStr">
        <is>
          <t>Shashi Kumar D (1028007)</t>
        </is>
      </c>
      <c r="B194" s="15" t="inlineStr">
        <is>
          <t>Wednesday, 28 June 2023</t>
        </is>
      </c>
      <c r="C194" s="15" t="inlineStr">
        <is>
          <t>Wednesday, 28 June 2023</t>
        </is>
      </c>
      <c r="D194" t="inlineStr">
        <is>
          <t xml:space="preserve">Casual / Sick </t>
        </is>
      </c>
      <c r="E194" t="n">
        <v>1</v>
      </c>
      <c r="F194" s="1" t="n"/>
      <c r="G194" s="1" t="n"/>
      <c r="H194">
        <f>IF(T_LEAVE[[#This Row],[EMPLOYEE]]="","",MATCH(T_LEAVE[[#This Row],[EMPLOYEE]],L_EMPLABELS,0))</f>
        <v/>
      </c>
      <c r="I194">
        <f>IF(T_LEAVE[[#This Row],[EMPLOYEE]]="","",MATCH(T_LEAVE[[#This Row],[LEAVE TYPE]],L_LEAVETYPES,0))</f>
        <v/>
      </c>
      <c r="J194">
        <f t="array" ref="J194">IFERROR(INDEX(T_LEAVE_TYPES[SYMBOL],T_LEAVE[[#This Row],[LEAVE TYPE SYS ID]]),"")</f>
        <v/>
      </c>
      <c r="K194">
        <f>IF(T_LEAVE[[#This Row],[EMPLOYEE]]="","",IF(T_LEAVE[[#This Row],[ERROR]]="",0,1))</f>
        <v/>
      </c>
      <c r="L194">
        <f t="array" ref="L1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5">
      <c r="A195" t="inlineStr">
        <is>
          <t>Sunil Kumar Gupta (1029521)</t>
        </is>
      </c>
      <c r="B195" s="15" t="inlineStr">
        <is>
          <t>Wednesday, 05 July 2023</t>
        </is>
      </c>
      <c r="C195" s="15" t="inlineStr">
        <is>
          <t>Wednesday, 05 July 2023</t>
        </is>
      </c>
      <c r="D195" t="inlineStr">
        <is>
          <t xml:space="preserve">Casual / Sick </t>
        </is>
      </c>
      <c r="E195" t="n">
        <v>1</v>
      </c>
      <c r="F195" s="1" t="n"/>
      <c r="G195" s="1" t="n"/>
      <c r="H195">
        <f>IF(T_LEAVE[[#This Row],[EMPLOYEE]]="","",MATCH(T_LEAVE[[#This Row],[EMPLOYEE]],L_EMPLABELS,0))</f>
        <v/>
      </c>
      <c r="I195">
        <f>IF(T_LEAVE[[#This Row],[EMPLOYEE]]="","",MATCH(T_LEAVE[[#This Row],[LEAVE TYPE]],L_LEAVETYPES,0))</f>
        <v/>
      </c>
      <c r="J195">
        <f t="array" ref="J195">IFERROR(INDEX(T_LEAVE_TYPES[SYMBOL],T_LEAVE[[#This Row],[LEAVE TYPE SYS ID]]),"")</f>
        <v/>
      </c>
      <c r="K195">
        <f>IF(T_LEAVE[[#This Row],[EMPLOYEE]]="","",IF(T_LEAVE[[#This Row],[ERROR]]="",0,1))</f>
        <v/>
      </c>
      <c r="L195">
        <f t="array" ref="L1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6">
      <c r="A196" t="inlineStr">
        <is>
          <t>Talada Sumanth (1029520)</t>
        </is>
      </c>
      <c r="B196" s="15" t="inlineStr">
        <is>
          <t>Thursday, 06 July 2023</t>
        </is>
      </c>
      <c r="C196" s="15" t="inlineStr">
        <is>
          <t>Friday, 07 July 2023</t>
        </is>
      </c>
      <c r="D196" t="inlineStr">
        <is>
          <t>Privilege</t>
        </is>
      </c>
      <c r="E196" t="n">
        <v>2</v>
      </c>
      <c r="F196" s="1" t="n"/>
      <c r="G196" s="1" t="n"/>
      <c r="H196">
        <f>IF(T_LEAVE[[#This Row],[EMPLOYEE]]="","",MATCH(T_LEAVE[[#This Row],[EMPLOYEE]],L_EMPLABELS,0))</f>
        <v/>
      </c>
      <c r="I196">
        <f>IF(T_LEAVE[[#This Row],[EMPLOYEE]]="","",MATCH(T_LEAVE[[#This Row],[LEAVE TYPE]],L_LEAVETYPES,0))</f>
        <v/>
      </c>
      <c r="J196">
        <f t="array" ref="J196">IFERROR(INDEX(T_LEAVE_TYPES[SYMBOL],T_LEAVE[[#This Row],[LEAVE TYPE SYS ID]]),"")</f>
        <v/>
      </c>
      <c r="K196">
        <f>IF(T_LEAVE[[#This Row],[EMPLOYEE]]="","",IF(T_LEAVE[[#This Row],[ERROR]]="",0,1))</f>
        <v/>
      </c>
      <c r="L196">
        <f t="array" ref="L1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7">
      <c r="A197" t="inlineStr">
        <is>
          <t>Talada Sumanth (1029520)</t>
        </is>
      </c>
      <c r="B197" s="15" t="inlineStr">
        <is>
          <t>Friday, 30 June 2023</t>
        </is>
      </c>
      <c r="C197" s="15" t="inlineStr">
        <is>
          <t>Friday, 30 June 2023</t>
        </is>
      </c>
      <c r="D197" t="inlineStr">
        <is>
          <t xml:space="preserve">Casual / Sick </t>
        </is>
      </c>
      <c r="E197" t="n">
        <v>1</v>
      </c>
      <c r="F197" s="1" t="n"/>
      <c r="G197" s="1" t="n"/>
      <c r="H197">
        <f>IF(T_LEAVE[[#This Row],[EMPLOYEE]]="","",MATCH(T_LEAVE[[#This Row],[EMPLOYEE]],L_EMPLABELS,0))</f>
        <v/>
      </c>
      <c r="I197">
        <f>IF(T_LEAVE[[#This Row],[EMPLOYEE]]="","",MATCH(T_LEAVE[[#This Row],[LEAVE TYPE]],L_LEAVETYPES,0))</f>
        <v/>
      </c>
      <c r="J197">
        <f t="array" ref="J197">IFERROR(INDEX(T_LEAVE_TYPES[SYMBOL],T_LEAVE[[#This Row],[LEAVE TYPE SYS ID]]),"")</f>
        <v/>
      </c>
      <c r="K197">
        <f>IF(T_LEAVE[[#This Row],[EMPLOYEE]]="","",IF(T_LEAVE[[#This Row],[ERROR]]="",0,1))</f>
        <v/>
      </c>
      <c r="L197">
        <f t="array" ref="L1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8">
      <c r="A198" t="inlineStr">
        <is>
          <t>Talada Sumanth (1029520)</t>
        </is>
      </c>
      <c r="B198" s="15" t="inlineStr">
        <is>
          <t>Friday, 23 June 2023</t>
        </is>
      </c>
      <c r="C198" s="15" t="inlineStr">
        <is>
          <t>Friday, 23 June 2023</t>
        </is>
      </c>
      <c r="D198" t="inlineStr">
        <is>
          <t xml:space="preserve">Casual / Sick </t>
        </is>
      </c>
      <c r="E198" t="n">
        <v>1</v>
      </c>
      <c r="F198" s="1" t="n"/>
      <c r="G198" s="1" t="n"/>
      <c r="H198">
        <f>IF(T_LEAVE[[#This Row],[EMPLOYEE]]="","",MATCH(T_LEAVE[[#This Row],[EMPLOYEE]],L_EMPLABELS,0))</f>
        <v/>
      </c>
      <c r="I198">
        <f>IF(T_LEAVE[[#This Row],[EMPLOYEE]]="","",MATCH(T_LEAVE[[#This Row],[LEAVE TYPE]],L_LEAVETYPES,0))</f>
        <v/>
      </c>
      <c r="J198">
        <f t="array" ref="J198">IFERROR(INDEX(T_LEAVE_TYPES[SYMBOL],T_LEAVE[[#This Row],[LEAVE TYPE SYS ID]]),"")</f>
        <v/>
      </c>
      <c r="K198">
        <f>IF(T_LEAVE[[#This Row],[EMPLOYEE]]="","",IF(T_LEAVE[[#This Row],[ERROR]]="",0,1))</f>
        <v/>
      </c>
      <c r="L198">
        <f t="array" ref="L1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199">
      <c r="A199" t="inlineStr">
        <is>
          <t>Akash Vasant Kadam (1031064)</t>
        </is>
      </c>
      <c r="B199" s="15" t="inlineStr">
        <is>
          <t>Monday, 26 June 2023</t>
        </is>
      </c>
      <c r="C199" s="15" t="inlineStr">
        <is>
          <t>Friday, 30 June 2023</t>
        </is>
      </c>
      <c r="D199" t="inlineStr">
        <is>
          <t xml:space="preserve">Casual / Sick </t>
        </is>
      </c>
      <c r="E199" t="n">
        <v>4</v>
      </c>
      <c r="F199" s="1" t="n"/>
      <c r="G199" s="1" t="n"/>
      <c r="H199">
        <f>IF(T_LEAVE[[#This Row],[EMPLOYEE]]="","",MATCH(T_LEAVE[[#This Row],[EMPLOYEE]],L_EMPLABELS,0))</f>
        <v/>
      </c>
      <c r="I199">
        <f>IF(T_LEAVE[[#This Row],[EMPLOYEE]]="","",MATCH(T_LEAVE[[#This Row],[LEAVE TYPE]],L_LEAVETYPES,0))</f>
        <v/>
      </c>
      <c r="J199">
        <f t="array" ref="J199">IFERROR(INDEX(T_LEAVE_TYPES[SYMBOL],T_LEAVE[[#This Row],[LEAVE TYPE SYS ID]]),"")</f>
        <v/>
      </c>
      <c r="K199">
        <f>IF(T_LEAVE[[#This Row],[EMPLOYEE]]="","",IF(T_LEAVE[[#This Row],[ERROR]]="",0,1))</f>
        <v/>
      </c>
      <c r="L199">
        <f t="array" ref="L1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0">
      <c r="A200" t="inlineStr">
        <is>
          <t>Yanamadala Likhitha Sree (1029868)</t>
        </is>
      </c>
      <c r="B200" s="15" t="inlineStr">
        <is>
          <t>Wednesday, 28 June 2023</t>
        </is>
      </c>
      <c r="C200" s="15" t="inlineStr">
        <is>
          <t>Friday, 30 June 2023</t>
        </is>
      </c>
      <c r="D200" t="inlineStr">
        <is>
          <t>Privilege</t>
        </is>
      </c>
      <c r="E200" t="n">
        <v>2</v>
      </c>
      <c r="F200" s="1" t="n"/>
      <c r="G200" s="1" t="n"/>
      <c r="H200">
        <f>IF(T_LEAVE[[#This Row],[EMPLOYEE]]="","",MATCH(T_LEAVE[[#This Row],[EMPLOYEE]],L_EMPLABELS,0))</f>
        <v/>
      </c>
      <c r="I200">
        <f>IF(T_LEAVE[[#This Row],[EMPLOYEE]]="","",MATCH(T_LEAVE[[#This Row],[LEAVE TYPE]],L_LEAVETYPES,0))</f>
        <v/>
      </c>
      <c r="J200">
        <f t="array" ref="J200">IFERROR(INDEX(T_LEAVE_TYPES[SYMBOL],T_LEAVE[[#This Row],[LEAVE TYPE SYS ID]]),"")</f>
        <v/>
      </c>
      <c r="K200">
        <f>IF(T_LEAVE[[#This Row],[EMPLOYEE]]="","",IF(T_LEAVE[[#This Row],[ERROR]]="",0,1))</f>
        <v/>
      </c>
      <c r="L200">
        <f t="array" ref="L2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1">
      <c r="A201" t="inlineStr">
        <is>
          <t>Gaurav Jha (1030908)</t>
        </is>
      </c>
      <c r="B201" s="15" t="inlineStr">
        <is>
          <t>Monday, 05 June 2023</t>
        </is>
      </c>
      <c r="C201" s="15" t="inlineStr">
        <is>
          <t>Friday, 09 June 2023</t>
        </is>
      </c>
      <c r="D201" t="inlineStr">
        <is>
          <t>Privilege</t>
        </is>
      </c>
      <c r="E201" t="n">
        <v>5</v>
      </c>
      <c r="F201" s="1" t="n"/>
      <c r="G201" s="1" t="n"/>
      <c r="H201">
        <f>IF(T_LEAVE[[#This Row],[EMPLOYEE]]="","",MATCH(T_LEAVE[[#This Row],[EMPLOYEE]],L_EMPLABELS,0))</f>
        <v/>
      </c>
      <c r="I201">
        <f>IF(T_LEAVE[[#This Row],[EMPLOYEE]]="","",MATCH(T_LEAVE[[#This Row],[LEAVE TYPE]],L_LEAVETYPES,0))</f>
        <v/>
      </c>
      <c r="J201">
        <f t="array" ref="J201">IFERROR(INDEX(T_LEAVE_TYPES[SYMBOL],T_LEAVE[[#This Row],[LEAVE TYPE SYS ID]]),"")</f>
        <v/>
      </c>
      <c r="K201">
        <f>IF(T_LEAVE[[#This Row],[EMPLOYEE]]="","",IF(T_LEAVE[[#This Row],[ERROR]]="",0,1))</f>
        <v/>
      </c>
      <c r="L201">
        <f t="array" ref="L2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2">
      <c r="A202" t="inlineStr">
        <is>
          <t>Kummari Yeshwanth (1029885)</t>
        </is>
      </c>
      <c r="B202" s="15" t="inlineStr">
        <is>
          <t>Monday, 05 June 2023</t>
        </is>
      </c>
      <c r="C202" s="15" t="inlineStr">
        <is>
          <t>Friday, 09 June 2023</t>
        </is>
      </c>
      <c r="D202" t="inlineStr">
        <is>
          <t>Privilege</t>
        </is>
      </c>
      <c r="E202" t="n">
        <v>5</v>
      </c>
      <c r="F202" s="1" t="n"/>
      <c r="G202" s="1" t="n"/>
      <c r="H202">
        <f>IF(T_LEAVE[[#This Row],[EMPLOYEE]]="","",MATCH(T_LEAVE[[#This Row],[EMPLOYEE]],L_EMPLABELS,0))</f>
        <v/>
      </c>
      <c r="I202">
        <f>IF(T_LEAVE[[#This Row],[EMPLOYEE]]="","",MATCH(T_LEAVE[[#This Row],[LEAVE TYPE]],L_LEAVETYPES,0))</f>
        <v/>
      </c>
      <c r="J202">
        <f t="array" ref="J202">IFERROR(INDEX(T_LEAVE_TYPES[SYMBOL],T_LEAVE[[#This Row],[LEAVE TYPE SYS ID]]),"")</f>
        <v/>
      </c>
      <c r="K202">
        <f>IF(T_LEAVE[[#This Row],[EMPLOYEE]]="","",IF(T_LEAVE[[#This Row],[ERROR]]="",0,1))</f>
        <v/>
      </c>
      <c r="L202">
        <f t="array" ref="L2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3">
      <c r="A203" t="inlineStr">
        <is>
          <t>Talada Sumanth (1029520)</t>
        </is>
      </c>
      <c r="B203" s="15" t="inlineStr">
        <is>
          <t>Friday, 09 June 2023</t>
        </is>
      </c>
      <c r="C203" s="15" t="inlineStr">
        <is>
          <t>Friday, 09 June 2023</t>
        </is>
      </c>
      <c r="D203" t="inlineStr">
        <is>
          <t xml:space="preserve">Casual / Sick </t>
        </is>
      </c>
      <c r="E203" t="n">
        <v>1</v>
      </c>
      <c r="F203" s="1" t="n"/>
      <c r="G203" s="1" t="n"/>
      <c r="H203">
        <f>IF(T_LEAVE[[#This Row],[EMPLOYEE]]="","",MATCH(T_LEAVE[[#This Row],[EMPLOYEE]],L_EMPLABELS,0))</f>
        <v/>
      </c>
      <c r="I203">
        <f>IF(T_LEAVE[[#This Row],[EMPLOYEE]]="","",MATCH(T_LEAVE[[#This Row],[LEAVE TYPE]],L_LEAVETYPES,0))</f>
        <v/>
      </c>
      <c r="J203">
        <f t="array" ref="J203">IFERROR(INDEX(T_LEAVE_TYPES[SYMBOL],T_LEAVE[[#This Row],[LEAVE TYPE SYS ID]]),"")</f>
        <v/>
      </c>
      <c r="K203">
        <f>IF(T_LEAVE[[#This Row],[EMPLOYEE]]="","",IF(T_LEAVE[[#This Row],[ERROR]]="",0,1))</f>
        <v/>
      </c>
      <c r="L203">
        <f t="array" ref="L20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4">
      <c r="A204" t="inlineStr">
        <is>
          <t>Poola Partha Saradhi (1030911)</t>
        </is>
      </c>
      <c r="B204" s="15" t="inlineStr">
        <is>
          <t>Tuesday, 06 June 2023</t>
        </is>
      </c>
      <c r="C204" s="15" t="inlineStr">
        <is>
          <t>Tuesday, 06 June 2023</t>
        </is>
      </c>
      <c r="D204" t="inlineStr">
        <is>
          <t xml:space="preserve">Casual / Sick </t>
        </is>
      </c>
      <c r="E204" t="n">
        <v>1</v>
      </c>
      <c r="F204" s="1" t="n"/>
      <c r="G204" s="1" t="n"/>
      <c r="H204">
        <f>IF(T_LEAVE[[#This Row],[EMPLOYEE]]="","",MATCH(T_LEAVE[[#This Row],[EMPLOYEE]],L_EMPLABELS,0))</f>
        <v/>
      </c>
      <c r="I204">
        <f>IF(T_LEAVE[[#This Row],[EMPLOYEE]]="","",MATCH(T_LEAVE[[#This Row],[LEAVE TYPE]],L_LEAVETYPES,0))</f>
        <v/>
      </c>
      <c r="J204">
        <f t="array" ref="J204">IFERROR(INDEX(T_LEAVE_TYPES[SYMBOL],T_LEAVE[[#This Row],[LEAVE TYPE SYS ID]]),"")</f>
        <v/>
      </c>
      <c r="K204">
        <f>IF(T_LEAVE[[#This Row],[EMPLOYEE]]="","",IF(T_LEAVE[[#This Row],[ERROR]]="",0,1))</f>
        <v/>
      </c>
      <c r="L204">
        <f t="array" ref="L20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5">
      <c r="A205" t="inlineStr">
        <is>
          <t>Ambika G Prabhu (1027414)</t>
        </is>
      </c>
      <c r="B205" s="15" t="inlineStr">
        <is>
          <t>Monday, 22 May 2023</t>
        </is>
      </c>
      <c r="C205" s="15" t="inlineStr">
        <is>
          <t>Monday, 22 May 2023</t>
        </is>
      </c>
      <c r="D205" t="inlineStr">
        <is>
          <t xml:space="preserve">Casual / Sick </t>
        </is>
      </c>
      <c r="E205" t="n">
        <v>1</v>
      </c>
      <c r="F205" s="1" t="n"/>
      <c r="G205" s="1" t="n"/>
      <c r="H205">
        <f>IF(T_LEAVE[[#This Row],[EMPLOYEE]]="","",MATCH(T_LEAVE[[#This Row],[EMPLOYEE]],L_EMPLABELS,0))</f>
        <v/>
      </c>
      <c r="I205">
        <f>IF(T_LEAVE[[#This Row],[EMPLOYEE]]="","",MATCH(T_LEAVE[[#This Row],[LEAVE TYPE]],L_LEAVETYPES,0))</f>
        <v/>
      </c>
      <c r="J205">
        <f t="array" ref="J205">IFERROR(INDEX(T_LEAVE_TYPES[SYMBOL],T_LEAVE[[#This Row],[LEAVE TYPE SYS ID]]),"")</f>
        <v/>
      </c>
      <c r="K205">
        <f>IF(T_LEAVE[[#This Row],[EMPLOYEE]]="","",IF(T_LEAVE[[#This Row],[ERROR]]="",0,1))</f>
        <v/>
      </c>
      <c r="L205">
        <f t="array" ref="L20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6">
      <c r="A206" t="inlineStr">
        <is>
          <t>Madhusmita Das (1028452)</t>
        </is>
      </c>
      <c r="B206" s="15" t="inlineStr">
        <is>
          <t>Tuesday, 23 May 2023</t>
        </is>
      </c>
      <c r="C206" s="15" t="inlineStr">
        <is>
          <t>Monday, 20 November 2023</t>
        </is>
      </c>
      <c r="D206" t="inlineStr">
        <is>
          <t>Maternity</t>
        </is>
      </c>
      <c r="E206" t="n">
        <v>182</v>
      </c>
      <c r="F206" s="1" t="n"/>
      <c r="G206" s="1" t="n"/>
      <c r="H206">
        <f>IF(T_LEAVE[[#This Row],[EMPLOYEE]]="","",MATCH(T_LEAVE[[#This Row],[EMPLOYEE]],L_EMPLABELS,0))</f>
        <v/>
      </c>
      <c r="I206">
        <f>IF(T_LEAVE[[#This Row],[EMPLOYEE]]="","",MATCH(T_LEAVE[[#This Row],[LEAVE TYPE]],L_LEAVETYPES,0))</f>
        <v/>
      </c>
      <c r="J206">
        <f t="array" ref="J206">IFERROR(INDEX(T_LEAVE_TYPES[SYMBOL],T_LEAVE[[#This Row],[LEAVE TYPE SYS ID]]),"")</f>
        <v/>
      </c>
      <c r="K206">
        <f>IF(T_LEAVE[[#This Row],[EMPLOYEE]]="","",IF(T_LEAVE[[#This Row],[ERROR]]="",0,1))</f>
        <v/>
      </c>
      <c r="L206">
        <f t="array" ref="L20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7">
      <c r="A207" t="inlineStr">
        <is>
          <t>Madhusmita Das (1028452)</t>
        </is>
      </c>
      <c r="B207" s="15" t="inlineStr">
        <is>
          <t>Wednesday, 17 May 2023</t>
        </is>
      </c>
      <c r="C207" s="15" t="inlineStr">
        <is>
          <t>Thursday, 18 May 2023</t>
        </is>
      </c>
      <c r="D207" t="inlineStr">
        <is>
          <t xml:space="preserve">Casual / Sick </t>
        </is>
      </c>
      <c r="E207" t="n">
        <v>2</v>
      </c>
      <c r="F207" s="1" t="n"/>
      <c r="G207" s="1" t="n"/>
      <c r="H207">
        <f>IF(T_LEAVE[[#This Row],[EMPLOYEE]]="","",MATCH(T_LEAVE[[#This Row],[EMPLOYEE]],L_EMPLABELS,0))</f>
        <v/>
      </c>
      <c r="I207">
        <f>IF(T_LEAVE[[#This Row],[EMPLOYEE]]="","",MATCH(T_LEAVE[[#This Row],[LEAVE TYPE]],L_LEAVETYPES,0))</f>
        <v/>
      </c>
      <c r="J207">
        <f t="array" ref="J207">IFERROR(INDEX(T_LEAVE_TYPES[SYMBOL],T_LEAVE[[#This Row],[LEAVE TYPE SYS ID]]),"")</f>
        <v/>
      </c>
      <c r="K207">
        <f>IF(T_LEAVE[[#This Row],[EMPLOYEE]]="","",IF(T_LEAVE[[#This Row],[ERROR]]="",0,1))</f>
        <v/>
      </c>
      <c r="L207">
        <f t="array" ref="L20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8">
      <c r="A208" t="inlineStr">
        <is>
          <t>Katam  Nagaraju (1028066)</t>
        </is>
      </c>
      <c r="B208" s="15" t="inlineStr">
        <is>
          <t>Thursday, 04 January 2024</t>
        </is>
      </c>
      <c r="C208" s="15" t="inlineStr">
        <is>
          <t>Thursday, 04 January 2024</t>
        </is>
      </c>
      <c r="D208" t="inlineStr">
        <is>
          <t>Privilege</t>
        </is>
      </c>
      <c r="E208" t="n">
        <v>1</v>
      </c>
      <c r="F208" s="1" t="n"/>
      <c r="G208" s="1" t="n"/>
      <c r="H208">
        <f>IF(T_LEAVE[[#This Row],[EMPLOYEE]]="","",MATCH(T_LEAVE[[#This Row],[EMPLOYEE]],L_EMPLABELS,0))</f>
        <v/>
      </c>
      <c r="I208">
        <f>IF(T_LEAVE[[#This Row],[EMPLOYEE]]="","",MATCH(T_LEAVE[[#This Row],[LEAVE TYPE]],L_LEAVETYPES,0))</f>
        <v/>
      </c>
      <c r="J208">
        <f t="array" ref="J208">IFERROR(INDEX(T_LEAVE_TYPES[SYMBOL],T_LEAVE[[#This Row],[LEAVE TYPE SYS ID]]),"")</f>
        <v/>
      </c>
      <c r="K208">
        <f>IF(T_LEAVE[[#This Row],[EMPLOYEE]]="","",IF(T_LEAVE[[#This Row],[ERROR]]="",0,1))</f>
        <v/>
      </c>
      <c r="L208">
        <f t="array" ref="L20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09">
      <c r="A209" t="inlineStr">
        <is>
          <t>Katam  Nagaraju (1028066)</t>
        </is>
      </c>
      <c r="B209" s="15" t="inlineStr">
        <is>
          <t>Monday, 11 December 2023</t>
        </is>
      </c>
      <c r="C209" s="15" t="inlineStr">
        <is>
          <t>Monday, 11 December 2023</t>
        </is>
      </c>
      <c r="D209" t="inlineStr">
        <is>
          <t xml:space="preserve">Casual / Sick </t>
        </is>
      </c>
      <c r="E209" t="n">
        <v>1</v>
      </c>
      <c r="F209" s="1" t="n"/>
      <c r="G209" s="1" t="n"/>
      <c r="H209">
        <f>IF(T_LEAVE[[#This Row],[EMPLOYEE]]="","",MATCH(T_LEAVE[[#This Row],[EMPLOYEE]],L_EMPLABELS,0))</f>
        <v/>
      </c>
      <c r="I209">
        <f>IF(T_LEAVE[[#This Row],[EMPLOYEE]]="","",MATCH(T_LEAVE[[#This Row],[LEAVE TYPE]],L_LEAVETYPES,0))</f>
        <v/>
      </c>
      <c r="J209">
        <f t="array" ref="J209">IFERROR(INDEX(T_LEAVE_TYPES[SYMBOL],T_LEAVE[[#This Row],[LEAVE TYPE SYS ID]]),"")</f>
        <v/>
      </c>
      <c r="K209">
        <f>IF(T_LEAVE[[#This Row],[EMPLOYEE]]="","",IF(T_LEAVE[[#This Row],[ERROR]]="",0,1))</f>
        <v/>
      </c>
      <c r="L209">
        <f t="array" ref="L20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0">
      <c r="A210" t="inlineStr">
        <is>
          <t>Gaurav Sharma (1029867)</t>
        </is>
      </c>
      <c r="B210" s="15" t="inlineStr">
        <is>
          <t>Monday, 08 May 2023</t>
        </is>
      </c>
      <c r="C210" s="15" t="inlineStr">
        <is>
          <t>Thursday, 11 May 2023</t>
        </is>
      </c>
      <c r="D210" t="inlineStr">
        <is>
          <t>Paternity</t>
        </is>
      </c>
      <c r="E210" t="n">
        <v>4</v>
      </c>
      <c r="F210" s="1" t="n"/>
      <c r="G210" s="1" t="n"/>
      <c r="H210">
        <f>IF(T_LEAVE[[#This Row],[EMPLOYEE]]="","",MATCH(T_LEAVE[[#This Row],[EMPLOYEE]],L_EMPLABELS,0))</f>
        <v/>
      </c>
      <c r="I210">
        <f>IF(T_LEAVE[[#This Row],[EMPLOYEE]]="","",MATCH(T_LEAVE[[#This Row],[LEAVE TYPE]],L_LEAVETYPES,0))</f>
        <v/>
      </c>
      <c r="J210">
        <f t="array" ref="J210">IFERROR(INDEX(T_LEAVE_TYPES[SYMBOL],T_LEAVE[[#This Row],[LEAVE TYPE SYS ID]]),"")</f>
        <v/>
      </c>
      <c r="K210">
        <f>IF(T_LEAVE[[#This Row],[EMPLOYEE]]="","",IF(T_LEAVE[[#This Row],[ERROR]]="",0,1))</f>
        <v/>
      </c>
      <c r="L210">
        <f t="array" ref="L2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1">
      <c r="A211" t="inlineStr">
        <is>
          <t>Gaurav Sharma (1029867)</t>
        </is>
      </c>
      <c r="B211" s="15" t="inlineStr">
        <is>
          <t>Monday, 08 May 2023</t>
        </is>
      </c>
      <c r="C211" s="15" t="inlineStr">
        <is>
          <t>Thursday, 11 May 2023</t>
        </is>
      </c>
      <c r="D211" t="inlineStr">
        <is>
          <t>Paternity</t>
        </is>
      </c>
      <c r="E211" t="n">
        <v>4</v>
      </c>
      <c r="F211" s="1" t="n"/>
      <c r="G211" s="1" t="n"/>
      <c r="H211">
        <f>IF(T_LEAVE[[#This Row],[EMPLOYEE]]="","",MATCH(T_LEAVE[[#This Row],[EMPLOYEE]],L_EMPLABELS,0))</f>
        <v/>
      </c>
      <c r="I211">
        <f>IF(T_LEAVE[[#This Row],[EMPLOYEE]]="","",MATCH(T_LEAVE[[#This Row],[LEAVE TYPE]],L_LEAVETYPES,0))</f>
        <v/>
      </c>
      <c r="J211">
        <f t="array" ref="J211">IFERROR(INDEX(T_LEAVE_TYPES[SYMBOL],T_LEAVE[[#This Row],[LEAVE TYPE SYS ID]]),"")</f>
        <v/>
      </c>
      <c r="K211">
        <f>IF(T_LEAVE[[#This Row],[EMPLOYEE]]="","",IF(T_LEAVE[[#This Row],[ERROR]]="",0,1))</f>
        <v/>
      </c>
      <c r="L211">
        <f t="array" ref="L2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2">
      <c r="A212" t="inlineStr">
        <is>
          <t>Katam  Nagaraju (1028066)</t>
        </is>
      </c>
      <c r="B212" s="15" t="inlineStr">
        <is>
          <t>Wednesday, 22 November 2023</t>
        </is>
      </c>
      <c r="C212" s="15" t="inlineStr">
        <is>
          <t>Wednesday, 22 November 2023</t>
        </is>
      </c>
      <c r="D212" t="inlineStr">
        <is>
          <t xml:space="preserve">Casual / Sick </t>
        </is>
      </c>
      <c r="E212" t="n">
        <v>1</v>
      </c>
      <c r="F212" s="1" t="n"/>
      <c r="G212" s="1" t="n"/>
      <c r="H212">
        <f>IF(T_LEAVE[[#This Row],[EMPLOYEE]]="","",MATCH(T_LEAVE[[#This Row],[EMPLOYEE]],L_EMPLABELS,0))</f>
        <v/>
      </c>
      <c r="I212">
        <f>IF(T_LEAVE[[#This Row],[EMPLOYEE]]="","",MATCH(T_LEAVE[[#This Row],[LEAVE TYPE]],L_LEAVETYPES,0))</f>
        <v/>
      </c>
      <c r="J212">
        <f t="array" ref="J212">IFERROR(INDEX(T_LEAVE_TYPES[SYMBOL],T_LEAVE[[#This Row],[LEAVE TYPE SYS ID]]),"")</f>
        <v/>
      </c>
      <c r="K212">
        <f>IF(T_LEAVE[[#This Row],[EMPLOYEE]]="","",IF(T_LEAVE[[#This Row],[ERROR]]="",0,1))</f>
        <v/>
      </c>
      <c r="L212">
        <f t="array" ref="L2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3">
      <c r="A213" t="inlineStr">
        <is>
          <t>Katam  Nagaraju (1028066)</t>
        </is>
      </c>
      <c r="B213" s="15" t="inlineStr">
        <is>
          <t>Thursday, 02 November 2023</t>
        </is>
      </c>
      <c r="C213" s="15" t="inlineStr">
        <is>
          <t>Friday, 03 November 2023</t>
        </is>
      </c>
      <c r="D213" t="inlineStr">
        <is>
          <t xml:space="preserve">Casual / Sick </t>
        </is>
      </c>
      <c r="E213" t="n">
        <v>2</v>
      </c>
      <c r="F213" s="1" t="n"/>
      <c r="G213" s="1" t="n"/>
      <c r="H213">
        <f>IF(T_LEAVE[[#This Row],[EMPLOYEE]]="","",MATCH(T_LEAVE[[#This Row],[EMPLOYEE]],L_EMPLABELS,0))</f>
        <v/>
      </c>
      <c r="I213">
        <f>IF(T_LEAVE[[#This Row],[EMPLOYEE]]="","",MATCH(T_LEAVE[[#This Row],[LEAVE TYPE]],L_LEAVETYPES,0))</f>
        <v/>
      </c>
      <c r="J213">
        <f t="array" ref="J213">IFERROR(INDEX(T_LEAVE_TYPES[SYMBOL],T_LEAVE[[#This Row],[LEAVE TYPE SYS ID]]),"")</f>
        <v/>
      </c>
      <c r="K213">
        <f>IF(T_LEAVE[[#This Row],[EMPLOYEE]]="","",IF(T_LEAVE[[#This Row],[ERROR]]="",0,1))</f>
        <v/>
      </c>
      <c r="L213">
        <f t="array" ref="L2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4">
      <c r="A214" t="inlineStr">
        <is>
          <t>Katam  Nagaraju (1028066)</t>
        </is>
      </c>
      <c r="B214" s="15" t="inlineStr">
        <is>
          <t>Wednesday, 25 October 2023</t>
        </is>
      </c>
      <c r="C214" s="15" t="inlineStr">
        <is>
          <t>Wednesday, 25 October 2023</t>
        </is>
      </c>
      <c r="D214" t="inlineStr">
        <is>
          <t xml:space="preserve">Casual / Sick </t>
        </is>
      </c>
      <c r="E214" t="n">
        <v>1</v>
      </c>
      <c r="F214" s="1" t="n"/>
      <c r="G214" s="1" t="n"/>
      <c r="H214">
        <f>IF(T_LEAVE[[#This Row],[EMPLOYEE]]="","",MATCH(T_LEAVE[[#This Row],[EMPLOYEE]],L_EMPLABELS,0))</f>
        <v/>
      </c>
      <c r="I214">
        <f>IF(T_LEAVE[[#This Row],[EMPLOYEE]]="","",MATCH(T_LEAVE[[#This Row],[LEAVE TYPE]],L_LEAVETYPES,0))</f>
        <v/>
      </c>
      <c r="J214">
        <f t="array" ref="J214">IFERROR(INDEX(T_LEAVE_TYPES[SYMBOL],T_LEAVE[[#This Row],[LEAVE TYPE SYS ID]]),"")</f>
        <v/>
      </c>
      <c r="K214">
        <f>IF(T_LEAVE[[#This Row],[EMPLOYEE]]="","",IF(T_LEAVE[[#This Row],[ERROR]]="",0,1))</f>
        <v/>
      </c>
      <c r="L214">
        <f t="array" ref="L2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5">
      <c r="A215" t="inlineStr">
        <is>
          <t>Gaurav Sharma (1029867)</t>
        </is>
      </c>
      <c r="B215" s="15" t="inlineStr">
        <is>
          <t>Monday, 08 May 2023</t>
        </is>
      </c>
      <c r="C215" s="15" t="inlineStr">
        <is>
          <t>Thursday, 11 May 2023</t>
        </is>
      </c>
      <c r="D215" t="inlineStr">
        <is>
          <t>Paternity</t>
        </is>
      </c>
      <c r="E215" t="n">
        <v>4</v>
      </c>
      <c r="F215" s="1" t="n"/>
      <c r="G215" s="1" t="n"/>
      <c r="H215">
        <f>IF(T_LEAVE[[#This Row],[EMPLOYEE]]="","",MATCH(T_LEAVE[[#This Row],[EMPLOYEE]],L_EMPLABELS,0))</f>
        <v/>
      </c>
      <c r="I215">
        <f>IF(T_LEAVE[[#This Row],[EMPLOYEE]]="","",MATCH(T_LEAVE[[#This Row],[LEAVE TYPE]],L_LEAVETYPES,0))</f>
        <v/>
      </c>
      <c r="J215">
        <f t="array" ref="J215">IFERROR(INDEX(T_LEAVE_TYPES[SYMBOL],T_LEAVE[[#This Row],[LEAVE TYPE SYS ID]]),"")</f>
        <v/>
      </c>
      <c r="K215">
        <f>IF(T_LEAVE[[#This Row],[EMPLOYEE]]="","",IF(T_LEAVE[[#This Row],[ERROR]]="",0,1))</f>
        <v/>
      </c>
      <c r="L215">
        <f t="array" ref="L2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6">
      <c r="A216" t="inlineStr">
        <is>
          <t>Katam  Nagaraju (1028066)</t>
        </is>
      </c>
      <c r="B216" s="15" t="inlineStr">
        <is>
          <t>Thursday, 12 October 2023</t>
        </is>
      </c>
      <c r="C216" s="15" t="inlineStr">
        <is>
          <t>Thursday, 12 October 2023</t>
        </is>
      </c>
      <c r="D216" t="inlineStr">
        <is>
          <t>Privilege</t>
        </is>
      </c>
      <c r="E216" t="n">
        <v>1</v>
      </c>
      <c r="F216" s="1" t="n"/>
      <c r="G216" s="1" t="n"/>
      <c r="H216">
        <f>IF(T_LEAVE[[#This Row],[EMPLOYEE]]="","",MATCH(T_LEAVE[[#This Row],[EMPLOYEE]],L_EMPLABELS,0))</f>
        <v/>
      </c>
      <c r="I216">
        <f>IF(T_LEAVE[[#This Row],[EMPLOYEE]]="","",MATCH(T_LEAVE[[#This Row],[LEAVE TYPE]],L_LEAVETYPES,0))</f>
        <v/>
      </c>
      <c r="J216">
        <f t="array" ref="J216">IFERROR(INDEX(T_LEAVE_TYPES[SYMBOL],T_LEAVE[[#This Row],[LEAVE TYPE SYS ID]]),"")</f>
        <v/>
      </c>
      <c r="K216">
        <f>IF(T_LEAVE[[#This Row],[EMPLOYEE]]="","",IF(T_LEAVE[[#This Row],[ERROR]]="",0,1))</f>
        <v/>
      </c>
      <c r="L216">
        <f t="array" ref="L2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7">
      <c r="A217" t="inlineStr">
        <is>
          <t>Shashi Kumar D (1028007)</t>
        </is>
      </c>
      <c r="B217" s="15" t="inlineStr">
        <is>
          <t>Tuesday, 02 May 2023</t>
        </is>
      </c>
      <c r="C217" s="15" t="inlineStr">
        <is>
          <t>Tuesday, 02 May 2023</t>
        </is>
      </c>
      <c r="D217" t="inlineStr">
        <is>
          <t xml:space="preserve">Casual / Sick </t>
        </is>
      </c>
      <c r="E217" t="n">
        <v>1</v>
      </c>
      <c r="F217" s="1" t="n"/>
      <c r="G217" s="1" t="n"/>
      <c r="H217">
        <f>IF(T_LEAVE[[#This Row],[EMPLOYEE]]="","",MATCH(T_LEAVE[[#This Row],[EMPLOYEE]],L_EMPLABELS,0))</f>
        <v/>
      </c>
      <c r="I217">
        <f>IF(T_LEAVE[[#This Row],[EMPLOYEE]]="","",MATCH(T_LEAVE[[#This Row],[LEAVE TYPE]],L_LEAVETYPES,0))</f>
        <v/>
      </c>
      <c r="J217">
        <f t="array" ref="J217">IFERROR(INDEX(T_LEAVE_TYPES[SYMBOL],T_LEAVE[[#This Row],[LEAVE TYPE SYS ID]]),"")</f>
        <v/>
      </c>
      <c r="K217">
        <f>IF(T_LEAVE[[#This Row],[EMPLOYEE]]="","",IF(T_LEAVE[[#This Row],[ERROR]]="",0,1))</f>
        <v/>
      </c>
      <c r="L217">
        <f t="array" ref="L2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8">
      <c r="A218" t="inlineStr">
        <is>
          <t>Katam  Nagaraju (1028066)</t>
        </is>
      </c>
      <c r="B218" s="15" t="inlineStr">
        <is>
          <t>Monday, 07 August 2023</t>
        </is>
      </c>
      <c r="C218" s="15" t="inlineStr">
        <is>
          <t>Monday, 07 August 2023</t>
        </is>
      </c>
      <c r="D218" t="inlineStr">
        <is>
          <t xml:space="preserve">Casual / Sick </t>
        </is>
      </c>
      <c r="E218" t="n">
        <v>1</v>
      </c>
      <c r="F218" s="1" t="n"/>
      <c r="G218" s="1" t="n"/>
      <c r="H218">
        <f>IF(T_LEAVE[[#This Row],[EMPLOYEE]]="","",MATCH(T_LEAVE[[#This Row],[EMPLOYEE]],L_EMPLABELS,0))</f>
        <v/>
      </c>
      <c r="I218">
        <f>IF(T_LEAVE[[#This Row],[EMPLOYEE]]="","",MATCH(T_LEAVE[[#This Row],[LEAVE TYPE]],L_LEAVETYPES,0))</f>
        <v/>
      </c>
      <c r="J218">
        <f t="array" ref="J218">IFERROR(INDEX(T_LEAVE_TYPES[SYMBOL],T_LEAVE[[#This Row],[LEAVE TYPE SYS ID]]),"")</f>
        <v/>
      </c>
      <c r="K218">
        <f>IF(T_LEAVE[[#This Row],[EMPLOYEE]]="","",IF(T_LEAVE[[#This Row],[ERROR]]="",0,1))</f>
        <v/>
      </c>
      <c r="L218">
        <f t="array" ref="L2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19">
      <c r="A219" t="inlineStr">
        <is>
          <t>Kummari Yeshwanth (1029885)</t>
        </is>
      </c>
      <c r="B219" s="15" t="inlineStr">
        <is>
          <t>Monday, 08 May 2023</t>
        </is>
      </c>
      <c r="C219" s="15" t="inlineStr">
        <is>
          <t>Tuesday, 09 May 2023</t>
        </is>
      </c>
      <c r="D219" t="inlineStr">
        <is>
          <t xml:space="preserve">Casual / Sick </t>
        </is>
      </c>
      <c r="E219" t="n">
        <v>2</v>
      </c>
      <c r="F219" s="1" t="n"/>
      <c r="G219" s="1" t="n"/>
      <c r="H219">
        <f>IF(T_LEAVE[[#This Row],[EMPLOYEE]]="","",MATCH(T_LEAVE[[#This Row],[EMPLOYEE]],L_EMPLABELS,0))</f>
        <v/>
      </c>
      <c r="I219">
        <f>IF(T_LEAVE[[#This Row],[EMPLOYEE]]="","",MATCH(T_LEAVE[[#This Row],[LEAVE TYPE]],L_LEAVETYPES,0))</f>
        <v/>
      </c>
      <c r="J219">
        <f t="array" ref="J219">IFERROR(INDEX(T_LEAVE_TYPES[SYMBOL],T_LEAVE[[#This Row],[LEAVE TYPE SYS ID]]),"")</f>
        <v/>
      </c>
      <c r="K219">
        <f>IF(T_LEAVE[[#This Row],[EMPLOYEE]]="","",IF(T_LEAVE[[#This Row],[ERROR]]="",0,1))</f>
        <v/>
      </c>
      <c r="L219">
        <f t="array" ref="L2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0">
      <c r="A220" t="inlineStr">
        <is>
          <t>Veera Satya Kishore Swamy Allaka (1029895)</t>
        </is>
      </c>
      <c r="B220" s="15" t="inlineStr">
        <is>
          <t>Friday, 12 May 2023</t>
        </is>
      </c>
      <c r="C220" s="15" t="inlineStr">
        <is>
          <t>Tuesday, 16 May 2023</t>
        </is>
      </c>
      <c r="D220" t="inlineStr">
        <is>
          <t>Privilege</t>
        </is>
      </c>
      <c r="E220" t="n">
        <v>3</v>
      </c>
      <c r="F220" s="1" t="n"/>
      <c r="G220" s="1" t="n"/>
      <c r="H220">
        <f>IF(T_LEAVE[[#This Row],[EMPLOYEE]]="","",MATCH(T_LEAVE[[#This Row],[EMPLOYEE]],L_EMPLABELS,0))</f>
        <v/>
      </c>
      <c r="I220">
        <f>IF(T_LEAVE[[#This Row],[EMPLOYEE]]="","",MATCH(T_LEAVE[[#This Row],[LEAVE TYPE]],L_LEAVETYPES,0))</f>
        <v/>
      </c>
      <c r="J220">
        <f t="array" ref="J220">IFERROR(INDEX(T_LEAVE_TYPES[SYMBOL],T_LEAVE[[#This Row],[LEAVE TYPE SYS ID]]),"")</f>
        <v/>
      </c>
      <c r="K220">
        <f>IF(T_LEAVE[[#This Row],[EMPLOYEE]]="","",IF(T_LEAVE[[#This Row],[ERROR]]="",0,1))</f>
        <v/>
      </c>
      <c r="L220">
        <f t="array" ref="L2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1">
      <c r="A221" t="inlineStr">
        <is>
          <t>Katakam Vijaykumar (1017149)</t>
        </is>
      </c>
      <c r="B221" s="28" t="inlineStr">
        <is>
          <t>Friday, 13 October 2023</t>
        </is>
      </c>
      <c r="C221" s="15" t="inlineStr">
        <is>
          <t>Friday, 13 October 2023</t>
        </is>
      </c>
      <c r="D221" t="inlineStr">
        <is>
          <t xml:space="preserve">Casual / Sick </t>
        </is>
      </c>
      <c r="E221" t="n">
        <v>1</v>
      </c>
      <c r="F221" s="1" t="n"/>
      <c r="G221" s="1" t="n"/>
      <c r="H221">
        <f>IF(T_LEAVE[[#This Row],[EMPLOYEE]]="","",MATCH(T_LEAVE[[#This Row],[EMPLOYEE]],L_EMPLABELS,0))</f>
        <v/>
      </c>
      <c r="I221">
        <f>IF(T_LEAVE[[#This Row],[EMPLOYEE]]="","",MATCH(T_LEAVE[[#This Row],[LEAVE TYPE]],L_LEAVETYPES,0))</f>
        <v/>
      </c>
      <c r="J221">
        <f t="array" ref="J221">IFERROR(INDEX(T_LEAVE_TYPES[SYMBOL],T_LEAVE[[#This Row],[LEAVE TYPE SYS ID]]),"")</f>
        <v/>
      </c>
      <c r="K221">
        <f>IF(T_LEAVE[[#This Row],[EMPLOYEE]]="","",IF(T_LEAVE[[#This Row],[ERROR]]="",0,1))</f>
        <v/>
      </c>
      <c r="L221">
        <f t="array" ref="L2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2">
      <c r="A222" t="inlineStr">
        <is>
          <t>Katam  Nagaraju (1028066)</t>
        </is>
      </c>
      <c r="B222" s="15" t="inlineStr">
        <is>
          <t>Wednesday, 12 April 2023</t>
        </is>
      </c>
      <c r="C222" s="15" t="inlineStr">
        <is>
          <t>Wednesday, 12 April 2023</t>
        </is>
      </c>
      <c r="D222" t="inlineStr">
        <is>
          <t>Privilege</t>
        </is>
      </c>
      <c r="E222" t="n">
        <v>1</v>
      </c>
      <c r="F222" s="1" t="n"/>
      <c r="G222" s="1" t="n"/>
      <c r="H222">
        <f>IF(T_LEAVE[[#This Row],[EMPLOYEE]]="","",MATCH(T_LEAVE[[#This Row],[EMPLOYEE]],L_EMPLABELS,0))</f>
        <v/>
      </c>
      <c r="I222">
        <f>IF(T_LEAVE[[#This Row],[EMPLOYEE]]="","",MATCH(T_LEAVE[[#This Row],[LEAVE TYPE]],L_LEAVETYPES,0))</f>
        <v/>
      </c>
      <c r="J222">
        <f t="array" ref="J222">IFERROR(INDEX(T_LEAVE_TYPES[SYMBOL],T_LEAVE[[#This Row],[LEAVE TYPE SYS ID]]),"")</f>
        <v/>
      </c>
      <c r="K222">
        <f>IF(T_LEAVE[[#This Row],[EMPLOYEE]]="","",IF(T_LEAVE[[#This Row],[ERROR]]="",0,1))</f>
        <v/>
      </c>
      <c r="L222">
        <f t="array" ref="L2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3">
      <c r="A223" t="inlineStr">
        <is>
          <t>Ankit Sanjayrao Itankar (1031068)</t>
        </is>
      </c>
      <c r="B223" s="15" t="inlineStr">
        <is>
          <t>Friday, 05 May 2023</t>
        </is>
      </c>
      <c r="C223" s="15" t="inlineStr">
        <is>
          <t>Friday, 05 May 2023</t>
        </is>
      </c>
      <c r="D223" t="inlineStr">
        <is>
          <t xml:space="preserve">Casual / Sick </t>
        </is>
      </c>
      <c r="E223" t="n">
        <v>1</v>
      </c>
      <c r="F223" s="1" t="n"/>
      <c r="G223" s="1" t="n"/>
      <c r="H223">
        <f>IF(T_LEAVE[[#This Row],[EMPLOYEE]]="","",MATCH(T_LEAVE[[#This Row],[EMPLOYEE]],L_EMPLABELS,0))</f>
        <v/>
      </c>
      <c r="I223">
        <f>IF(T_LEAVE[[#This Row],[EMPLOYEE]]="","",MATCH(T_LEAVE[[#This Row],[LEAVE TYPE]],L_LEAVETYPES,0))</f>
        <v/>
      </c>
      <c r="J223">
        <f t="array" ref="J223">IFERROR(INDEX(T_LEAVE_TYPES[SYMBOL],T_LEAVE[[#This Row],[LEAVE TYPE SYS ID]]),"")</f>
        <v/>
      </c>
      <c r="K223">
        <f>IF(T_LEAVE[[#This Row],[EMPLOYEE]]="","",IF(T_LEAVE[[#This Row],[ERROR]]="",0,1))</f>
        <v/>
      </c>
      <c r="L223">
        <f t="array" ref="L2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4">
      <c r="A224" t="inlineStr">
        <is>
          <t>Ankit Sanjayrao Itankar (1031068)</t>
        </is>
      </c>
      <c r="B224" s="15" t="inlineStr">
        <is>
          <t>Thursday, 04 May 2023</t>
        </is>
      </c>
      <c r="C224" s="15" t="inlineStr">
        <is>
          <t>Thursday, 04 May 2023</t>
        </is>
      </c>
      <c r="D224" t="inlineStr">
        <is>
          <t xml:space="preserve">Casual / Sick </t>
        </is>
      </c>
      <c r="E224" t="n">
        <v>1</v>
      </c>
      <c r="F224" s="1" t="n"/>
      <c r="G224" s="1" t="n"/>
      <c r="H224">
        <f>IF(T_LEAVE[[#This Row],[EMPLOYEE]]="","",MATCH(T_LEAVE[[#This Row],[EMPLOYEE]],L_EMPLABELS,0))</f>
        <v/>
      </c>
      <c r="I224">
        <f>IF(T_LEAVE[[#This Row],[EMPLOYEE]]="","",MATCH(T_LEAVE[[#This Row],[LEAVE TYPE]],L_LEAVETYPES,0))</f>
        <v/>
      </c>
      <c r="J224">
        <f t="array" ref="J224">IFERROR(INDEX(T_LEAVE_TYPES[SYMBOL],T_LEAVE[[#This Row],[LEAVE TYPE SYS ID]]),"")</f>
        <v/>
      </c>
      <c r="K224">
        <f>IF(T_LEAVE[[#This Row],[EMPLOYEE]]="","",IF(T_LEAVE[[#This Row],[ERROR]]="",0,1))</f>
        <v/>
      </c>
      <c r="L224">
        <f t="array" ref="L2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5">
      <c r="A225" t="inlineStr">
        <is>
          <t>Katam  Nagaraju (1028066)</t>
        </is>
      </c>
      <c r="B225" s="15" t="inlineStr">
        <is>
          <t>Wednesday, 12 April 2023</t>
        </is>
      </c>
      <c r="C225" s="15" t="inlineStr">
        <is>
          <t>Wednesday, 12 April 2023</t>
        </is>
      </c>
      <c r="D225" s="17" t="inlineStr">
        <is>
          <t>Bereavement</t>
        </is>
      </c>
      <c r="E225" t="n">
        <v>1</v>
      </c>
      <c r="F225" s="1" t="n"/>
      <c r="G225" s="1" t="n"/>
      <c r="H225">
        <f>IF(T_LEAVE[[#This Row],[EMPLOYEE]]="","",MATCH(T_LEAVE[[#This Row],[EMPLOYEE]],L_EMPLABELS,0))</f>
        <v/>
      </c>
      <c r="I225">
        <f>IF(T_LEAVE[[#This Row],[EMPLOYEE]]="","",MATCH(T_LEAVE[[#This Row],[LEAVE TYPE]],L_LEAVETYPES,0))</f>
        <v/>
      </c>
      <c r="J225">
        <f t="array" ref="J225">IFERROR(INDEX(T_LEAVE_TYPES[SYMBOL],T_LEAVE[[#This Row],[LEAVE TYPE SYS ID]]),"")</f>
        <v/>
      </c>
      <c r="K225">
        <f>IF(T_LEAVE[[#This Row],[EMPLOYEE]]="","",IF(T_LEAVE[[#This Row],[ERROR]]="",0,1))</f>
        <v/>
      </c>
      <c r="L225">
        <f t="array" ref="L2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6">
      <c r="A226" t="inlineStr">
        <is>
          <t>Atluri Priyanka (1030243)</t>
        </is>
      </c>
      <c r="B226" s="15" t="inlineStr">
        <is>
          <t>Tuesday, 02 May 2023</t>
        </is>
      </c>
      <c r="C226" s="15" t="inlineStr">
        <is>
          <t>Tuesday, 02 May 2023</t>
        </is>
      </c>
      <c r="D226" t="inlineStr">
        <is>
          <t xml:space="preserve">Casual / Sick </t>
        </is>
      </c>
      <c r="E226" t="n">
        <v>1</v>
      </c>
      <c r="F226" s="1" t="n"/>
      <c r="G226" s="1" t="n"/>
      <c r="H226">
        <f>IF(T_LEAVE[[#This Row],[EMPLOYEE]]="","",MATCH(T_LEAVE[[#This Row],[EMPLOYEE]],L_EMPLABELS,0))</f>
        <v/>
      </c>
      <c r="I226">
        <f>IF(T_LEAVE[[#This Row],[EMPLOYEE]]="","",MATCH(T_LEAVE[[#This Row],[LEAVE TYPE]],L_LEAVETYPES,0))</f>
        <v/>
      </c>
      <c r="J226">
        <f t="array" ref="J226">IFERROR(INDEX(T_LEAVE_TYPES[SYMBOL],T_LEAVE[[#This Row],[LEAVE TYPE SYS ID]]),"")</f>
        <v/>
      </c>
      <c r="K226">
        <f>IF(T_LEAVE[[#This Row],[EMPLOYEE]]="","",IF(T_LEAVE[[#This Row],[ERROR]]="",0,1))</f>
        <v/>
      </c>
      <c r="L226">
        <f t="array" ref="L2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7">
      <c r="A227" t="inlineStr">
        <is>
          <t>Atluri Priyanka (1030243)</t>
        </is>
      </c>
      <c r="B227" s="15" t="inlineStr">
        <is>
          <t>Thursday, 27 April 2023</t>
        </is>
      </c>
      <c r="C227" s="15" t="inlineStr">
        <is>
          <t>Thursday, 27 April 2023</t>
        </is>
      </c>
      <c r="D227" t="inlineStr">
        <is>
          <t xml:space="preserve">Casual / Sick </t>
        </is>
      </c>
      <c r="E227" t="n">
        <v>1</v>
      </c>
      <c r="F227" s="1" t="n"/>
      <c r="G227" s="1" t="n"/>
      <c r="H227">
        <f>IF(T_LEAVE[[#This Row],[EMPLOYEE]]="","",MATCH(T_LEAVE[[#This Row],[EMPLOYEE]],L_EMPLABELS,0))</f>
        <v/>
      </c>
      <c r="I227">
        <f>IF(T_LEAVE[[#This Row],[EMPLOYEE]]="","",MATCH(T_LEAVE[[#This Row],[LEAVE TYPE]],L_LEAVETYPES,0))</f>
        <v/>
      </c>
      <c r="J227">
        <f t="array" ref="J227">IFERROR(INDEX(T_LEAVE_TYPES[SYMBOL],T_LEAVE[[#This Row],[LEAVE TYPE SYS ID]]),"")</f>
        <v/>
      </c>
      <c r="K227">
        <f>IF(T_LEAVE[[#This Row],[EMPLOYEE]]="","",IF(T_LEAVE[[#This Row],[ERROR]]="",0,1))</f>
        <v/>
      </c>
      <c r="L227">
        <f t="array" ref="L2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8">
      <c r="A228" t="inlineStr">
        <is>
          <t>Katam  Nagaraju (1028066)</t>
        </is>
      </c>
      <c r="B228" s="15" t="inlineStr">
        <is>
          <t>Thursday, 02 March 2023</t>
        </is>
      </c>
      <c r="C228" s="15" t="inlineStr">
        <is>
          <t>Thursday, 02 March 2023</t>
        </is>
      </c>
      <c r="D228" t="inlineStr">
        <is>
          <t xml:space="preserve">Casual / Sick </t>
        </is>
      </c>
      <c r="E228" t="n">
        <v>1</v>
      </c>
      <c r="F228" s="1" t="n"/>
      <c r="G228" s="1" t="n"/>
      <c r="H228">
        <f>IF(T_LEAVE[[#This Row],[EMPLOYEE]]="","",MATCH(T_LEAVE[[#This Row],[EMPLOYEE]],L_EMPLABELS,0))</f>
        <v/>
      </c>
      <c r="I228">
        <f>IF(T_LEAVE[[#This Row],[EMPLOYEE]]="","",MATCH(T_LEAVE[[#This Row],[LEAVE TYPE]],L_LEAVETYPES,0))</f>
        <v/>
      </c>
      <c r="J228">
        <f t="array" ref="J228">IFERROR(INDEX(T_LEAVE_TYPES[SYMBOL],T_LEAVE[[#This Row],[LEAVE TYPE SYS ID]]),"")</f>
        <v/>
      </c>
      <c r="K228">
        <f>IF(T_LEAVE[[#This Row],[EMPLOYEE]]="","",IF(T_LEAVE[[#This Row],[ERROR]]="",0,1))</f>
        <v/>
      </c>
      <c r="L228">
        <f t="array" ref="L2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29">
      <c r="A229" t="inlineStr">
        <is>
          <t>Katam  Nagaraju (1028066)</t>
        </is>
      </c>
      <c r="B229" s="15" t="inlineStr">
        <is>
          <t>Monday, 13 February 2023</t>
        </is>
      </c>
      <c r="C229" s="15" t="inlineStr">
        <is>
          <t>Tuesday, 14 February 2023</t>
        </is>
      </c>
      <c r="D229" t="inlineStr">
        <is>
          <t>Privilege</t>
        </is>
      </c>
      <c r="E229" t="n">
        <v>2</v>
      </c>
      <c r="F229" s="1" t="n"/>
      <c r="G229" s="1" t="n"/>
      <c r="H229">
        <f>IF(T_LEAVE[[#This Row],[EMPLOYEE]]="","",MATCH(T_LEAVE[[#This Row],[EMPLOYEE]],L_EMPLABELS,0))</f>
        <v/>
      </c>
      <c r="I229">
        <f>IF(T_LEAVE[[#This Row],[EMPLOYEE]]="","",MATCH(T_LEAVE[[#This Row],[LEAVE TYPE]],L_LEAVETYPES,0))</f>
        <v/>
      </c>
      <c r="J229">
        <f t="array" ref="J229">IFERROR(INDEX(T_LEAVE_TYPES[SYMBOL],T_LEAVE[[#This Row],[LEAVE TYPE SYS ID]]),"")</f>
        <v/>
      </c>
      <c r="K229">
        <f>IF(T_LEAVE[[#This Row],[EMPLOYEE]]="","",IF(T_LEAVE[[#This Row],[ERROR]]="",0,1))</f>
        <v/>
      </c>
      <c r="L229">
        <f t="array" ref="L2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0">
      <c r="A230" t="inlineStr">
        <is>
          <t>Katam  Nagaraju (1028066)</t>
        </is>
      </c>
      <c r="B230" s="15" t="inlineStr">
        <is>
          <t>Monday, 02 January 2023</t>
        </is>
      </c>
      <c r="C230" s="15" t="inlineStr">
        <is>
          <t>Monday, 02 January 2023</t>
        </is>
      </c>
      <c r="D230" t="inlineStr">
        <is>
          <t xml:space="preserve">Casual / Sick </t>
        </is>
      </c>
      <c r="E230" t="n">
        <v>1</v>
      </c>
      <c r="F230" s="1" t="n"/>
      <c r="G230" s="1" t="n"/>
      <c r="H230">
        <f>IF(T_LEAVE[[#This Row],[EMPLOYEE]]="","",MATCH(T_LEAVE[[#This Row],[EMPLOYEE]],L_EMPLABELS,0))</f>
        <v/>
      </c>
      <c r="I230">
        <f>IF(T_LEAVE[[#This Row],[EMPLOYEE]]="","",MATCH(T_LEAVE[[#This Row],[LEAVE TYPE]],L_LEAVETYPES,0))</f>
        <v/>
      </c>
      <c r="J230">
        <f t="array" ref="J230">IFERROR(INDEX(T_LEAVE_TYPES[SYMBOL],T_LEAVE[[#This Row],[LEAVE TYPE SYS ID]]),"")</f>
        <v/>
      </c>
      <c r="K230">
        <f>IF(T_LEAVE[[#This Row],[EMPLOYEE]]="","",IF(T_LEAVE[[#This Row],[ERROR]]="",0,1))</f>
        <v/>
      </c>
      <c r="L230">
        <f t="array" ref="L2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1">
      <c r="A231" t="inlineStr">
        <is>
          <t>Katam  Nagaraju (1028066)</t>
        </is>
      </c>
      <c r="B231" s="15" t="inlineStr">
        <is>
          <t>Wednesday, 07 December 2022</t>
        </is>
      </c>
      <c r="C231" s="15" t="inlineStr">
        <is>
          <t>Wednesday, 07 December 2022</t>
        </is>
      </c>
      <c r="D231" t="inlineStr">
        <is>
          <t xml:space="preserve">Casual / Sick </t>
        </is>
      </c>
      <c r="E231" t="n">
        <v>1</v>
      </c>
      <c r="F231" s="1" t="n"/>
      <c r="G231" s="1" t="n"/>
      <c r="H231">
        <f>IF(T_LEAVE[[#This Row],[EMPLOYEE]]="","",MATCH(T_LEAVE[[#This Row],[EMPLOYEE]],L_EMPLABELS,0))</f>
        <v/>
      </c>
      <c r="I231">
        <f>IF(T_LEAVE[[#This Row],[EMPLOYEE]]="","",MATCH(T_LEAVE[[#This Row],[LEAVE TYPE]],L_LEAVETYPES,0))</f>
        <v/>
      </c>
      <c r="J231">
        <f t="array" ref="J231">IFERROR(INDEX(T_LEAVE_TYPES[SYMBOL],T_LEAVE[[#This Row],[LEAVE TYPE SYS ID]]),"")</f>
        <v/>
      </c>
      <c r="K231">
        <f>IF(T_LEAVE[[#This Row],[EMPLOYEE]]="","",IF(T_LEAVE[[#This Row],[ERROR]]="",0,1))</f>
        <v/>
      </c>
      <c r="L231">
        <f t="array" ref="L2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2">
      <c r="A232" t="inlineStr">
        <is>
          <t>Bhagyashree Patil (1030253)</t>
        </is>
      </c>
      <c r="B232" s="15" t="inlineStr">
        <is>
          <t>Friday, 14 April 2023</t>
        </is>
      </c>
      <c r="C232" s="15" t="inlineStr">
        <is>
          <t>Friday, 21 April 2023</t>
        </is>
      </c>
      <c r="D232" t="inlineStr">
        <is>
          <t>Privilege</t>
        </is>
      </c>
      <c r="E232" t="n">
        <v>6</v>
      </c>
      <c r="F232" s="1" t="n"/>
      <c r="G232" s="1" t="n"/>
      <c r="H232">
        <f>IF(T_LEAVE[[#This Row],[EMPLOYEE]]="","",MATCH(T_LEAVE[[#This Row],[EMPLOYEE]],L_EMPLABELS,0))</f>
        <v/>
      </c>
      <c r="I232">
        <f>IF(T_LEAVE[[#This Row],[EMPLOYEE]]="","",MATCH(T_LEAVE[[#This Row],[LEAVE TYPE]],L_LEAVETYPES,0))</f>
        <v/>
      </c>
      <c r="J232">
        <f t="array" ref="J232">IFERROR(INDEX(T_LEAVE_TYPES[SYMBOL],T_LEAVE[[#This Row],[LEAVE TYPE SYS ID]]),"")</f>
        <v/>
      </c>
      <c r="K232">
        <f>IF(T_LEAVE[[#This Row],[EMPLOYEE]]="","",IF(T_LEAVE[[#This Row],[ERROR]]="",0,1))</f>
        <v/>
      </c>
      <c r="L232">
        <f t="array" ref="L2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3">
      <c r="A233" t="inlineStr">
        <is>
          <t>Veera Satya Kishore Swamy Allaka (1029895)</t>
        </is>
      </c>
      <c r="B233" s="15" t="inlineStr">
        <is>
          <t>Friday, 21 April 2023</t>
        </is>
      </c>
      <c r="C233" s="15" t="inlineStr">
        <is>
          <t>Friday, 21 April 2023</t>
        </is>
      </c>
      <c r="D233" t="inlineStr">
        <is>
          <t xml:space="preserve">Casual / Sick </t>
        </is>
      </c>
      <c r="E233" t="n">
        <v>1</v>
      </c>
      <c r="F233" s="1" t="n"/>
      <c r="G233" s="1" t="n"/>
      <c r="H233">
        <f>IF(T_LEAVE[[#This Row],[EMPLOYEE]]="","",MATCH(T_LEAVE[[#This Row],[EMPLOYEE]],L_EMPLABELS,0))</f>
        <v/>
      </c>
      <c r="I233">
        <f>IF(T_LEAVE[[#This Row],[EMPLOYEE]]="","",MATCH(T_LEAVE[[#This Row],[LEAVE TYPE]],L_LEAVETYPES,0))</f>
        <v/>
      </c>
      <c r="J233">
        <f t="array" ref="J233">IFERROR(INDEX(T_LEAVE_TYPES[SYMBOL],T_LEAVE[[#This Row],[LEAVE TYPE SYS ID]]),"")</f>
        <v/>
      </c>
      <c r="K233">
        <f>IF(T_LEAVE[[#This Row],[EMPLOYEE]]="","",IF(T_LEAVE[[#This Row],[ERROR]]="",0,1))</f>
        <v/>
      </c>
      <c r="L233">
        <f t="array" ref="L2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4">
      <c r="A234" t="inlineStr">
        <is>
          <t>Saurabh Rajendra Kadam (1031040)</t>
        </is>
      </c>
      <c r="B234" s="15" t="inlineStr">
        <is>
          <t>Friday, 28 April 2023</t>
        </is>
      </c>
      <c r="C234" s="15" t="inlineStr">
        <is>
          <t>Friday, 28 April 2023</t>
        </is>
      </c>
      <c r="D234" t="inlineStr">
        <is>
          <t>Privilege</t>
        </is>
      </c>
      <c r="E234" t="n">
        <v>1</v>
      </c>
      <c r="F234" s="1" t="n"/>
      <c r="G234" s="1" t="n"/>
      <c r="H234">
        <f>IF(T_LEAVE[[#This Row],[EMPLOYEE]]="","",MATCH(T_LEAVE[[#This Row],[EMPLOYEE]],L_EMPLABELS,0))</f>
        <v/>
      </c>
      <c r="I234">
        <f>IF(T_LEAVE[[#This Row],[EMPLOYEE]]="","",MATCH(T_LEAVE[[#This Row],[LEAVE TYPE]],L_LEAVETYPES,0))</f>
        <v/>
      </c>
      <c r="J234">
        <f t="array" ref="J234">IFERROR(INDEX(T_LEAVE_TYPES[SYMBOL],T_LEAVE[[#This Row],[LEAVE TYPE SYS ID]]),"")</f>
        <v/>
      </c>
      <c r="K234">
        <f>IF(T_LEAVE[[#This Row],[EMPLOYEE]]="","",IF(T_LEAVE[[#This Row],[ERROR]]="",0,1))</f>
        <v/>
      </c>
      <c r="L234">
        <f t="array" ref="L2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5">
      <c r="A235" t="inlineStr">
        <is>
          <t>Yanamadala Likhitha Sree (1029868)</t>
        </is>
      </c>
      <c r="B235" s="15" t="inlineStr">
        <is>
          <t>Monday, 17 April 2023</t>
        </is>
      </c>
      <c r="C235" s="15" t="inlineStr">
        <is>
          <t>Monday, 17 April 2023</t>
        </is>
      </c>
      <c r="D235" t="inlineStr">
        <is>
          <t xml:space="preserve">Casual / Sick </t>
        </is>
      </c>
      <c r="E235" t="n">
        <v>1</v>
      </c>
      <c r="F235" s="1" t="n"/>
      <c r="G235" s="1" t="n"/>
      <c r="H235">
        <f>IF(T_LEAVE[[#This Row],[EMPLOYEE]]="","",MATCH(T_LEAVE[[#This Row],[EMPLOYEE]],L_EMPLABELS,0))</f>
        <v/>
      </c>
      <c r="I235">
        <f>IF(T_LEAVE[[#This Row],[EMPLOYEE]]="","",MATCH(T_LEAVE[[#This Row],[LEAVE TYPE]],L_LEAVETYPES,0))</f>
        <v/>
      </c>
      <c r="J235">
        <f t="array" ref="J235">IFERROR(INDEX(T_LEAVE_TYPES[SYMBOL],T_LEAVE[[#This Row],[LEAVE TYPE SYS ID]]),"")</f>
        <v/>
      </c>
      <c r="K235">
        <f>IF(T_LEAVE[[#This Row],[EMPLOYEE]]="","",IF(T_LEAVE[[#This Row],[ERROR]]="",0,1))</f>
        <v/>
      </c>
      <c r="L235">
        <f t="array" ref="L2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6">
      <c r="A236" t="inlineStr">
        <is>
          <t>Madhu Gandham (1029876)</t>
        </is>
      </c>
      <c r="B236" s="15" t="inlineStr">
        <is>
          <t>Monday, 10 April 2023</t>
        </is>
      </c>
      <c r="C236" s="15" t="inlineStr">
        <is>
          <t>Monday, 10 April 2023</t>
        </is>
      </c>
      <c r="D236" t="inlineStr">
        <is>
          <t xml:space="preserve">Casual / Sick </t>
        </is>
      </c>
      <c r="E236" t="n">
        <v>1</v>
      </c>
      <c r="F236" s="1" t="n"/>
      <c r="G236" s="1" t="n"/>
      <c r="H236">
        <f>IF(T_LEAVE[[#This Row],[EMPLOYEE]]="","",MATCH(T_LEAVE[[#This Row],[EMPLOYEE]],L_EMPLABELS,0))</f>
        <v/>
      </c>
      <c r="I236">
        <f>IF(T_LEAVE[[#This Row],[EMPLOYEE]]="","",MATCH(T_LEAVE[[#This Row],[LEAVE TYPE]],L_LEAVETYPES,0))</f>
        <v/>
      </c>
      <c r="J236">
        <f t="array" ref="J236">IFERROR(INDEX(T_LEAVE_TYPES[SYMBOL],T_LEAVE[[#This Row],[LEAVE TYPE SYS ID]]),"")</f>
        <v/>
      </c>
      <c r="K236">
        <f>IF(T_LEAVE[[#This Row],[EMPLOYEE]]="","",IF(T_LEAVE[[#This Row],[ERROR]]="",0,1))</f>
        <v/>
      </c>
      <c r="L236">
        <f t="array" ref="L2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7">
      <c r="A237" t="inlineStr">
        <is>
          <t>Veera Satya Kishore Swamy Allaka (1029895)</t>
        </is>
      </c>
      <c r="B237" s="15" t="inlineStr">
        <is>
          <t>Tuesday, 11 April 2023</t>
        </is>
      </c>
      <c r="C237" s="15" t="inlineStr">
        <is>
          <t>Tuesday, 11 April 2023</t>
        </is>
      </c>
      <c r="D237" t="inlineStr">
        <is>
          <t xml:space="preserve">Casual / Sick </t>
        </is>
      </c>
      <c r="E237" t="n">
        <v>1</v>
      </c>
      <c r="F237" s="1" t="n"/>
      <c r="G237" s="1" t="n"/>
      <c r="H237">
        <f>IF(T_LEAVE[[#This Row],[EMPLOYEE]]="","",MATCH(T_LEAVE[[#This Row],[EMPLOYEE]],L_EMPLABELS,0))</f>
        <v/>
      </c>
      <c r="I237">
        <f>IF(T_LEAVE[[#This Row],[EMPLOYEE]]="","",MATCH(T_LEAVE[[#This Row],[LEAVE TYPE]],L_LEAVETYPES,0))</f>
        <v/>
      </c>
      <c r="J237">
        <f t="array" ref="J237">IFERROR(INDEX(T_LEAVE_TYPES[SYMBOL],T_LEAVE[[#This Row],[LEAVE TYPE SYS ID]]),"")</f>
        <v/>
      </c>
      <c r="K237">
        <f>IF(T_LEAVE[[#This Row],[EMPLOYEE]]="","",IF(T_LEAVE[[#This Row],[ERROR]]="",0,1))</f>
        <v/>
      </c>
      <c r="L237">
        <f t="array" ref="L2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8">
      <c r="A238" t="inlineStr">
        <is>
          <t>Poola Partha Saradhi (1030911)</t>
        </is>
      </c>
      <c r="B238" s="15" t="inlineStr">
        <is>
          <t>Monday, 10 April 2023</t>
        </is>
      </c>
      <c r="C238" s="15" t="inlineStr">
        <is>
          <t>Monday, 10 April 2023</t>
        </is>
      </c>
      <c r="D238" t="inlineStr">
        <is>
          <t xml:space="preserve">Casual / Sick </t>
        </is>
      </c>
      <c r="E238" t="n">
        <v>1</v>
      </c>
      <c r="F238" s="1" t="n"/>
      <c r="G238" s="1" t="n"/>
      <c r="H238">
        <f>IF(T_LEAVE[[#This Row],[EMPLOYEE]]="","",MATCH(T_LEAVE[[#This Row],[EMPLOYEE]],L_EMPLABELS,0))</f>
        <v/>
      </c>
      <c r="I238">
        <f>IF(T_LEAVE[[#This Row],[EMPLOYEE]]="","",MATCH(T_LEAVE[[#This Row],[LEAVE TYPE]],L_LEAVETYPES,0))</f>
        <v/>
      </c>
      <c r="J238">
        <f t="array" ref="J238">IFERROR(INDEX(T_LEAVE_TYPES[SYMBOL],T_LEAVE[[#This Row],[LEAVE TYPE SYS ID]]),"")</f>
        <v/>
      </c>
      <c r="K238">
        <f>IF(T_LEAVE[[#This Row],[EMPLOYEE]]="","",IF(T_LEAVE[[#This Row],[ERROR]]="",0,1))</f>
        <v/>
      </c>
      <c r="L238">
        <f t="array" ref="L2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39">
      <c r="A239" t="inlineStr">
        <is>
          <t>Gaurav Sharma (1029867)</t>
        </is>
      </c>
      <c r="B239" s="15" t="inlineStr">
        <is>
          <t>Thursday, 06 April 2023</t>
        </is>
      </c>
      <c r="C239" s="15" t="inlineStr">
        <is>
          <t>Thursday, 06 April 2023</t>
        </is>
      </c>
      <c r="D239" t="inlineStr">
        <is>
          <t xml:space="preserve">Casual / Sick </t>
        </is>
      </c>
      <c r="E239" t="n">
        <v>1</v>
      </c>
      <c r="F239" s="1" t="n"/>
      <c r="G239" s="1" t="n"/>
      <c r="H239">
        <f>IF(T_LEAVE[[#This Row],[EMPLOYEE]]="","",MATCH(T_LEAVE[[#This Row],[EMPLOYEE]],L_EMPLABELS,0))</f>
        <v/>
      </c>
      <c r="I239">
        <f>IF(T_LEAVE[[#This Row],[EMPLOYEE]]="","",MATCH(T_LEAVE[[#This Row],[LEAVE TYPE]],L_LEAVETYPES,0))</f>
        <v/>
      </c>
      <c r="J239">
        <f t="array" ref="J239">IFERROR(INDEX(T_LEAVE_TYPES[SYMBOL],T_LEAVE[[#This Row],[LEAVE TYPE SYS ID]]),"")</f>
        <v/>
      </c>
      <c r="K239">
        <f>IF(T_LEAVE[[#This Row],[EMPLOYEE]]="","",IF(T_LEAVE[[#This Row],[ERROR]]="",0,1))</f>
        <v/>
      </c>
      <c r="L239">
        <f t="array" ref="L2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0">
      <c r="A240" t="inlineStr">
        <is>
          <t>Varshitha B V (1030691)</t>
        </is>
      </c>
      <c r="B240" s="15" t="inlineStr">
        <is>
          <t>Monday, 10 April 2023</t>
        </is>
      </c>
      <c r="C240" s="15" t="inlineStr">
        <is>
          <t>Monday, 10 April 2023</t>
        </is>
      </c>
      <c r="D240" t="inlineStr">
        <is>
          <t xml:space="preserve">Casual / Sick </t>
        </is>
      </c>
      <c r="E240" t="n">
        <v>1</v>
      </c>
      <c r="F240" s="1" t="n"/>
      <c r="G240" s="1" t="n"/>
      <c r="H240">
        <f>IF(T_LEAVE[[#This Row],[EMPLOYEE]]="","",MATCH(T_LEAVE[[#This Row],[EMPLOYEE]],L_EMPLABELS,0))</f>
        <v/>
      </c>
      <c r="I240">
        <f>IF(T_LEAVE[[#This Row],[EMPLOYEE]]="","",MATCH(T_LEAVE[[#This Row],[LEAVE TYPE]],L_LEAVETYPES,0))</f>
        <v/>
      </c>
      <c r="J240">
        <f t="array" ref="J240">IFERROR(INDEX(T_LEAVE_TYPES[SYMBOL],T_LEAVE[[#This Row],[LEAVE TYPE SYS ID]]),"")</f>
        <v/>
      </c>
      <c r="K240">
        <f>IF(T_LEAVE[[#This Row],[EMPLOYEE]]="","",IF(T_LEAVE[[#This Row],[ERROR]]="",0,1))</f>
        <v/>
      </c>
      <c r="L240">
        <f t="array" ref="L2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1">
      <c r="A241" t="inlineStr">
        <is>
          <t>Ambika G Prabhu (1027414)</t>
        </is>
      </c>
      <c r="B241" s="15" t="inlineStr">
        <is>
          <t>Wednesday, 05 April 2023</t>
        </is>
      </c>
      <c r="C241" s="15" t="inlineStr">
        <is>
          <t>Wednesday, 05 April 2023</t>
        </is>
      </c>
      <c r="D241" t="inlineStr">
        <is>
          <t>Privilege</t>
        </is>
      </c>
      <c r="E241" t="n">
        <v>1</v>
      </c>
      <c r="F241" s="1" t="n"/>
      <c r="G241" s="1" t="n"/>
      <c r="H241">
        <f>IF(T_LEAVE[[#This Row],[EMPLOYEE]]="","",MATCH(T_LEAVE[[#This Row],[EMPLOYEE]],L_EMPLABELS,0))</f>
        <v/>
      </c>
      <c r="I241">
        <f>IF(T_LEAVE[[#This Row],[EMPLOYEE]]="","",MATCH(T_LEAVE[[#This Row],[LEAVE TYPE]],L_LEAVETYPES,0))</f>
        <v/>
      </c>
      <c r="J241">
        <f t="array" ref="J241">IFERROR(INDEX(T_LEAVE_TYPES[SYMBOL],T_LEAVE[[#This Row],[LEAVE TYPE SYS ID]]),"")</f>
        <v/>
      </c>
      <c r="K241">
        <f>IF(T_LEAVE[[#This Row],[EMPLOYEE]]="","",IF(T_LEAVE[[#This Row],[ERROR]]="",0,1))</f>
        <v/>
      </c>
      <c r="L241">
        <f t="array" ref="L2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2">
      <c r="A242" t="inlineStr">
        <is>
          <t>Ambika G Prabhu (1027414)</t>
        </is>
      </c>
      <c r="B242" s="15" t="inlineStr">
        <is>
          <t>Monday, 03 April 2023</t>
        </is>
      </c>
      <c r="C242" s="15" t="inlineStr">
        <is>
          <t>Tuesday, 04 April 2023</t>
        </is>
      </c>
      <c r="D242" t="inlineStr">
        <is>
          <t xml:space="preserve">Casual / Sick </t>
        </is>
      </c>
      <c r="E242" t="n">
        <v>2</v>
      </c>
      <c r="F242" s="1" t="n"/>
      <c r="G242" s="1" t="n"/>
      <c r="H242">
        <f>IF(T_LEAVE[[#This Row],[EMPLOYEE]]="","",MATCH(T_LEAVE[[#This Row],[EMPLOYEE]],L_EMPLABELS,0))</f>
        <v/>
      </c>
      <c r="I242">
        <f>IF(T_LEAVE[[#This Row],[EMPLOYEE]]="","",MATCH(T_LEAVE[[#This Row],[LEAVE TYPE]],L_LEAVETYPES,0))</f>
        <v/>
      </c>
      <c r="J242">
        <f t="array" ref="J242">IFERROR(INDEX(T_LEAVE_TYPES[SYMBOL],T_LEAVE[[#This Row],[LEAVE TYPE SYS ID]]),"")</f>
        <v/>
      </c>
      <c r="K242">
        <f>IF(T_LEAVE[[#This Row],[EMPLOYEE]]="","",IF(T_LEAVE[[#This Row],[ERROR]]="",0,1))</f>
        <v/>
      </c>
      <c r="L242">
        <f t="array" ref="L2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3">
      <c r="A243" t="inlineStr">
        <is>
          <t>Golla Venugopal (1028128)</t>
        </is>
      </c>
      <c r="B243" s="15" t="inlineStr">
        <is>
          <t>Monday, 27 March 2023</t>
        </is>
      </c>
      <c r="C243" s="15" t="inlineStr">
        <is>
          <t>Tuesday, 28 March 2023</t>
        </is>
      </c>
      <c r="D243" t="inlineStr">
        <is>
          <t>Privilege</t>
        </is>
      </c>
      <c r="E243" t="n">
        <v>2</v>
      </c>
      <c r="F243" s="1" t="n"/>
      <c r="G243" s="1" t="n"/>
      <c r="H243">
        <f>IF(T_LEAVE[[#This Row],[EMPLOYEE]]="","",MATCH(T_LEAVE[[#This Row],[EMPLOYEE]],L_EMPLABELS,0))</f>
        <v/>
      </c>
      <c r="I243">
        <f>IF(T_LEAVE[[#This Row],[EMPLOYEE]]="","",MATCH(T_LEAVE[[#This Row],[LEAVE TYPE]],L_LEAVETYPES,0))</f>
        <v/>
      </c>
      <c r="J243">
        <f t="array" ref="J243">IFERROR(INDEX(T_LEAVE_TYPES[SYMBOL],T_LEAVE[[#This Row],[LEAVE TYPE SYS ID]]),"")</f>
        <v/>
      </c>
      <c r="K243">
        <f>IF(T_LEAVE[[#This Row],[EMPLOYEE]]="","",IF(T_LEAVE[[#This Row],[ERROR]]="",0,1))</f>
        <v/>
      </c>
      <c r="L243">
        <f t="array" ref="L2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4">
      <c r="A244" t="inlineStr">
        <is>
          <t>Nikhil Balaji Agwane (1031086)</t>
        </is>
      </c>
      <c r="B244" s="15" t="inlineStr">
        <is>
          <t>Thursday, 30 March 2023</t>
        </is>
      </c>
      <c r="C244" s="15" t="inlineStr">
        <is>
          <t>Friday, 31 March 2023</t>
        </is>
      </c>
      <c r="D244" t="inlineStr">
        <is>
          <t xml:space="preserve">Casual / Sick </t>
        </is>
      </c>
      <c r="E244" t="n">
        <v>2</v>
      </c>
      <c r="F244" s="1" t="n"/>
      <c r="G244" s="1" t="n"/>
      <c r="H244">
        <f>IF(T_LEAVE[[#This Row],[EMPLOYEE]]="","",MATCH(T_LEAVE[[#This Row],[EMPLOYEE]],L_EMPLABELS,0))</f>
        <v/>
      </c>
      <c r="I244">
        <f>IF(T_LEAVE[[#This Row],[EMPLOYEE]]="","",MATCH(T_LEAVE[[#This Row],[LEAVE TYPE]],L_LEAVETYPES,0))</f>
        <v/>
      </c>
      <c r="J244">
        <f t="array" ref="J244">IFERROR(INDEX(T_LEAVE_TYPES[SYMBOL],T_LEAVE[[#This Row],[LEAVE TYPE SYS ID]]),"")</f>
        <v/>
      </c>
      <c r="K244">
        <f>IF(T_LEAVE[[#This Row],[EMPLOYEE]]="","",IF(T_LEAVE[[#This Row],[ERROR]]="",0,1))</f>
        <v/>
      </c>
      <c r="L244">
        <f t="array" ref="L2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5">
      <c r="A245" t="inlineStr">
        <is>
          <t>Nikhil Balaji Agwane (1031086)</t>
        </is>
      </c>
      <c r="B245" s="15" t="inlineStr">
        <is>
          <t>Friday, 24 March 2023</t>
        </is>
      </c>
      <c r="C245" s="15" t="inlineStr">
        <is>
          <t>Tuesday, 28 March 2023</t>
        </is>
      </c>
      <c r="D245" t="inlineStr">
        <is>
          <t>Privilege</t>
        </is>
      </c>
      <c r="E245" t="n">
        <v>3</v>
      </c>
      <c r="F245" s="1" t="n"/>
      <c r="G245" s="1" t="n"/>
      <c r="H245">
        <f>IF(T_LEAVE[[#This Row],[EMPLOYEE]]="","",MATCH(T_LEAVE[[#This Row],[EMPLOYEE]],L_EMPLABELS,0))</f>
        <v/>
      </c>
      <c r="I245">
        <f>IF(T_LEAVE[[#This Row],[EMPLOYEE]]="","",MATCH(T_LEAVE[[#This Row],[LEAVE TYPE]],L_LEAVETYPES,0))</f>
        <v/>
      </c>
      <c r="J245">
        <f t="array" ref="J245">IFERROR(INDEX(T_LEAVE_TYPES[SYMBOL],T_LEAVE[[#This Row],[LEAVE TYPE SYS ID]]),"")</f>
        <v/>
      </c>
      <c r="K245">
        <f>IF(T_LEAVE[[#This Row],[EMPLOYEE]]="","",IF(T_LEAVE[[#This Row],[ERROR]]="",0,1))</f>
        <v/>
      </c>
      <c r="L245">
        <f t="array" ref="L2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6">
      <c r="A246" t="inlineStr">
        <is>
          <t>Nikhil Balaji Agwane (1031086)</t>
        </is>
      </c>
      <c r="B246" s="15" t="inlineStr">
        <is>
          <t>Wednesday, 22 March 2023</t>
        </is>
      </c>
      <c r="C246" s="15" t="inlineStr">
        <is>
          <t>Thursday, 23 March 2023</t>
        </is>
      </c>
      <c r="D246" t="inlineStr">
        <is>
          <t xml:space="preserve">Casual / Sick </t>
        </is>
      </c>
      <c r="E246" t="n">
        <v>2</v>
      </c>
      <c r="F246" s="1" t="n"/>
      <c r="G246" s="1" t="n"/>
      <c r="H246">
        <f>IF(T_LEAVE[[#This Row],[EMPLOYEE]]="","",MATCH(T_LEAVE[[#This Row],[EMPLOYEE]],L_EMPLABELS,0))</f>
        <v/>
      </c>
      <c r="I246">
        <f>IF(T_LEAVE[[#This Row],[EMPLOYEE]]="","",MATCH(T_LEAVE[[#This Row],[LEAVE TYPE]],L_LEAVETYPES,0))</f>
        <v/>
      </c>
      <c r="J246">
        <f t="array" ref="J246">IFERROR(INDEX(T_LEAVE_TYPES[SYMBOL],T_LEAVE[[#This Row],[LEAVE TYPE SYS ID]]),"")</f>
        <v/>
      </c>
      <c r="K246">
        <f>IF(T_LEAVE[[#This Row],[EMPLOYEE]]="","",IF(T_LEAVE[[#This Row],[ERROR]]="",0,1))</f>
        <v/>
      </c>
      <c r="L246">
        <f t="array" ref="L2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7">
      <c r="A247" t="inlineStr">
        <is>
          <t>Katakam Vijaykumar (1017149)</t>
        </is>
      </c>
      <c r="B247" s="15" t="inlineStr">
        <is>
          <t>Friday, 15 November 2019</t>
        </is>
      </c>
      <c r="C247" s="15" t="inlineStr">
        <is>
          <t>Friday, 15 November 2019</t>
        </is>
      </c>
      <c r="D247" t="inlineStr">
        <is>
          <t>Privilege</t>
        </is>
      </c>
      <c r="E247" t="n">
        <v>1</v>
      </c>
      <c r="F247" s="1" t="n"/>
      <c r="G247" s="1" t="n"/>
      <c r="H247">
        <f>IF(T_LEAVE[[#This Row],[EMPLOYEE]]="","",MATCH(T_LEAVE[[#This Row],[EMPLOYEE]],L_EMPLABELS,0))</f>
        <v/>
      </c>
      <c r="I247">
        <f>IF(T_LEAVE[[#This Row],[EMPLOYEE]]="","",MATCH(T_LEAVE[[#This Row],[LEAVE TYPE]],L_LEAVETYPES,0))</f>
        <v/>
      </c>
      <c r="J247">
        <f t="array" ref="J247">IFERROR(INDEX(T_LEAVE_TYPES[SYMBOL],T_LEAVE[[#This Row],[LEAVE TYPE SYS ID]]),"")</f>
        <v/>
      </c>
      <c r="K247">
        <f>IF(T_LEAVE[[#This Row],[EMPLOYEE]]="","",IF(T_LEAVE[[#This Row],[ERROR]]="",0,1))</f>
        <v/>
      </c>
      <c r="L247">
        <f t="array" ref="L2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8">
      <c r="A248" t="inlineStr">
        <is>
          <t>Nikhil Balaji Agwane (1031086)</t>
        </is>
      </c>
      <c r="B248" s="15" t="inlineStr">
        <is>
          <t>Wednesday, 29 March 2023</t>
        </is>
      </c>
      <c r="C248" s="15" t="inlineStr">
        <is>
          <t>Wednesday, 29 March 2023</t>
        </is>
      </c>
      <c r="D248" t="inlineStr">
        <is>
          <t>LOP</t>
        </is>
      </c>
      <c r="E248" t="n">
        <v>1</v>
      </c>
      <c r="F248" s="1" t="n"/>
      <c r="G248" s="1" t="n"/>
      <c r="H248">
        <f>IF(T_LEAVE[[#This Row],[EMPLOYEE]]="","",MATCH(T_LEAVE[[#This Row],[EMPLOYEE]],L_EMPLABELS,0))</f>
        <v/>
      </c>
      <c r="I248">
        <f>IF(T_LEAVE[[#This Row],[EMPLOYEE]]="","",MATCH(T_LEAVE[[#This Row],[LEAVE TYPE]],L_LEAVETYPES,0))</f>
        <v/>
      </c>
      <c r="J248">
        <f t="array" ref="J248">IFERROR(INDEX(T_LEAVE_TYPES[SYMBOL],T_LEAVE[[#This Row],[LEAVE TYPE SYS ID]]),"")</f>
        <v/>
      </c>
      <c r="K248">
        <f>IF(T_LEAVE[[#This Row],[EMPLOYEE]]="","",IF(T_LEAVE[[#This Row],[ERROR]]="",0,1))</f>
        <v/>
      </c>
      <c r="L248">
        <f t="array" ref="L2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49">
      <c r="A249" t="inlineStr">
        <is>
          <t>Ojasvi Gulabrao Hedau (1031087)</t>
        </is>
      </c>
      <c r="B249" s="15" t="inlineStr">
        <is>
          <t>Wednesday, 22 March 2023</t>
        </is>
      </c>
      <c r="C249" s="15" t="inlineStr">
        <is>
          <t>Wednesday, 22 March 2023</t>
        </is>
      </c>
      <c r="D249" t="inlineStr">
        <is>
          <t xml:space="preserve">Casual / Sick </t>
        </is>
      </c>
      <c r="E249" t="n">
        <v>1</v>
      </c>
      <c r="F249" s="1" t="n"/>
      <c r="G249" s="1" t="n"/>
      <c r="H249">
        <f>IF(T_LEAVE[[#This Row],[EMPLOYEE]]="","",MATCH(T_LEAVE[[#This Row],[EMPLOYEE]],L_EMPLABELS,0))</f>
        <v/>
      </c>
      <c r="I249">
        <f>IF(T_LEAVE[[#This Row],[EMPLOYEE]]="","",MATCH(T_LEAVE[[#This Row],[LEAVE TYPE]],L_LEAVETYPES,0))</f>
        <v/>
      </c>
      <c r="J249">
        <f t="array" ref="J249">IFERROR(INDEX(T_LEAVE_TYPES[SYMBOL],T_LEAVE[[#This Row],[LEAVE TYPE SYS ID]]),"")</f>
        <v/>
      </c>
      <c r="K249">
        <f>IF(T_LEAVE[[#This Row],[EMPLOYEE]]="","",IF(T_LEAVE[[#This Row],[ERROR]]="",0,1))</f>
        <v/>
      </c>
      <c r="L249">
        <f t="array" ref="L2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0">
      <c r="A250" t="inlineStr">
        <is>
          <t>Nikhil Balaji Agwane (1031086)</t>
        </is>
      </c>
      <c r="B250" s="15" t="inlineStr">
        <is>
          <t>Wednesday, 22 March 2023</t>
        </is>
      </c>
      <c r="C250" s="15" t="inlineStr">
        <is>
          <t>Thursday, 23 March 2023</t>
        </is>
      </c>
      <c r="D250" t="inlineStr">
        <is>
          <t xml:space="preserve">Casual / Sick </t>
        </is>
      </c>
      <c r="E250" t="n">
        <v>2</v>
      </c>
      <c r="F250" s="1" t="n"/>
      <c r="G250" s="1" t="n"/>
      <c r="H250">
        <f>IF(T_LEAVE[[#This Row],[EMPLOYEE]]="","",MATCH(T_LEAVE[[#This Row],[EMPLOYEE]],L_EMPLABELS,0))</f>
        <v/>
      </c>
      <c r="I250">
        <f>IF(T_LEAVE[[#This Row],[EMPLOYEE]]="","",MATCH(T_LEAVE[[#This Row],[LEAVE TYPE]],L_LEAVETYPES,0))</f>
        <v/>
      </c>
      <c r="J250">
        <f t="array" ref="J250">IFERROR(INDEX(T_LEAVE_TYPES[SYMBOL],T_LEAVE[[#This Row],[LEAVE TYPE SYS ID]]),"")</f>
        <v/>
      </c>
      <c r="K250">
        <f>IF(T_LEAVE[[#This Row],[EMPLOYEE]]="","",IF(T_LEAVE[[#This Row],[ERROR]]="",0,1))</f>
        <v/>
      </c>
      <c r="L250">
        <f t="array" ref="L2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1">
      <c r="A251" t="inlineStr">
        <is>
          <t>Nikhil Balaji Agwane (1031086)</t>
        </is>
      </c>
      <c r="B251" s="15" t="inlineStr">
        <is>
          <t>Friday, 24 March 2023</t>
        </is>
      </c>
      <c r="C251" s="15" t="inlineStr">
        <is>
          <t>Tuesday, 28 March 2023</t>
        </is>
      </c>
      <c r="D251" t="inlineStr">
        <is>
          <t>Privilege</t>
        </is>
      </c>
      <c r="E251" t="n">
        <v>3</v>
      </c>
      <c r="F251" s="1" t="n"/>
      <c r="G251" s="1" t="n"/>
      <c r="H251">
        <f>IF(T_LEAVE[[#This Row],[EMPLOYEE]]="","",MATCH(T_LEAVE[[#This Row],[EMPLOYEE]],L_EMPLABELS,0))</f>
        <v/>
      </c>
      <c r="I251">
        <f>IF(T_LEAVE[[#This Row],[EMPLOYEE]]="","",MATCH(T_LEAVE[[#This Row],[LEAVE TYPE]],L_LEAVETYPES,0))</f>
        <v/>
      </c>
      <c r="J251">
        <f t="array" ref="J251">IFERROR(INDEX(T_LEAVE_TYPES[SYMBOL],T_LEAVE[[#This Row],[LEAVE TYPE SYS ID]]),"")</f>
        <v/>
      </c>
      <c r="K251">
        <f>IF(T_LEAVE[[#This Row],[EMPLOYEE]]="","",IF(T_LEAVE[[#This Row],[ERROR]]="",0,1))</f>
        <v/>
      </c>
      <c r="L251">
        <f t="array" ref="L2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2">
      <c r="A252" t="inlineStr">
        <is>
          <t>Nikhil Balaji Agwane (1031086)</t>
        </is>
      </c>
      <c r="B252" s="15" t="inlineStr">
        <is>
          <t>Friday, 24 March 2023</t>
        </is>
      </c>
      <c r="C252" s="15" t="inlineStr">
        <is>
          <t>Tuesday, 28 March 2023</t>
        </is>
      </c>
      <c r="D252" t="inlineStr">
        <is>
          <t>Privilege</t>
        </is>
      </c>
      <c r="E252" t="n">
        <v>3</v>
      </c>
      <c r="F252" s="1" t="n"/>
      <c r="G252" s="1" t="n"/>
      <c r="H252">
        <f>IF(T_LEAVE[[#This Row],[EMPLOYEE]]="","",MATCH(T_LEAVE[[#This Row],[EMPLOYEE]],L_EMPLABELS,0))</f>
        <v/>
      </c>
      <c r="I252">
        <f>IF(T_LEAVE[[#This Row],[EMPLOYEE]]="","",MATCH(T_LEAVE[[#This Row],[LEAVE TYPE]],L_LEAVETYPES,0))</f>
        <v/>
      </c>
      <c r="J252">
        <f t="array" ref="J252">IFERROR(INDEX(T_LEAVE_TYPES[SYMBOL],T_LEAVE[[#This Row],[LEAVE TYPE SYS ID]]),"")</f>
        <v/>
      </c>
      <c r="K252">
        <f>IF(T_LEAVE[[#This Row],[EMPLOYEE]]="","",IF(T_LEAVE[[#This Row],[ERROR]]="",0,1))</f>
        <v/>
      </c>
      <c r="L252">
        <f t="array" ref="L2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3">
      <c r="A253" t="inlineStr">
        <is>
          <t>Nikhil Balaji Agwane (1031086)</t>
        </is>
      </c>
      <c r="B253" s="15" t="inlineStr">
        <is>
          <t>Wednesday, 22 March 2023</t>
        </is>
      </c>
      <c r="C253" s="15" t="inlineStr">
        <is>
          <t>Thursday, 23 March 2023</t>
        </is>
      </c>
      <c r="D253" t="inlineStr">
        <is>
          <t xml:space="preserve">Casual / Sick </t>
        </is>
      </c>
      <c r="E253" t="n">
        <v>2</v>
      </c>
      <c r="F253" s="1" t="n"/>
      <c r="G253" s="1" t="n"/>
      <c r="H253">
        <f>IF(T_LEAVE[[#This Row],[EMPLOYEE]]="","",MATCH(T_LEAVE[[#This Row],[EMPLOYEE]],L_EMPLABELS,0))</f>
        <v/>
      </c>
      <c r="I253">
        <f>IF(T_LEAVE[[#This Row],[EMPLOYEE]]="","",MATCH(T_LEAVE[[#This Row],[LEAVE TYPE]],L_LEAVETYPES,0))</f>
        <v/>
      </c>
      <c r="J253">
        <f t="array" ref="J253">IFERROR(INDEX(T_LEAVE_TYPES[SYMBOL],T_LEAVE[[#This Row],[LEAVE TYPE SYS ID]]),"")</f>
        <v/>
      </c>
      <c r="K253">
        <f>IF(T_LEAVE[[#This Row],[EMPLOYEE]]="","",IF(T_LEAVE[[#This Row],[ERROR]]="",0,1))</f>
        <v/>
      </c>
      <c r="L253">
        <f t="array" ref="L2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4">
      <c r="A254" t="inlineStr">
        <is>
          <t>D Malar Vizhi (1021304)</t>
        </is>
      </c>
      <c r="B254" s="15" t="inlineStr">
        <is>
          <t>Thursday, 16 March 2023</t>
        </is>
      </c>
      <c r="C254" s="15" t="inlineStr">
        <is>
          <t>Thursday, 16 March 2023</t>
        </is>
      </c>
      <c r="D254" t="inlineStr">
        <is>
          <t>Privilege</t>
        </is>
      </c>
      <c r="E254" t="n">
        <v>1</v>
      </c>
      <c r="F254" s="1" t="n"/>
      <c r="G254" s="1" t="n"/>
      <c r="H254">
        <f>IF(T_LEAVE[[#This Row],[EMPLOYEE]]="","",MATCH(T_LEAVE[[#This Row],[EMPLOYEE]],L_EMPLABELS,0))</f>
        <v/>
      </c>
      <c r="I254">
        <f>IF(T_LEAVE[[#This Row],[EMPLOYEE]]="","",MATCH(T_LEAVE[[#This Row],[LEAVE TYPE]],L_LEAVETYPES,0))</f>
        <v/>
      </c>
      <c r="J254">
        <f t="array" ref="J254">IFERROR(INDEX(T_LEAVE_TYPES[SYMBOL],T_LEAVE[[#This Row],[LEAVE TYPE SYS ID]]),"")</f>
        <v/>
      </c>
      <c r="K254">
        <f>IF(T_LEAVE[[#This Row],[EMPLOYEE]]="","",IF(T_LEAVE[[#This Row],[ERROR]]="",0,1))</f>
        <v/>
      </c>
      <c r="L254">
        <f t="array" ref="L2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5">
      <c r="A255" t="inlineStr">
        <is>
          <t>Ojasvi Gulabrao Hedau (1031087)</t>
        </is>
      </c>
      <c r="B255" s="15" t="inlineStr">
        <is>
          <t>Monday, 27 March 2023</t>
        </is>
      </c>
      <c r="C255" s="15" t="inlineStr">
        <is>
          <t>Monday, 27 March 2023</t>
        </is>
      </c>
      <c r="D255" t="inlineStr">
        <is>
          <t xml:space="preserve">Casual / Sick </t>
        </is>
      </c>
      <c r="E255" t="n">
        <v>1</v>
      </c>
      <c r="F255" s="1" t="n"/>
      <c r="G255" s="1" t="n"/>
      <c r="H255">
        <f>IF(T_LEAVE[[#This Row],[EMPLOYEE]]="","",MATCH(T_LEAVE[[#This Row],[EMPLOYEE]],L_EMPLABELS,0))</f>
        <v/>
      </c>
      <c r="I255">
        <f>IF(T_LEAVE[[#This Row],[EMPLOYEE]]="","",MATCH(T_LEAVE[[#This Row],[LEAVE TYPE]],L_LEAVETYPES,0))</f>
        <v/>
      </c>
      <c r="J255">
        <f t="array" ref="J255">IFERROR(INDEX(T_LEAVE_TYPES[SYMBOL],T_LEAVE[[#This Row],[LEAVE TYPE SYS ID]]),"")</f>
        <v/>
      </c>
      <c r="K255">
        <f>IF(T_LEAVE[[#This Row],[EMPLOYEE]]="","",IF(T_LEAVE[[#This Row],[ERROR]]="",0,1))</f>
        <v/>
      </c>
      <c r="L255">
        <f t="array" ref="L2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6">
      <c r="A256" t="inlineStr">
        <is>
          <t>Rangabhatla Sai Harish (1029533)</t>
        </is>
      </c>
      <c r="B256" s="15" t="inlineStr">
        <is>
          <t>Wednesday, 22 March 2023</t>
        </is>
      </c>
      <c r="C256" s="15" t="inlineStr">
        <is>
          <t>Friday, 24 March 2023</t>
        </is>
      </c>
      <c r="D256" t="inlineStr">
        <is>
          <t>Privilege</t>
        </is>
      </c>
      <c r="E256" t="n">
        <v>3</v>
      </c>
      <c r="F256" s="1" t="n"/>
      <c r="G256" s="1" t="n"/>
      <c r="H256">
        <f>IF(T_LEAVE[[#This Row],[EMPLOYEE]]="","",MATCH(T_LEAVE[[#This Row],[EMPLOYEE]],L_EMPLABELS,0))</f>
        <v/>
      </c>
      <c r="I256">
        <f>IF(T_LEAVE[[#This Row],[EMPLOYEE]]="","",MATCH(T_LEAVE[[#This Row],[LEAVE TYPE]],L_LEAVETYPES,0))</f>
        <v/>
      </c>
      <c r="J256">
        <f t="array" ref="J256">IFERROR(INDEX(T_LEAVE_TYPES[SYMBOL],T_LEAVE[[#This Row],[LEAVE TYPE SYS ID]]),"")</f>
        <v/>
      </c>
      <c r="K256">
        <f>IF(T_LEAVE[[#This Row],[EMPLOYEE]]="","",IF(T_LEAVE[[#This Row],[ERROR]]="",0,1))</f>
        <v/>
      </c>
      <c r="L256">
        <f t="array" ref="L2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7">
      <c r="A257" t="inlineStr">
        <is>
          <t>Rangabhatla Sai Harish (1029533)</t>
        </is>
      </c>
      <c r="B257" s="15" t="inlineStr">
        <is>
          <t>Monday, 20 March 2023</t>
        </is>
      </c>
      <c r="C257" s="15" t="inlineStr">
        <is>
          <t>Monday, 20 March 2023</t>
        </is>
      </c>
      <c r="D257" t="inlineStr">
        <is>
          <t>Privilege</t>
        </is>
      </c>
      <c r="E257" t="n">
        <v>1</v>
      </c>
      <c r="F257" s="1" t="n"/>
      <c r="G257" s="1" t="n"/>
      <c r="H257">
        <f>IF(T_LEAVE[[#This Row],[EMPLOYEE]]="","",MATCH(T_LEAVE[[#This Row],[EMPLOYEE]],L_EMPLABELS,0))</f>
        <v/>
      </c>
      <c r="I257">
        <f>IF(T_LEAVE[[#This Row],[EMPLOYEE]]="","",MATCH(T_LEAVE[[#This Row],[LEAVE TYPE]],L_LEAVETYPES,0))</f>
        <v/>
      </c>
      <c r="J257">
        <f t="array" ref="J257">IFERROR(INDEX(T_LEAVE_TYPES[SYMBOL],T_LEAVE[[#This Row],[LEAVE TYPE SYS ID]]),"")</f>
        <v/>
      </c>
      <c r="K257">
        <f>IF(T_LEAVE[[#This Row],[EMPLOYEE]]="","",IF(T_LEAVE[[#This Row],[ERROR]]="",0,1))</f>
        <v/>
      </c>
      <c r="L257">
        <f t="array" ref="L2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8">
      <c r="A258" t="inlineStr">
        <is>
          <t>Katakam Vijaykumar (1017149)</t>
        </is>
      </c>
      <c r="B258" s="15" t="inlineStr">
        <is>
          <t>Friday, 17 September 2021</t>
        </is>
      </c>
      <c r="C258" s="15" t="inlineStr">
        <is>
          <t>Friday, 17 September 2021</t>
        </is>
      </c>
      <c r="D258" t="inlineStr">
        <is>
          <t xml:space="preserve">Casual / Sick </t>
        </is>
      </c>
      <c r="E258" t="n">
        <v>1</v>
      </c>
      <c r="F258" s="1" t="n"/>
      <c r="G258" s="1" t="n"/>
      <c r="H258">
        <f>IF(T_LEAVE[[#This Row],[EMPLOYEE]]="","",MATCH(T_LEAVE[[#This Row],[EMPLOYEE]],L_EMPLABELS,0))</f>
        <v/>
      </c>
      <c r="I258">
        <f>IF(T_LEAVE[[#This Row],[EMPLOYEE]]="","",MATCH(T_LEAVE[[#This Row],[LEAVE TYPE]],L_LEAVETYPES,0))</f>
        <v/>
      </c>
      <c r="J258">
        <f t="array" ref="J258">IFERROR(INDEX(T_LEAVE_TYPES[SYMBOL],T_LEAVE[[#This Row],[LEAVE TYPE SYS ID]]),"")</f>
        <v/>
      </c>
      <c r="K258">
        <f>IF(T_LEAVE[[#This Row],[EMPLOYEE]]="","",IF(T_LEAVE[[#This Row],[ERROR]]="",0,1))</f>
        <v/>
      </c>
      <c r="L258">
        <f t="array" ref="L2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59">
      <c r="A259" t="inlineStr">
        <is>
          <t>Shashi Kumar D (1028007)</t>
        </is>
      </c>
      <c r="B259" s="15" t="inlineStr">
        <is>
          <t>Friday, 10 March 2023</t>
        </is>
      </c>
      <c r="C259" s="15" t="inlineStr">
        <is>
          <t>Friday, 10 March 2023</t>
        </is>
      </c>
      <c r="D259" t="inlineStr">
        <is>
          <t xml:space="preserve">Casual / Sick </t>
        </is>
      </c>
      <c r="E259" t="n">
        <v>1</v>
      </c>
      <c r="F259" s="1" t="n"/>
      <c r="G259" s="1" t="n"/>
      <c r="H259">
        <f>IF(T_LEAVE[[#This Row],[EMPLOYEE]]="","",MATCH(T_LEAVE[[#This Row],[EMPLOYEE]],L_EMPLABELS,0))</f>
        <v/>
      </c>
      <c r="I259">
        <f>IF(T_LEAVE[[#This Row],[EMPLOYEE]]="","",MATCH(T_LEAVE[[#This Row],[LEAVE TYPE]],L_LEAVETYPES,0))</f>
        <v/>
      </c>
      <c r="J259">
        <f t="array" ref="J259">IFERROR(INDEX(T_LEAVE_TYPES[SYMBOL],T_LEAVE[[#This Row],[LEAVE TYPE SYS ID]]),"")</f>
        <v/>
      </c>
      <c r="K259">
        <f>IF(T_LEAVE[[#This Row],[EMPLOYEE]]="","",IF(T_LEAVE[[#This Row],[ERROR]]="",0,1))</f>
        <v/>
      </c>
      <c r="L259">
        <f t="array" ref="L2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0">
      <c r="A260" t="inlineStr">
        <is>
          <t>Rangabhatla Sai Harish (1029533)</t>
        </is>
      </c>
      <c r="B260" s="15" t="inlineStr">
        <is>
          <t>Wednesday, 15 March 2023</t>
        </is>
      </c>
      <c r="C260" s="15" t="inlineStr">
        <is>
          <t>Wednesday, 15 March 2023</t>
        </is>
      </c>
      <c r="D260" t="inlineStr">
        <is>
          <t>Privilege</t>
        </is>
      </c>
      <c r="E260" t="n">
        <v>1</v>
      </c>
      <c r="F260" s="1" t="n"/>
      <c r="G260" s="1" t="n"/>
      <c r="H260">
        <f>IF(T_LEAVE[[#This Row],[EMPLOYEE]]="","",MATCH(T_LEAVE[[#This Row],[EMPLOYEE]],L_EMPLABELS,0))</f>
        <v/>
      </c>
      <c r="I260">
        <f>IF(T_LEAVE[[#This Row],[EMPLOYEE]]="","",MATCH(T_LEAVE[[#This Row],[LEAVE TYPE]],L_LEAVETYPES,0))</f>
        <v/>
      </c>
      <c r="J260">
        <f t="array" ref="J260">IFERROR(INDEX(T_LEAVE_TYPES[SYMBOL],T_LEAVE[[#This Row],[LEAVE TYPE SYS ID]]),"")</f>
        <v/>
      </c>
      <c r="K260">
        <f>IF(T_LEAVE[[#This Row],[EMPLOYEE]]="","",IF(T_LEAVE[[#This Row],[ERROR]]="",0,1))</f>
        <v/>
      </c>
      <c r="L260">
        <f t="array" ref="L2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1">
      <c r="A261" t="inlineStr">
        <is>
          <t>Katakam Vijaykumar (1017149)</t>
        </is>
      </c>
      <c r="B261" s="15" t="inlineStr">
        <is>
          <t>Friday, 25 October 2019</t>
        </is>
      </c>
      <c r="C261" s="15" t="inlineStr">
        <is>
          <t>Friday, 25 October 2019</t>
        </is>
      </c>
      <c r="D261" t="inlineStr">
        <is>
          <t>Privilege</t>
        </is>
      </c>
      <c r="E261" t="n">
        <v>1</v>
      </c>
      <c r="F261" s="1" t="n"/>
      <c r="G261" s="1" t="n"/>
      <c r="H261">
        <f>IF(T_LEAVE[[#This Row],[EMPLOYEE]]="","",MATCH(T_LEAVE[[#This Row],[EMPLOYEE]],L_EMPLABELS,0))</f>
        <v/>
      </c>
      <c r="I261">
        <f>IF(T_LEAVE[[#This Row],[EMPLOYEE]]="","",MATCH(T_LEAVE[[#This Row],[LEAVE TYPE]],L_LEAVETYPES,0))</f>
        <v/>
      </c>
      <c r="J261">
        <f t="array" ref="J261">IFERROR(INDEX(T_LEAVE_TYPES[SYMBOL],T_LEAVE[[#This Row],[LEAVE TYPE SYS ID]]),"")</f>
        <v/>
      </c>
      <c r="K261">
        <f>IF(T_LEAVE[[#This Row],[EMPLOYEE]]="","",IF(T_LEAVE[[#This Row],[ERROR]]="",0,1))</f>
        <v/>
      </c>
      <c r="L261">
        <f t="array" ref="L2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2">
      <c r="A262" t="inlineStr">
        <is>
          <t>Golla Venugopal (1028128)</t>
        </is>
      </c>
      <c r="B262" s="15" t="inlineStr">
        <is>
          <t>Friday, 10 March 2023</t>
        </is>
      </c>
      <c r="C262" s="15" t="inlineStr">
        <is>
          <t>Friday, 10 March 2023</t>
        </is>
      </c>
      <c r="D262" t="inlineStr">
        <is>
          <t>Privilege</t>
        </is>
      </c>
      <c r="E262" t="n">
        <v>1</v>
      </c>
      <c r="F262" s="1" t="n"/>
      <c r="G262" s="1" t="n"/>
      <c r="H262">
        <f>IF(T_LEAVE[[#This Row],[EMPLOYEE]]="","",MATCH(T_LEAVE[[#This Row],[EMPLOYEE]],L_EMPLABELS,0))</f>
        <v/>
      </c>
      <c r="I262">
        <f>IF(T_LEAVE[[#This Row],[EMPLOYEE]]="","",MATCH(T_LEAVE[[#This Row],[LEAVE TYPE]],L_LEAVETYPES,0))</f>
        <v/>
      </c>
      <c r="J262">
        <f t="array" ref="J262">IFERROR(INDEX(T_LEAVE_TYPES[SYMBOL],T_LEAVE[[#This Row],[LEAVE TYPE SYS ID]]),"")</f>
        <v/>
      </c>
      <c r="K262">
        <f>IF(T_LEAVE[[#This Row],[EMPLOYEE]]="","",IF(T_LEAVE[[#This Row],[ERROR]]="",0,1))</f>
        <v/>
      </c>
      <c r="L262">
        <f t="array" ref="L2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3">
      <c r="A263" t="inlineStr">
        <is>
          <t>Yanamadala Likhitha Sree (1029868)</t>
        </is>
      </c>
      <c r="B263" s="15" t="inlineStr">
        <is>
          <t>Friday, 10 March 2023</t>
        </is>
      </c>
      <c r="C263" s="15" t="inlineStr">
        <is>
          <t>Friday, 10 March 2023</t>
        </is>
      </c>
      <c r="D263" t="inlineStr">
        <is>
          <t>Privilege</t>
        </is>
      </c>
      <c r="E263" t="n">
        <v>1</v>
      </c>
      <c r="F263" s="1" t="n"/>
      <c r="G263" s="1" t="n"/>
      <c r="H263">
        <f>IF(T_LEAVE[[#This Row],[EMPLOYEE]]="","",MATCH(T_LEAVE[[#This Row],[EMPLOYEE]],L_EMPLABELS,0))</f>
        <v/>
      </c>
      <c r="I263">
        <f>IF(T_LEAVE[[#This Row],[EMPLOYEE]]="","",MATCH(T_LEAVE[[#This Row],[LEAVE TYPE]],L_LEAVETYPES,0))</f>
        <v/>
      </c>
      <c r="J263">
        <f t="array" ref="J263">IFERROR(INDEX(T_LEAVE_TYPES[SYMBOL],T_LEAVE[[#This Row],[LEAVE TYPE SYS ID]]),"")</f>
        <v/>
      </c>
      <c r="K263">
        <f>IF(T_LEAVE[[#This Row],[EMPLOYEE]]="","",IF(T_LEAVE[[#This Row],[ERROR]]="",0,1))</f>
        <v/>
      </c>
      <c r="L263">
        <f t="array" ref="L2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4">
      <c r="A264" t="inlineStr">
        <is>
          <t>Yanamadala Likhitha Sree (1029868)</t>
        </is>
      </c>
      <c r="B264" s="15" t="inlineStr">
        <is>
          <t>Friday, 10 March 2023</t>
        </is>
      </c>
      <c r="C264" s="15" t="inlineStr">
        <is>
          <t>Saturday, 11 March 2023</t>
        </is>
      </c>
      <c r="D264" t="inlineStr">
        <is>
          <t>Privilege</t>
        </is>
      </c>
      <c r="E264" t="n">
        <v>1</v>
      </c>
      <c r="F264" s="1" t="n"/>
      <c r="G264" s="1" t="n"/>
      <c r="H264">
        <f>IF(T_LEAVE[[#This Row],[EMPLOYEE]]="","",MATCH(T_LEAVE[[#This Row],[EMPLOYEE]],L_EMPLABELS,0))</f>
        <v/>
      </c>
      <c r="I264">
        <f>IF(T_LEAVE[[#This Row],[EMPLOYEE]]="","",MATCH(T_LEAVE[[#This Row],[LEAVE TYPE]],L_LEAVETYPES,0))</f>
        <v/>
      </c>
      <c r="J264">
        <f t="array" ref="J264">IFERROR(INDEX(T_LEAVE_TYPES[SYMBOL],T_LEAVE[[#This Row],[LEAVE TYPE SYS ID]]),"")</f>
        <v/>
      </c>
      <c r="K264">
        <f>IF(T_LEAVE[[#This Row],[EMPLOYEE]]="","",IF(T_LEAVE[[#This Row],[ERROR]]="",0,1))</f>
        <v/>
      </c>
      <c r="L264">
        <f t="array" ref="L2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5">
      <c r="A265" t="inlineStr">
        <is>
          <t>Madhusmita Das (1028452)</t>
        </is>
      </c>
      <c r="B265" s="15" t="inlineStr">
        <is>
          <t>Monday, 06 March 2023</t>
        </is>
      </c>
      <c r="C265" s="15" t="inlineStr">
        <is>
          <t>Monday, 06 March 2023</t>
        </is>
      </c>
      <c r="D265" t="inlineStr">
        <is>
          <t xml:space="preserve">Casual / Sick </t>
        </is>
      </c>
      <c r="E265" t="n">
        <v>1</v>
      </c>
      <c r="F265" s="1" t="n"/>
      <c r="G265" s="1" t="n"/>
      <c r="H265">
        <f>IF(T_LEAVE[[#This Row],[EMPLOYEE]]="","",MATCH(T_LEAVE[[#This Row],[EMPLOYEE]],L_EMPLABELS,0))</f>
        <v/>
      </c>
      <c r="I265">
        <f>IF(T_LEAVE[[#This Row],[EMPLOYEE]]="","",MATCH(T_LEAVE[[#This Row],[LEAVE TYPE]],L_LEAVETYPES,0))</f>
        <v/>
      </c>
      <c r="J265">
        <f t="array" ref="J265">IFERROR(INDEX(T_LEAVE_TYPES[SYMBOL],T_LEAVE[[#This Row],[LEAVE TYPE SYS ID]]),"")</f>
        <v/>
      </c>
      <c r="K265">
        <f>IF(T_LEAVE[[#This Row],[EMPLOYEE]]="","",IF(T_LEAVE[[#This Row],[ERROR]]="",0,1))</f>
        <v/>
      </c>
      <c r="L265">
        <f t="array" ref="L2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6">
      <c r="A266" t="inlineStr">
        <is>
          <t>Rangabhatla Sai Harish (1029533)</t>
        </is>
      </c>
      <c r="B266" s="15" t="inlineStr">
        <is>
          <t>Friday, 24 February 2023</t>
        </is>
      </c>
      <c r="C266" s="15" t="inlineStr">
        <is>
          <t>Friday, 24 February 2023</t>
        </is>
      </c>
      <c r="D266" t="inlineStr">
        <is>
          <t xml:space="preserve">Casual / Sick </t>
        </is>
      </c>
      <c r="E266" t="n">
        <v>1</v>
      </c>
      <c r="F266" s="1" t="n"/>
      <c r="G266" s="1" t="n"/>
      <c r="H266">
        <f>IF(T_LEAVE[[#This Row],[EMPLOYEE]]="","",MATCH(T_LEAVE[[#This Row],[EMPLOYEE]],L_EMPLABELS,0))</f>
        <v/>
      </c>
      <c r="I266">
        <f>IF(T_LEAVE[[#This Row],[EMPLOYEE]]="","",MATCH(T_LEAVE[[#This Row],[LEAVE TYPE]],L_LEAVETYPES,0))</f>
        <v/>
      </c>
      <c r="J266">
        <f t="array" ref="J266">IFERROR(INDEX(T_LEAVE_TYPES[SYMBOL],T_LEAVE[[#This Row],[LEAVE TYPE SYS ID]]),"")</f>
        <v/>
      </c>
      <c r="K266">
        <f>IF(T_LEAVE[[#This Row],[EMPLOYEE]]="","",IF(T_LEAVE[[#This Row],[ERROR]]="",0,1))</f>
        <v/>
      </c>
      <c r="L266">
        <f t="array" ref="L2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7">
      <c r="A267" t="inlineStr">
        <is>
          <t>Rajesh Kumar M (1027422)</t>
        </is>
      </c>
      <c r="B267" s="15" t="inlineStr">
        <is>
          <t>Wednesday, 22 February 2023</t>
        </is>
      </c>
      <c r="C267" s="15" t="inlineStr">
        <is>
          <t>Wednesday, 22 February 2023</t>
        </is>
      </c>
      <c r="D267" t="inlineStr">
        <is>
          <t xml:space="preserve">Casual / Sick </t>
        </is>
      </c>
      <c r="E267" t="n">
        <v>1</v>
      </c>
      <c r="F267" s="1" t="n"/>
      <c r="G267" s="1" t="n"/>
      <c r="H267">
        <f>IF(T_LEAVE[[#This Row],[EMPLOYEE]]="","",MATCH(T_LEAVE[[#This Row],[EMPLOYEE]],L_EMPLABELS,0))</f>
        <v/>
      </c>
      <c r="I267">
        <f>IF(T_LEAVE[[#This Row],[EMPLOYEE]]="","",MATCH(T_LEAVE[[#This Row],[LEAVE TYPE]],L_LEAVETYPES,0))</f>
        <v/>
      </c>
      <c r="J267">
        <f t="array" ref="J267">IFERROR(INDEX(T_LEAVE_TYPES[SYMBOL],T_LEAVE[[#This Row],[LEAVE TYPE SYS ID]]),"")</f>
        <v/>
      </c>
      <c r="K267">
        <f>IF(T_LEAVE[[#This Row],[EMPLOYEE]]="","",IF(T_LEAVE[[#This Row],[ERROR]]="",0,1))</f>
        <v/>
      </c>
      <c r="L267">
        <f t="array" ref="L2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8">
      <c r="A268" t="inlineStr">
        <is>
          <t>Madhu Gandham (1029876)</t>
        </is>
      </c>
      <c r="B268" s="15" t="inlineStr">
        <is>
          <t>Monday, 20 February 2023</t>
        </is>
      </c>
      <c r="C268" s="15" t="inlineStr">
        <is>
          <t>Monday, 20 February 2023</t>
        </is>
      </c>
      <c r="D268" t="inlineStr">
        <is>
          <t xml:space="preserve">Casual / Sick </t>
        </is>
      </c>
      <c r="E268" t="n">
        <v>1</v>
      </c>
      <c r="F268" s="1" t="n"/>
      <c r="G268" s="1" t="n"/>
      <c r="H268">
        <f>IF(T_LEAVE[[#This Row],[EMPLOYEE]]="","",MATCH(T_LEAVE[[#This Row],[EMPLOYEE]],L_EMPLABELS,0))</f>
        <v/>
      </c>
      <c r="I268">
        <f>IF(T_LEAVE[[#This Row],[EMPLOYEE]]="","",MATCH(T_LEAVE[[#This Row],[LEAVE TYPE]],L_LEAVETYPES,0))</f>
        <v/>
      </c>
      <c r="J268">
        <f t="array" ref="J268">IFERROR(INDEX(T_LEAVE_TYPES[SYMBOL],T_LEAVE[[#This Row],[LEAVE TYPE SYS ID]]),"")</f>
        <v/>
      </c>
      <c r="K268">
        <f>IF(T_LEAVE[[#This Row],[EMPLOYEE]]="","",IF(T_LEAVE[[#This Row],[ERROR]]="",0,1))</f>
        <v/>
      </c>
      <c r="L268">
        <f t="array" ref="L2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69">
      <c r="A269" t="inlineStr">
        <is>
          <t>Kummari Yeshwanth (1029885)</t>
        </is>
      </c>
      <c r="B269" s="15" t="inlineStr">
        <is>
          <t>Monday, 20 February 2023</t>
        </is>
      </c>
      <c r="C269" s="15" t="inlineStr">
        <is>
          <t>Tuesday, 21 February 2023</t>
        </is>
      </c>
      <c r="D269" t="inlineStr">
        <is>
          <t>Privilege</t>
        </is>
      </c>
      <c r="E269" t="n">
        <v>2</v>
      </c>
      <c r="F269" s="1" t="n"/>
      <c r="G269" s="1" t="n"/>
      <c r="H269">
        <f>IF(T_LEAVE[[#This Row],[EMPLOYEE]]="","",MATCH(T_LEAVE[[#This Row],[EMPLOYEE]],L_EMPLABELS,0))</f>
        <v/>
      </c>
      <c r="I269">
        <f>IF(T_LEAVE[[#This Row],[EMPLOYEE]]="","",MATCH(T_LEAVE[[#This Row],[LEAVE TYPE]],L_LEAVETYPES,0))</f>
        <v/>
      </c>
      <c r="J269">
        <f t="array" ref="J269">IFERROR(INDEX(T_LEAVE_TYPES[SYMBOL],T_LEAVE[[#This Row],[LEAVE TYPE SYS ID]]),"")</f>
        <v/>
      </c>
      <c r="K269">
        <f>IF(T_LEAVE[[#This Row],[EMPLOYEE]]="","",IF(T_LEAVE[[#This Row],[ERROR]]="",0,1))</f>
        <v/>
      </c>
      <c r="L269">
        <f t="array" ref="L2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0">
      <c r="A270" t="inlineStr">
        <is>
          <t>D Malar Vizhi (1021304)</t>
        </is>
      </c>
      <c r="B270" s="15" t="inlineStr">
        <is>
          <t>Tuesday, 24 January 2023</t>
        </is>
      </c>
      <c r="C270" s="15" t="inlineStr">
        <is>
          <t>Wednesday, 25 January 2023</t>
        </is>
      </c>
      <c r="D270" t="inlineStr">
        <is>
          <t xml:space="preserve">Casual / Sick </t>
        </is>
      </c>
      <c r="E270" t="n">
        <v>2</v>
      </c>
      <c r="F270" s="1" t="n"/>
      <c r="G270" s="1" t="n"/>
      <c r="H270">
        <f>IF(T_LEAVE[[#This Row],[EMPLOYEE]]="","",MATCH(T_LEAVE[[#This Row],[EMPLOYEE]],L_EMPLABELS,0))</f>
        <v/>
      </c>
      <c r="I270">
        <f>IF(T_LEAVE[[#This Row],[EMPLOYEE]]="","",MATCH(T_LEAVE[[#This Row],[LEAVE TYPE]],L_LEAVETYPES,0))</f>
        <v/>
      </c>
      <c r="J270">
        <f t="array" ref="J270">IFERROR(INDEX(T_LEAVE_TYPES[SYMBOL],T_LEAVE[[#This Row],[LEAVE TYPE SYS ID]]),"")</f>
        <v/>
      </c>
      <c r="K270">
        <f>IF(T_LEAVE[[#This Row],[EMPLOYEE]]="","",IF(T_LEAVE[[#This Row],[ERROR]]="",0,1))</f>
        <v/>
      </c>
      <c r="L270">
        <f t="array" ref="L2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1">
      <c r="A271" t="inlineStr">
        <is>
          <t>Bhagyashree Patil (1030253)</t>
        </is>
      </c>
      <c r="B271" s="15" t="inlineStr">
        <is>
          <t>Monday, 13 February 2023</t>
        </is>
      </c>
      <c r="C271" s="15" t="inlineStr">
        <is>
          <t>Monday, 13 February 2023</t>
        </is>
      </c>
      <c r="D271" t="inlineStr">
        <is>
          <t xml:space="preserve">Casual / Sick </t>
        </is>
      </c>
      <c r="E271" t="n">
        <v>1</v>
      </c>
      <c r="F271" s="1" t="n"/>
      <c r="G271" s="1" t="n"/>
      <c r="H271">
        <f>IF(T_LEAVE[[#This Row],[EMPLOYEE]]="","",MATCH(T_LEAVE[[#This Row],[EMPLOYEE]],L_EMPLABELS,0))</f>
        <v/>
      </c>
      <c r="I271">
        <f>IF(T_LEAVE[[#This Row],[EMPLOYEE]]="","",MATCH(T_LEAVE[[#This Row],[LEAVE TYPE]],L_LEAVETYPES,0))</f>
        <v/>
      </c>
      <c r="J271">
        <f t="array" ref="J271">IFERROR(INDEX(T_LEAVE_TYPES[SYMBOL],T_LEAVE[[#This Row],[LEAVE TYPE SYS ID]]),"")</f>
        <v/>
      </c>
      <c r="K271">
        <f>IF(T_LEAVE[[#This Row],[EMPLOYEE]]="","",IF(T_LEAVE[[#This Row],[ERROR]]="",0,1))</f>
        <v/>
      </c>
      <c r="L271">
        <f t="array" ref="L2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2">
      <c r="A272" t="inlineStr">
        <is>
          <t>Veera Satya Kishore Swamy Allaka (1029895)</t>
        </is>
      </c>
      <c r="B272" s="15" t="inlineStr">
        <is>
          <t>Thursday, 09 February 2023</t>
        </is>
      </c>
      <c r="C272" s="15" t="inlineStr">
        <is>
          <t>Friday, 10 February 2023</t>
        </is>
      </c>
      <c r="D272" t="inlineStr">
        <is>
          <t>Privilege</t>
        </is>
      </c>
      <c r="E272" t="n">
        <v>2</v>
      </c>
      <c r="F272" s="1" t="n"/>
      <c r="G272" s="1" t="n"/>
      <c r="H272">
        <f>IF(T_LEAVE[[#This Row],[EMPLOYEE]]="","",MATCH(T_LEAVE[[#This Row],[EMPLOYEE]],L_EMPLABELS,0))</f>
        <v/>
      </c>
      <c r="I272">
        <f>IF(T_LEAVE[[#This Row],[EMPLOYEE]]="","",MATCH(T_LEAVE[[#This Row],[LEAVE TYPE]],L_LEAVETYPES,0))</f>
        <v/>
      </c>
      <c r="J272">
        <f t="array" ref="J272">IFERROR(INDEX(T_LEAVE_TYPES[SYMBOL],T_LEAVE[[#This Row],[LEAVE TYPE SYS ID]]),"")</f>
        <v/>
      </c>
      <c r="K272">
        <f>IF(T_LEAVE[[#This Row],[EMPLOYEE]]="","",IF(T_LEAVE[[#This Row],[ERROR]]="",0,1))</f>
        <v/>
      </c>
      <c r="L272">
        <f t="array" ref="L2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3">
      <c r="A273" t="inlineStr">
        <is>
          <t>Macherla Sandhya  Rani (1022410)</t>
        </is>
      </c>
      <c r="B273" s="15" t="inlineStr">
        <is>
          <t>Wednesday, 23 August 2023</t>
        </is>
      </c>
      <c r="C273" s="15" t="inlineStr">
        <is>
          <t>Tuesday, 05 September 2023</t>
        </is>
      </c>
      <c r="D273" t="inlineStr">
        <is>
          <t>Privilege</t>
        </is>
      </c>
      <c r="E273" t="n">
        <v>10</v>
      </c>
      <c r="F273" s="1" t="n"/>
      <c r="G273" s="1" t="n"/>
      <c r="H273">
        <f>IF(T_LEAVE[[#This Row],[EMPLOYEE]]="","",MATCH(T_LEAVE[[#This Row],[EMPLOYEE]],L_EMPLABELS,0))</f>
        <v/>
      </c>
      <c r="I273">
        <f>IF(T_LEAVE[[#This Row],[EMPLOYEE]]="","",MATCH(T_LEAVE[[#This Row],[LEAVE TYPE]],L_LEAVETYPES,0))</f>
        <v/>
      </c>
      <c r="J273">
        <f t="array" ref="J273">IFERROR(INDEX(T_LEAVE_TYPES[SYMBOL],T_LEAVE[[#This Row],[LEAVE TYPE SYS ID]]),"")</f>
        <v/>
      </c>
      <c r="K273">
        <f>IF(T_LEAVE[[#This Row],[EMPLOYEE]]="","",IF(T_LEAVE[[#This Row],[ERROR]]="",0,1))</f>
        <v/>
      </c>
      <c r="L273">
        <f t="array" ref="L2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4">
      <c r="A274" t="inlineStr">
        <is>
          <t>Kummari Yeshwanth (1029885)</t>
        </is>
      </c>
      <c r="B274" s="15" t="inlineStr">
        <is>
          <t>Friday, 27 January 2023</t>
        </is>
      </c>
      <c r="C274" s="15" t="inlineStr">
        <is>
          <t>Friday, 27 January 2023</t>
        </is>
      </c>
      <c r="D274" t="inlineStr">
        <is>
          <t>Privilege</t>
        </is>
      </c>
      <c r="E274" t="n">
        <v>1</v>
      </c>
      <c r="F274" s="1" t="n"/>
      <c r="G274" s="1" t="n"/>
      <c r="H274">
        <f>IF(T_LEAVE[[#This Row],[EMPLOYEE]]="","",MATCH(T_LEAVE[[#This Row],[EMPLOYEE]],L_EMPLABELS,0))</f>
        <v/>
      </c>
      <c r="I274">
        <f>IF(T_LEAVE[[#This Row],[EMPLOYEE]]="","",MATCH(T_LEAVE[[#This Row],[LEAVE TYPE]],L_LEAVETYPES,0))</f>
        <v/>
      </c>
      <c r="J274">
        <f t="array" ref="J274">IFERROR(INDEX(T_LEAVE_TYPES[SYMBOL],T_LEAVE[[#This Row],[LEAVE TYPE SYS ID]]),"")</f>
        <v/>
      </c>
      <c r="K274">
        <f>IF(T_LEAVE[[#This Row],[EMPLOYEE]]="","",IF(T_LEAVE[[#This Row],[ERROR]]="",0,1))</f>
        <v/>
      </c>
      <c r="L274">
        <f t="array" ref="L2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5">
      <c r="A275" t="inlineStr">
        <is>
          <t>Macherla Sandhya  Rani (1022410)</t>
        </is>
      </c>
      <c r="B275" s="15" t="inlineStr">
        <is>
          <t>Monday, 11 September 2023</t>
        </is>
      </c>
      <c r="C275" s="15" t="inlineStr">
        <is>
          <t>Monday, 11 September 2023</t>
        </is>
      </c>
      <c r="D275" t="inlineStr">
        <is>
          <t xml:space="preserve">Casual / Sick </t>
        </is>
      </c>
      <c r="E275" t="n">
        <v>1</v>
      </c>
      <c r="F275" s="1" t="n"/>
      <c r="G275" s="1" t="n"/>
      <c r="H275">
        <f>IF(T_LEAVE[[#This Row],[EMPLOYEE]]="","",MATCH(T_LEAVE[[#This Row],[EMPLOYEE]],L_EMPLABELS,0))</f>
        <v/>
      </c>
      <c r="I275">
        <f>IF(T_LEAVE[[#This Row],[EMPLOYEE]]="","",MATCH(T_LEAVE[[#This Row],[LEAVE TYPE]],L_LEAVETYPES,0))</f>
        <v/>
      </c>
      <c r="J275">
        <f t="array" ref="J275">IFERROR(INDEX(T_LEAVE_TYPES[SYMBOL],T_LEAVE[[#This Row],[LEAVE TYPE SYS ID]]),"")</f>
        <v/>
      </c>
      <c r="K275">
        <f>IF(T_LEAVE[[#This Row],[EMPLOYEE]]="","",IF(T_LEAVE[[#This Row],[ERROR]]="",0,1))</f>
        <v/>
      </c>
      <c r="L275">
        <f t="array" ref="L2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6">
      <c r="A276" t="inlineStr">
        <is>
          <t>Kummari Yeshwanth (1029885)</t>
        </is>
      </c>
      <c r="B276" s="15" t="inlineStr">
        <is>
          <t>Monday, 30 January 2023</t>
        </is>
      </c>
      <c r="C276" s="15" t="inlineStr">
        <is>
          <t>Monday, 30 January 2023</t>
        </is>
      </c>
      <c r="D276" t="inlineStr">
        <is>
          <t xml:space="preserve">Casual / Sick </t>
        </is>
      </c>
      <c r="E276" t="n">
        <v>1</v>
      </c>
      <c r="F276" s="1" t="n"/>
      <c r="G276" s="1" t="n"/>
      <c r="H276">
        <f>IF(T_LEAVE[[#This Row],[EMPLOYEE]]="","",MATCH(T_LEAVE[[#This Row],[EMPLOYEE]],L_EMPLABELS,0))</f>
        <v/>
      </c>
      <c r="I276">
        <f>IF(T_LEAVE[[#This Row],[EMPLOYEE]]="","",MATCH(T_LEAVE[[#This Row],[LEAVE TYPE]],L_LEAVETYPES,0))</f>
        <v/>
      </c>
      <c r="J276">
        <f t="array" ref="J276">IFERROR(INDEX(T_LEAVE_TYPES[SYMBOL],T_LEAVE[[#This Row],[LEAVE TYPE SYS ID]]),"")</f>
        <v/>
      </c>
      <c r="K276">
        <f>IF(T_LEAVE[[#This Row],[EMPLOYEE]]="","",IF(T_LEAVE[[#This Row],[ERROR]]="",0,1))</f>
        <v/>
      </c>
      <c r="L276">
        <f t="array" ref="L2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7">
      <c r="A277" t="inlineStr">
        <is>
          <t>Kummari Yeshwanth (1029885)</t>
        </is>
      </c>
      <c r="B277" s="15" t="inlineStr">
        <is>
          <t>Tuesday, 24 January 2023</t>
        </is>
      </c>
      <c r="C277" s="15" t="inlineStr">
        <is>
          <t>Tuesday, 24 January 2023</t>
        </is>
      </c>
      <c r="D277" t="inlineStr">
        <is>
          <t xml:space="preserve">Casual / Sick </t>
        </is>
      </c>
      <c r="E277" t="n">
        <v>1</v>
      </c>
      <c r="F277" s="1" t="n"/>
      <c r="G277" s="1" t="n"/>
      <c r="H277">
        <f>IF(T_LEAVE[[#This Row],[EMPLOYEE]]="","",MATCH(T_LEAVE[[#This Row],[EMPLOYEE]],L_EMPLABELS,0))</f>
        <v/>
      </c>
      <c r="I277">
        <f>IF(T_LEAVE[[#This Row],[EMPLOYEE]]="","",MATCH(T_LEAVE[[#This Row],[LEAVE TYPE]],L_LEAVETYPES,0))</f>
        <v/>
      </c>
      <c r="J277">
        <f t="array" ref="J277">IFERROR(INDEX(T_LEAVE_TYPES[SYMBOL],T_LEAVE[[#This Row],[LEAVE TYPE SYS ID]]),"")</f>
        <v/>
      </c>
      <c r="K277">
        <f>IF(T_LEAVE[[#This Row],[EMPLOYEE]]="","",IF(T_LEAVE[[#This Row],[ERROR]]="",0,1))</f>
        <v/>
      </c>
      <c r="L277">
        <f t="array" ref="L2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8">
      <c r="A278" t="inlineStr">
        <is>
          <t>Sunil Kumar Gupta (1029521)</t>
        </is>
      </c>
      <c r="B278" s="15" t="inlineStr">
        <is>
          <t>Thursday, 19 January 2023</t>
        </is>
      </c>
      <c r="C278" s="15" t="inlineStr">
        <is>
          <t>Thursday, 19 January 2023</t>
        </is>
      </c>
      <c r="D278" t="inlineStr">
        <is>
          <t>Privilege</t>
        </is>
      </c>
      <c r="E278" t="n">
        <v>1</v>
      </c>
      <c r="F278" s="1" t="n"/>
      <c r="G278" s="1" t="n"/>
      <c r="H278">
        <f>IF(T_LEAVE[[#This Row],[EMPLOYEE]]="","",MATCH(T_LEAVE[[#This Row],[EMPLOYEE]],L_EMPLABELS,0))</f>
        <v/>
      </c>
      <c r="I278">
        <f>IF(T_LEAVE[[#This Row],[EMPLOYEE]]="","",MATCH(T_LEAVE[[#This Row],[LEAVE TYPE]],L_LEAVETYPES,0))</f>
        <v/>
      </c>
      <c r="J278">
        <f t="array" ref="J278">IFERROR(INDEX(T_LEAVE_TYPES[SYMBOL],T_LEAVE[[#This Row],[LEAVE TYPE SYS ID]]),"")</f>
        <v/>
      </c>
      <c r="K278">
        <f>IF(T_LEAVE[[#This Row],[EMPLOYEE]]="","",IF(T_LEAVE[[#This Row],[ERROR]]="",0,1))</f>
        <v/>
      </c>
      <c r="L278">
        <f t="array" ref="L2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79">
      <c r="A279" t="inlineStr">
        <is>
          <t>Maddi Vamsi (1029528)</t>
        </is>
      </c>
      <c r="B279" s="15" t="inlineStr">
        <is>
          <t>Friday, 09 December 2022</t>
        </is>
      </c>
      <c r="C279" s="15" t="inlineStr">
        <is>
          <t>Friday, 09 December 2022</t>
        </is>
      </c>
      <c r="D279" t="inlineStr">
        <is>
          <t xml:space="preserve">Casual / Sick </t>
        </is>
      </c>
      <c r="E279" t="n">
        <v>1</v>
      </c>
      <c r="F279" s="1" t="n"/>
      <c r="G279" s="1" t="n"/>
      <c r="H279">
        <f>IF(T_LEAVE[[#This Row],[EMPLOYEE]]="","",MATCH(T_LEAVE[[#This Row],[EMPLOYEE]],L_EMPLABELS,0))</f>
        <v/>
      </c>
      <c r="I279">
        <f>IF(T_LEAVE[[#This Row],[EMPLOYEE]]="","",MATCH(T_LEAVE[[#This Row],[LEAVE TYPE]],L_LEAVETYPES,0))</f>
        <v/>
      </c>
      <c r="J279">
        <f t="array" ref="J279">IFERROR(INDEX(T_LEAVE_TYPES[SYMBOL],T_LEAVE[[#This Row],[LEAVE TYPE SYS ID]]),"")</f>
        <v/>
      </c>
      <c r="K279">
        <f>IF(T_LEAVE[[#This Row],[EMPLOYEE]]="","",IF(T_LEAVE[[#This Row],[ERROR]]="",0,1))</f>
        <v/>
      </c>
      <c r="L279">
        <f t="array" ref="L2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0">
      <c r="A280" t="inlineStr">
        <is>
          <t>Maddi Vamsi (1029528)</t>
        </is>
      </c>
      <c r="B280" s="15" t="inlineStr">
        <is>
          <t>Monday, 22 August 2022</t>
        </is>
      </c>
      <c r="C280" s="15" t="inlineStr">
        <is>
          <t>Monday, 22 August 2022</t>
        </is>
      </c>
      <c r="D280" t="inlineStr">
        <is>
          <t xml:space="preserve">Casual / Sick </t>
        </is>
      </c>
      <c r="E280" t="n">
        <v>1</v>
      </c>
      <c r="F280" s="1" t="n"/>
      <c r="G280" s="1" t="n"/>
      <c r="H280">
        <f>IF(T_LEAVE[[#This Row],[EMPLOYEE]]="","",MATCH(T_LEAVE[[#This Row],[EMPLOYEE]],L_EMPLABELS,0))</f>
        <v/>
      </c>
      <c r="I280">
        <f>IF(T_LEAVE[[#This Row],[EMPLOYEE]]="","",MATCH(T_LEAVE[[#This Row],[LEAVE TYPE]],L_LEAVETYPES,0))</f>
        <v/>
      </c>
      <c r="J280">
        <f t="array" ref="J280">IFERROR(INDEX(T_LEAVE_TYPES[SYMBOL],T_LEAVE[[#This Row],[LEAVE TYPE SYS ID]]),"")</f>
        <v/>
      </c>
      <c r="K280">
        <f>IF(T_LEAVE[[#This Row],[EMPLOYEE]]="","",IF(T_LEAVE[[#This Row],[ERROR]]="",0,1))</f>
        <v/>
      </c>
      <c r="L280">
        <f t="array" ref="L2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1">
      <c r="A281" t="inlineStr">
        <is>
          <t>Maddi Vamsi (1029528)</t>
        </is>
      </c>
      <c r="B281" s="15" t="inlineStr">
        <is>
          <t>Thursday, 01 December 2022</t>
        </is>
      </c>
      <c r="C281" s="15" t="inlineStr">
        <is>
          <t>Thursday, 08 December 2022</t>
        </is>
      </c>
      <c r="D281" t="inlineStr">
        <is>
          <t>Privilege</t>
        </is>
      </c>
      <c r="E281" t="n">
        <v>6</v>
      </c>
      <c r="F281" s="1" t="n"/>
      <c r="G281" s="1" t="n"/>
      <c r="H281">
        <f>IF(T_LEAVE[[#This Row],[EMPLOYEE]]="","",MATCH(T_LEAVE[[#This Row],[EMPLOYEE]],L_EMPLABELS,0))</f>
        <v/>
      </c>
      <c r="I281">
        <f>IF(T_LEAVE[[#This Row],[EMPLOYEE]]="","",MATCH(T_LEAVE[[#This Row],[LEAVE TYPE]],L_LEAVETYPES,0))</f>
        <v/>
      </c>
      <c r="J281">
        <f t="array" ref="J281">IFERROR(INDEX(T_LEAVE_TYPES[SYMBOL],T_LEAVE[[#This Row],[LEAVE TYPE SYS ID]]),"")</f>
        <v/>
      </c>
      <c r="K281">
        <f>IF(T_LEAVE[[#This Row],[EMPLOYEE]]="","",IF(T_LEAVE[[#This Row],[ERROR]]="",0,1))</f>
        <v/>
      </c>
      <c r="L281">
        <f t="array" ref="L2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2">
      <c r="A282" t="inlineStr">
        <is>
          <t>Rajesh Kumar M (1027422)</t>
        </is>
      </c>
      <c r="B282" s="15" t="inlineStr">
        <is>
          <t>Thursday, 22 December 2022</t>
        </is>
      </c>
      <c r="C282" s="15" t="inlineStr">
        <is>
          <t>Monday, 26 December 2022</t>
        </is>
      </c>
      <c r="D282" t="inlineStr">
        <is>
          <t xml:space="preserve">Casual / Sick </t>
        </is>
      </c>
      <c r="E282" t="n">
        <v>3</v>
      </c>
      <c r="F282" s="1" t="n"/>
      <c r="G282" s="1" t="n"/>
      <c r="H282">
        <f>IF(T_LEAVE[[#This Row],[EMPLOYEE]]="","",MATCH(T_LEAVE[[#This Row],[EMPLOYEE]],L_EMPLABELS,0))</f>
        <v/>
      </c>
      <c r="I282">
        <f>IF(T_LEAVE[[#This Row],[EMPLOYEE]]="","",MATCH(T_LEAVE[[#This Row],[LEAVE TYPE]],L_LEAVETYPES,0))</f>
        <v/>
      </c>
      <c r="J282">
        <f t="array" ref="J282">IFERROR(INDEX(T_LEAVE_TYPES[SYMBOL],T_LEAVE[[#This Row],[LEAVE TYPE SYS ID]]),"")</f>
        <v/>
      </c>
      <c r="K282">
        <f>IF(T_LEAVE[[#This Row],[EMPLOYEE]]="","",IF(T_LEAVE[[#This Row],[ERROR]]="",0,1))</f>
        <v/>
      </c>
      <c r="L282">
        <f t="array" ref="L2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3">
      <c r="A283" t="inlineStr">
        <is>
          <t>Nagarjun Naidu Mannem (1019816)</t>
        </is>
      </c>
      <c r="B283" s="15" t="inlineStr">
        <is>
          <t>Monday, 26 September 2022</t>
        </is>
      </c>
      <c r="C283" s="15" t="inlineStr">
        <is>
          <t>Monday, 26 September 2022</t>
        </is>
      </c>
      <c r="D283" t="inlineStr">
        <is>
          <t>Privilege</t>
        </is>
      </c>
      <c r="E283" t="n">
        <v>1</v>
      </c>
      <c r="F283" s="1" t="n"/>
      <c r="G283" s="1" t="n"/>
      <c r="H283">
        <f>IF(T_LEAVE[[#This Row],[EMPLOYEE]]="","",MATCH(T_LEAVE[[#This Row],[EMPLOYEE]],L_EMPLABELS,0))</f>
        <v/>
      </c>
      <c r="I283">
        <f>IF(T_LEAVE[[#This Row],[EMPLOYEE]]="","",MATCH(T_LEAVE[[#This Row],[LEAVE TYPE]],L_LEAVETYPES,0))</f>
        <v/>
      </c>
      <c r="J283">
        <f t="array" ref="J283">IFERROR(INDEX(T_LEAVE_TYPES[SYMBOL],T_LEAVE[[#This Row],[LEAVE TYPE SYS ID]]),"")</f>
        <v/>
      </c>
      <c r="K283">
        <f>IF(T_LEAVE[[#This Row],[EMPLOYEE]]="","",IF(T_LEAVE[[#This Row],[ERROR]]="",0,1))</f>
        <v/>
      </c>
      <c r="L283">
        <f t="array" ref="L2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4">
      <c r="A284" t="inlineStr">
        <is>
          <t>Nagarjun Naidu Mannem (1019816)</t>
        </is>
      </c>
      <c r="B284" s="15" t="inlineStr">
        <is>
          <t>Thursday, 15 September 2022</t>
        </is>
      </c>
      <c r="C284" s="15" t="inlineStr">
        <is>
          <t>Thursday, 15 September 2022</t>
        </is>
      </c>
      <c r="D284" t="inlineStr">
        <is>
          <t>Privilege</t>
        </is>
      </c>
      <c r="E284" t="n">
        <v>1</v>
      </c>
      <c r="F284" s="1" t="n"/>
      <c r="G284" s="1" t="n"/>
      <c r="H284">
        <f>IF(T_LEAVE[[#This Row],[EMPLOYEE]]="","",MATCH(T_LEAVE[[#This Row],[EMPLOYEE]],L_EMPLABELS,0))</f>
        <v/>
      </c>
      <c r="I284">
        <f>IF(T_LEAVE[[#This Row],[EMPLOYEE]]="","",MATCH(T_LEAVE[[#This Row],[LEAVE TYPE]],L_LEAVETYPES,0))</f>
        <v/>
      </c>
      <c r="J284">
        <f t="array" ref="J284">IFERROR(INDEX(T_LEAVE_TYPES[SYMBOL],T_LEAVE[[#This Row],[LEAVE TYPE SYS ID]]),"")</f>
        <v/>
      </c>
      <c r="K284">
        <f>IF(T_LEAVE[[#This Row],[EMPLOYEE]]="","",IF(T_LEAVE[[#This Row],[ERROR]]="",0,1))</f>
        <v/>
      </c>
      <c r="L284">
        <f t="array" ref="L2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5">
      <c r="A285" t="inlineStr">
        <is>
          <t>Nagarjun Naidu Mannem (1019816)</t>
        </is>
      </c>
      <c r="B285" s="15" t="inlineStr">
        <is>
          <t>Thursday, 17 November 2022</t>
        </is>
      </c>
      <c r="C285" s="15" t="inlineStr">
        <is>
          <t>Thursday, 17 November 2022</t>
        </is>
      </c>
      <c r="D285" t="inlineStr">
        <is>
          <t>Privilege</t>
        </is>
      </c>
      <c r="E285" t="n">
        <v>1</v>
      </c>
      <c r="F285" s="1" t="n"/>
      <c r="G285" s="1" t="n"/>
      <c r="H285">
        <f>IF(T_LEAVE[[#This Row],[EMPLOYEE]]="","",MATCH(T_LEAVE[[#This Row],[EMPLOYEE]],L_EMPLABELS,0))</f>
        <v/>
      </c>
      <c r="I285">
        <f>IF(T_LEAVE[[#This Row],[EMPLOYEE]]="","",MATCH(T_LEAVE[[#This Row],[LEAVE TYPE]],L_LEAVETYPES,0))</f>
        <v/>
      </c>
      <c r="J285">
        <f t="array" ref="J285">IFERROR(INDEX(T_LEAVE_TYPES[SYMBOL],T_LEAVE[[#This Row],[LEAVE TYPE SYS ID]]),"")</f>
        <v/>
      </c>
      <c r="K285">
        <f>IF(T_LEAVE[[#This Row],[EMPLOYEE]]="","",IF(T_LEAVE[[#This Row],[ERROR]]="",0,1))</f>
        <v/>
      </c>
      <c r="L285">
        <f t="array" ref="L2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6">
      <c r="A286" t="inlineStr">
        <is>
          <t>Nagarjun Naidu Mannem (1019816)</t>
        </is>
      </c>
      <c r="B286" s="15" t="inlineStr">
        <is>
          <t>Monday, 05 December 2022</t>
        </is>
      </c>
      <c r="C286" s="15" t="inlineStr">
        <is>
          <t>Monday, 05 December 2022</t>
        </is>
      </c>
      <c r="D286" t="inlineStr">
        <is>
          <t xml:space="preserve">Casual / Sick </t>
        </is>
      </c>
      <c r="E286" t="n">
        <v>1</v>
      </c>
      <c r="F286" s="1" t="n"/>
      <c r="G286" s="1" t="n"/>
      <c r="H286">
        <f>IF(T_LEAVE[[#This Row],[EMPLOYEE]]="","",MATCH(T_LEAVE[[#This Row],[EMPLOYEE]],L_EMPLABELS,0))</f>
        <v/>
      </c>
      <c r="I286">
        <f>IF(T_LEAVE[[#This Row],[EMPLOYEE]]="","",MATCH(T_LEAVE[[#This Row],[LEAVE TYPE]],L_LEAVETYPES,0))</f>
        <v/>
      </c>
      <c r="J286">
        <f t="array" ref="J286">IFERROR(INDEX(T_LEAVE_TYPES[SYMBOL],T_LEAVE[[#This Row],[LEAVE TYPE SYS ID]]),"")</f>
        <v/>
      </c>
      <c r="K286">
        <f>IF(T_LEAVE[[#This Row],[EMPLOYEE]]="","",IF(T_LEAVE[[#This Row],[ERROR]]="",0,1))</f>
        <v/>
      </c>
      <c r="L286">
        <f t="array" ref="L2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7">
      <c r="A287" t="inlineStr">
        <is>
          <t>Nagarjun Naidu Mannem (1019816)</t>
        </is>
      </c>
      <c r="B287" s="15" t="inlineStr">
        <is>
          <t>Monday, 19 December 2022</t>
        </is>
      </c>
      <c r="C287" s="15" t="inlineStr">
        <is>
          <t>Monday, 19 December 2022</t>
        </is>
      </c>
      <c r="D287" t="inlineStr">
        <is>
          <t xml:space="preserve">Casual / Sick </t>
        </is>
      </c>
      <c r="E287" t="n">
        <v>1</v>
      </c>
      <c r="F287" s="1" t="n"/>
      <c r="G287" s="1" t="n"/>
      <c r="H287">
        <f>IF(T_LEAVE[[#This Row],[EMPLOYEE]]="","",MATCH(T_LEAVE[[#This Row],[EMPLOYEE]],L_EMPLABELS,0))</f>
        <v/>
      </c>
      <c r="I287">
        <f>IF(T_LEAVE[[#This Row],[EMPLOYEE]]="","",MATCH(T_LEAVE[[#This Row],[LEAVE TYPE]],L_LEAVETYPES,0))</f>
        <v/>
      </c>
      <c r="J287">
        <f t="array" ref="J287">IFERROR(INDEX(T_LEAVE_TYPES[SYMBOL],T_LEAVE[[#This Row],[LEAVE TYPE SYS ID]]),"")</f>
        <v/>
      </c>
      <c r="K287">
        <f>IF(T_LEAVE[[#This Row],[EMPLOYEE]]="","",IF(T_LEAVE[[#This Row],[ERROR]]="",0,1))</f>
        <v/>
      </c>
      <c r="L287">
        <f t="array" ref="L2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8">
      <c r="A288" t="inlineStr">
        <is>
          <t>Nagarjun Naidu Mannem (1019816)</t>
        </is>
      </c>
      <c r="B288" s="15" t="inlineStr">
        <is>
          <t>Monday, 26 December 2022</t>
        </is>
      </c>
      <c r="C288" s="15" t="inlineStr">
        <is>
          <t>Monday, 26 December 2022</t>
        </is>
      </c>
      <c r="D288" t="inlineStr">
        <is>
          <t xml:space="preserve">Casual / Sick </t>
        </is>
      </c>
      <c r="E288" t="n">
        <v>1</v>
      </c>
      <c r="F288" s="1" t="n"/>
      <c r="G288" s="1" t="n"/>
      <c r="H288">
        <f>IF(T_LEAVE[[#This Row],[EMPLOYEE]]="","",MATCH(T_LEAVE[[#This Row],[EMPLOYEE]],L_EMPLABELS,0))</f>
        <v/>
      </c>
      <c r="I288">
        <f>IF(T_LEAVE[[#This Row],[EMPLOYEE]]="","",MATCH(T_LEAVE[[#This Row],[LEAVE TYPE]],L_LEAVETYPES,0))</f>
        <v/>
      </c>
      <c r="J288">
        <f t="array" ref="J288">IFERROR(INDEX(T_LEAVE_TYPES[SYMBOL],T_LEAVE[[#This Row],[LEAVE TYPE SYS ID]]),"")</f>
        <v/>
      </c>
      <c r="K288">
        <f>IF(T_LEAVE[[#This Row],[EMPLOYEE]]="","",IF(T_LEAVE[[#This Row],[ERROR]]="",0,1))</f>
        <v/>
      </c>
      <c r="L288">
        <f t="array" ref="L2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89">
      <c r="A289" t="inlineStr">
        <is>
          <t>Shashi Kumar D (1028007)</t>
        </is>
      </c>
      <c r="B289" s="15" t="inlineStr">
        <is>
          <t>Friday, 30 December 2022</t>
        </is>
      </c>
      <c r="C289" s="15" t="inlineStr">
        <is>
          <t>Friday, 30 December 2022</t>
        </is>
      </c>
      <c r="D289" t="inlineStr">
        <is>
          <t xml:space="preserve">Casual / Sick </t>
        </is>
      </c>
      <c r="E289" t="n">
        <v>1</v>
      </c>
      <c r="F289" s="1" t="n"/>
      <c r="G289" s="1" t="n"/>
      <c r="H289">
        <f>IF(T_LEAVE[[#This Row],[EMPLOYEE]]="","",MATCH(T_LEAVE[[#This Row],[EMPLOYEE]],L_EMPLABELS,0))</f>
        <v/>
      </c>
      <c r="I289">
        <f>IF(T_LEAVE[[#This Row],[EMPLOYEE]]="","",MATCH(T_LEAVE[[#This Row],[LEAVE TYPE]],L_LEAVETYPES,0))</f>
        <v/>
      </c>
      <c r="J289">
        <f t="array" ref="J289">IFERROR(INDEX(T_LEAVE_TYPES[SYMBOL],T_LEAVE[[#This Row],[LEAVE TYPE SYS ID]]),"")</f>
        <v/>
      </c>
      <c r="K289">
        <f>IF(T_LEAVE[[#This Row],[EMPLOYEE]]="","",IF(T_LEAVE[[#This Row],[ERROR]]="",0,1))</f>
        <v/>
      </c>
      <c r="L289">
        <f t="array" ref="L2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0">
      <c r="A290" t="inlineStr">
        <is>
          <t>Katakam Vijaykumar (1017149)</t>
        </is>
      </c>
      <c r="B290" s="28" t="inlineStr">
        <is>
          <t>Monday, 03 April 2023</t>
        </is>
      </c>
      <c r="C290" s="15" t="inlineStr">
        <is>
          <t>Monday, 03 April 2023</t>
        </is>
      </c>
      <c r="D290" t="inlineStr">
        <is>
          <t>Privilege</t>
        </is>
      </c>
      <c r="E290" t="n">
        <v>1</v>
      </c>
      <c r="F290" s="1" t="n"/>
      <c r="G290" s="1" t="n"/>
      <c r="H290">
        <f>IF(T_LEAVE[[#This Row],[EMPLOYEE]]="","",MATCH(T_LEAVE[[#This Row],[EMPLOYEE]],L_EMPLABELS,0))</f>
        <v/>
      </c>
      <c r="I290">
        <f>IF(T_LEAVE[[#This Row],[EMPLOYEE]]="","",MATCH(T_LEAVE[[#This Row],[LEAVE TYPE]],L_LEAVETYPES,0))</f>
        <v/>
      </c>
      <c r="J290">
        <f t="array" ref="J290">IFERROR(INDEX(T_LEAVE_TYPES[SYMBOL],T_LEAVE[[#This Row],[LEAVE TYPE SYS ID]]),"")</f>
        <v/>
      </c>
      <c r="K290">
        <f>IF(T_LEAVE[[#This Row],[EMPLOYEE]]="","",IF(T_LEAVE[[#This Row],[ERROR]]="",0,1))</f>
        <v/>
      </c>
      <c r="L290">
        <f t="array" ref="L2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1">
      <c r="A291" t="inlineStr">
        <is>
          <t>Golla Venugopal (1028128)</t>
        </is>
      </c>
      <c r="B291" s="15" t="inlineStr">
        <is>
          <t>Wednesday, 28 December 2022</t>
        </is>
      </c>
      <c r="C291" s="15" t="inlineStr">
        <is>
          <t>Friday, 30 December 2022</t>
        </is>
      </c>
      <c r="D291" t="inlineStr">
        <is>
          <t>Privilege</t>
        </is>
      </c>
      <c r="E291" t="n">
        <v>3</v>
      </c>
      <c r="F291" s="1" t="n"/>
      <c r="G291" s="1" t="n"/>
      <c r="H291">
        <f>IF(T_LEAVE[[#This Row],[EMPLOYEE]]="","",MATCH(T_LEAVE[[#This Row],[EMPLOYEE]],L_EMPLABELS,0))</f>
        <v/>
      </c>
      <c r="I291">
        <f>IF(T_LEAVE[[#This Row],[EMPLOYEE]]="","",MATCH(T_LEAVE[[#This Row],[LEAVE TYPE]],L_LEAVETYPES,0))</f>
        <v/>
      </c>
      <c r="J291">
        <f t="array" ref="J291">IFERROR(INDEX(T_LEAVE_TYPES[SYMBOL],T_LEAVE[[#This Row],[LEAVE TYPE SYS ID]]),"")</f>
        <v/>
      </c>
      <c r="K291">
        <f>IF(T_LEAVE[[#This Row],[EMPLOYEE]]="","",IF(T_LEAVE[[#This Row],[ERROR]]="",0,1))</f>
        <v/>
      </c>
      <c r="L291">
        <f t="array" ref="L2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2">
      <c r="A292" t="inlineStr">
        <is>
          <t>Golla Venugopal (1028128)</t>
        </is>
      </c>
      <c r="B292" s="15" t="inlineStr">
        <is>
          <t>Monday, 26 December 2022</t>
        </is>
      </c>
      <c r="C292" s="15" t="inlineStr">
        <is>
          <t>Tuesday, 27 December 2022</t>
        </is>
      </c>
      <c r="D292" t="inlineStr">
        <is>
          <t xml:space="preserve">Casual / Sick </t>
        </is>
      </c>
      <c r="E292" t="n">
        <v>2</v>
      </c>
      <c r="F292" s="1" t="n"/>
      <c r="G292" s="1" t="n"/>
      <c r="H292">
        <f>IF(T_LEAVE[[#This Row],[EMPLOYEE]]="","",MATCH(T_LEAVE[[#This Row],[EMPLOYEE]],L_EMPLABELS,0))</f>
        <v/>
      </c>
      <c r="I292">
        <f>IF(T_LEAVE[[#This Row],[EMPLOYEE]]="","",MATCH(T_LEAVE[[#This Row],[LEAVE TYPE]],L_LEAVETYPES,0))</f>
        <v/>
      </c>
      <c r="J292">
        <f t="array" ref="J292">IFERROR(INDEX(T_LEAVE_TYPES[SYMBOL],T_LEAVE[[#This Row],[LEAVE TYPE SYS ID]]),"")</f>
        <v/>
      </c>
      <c r="K292">
        <f>IF(T_LEAVE[[#This Row],[EMPLOYEE]]="","",IF(T_LEAVE[[#This Row],[ERROR]]="",0,1))</f>
        <v/>
      </c>
      <c r="L292">
        <f t="array" ref="L2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3">
      <c r="A293" t="inlineStr">
        <is>
          <t>Madhusmita Das (1028452)</t>
        </is>
      </c>
      <c r="B293" s="15" t="inlineStr">
        <is>
          <t>Monday, 19 December 2022</t>
        </is>
      </c>
      <c r="C293" s="15" t="inlineStr">
        <is>
          <t>Monday, 19 December 2022</t>
        </is>
      </c>
      <c r="D293" t="inlineStr">
        <is>
          <t xml:space="preserve">Casual / Sick </t>
        </is>
      </c>
      <c r="E293" t="n">
        <v>1</v>
      </c>
      <c r="F293" s="1" t="n"/>
      <c r="G293" s="1" t="n"/>
      <c r="H293">
        <f>IF(T_LEAVE[[#This Row],[EMPLOYEE]]="","",MATCH(T_LEAVE[[#This Row],[EMPLOYEE]],L_EMPLABELS,0))</f>
        <v/>
      </c>
      <c r="I293">
        <f>IF(T_LEAVE[[#This Row],[EMPLOYEE]]="","",MATCH(T_LEAVE[[#This Row],[LEAVE TYPE]],L_LEAVETYPES,0))</f>
        <v/>
      </c>
      <c r="J293">
        <f t="array" ref="J293">IFERROR(INDEX(T_LEAVE_TYPES[SYMBOL],T_LEAVE[[#This Row],[LEAVE TYPE SYS ID]]),"")</f>
        <v/>
      </c>
      <c r="K293">
        <f>IF(T_LEAVE[[#This Row],[EMPLOYEE]]="","",IF(T_LEAVE[[#This Row],[ERROR]]="",0,1))</f>
        <v/>
      </c>
      <c r="L293">
        <f t="array" ref="L2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4">
      <c r="A294" t="inlineStr">
        <is>
          <t>Madhu Gandham (1029876)</t>
        </is>
      </c>
      <c r="B294" s="15" t="inlineStr">
        <is>
          <t>Wednesday, 21 December 2022</t>
        </is>
      </c>
      <c r="C294" s="15" t="inlineStr">
        <is>
          <t>Wednesday, 21 December 2022</t>
        </is>
      </c>
      <c r="D294" t="inlineStr">
        <is>
          <t xml:space="preserve">Casual / Sick </t>
        </is>
      </c>
      <c r="E294" t="n">
        <v>1</v>
      </c>
      <c r="F294" s="1" t="n"/>
      <c r="G294" s="1" t="n"/>
      <c r="H294">
        <f>IF(T_LEAVE[[#This Row],[EMPLOYEE]]="","",MATCH(T_LEAVE[[#This Row],[EMPLOYEE]],L_EMPLABELS,0))</f>
        <v/>
      </c>
      <c r="I294">
        <f>IF(T_LEAVE[[#This Row],[EMPLOYEE]]="","",MATCH(T_LEAVE[[#This Row],[LEAVE TYPE]],L_LEAVETYPES,0))</f>
        <v/>
      </c>
      <c r="J294">
        <f t="array" ref="J294">IFERROR(INDEX(T_LEAVE_TYPES[SYMBOL],T_LEAVE[[#This Row],[LEAVE TYPE SYS ID]]),"")</f>
        <v/>
      </c>
      <c r="K294">
        <f>IF(T_LEAVE[[#This Row],[EMPLOYEE]]="","",IF(T_LEAVE[[#This Row],[ERROR]]="",0,1))</f>
        <v/>
      </c>
      <c r="L294">
        <f t="array" ref="L2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5">
      <c r="A295" t="inlineStr">
        <is>
          <t>Murali  V (1024783)</t>
        </is>
      </c>
      <c r="B295" s="15" t="inlineStr">
        <is>
          <t>Thursday, 31 October 2024</t>
        </is>
      </c>
      <c r="C295" s="15" t="inlineStr">
        <is>
          <t>Thursday, 31 October 2024</t>
        </is>
      </c>
      <c r="D295" t="inlineStr">
        <is>
          <t xml:space="preserve">Casual / Sick </t>
        </is>
      </c>
      <c r="E295" t="n">
        <v>1</v>
      </c>
      <c r="F295" s="1" t="n"/>
      <c r="G295" s="1" t="n"/>
      <c r="H295">
        <f>IF(T_LEAVE[[#This Row],[EMPLOYEE]]="","",MATCH(T_LEAVE[[#This Row],[EMPLOYEE]],L_EMPLABELS,0))</f>
        <v/>
      </c>
      <c r="I295">
        <f>IF(T_LEAVE[[#This Row],[EMPLOYEE]]="","",MATCH(T_LEAVE[[#This Row],[LEAVE TYPE]],L_LEAVETYPES,0))</f>
        <v/>
      </c>
      <c r="J295">
        <f t="array" ref="J295">IFERROR(INDEX(T_LEAVE_TYPES[SYMBOL],T_LEAVE[[#This Row],[LEAVE TYPE SYS ID]]),"")</f>
        <v/>
      </c>
      <c r="K295">
        <f>IF(T_LEAVE[[#This Row],[EMPLOYEE]]="","",IF(T_LEAVE[[#This Row],[ERROR]]="",0,1))</f>
        <v/>
      </c>
      <c r="L295">
        <f t="array" ref="L2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6">
      <c r="A296" t="inlineStr">
        <is>
          <t>Madhusmita Das (1028452)</t>
        </is>
      </c>
      <c r="B296" s="15" t="inlineStr">
        <is>
          <t>Friday, 09 December 2022</t>
        </is>
      </c>
      <c r="C296" s="15" t="inlineStr">
        <is>
          <t>Friday, 09 December 2022</t>
        </is>
      </c>
      <c r="D296" t="inlineStr">
        <is>
          <t xml:space="preserve">Casual / Sick </t>
        </is>
      </c>
      <c r="E296" t="n">
        <v>1</v>
      </c>
      <c r="F296" s="1" t="n"/>
      <c r="G296" s="1" t="n"/>
      <c r="H296">
        <f>IF(T_LEAVE[[#This Row],[EMPLOYEE]]="","",MATCH(T_LEAVE[[#This Row],[EMPLOYEE]],L_EMPLABELS,0))</f>
        <v/>
      </c>
      <c r="I296">
        <f>IF(T_LEAVE[[#This Row],[EMPLOYEE]]="","",MATCH(T_LEAVE[[#This Row],[LEAVE TYPE]],L_LEAVETYPES,0))</f>
        <v/>
      </c>
      <c r="J296">
        <f t="array" ref="J296">IFERROR(INDEX(T_LEAVE_TYPES[SYMBOL],T_LEAVE[[#This Row],[LEAVE TYPE SYS ID]]),"")</f>
        <v/>
      </c>
      <c r="K296">
        <f>IF(T_LEAVE[[#This Row],[EMPLOYEE]]="","",IF(T_LEAVE[[#This Row],[ERROR]]="",0,1))</f>
        <v/>
      </c>
      <c r="L296">
        <f t="array" ref="L2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7">
      <c r="A297" t="inlineStr">
        <is>
          <t>Murali  V (1024783)</t>
        </is>
      </c>
      <c r="B297" s="15" t="inlineStr">
        <is>
          <t>Friday, 08 March 2024</t>
        </is>
      </c>
      <c r="C297" s="15" t="inlineStr">
        <is>
          <t>Friday, 08 March 2024</t>
        </is>
      </c>
      <c r="D297" t="inlineStr">
        <is>
          <t xml:space="preserve">Casual / Sick </t>
        </is>
      </c>
      <c r="E297" t="n">
        <v>1</v>
      </c>
      <c r="F297" s="1" t="n"/>
      <c r="G297" s="1" t="n"/>
      <c r="H297">
        <f>IF(T_LEAVE[[#This Row],[EMPLOYEE]]="","",MATCH(T_LEAVE[[#This Row],[EMPLOYEE]],L_EMPLABELS,0))</f>
        <v/>
      </c>
      <c r="I297">
        <f>IF(T_LEAVE[[#This Row],[EMPLOYEE]]="","",MATCH(T_LEAVE[[#This Row],[LEAVE TYPE]],L_LEAVETYPES,0))</f>
        <v/>
      </c>
      <c r="J297">
        <f t="array" ref="J297">IFERROR(INDEX(T_LEAVE_TYPES[SYMBOL],T_LEAVE[[#This Row],[LEAVE TYPE SYS ID]]),"")</f>
        <v/>
      </c>
      <c r="K297">
        <f>IF(T_LEAVE[[#This Row],[EMPLOYEE]]="","",IF(T_LEAVE[[#This Row],[ERROR]]="",0,1))</f>
        <v/>
      </c>
      <c r="L297">
        <f t="array" ref="L2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8">
      <c r="A298" t="inlineStr">
        <is>
          <t>Murali  V (1024783)</t>
        </is>
      </c>
      <c r="B298" s="15" t="inlineStr">
        <is>
          <t>Thursday, 31 October 2024</t>
        </is>
      </c>
      <c r="C298" s="15" t="inlineStr">
        <is>
          <t>Thursday, 31 October 2024</t>
        </is>
      </c>
      <c r="D298" t="inlineStr">
        <is>
          <t xml:space="preserve">Casual / Sick </t>
        </is>
      </c>
      <c r="E298" t="n">
        <v>1</v>
      </c>
      <c r="F298" s="1" t="n"/>
      <c r="G298" s="1" t="n"/>
      <c r="H298">
        <f>IF(T_LEAVE[[#This Row],[EMPLOYEE]]="","",MATCH(T_LEAVE[[#This Row],[EMPLOYEE]],L_EMPLABELS,0))</f>
        <v/>
      </c>
      <c r="I298">
        <f>IF(T_LEAVE[[#This Row],[EMPLOYEE]]="","",MATCH(T_LEAVE[[#This Row],[LEAVE TYPE]],L_LEAVETYPES,0))</f>
        <v/>
      </c>
      <c r="J298">
        <f t="array" ref="J298">IFERROR(INDEX(T_LEAVE_TYPES[SYMBOL],T_LEAVE[[#This Row],[LEAVE TYPE SYS ID]]),"")</f>
        <v/>
      </c>
      <c r="K298">
        <f>IF(T_LEAVE[[#This Row],[EMPLOYEE]]="","",IF(T_LEAVE[[#This Row],[ERROR]]="",0,1))</f>
        <v/>
      </c>
      <c r="L298">
        <f t="array" ref="L2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299">
      <c r="A299" t="inlineStr">
        <is>
          <t>Shashi Kumar D (1028007)</t>
        </is>
      </c>
      <c r="B299" s="15" t="inlineStr">
        <is>
          <t>Friday, 09 December 2022</t>
        </is>
      </c>
      <c r="C299" s="15" t="inlineStr">
        <is>
          <t>Friday, 09 December 2022</t>
        </is>
      </c>
      <c r="D299" t="inlineStr">
        <is>
          <t xml:space="preserve">Casual / Sick </t>
        </is>
      </c>
      <c r="E299" t="n">
        <v>1</v>
      </c>
      <c r="F299" s="1" t="n"/>
      <c r="G299" s="1" t="n"/>
      <c r="H299">
        <f>IF(T_LEAVE[[#This Row],[EMPLOYEE]]="","",MATCH(T_LEAVE[[#This Row],[EMPLOYEE]],L_EMPLABELS,0))</f>
        <v/>
      </c>
      <c r="I299">
        <f>IF(T_LEAVE[[#This Row],[EMPLOYEE]]="","",MATCH(T_LEAVE[[#This Row],[LEAVE TYPE]],L_LEAVETYPES,0))</f>
        <v/>
      </c>
      <c r="J299">
        <f t="array" ref="J299">IFERROR(INDEX(T_LEAVE_TYPES[SYMBOL],T_LEAVE[[#This Row],[LEAVE TYPE SYS ID]]),"")</f>
        <v/>
      </c>
      <c r="K299">
        <f>IF(T_LEAVE[[#This Row],[EMPLOYEE]]="","",IF(T_LEAVE[[#This Row],[ERROR]]="",0,1))</f>
        <v/>
      </c>
      <c r="L299">
        <f t="array" ref="L2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0">
      <c r="A300" t="inlineStr">
        <is>
          <t>Bhagyashree Patil (1030253)</t>
        </is>
      </c>
      <c r="B300" s="15" t="inlineStr">
        <is>
          <t>Thursday, 08 December 2022</t>
        </is>
      </c>
      <c r="C300" s="15" t="inlineStr">
        <is>
          <t>Thursday, 08 December 2022</t>
        </is>
      </c>
      <c r="D300" t="inlineStr">
        <is>
          <t xml:space="preserve">Casual / Sick </t>
        </is>
      </c>
      <c r="E300" t="n">
        <v>1</v>
      </c>
      <c r="F300" s="1" t="n"/>
      <c r="G300" s="1" t="n"/>
      <c r="H300">
        <f>IF(T_LEAVE[[#This Row],[EMPLOYEE]]="","",MATCH(T_LEAVE[[#This Row],[EMPLOYEE]],L_EMPLABELS,0))</f>
        <v/>
      </c>
      <c r="I300">
        <f>IF(T_LEAVE[[#This Row],[EMPLOYEE]]="","",MATCH(T_LEAVE[[#This Row],[LEAVE TYPE]],L_LEAVETYPES,0))</f>
        <v/>
      </c>
      <c r="J300">
        <f t="array" ref="J300">IFERROR(INDEX(T_LEAVE_TYPES[SYMBOL],T_LEAVE[[#This Row],[LEAVE TYPE SYS ID]]),"")</f>
        <v/>
      </c>
      <c r="K300">
        <f>IF(T_LEAVE[[#This Row],[EMPLOYEE]]="","",IF(T_LEAVE[[#This Row],[ERROR]]="",0,1))</f>
        <v/>
      </c>
      <c r="L300">
        <f t="array" ref="L3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1">
      <c r="A301" t="inlineStr">
        <is>
          <t>Murali  V (1024783)</t>
        </is>
      </c>
      <c r="B301" s="15" t="inlineStr">
        <is>
          <t>Tuesday, 09 April 2024</t>
        </is>
      </c>
      <c r="C301" s="15" t="inlineStr">
        <is>
          <t>Tuesday, 09 April 2024</t>
        </is>
      </c>
      <c r="D301" t="inlineStr">
        <is>
          <t xml:space="preserve">Casual / Sick </t>
        </is>
      </c>
      <c r="E301" t="n">
        <v>1</v>
      </c>
      <c r="F301" s="1" t="n"/>
      <c r="G301" s="1" t="n"/>
      <c r="H301">
        <f>IF(T_LEAVE[[#This Row],[EMPLOYEE]]="","",MATCH(T_LEAVE[[#This Row],[EMPLOYEE]],L_EMPLABELS,0))</f>
        <v/>
      </c>
      <c r="I301">
        <f>IF(T_LEAVE[[#This Row],[EMPLOYEE]]="","",MATCH(T_LEAVE[[#This Row],[LEAVE TYPE]],L_LEAVETYPES,0))</f>
        <v/>
      </c>
      <c r="J301">
        <f t="array" ref="J301">IFERROR(INDEX(T_LEAVE_TYPES[SYMBOL],T_LEAVE[[#This Row],[LEAVE TYPE SYS ID]]),"")</f>
        <v/>
      </c>
      <c r="K301">
        <f>IF(T_LEAVE[[#This Row],[EMPLOYEE]]="","",IF(T_LEAVE[[#This Row],[ERROR]]="",0,1))</f>
        <v/>
      </c>
      <c r="L301">
        <f t="array" ref="L3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2">
      <c r="A302" t="inlineStr">
        <is>
          <t>Murali  V (1024783)</t>
        </is>
      </c>
      <c r="B302" s="15" t="inlineStr">
        <is>
          <t>Friday, 29 December 2023</t>
        </is>
      </c>
      <c r="C302" s="15" t="inlineStr">
        <is>
          <t>Friday, 29 December 2023</t>
        </is>
      </c>
      <c r="D302" t="inlineStr">
        <is>
          <t xml:space="preserve">Casual / Sick </t>
        </is>
      </c>
      <c r="E302" t="n">
        <v>1</v>
      </c>
      <c r="F302" s="1" t="n"/>
      <c r="G302" s="1" t="n"/>
      <c r="H302">
        <f>IF(T_LEAVE[[#This Row],[EMPLOYEE]]="","",MATCH(T_LEAVE[[#This Row],[EMPLOYEE]],L_EMPLABELS,0))</f>
        <v/>
      </c>
      <c r="I302">
        <f>IF(T_LEAVE[[#This Row],[EMPLOYEE]]="","",MATCH(T_LEAVE[[#This Row],[LEAVE TYPE]],L_LEAVETYPES,0))</f>
        <v/>
      </c>
      <c r="J302">
        <f t="array" ref="J302">IFERROR(INDEX(T_LEAVE_TYPES[SYMBOL],T_LEAVE[[#This Row],[LEAVE TYPE SYS ID]]),"")</f>
        <v/>
      </c>
      <c r="K302">
        <f>IF(T_LEAVE[[#This Row],[EMPLOYEE]]="","",IF(T_LEAVE[[#This Row],[ERROR]]="",0,1))</f>
        <v/>
      </c>
      <c r="L302">
        <f t="array" ref="L3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3">
      <c r="A303" t="inlineStr">
        <is>
          <t>Murali  V (1024783)</t>
        </is>
      </c>
      <c r="B303" s="15" t="inlineStr">
        <is>
          <t>Thursday, 14 December 2023</t>
        </is>
      </c>
      <c r="C303" s="15" t="inlineStr">
        <is>
          <t>Friday, 15 December 2023</t>
        </is>
      </c>
      <c r="D303" s="17" t="inlineStr">
        <is>
          <t>Bereavement</t>
        </is>
      </c>
      <c r="E303" t="n">
        <v>2</v>
      </c>
      <c r="F303" s="1" t="n"/>
      <c r="G303" s="1" t="n"/>
      <c r="H303">
        <f>IF(T_LEAVE[[#This Row],[EMPLOYEE]]="","",MATCH(T_LEAVE[[#This Row],[EMPLOYEE]],L_EMPLABELS,0))</f>
        <v/>
      </c>
      <c r="I303">
        <f>IF(T_LEAVE[[#This Row],[EMPLOYEE]]="","",MATCH(T_LEAVE[[#This Row],[LEAVE TYPE]],L_LEAVETYPES,0))</f>
        <v/>
      </c>
      <c r="J303">
        <f t="array" ref="J303">IFERROR(INDEX(T_LEAVE_TYPES[SYMBOL],T_LEAVE[[#This Row],[LEAVE TYPE SYS ID]]),"")</f>
        <v/>
      </c>
      <c r="K303">
        <f>IF(T_LEAVE[[#This Row],[EMPLOYEE]]="","",IF(T_LEAVE[[#This Row],[ERROR]]="",0,1))</f>
        <v/>
      </c>
      <c r="L303">
        <f t="array" ref="L30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4">
      <c r="A304" t="inlineStr">
        <is>
          <t>Talada Sumanth (1029520)</t>
        </is>
      </c>
      <c r="B304" s="15" t="inlineStr">
        <is>
          <t>Wednesday, 07 December 2022</t>
        </is>
      </c>
      <c r="C304" s="15" t="inlineStr">
        <is>
          <t>Wednesday, 07 December 2022</t>
        </is>
      </c>
      <c r="D304" t="inlineStr">
        <is>
          <t>Privilege</t>
        </is>
      </c>
      <c r="E304" t="n">
        <v>1</v>
      </c>
      <c r="F304" s="1" t="n"/>
      <c r="G304" s="1" t="n"/>
      <c r="H304">
        <f>IF(T_LEAVE[[#This Row],[EMPLOYEE]]="","",MATCH(T_LEAVE[[#This Row],[EMPLOYEE]],L_EMPLABELS,0))</f>
        <v/>
      </c>
      <c r="I304">
        <f>IF(T_LEAVE[[#This Row],[EMPLOYEE]]="","",MATCH(T_LEAVE[[#This Row],[LEAVE TYPE]],L_LEAVETYPES,0))</f>
        <v/>
      </c>
      <c r="J304">
        <f t="array" ref="J304">IFERROR(INDEX(T_LEAVE_TYPES[SYMBOL],T_LEAVE[[#This Row],[LEAVE TYPE SYS ID]]),"")</f>
        <v/>
      </c>
      <c r="K304">
        <f>IF(T_LEAVE[[#This Row],[EMPLOYEE]]="","",IF(T_LEAVE[[#This Row],[ERROR]]="",0,1))</f>
        <v/>
      </c>
      <c r="L304">
        <f t="array" ref="L30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5">
      <c r="A305" t="inlineStr">
        <is>
          <t>D Malar Vizhi (1021304)</t>
        </is>
      </c>
      <c r="B305" s="15" t="inlineStr">
        <is>
          <t>Wednesday, 30 November 2022</t>
        </is>
      </c>
      <c r="C305" s="15" t="inlineStr">
        <is>
          <t>Wednesday, 30 November 2022</t>
        </is>
      </c>
      <c r="D305" t="inlineStr">
        <is>
          <t>Privilege</t>
        </is>
      </c>
      <c r="E305" t="n">
        <v>1</v>
      </c>
      <c r="F305" s="1" t="n"/>
      <c r="G305" s="1" t="n"/>
      <c r="H305">
        <f>IF(T_LEAVE[[#This Row],[EMPLOYEE]]="","",MATCH(T_LEAVE[[#This Row],[EMPLOYEE]],L_EMPLABELS,0))</f>
        <v/>
      </c>
      <c r="I305">
        <f>IF(T_LEAVE[[#This Row],[EMPLOYEE]]="","",MATCH(T_LEAVE[[#This Row],[LEAVE TYPE]],L_LEAVETYPES,0))</f>
        <v/>
      </c>
      <c r="J305">
        <f t="array" ref="J305">IFERROR(INDEX(T_LEAVE_TYPES[SYMBOL],T_LEAVE[[#This Row],[LEAVE TYPE SYS ID]]),"")</f>
        <v/>
      </c>
      <c r="K305">
        <f>IF(T_LEAVE[[#This Row],[EMPLOYEE]]="","",IF(T_LEAVE[[#This Row],[ERROR]]="",0,1))</f>
        <v/>
      </c>
      <c r="L305">
        <f t="array" ref="L30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6">
      <c r="A306" t="inlineStr">
        <is>
          <t>D Malar Vizhi (1021304)</t>
        </is>
      </c>
      <c r="B306" s="15" t="inlineStr">
        <is>
          <t>Monday, 21 November 2022</t>
        </is>
      </c>
      <c r="C306" s="15" t="inlineStr">
        <is>
          <t>Friday, 25 November 2022</t>
        </is>
      </c>
      <c r="D306" t="inlineStr">
        <is>
          <t xml:space="preserve">Casual / Sick </t>
        </is>
      </c>
      <c r="E306" t="n">
        <v>5</v>
      </c>
      <c r="F306" s="1" t="n"/>
      <c r="G306" s="1" t="n"/>
      <c r="H306">
        <f>IF(T_LEAVE[[#This Row],[EMPLOYEE]]="","",MATCH(T_LEAVE[[#This Row],[EMPLOYEE]],L_EMPLABELS,0))</f>
        <v/>
      </c>
      <c r="I306">
        <f>IF(T_LEAVE[[#This Row],[EMPLOYEE]]="","",MATCH(T_LEAVE[[#This Row],[LEAVE TYPE]],L_LEAVETYPES,0))</f>
        <v/>
      </c>
      <c r="J306">
        <f t="array" ref="J306">IFERROR(INDEX(T_LEAVE_TYPES[SYMBOL],T_LEAVE[[#This Row],[LEAVE TYPE SYS ID]]),"")</f>
        <v/>
      </c>
      <c r="K306">
        <f>IF(T_LEAVE[[#This Row],[EMPLOYEE]]="","",IF(T_LEAVE[[#This Row],[ERROR]]="",0,1))</f>
        <v/>
      </c>
      <c r="L306">
        <f t="array" ref="L30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7">
      <c r="A307" t="inlineStr">
        <is>
          <t>Murali  V (1024783)</t>
        </is>
      </c>
      <c r="B307" s="15" t="inlineStr">
        <is>
          <t>Thursday, 07 December 2023</t>
        </is>
      </c>
      <c r="C307" s="15" t="inlineStr">
        <is>
          <t>Thursday, 07 December 2023</t>
        </is>
      </c>
      <c r="D307" t="inlineStr">
        <is>
          <t xml:space="preserve">Casual / Sick </t>
        </is>
      </c>
      <c r="E307" t="n">
        <v>1</v>
      </c>
      <c r="F307" s="1" t="n"/>
      <c r="G307" s="1" t="n"/>
      <c r="H307">
        <f>IF(T_LEAVE[[#This Row],[EMPLOYEE]]="","",MATCH(T_LEAVE[[#This Row],[EMPLOYEE]],L_EMPLABELS,0))</f>
        <v/>
      </c>
      <c r="I307">
        <f>IF(T_LEAVE[[#This Row],[EMPLOYEE]]="","",MATCH(T_LEAVE[[#This Row],[LEAVE TYPE]],L_LEAVETYPES,0))</f>
        <v/>
      </c>
      <c r="J307">
        <f t="array" ref="J307">IFERROR(INDEX(T_LEAVE_TYPES[SYMBOL],T_LEAVE[[#This Row],[LEAVE TYPE SYS ID]]),"")</f>
        <v/>
      </c>
      <c r="K307">
        <f>IF(T_LEAVE[[#This Row],[EMPLOYEE]]="","",IF(T_LEAVE[[#This Row],[ERROR]]="",0,1))</f>
        <v/>
      </c>
      <c r="L307">
        <f t="array" ref="L30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8">
      <c r="A308" t="inlineStr">
        <is>
          <t>D Malar Vizhi (1021304)</t>
        </is>
      </c>
      <c r="B308" s="15" t="inlineStr">
        <is>
          <t>Monday, 28 November 2022</t>
        </is>
      </c>
      <c r="C308" s="15" t="inlineStr">
        <is>
          <t>Tuesday, 29 November 2022</t>
        </is>
      </c>
      <c r="D308" t="inlineStr">
        <is>
          <t xml:space="preserve">Casual / Sick </t>
        </is>
      </c>
      <c r="E308" t="n">
        <v>2</v>
      </c>
      <c r="F308" s="1" t="n"/>
      <c r="G308" s="1" t="n"/>
      <c r="H308">
        <f>IF(T_LEAVE[[#This Row],[EMPLOYEE]]="","",MATCH(T_LEAVE[[#This Row],[EMPLOYEE]],L_EMPLABELS,0))</f>
        <v/>
      </c>
      <c r="I308">
        <f>IF(T_LEAVE[[#This Row],[EMPLOYEE]]="","",MATCH(T_LEAVE[[#This Row],[LEAVE TYPE]],L_LEAVETYPES,0))</f>
        <v/>
      </c>
      <c r="J308">
        <f t="array" ref="J308">IFERROR(INDEX(T_LEAVE_TYPES[SYMBOL],T_LEAVE[[#This Row],[LEAVE TYPE SYS ID]]),"")</f>
        <v/>
      </c>
      <c r="K308">
        <f>IF(T_LEAVE[[#This Row],[EMPLOYEE]]="","",IF(T_LEAVE[[#This Row],[ERROR]]="",0,1))</f>
        <v/>
      </c>
      <c r="L308">
        <f t="array" ref="L30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09">
      <c r="A309" t="inlineStr">
        <is>
          <t>D Malar Vizhi (1021304)</t>
        </is>
      </c>
      <c r="B309" s="15" t="inlineStr">
        <is>
          <t>Monday, 21 November 2022</t>
        </is>
      </c>
      <c r="C309" s="15" t="inlineStr">
        <is>
          <t>Friday, 25 November 2022</t>
        </is>
      </c>
      <c r="D309" t="inlineStr">
        <is>
          <t xml:space="preserve">Casual / Sick </t>
        </is>
      </c>
      <c r="E309" t="n">
        <v>5</v>
      </c>
      <c r="F309" s="1" t="n"/>
      <c r="G309" s="1" t="n"/>
      <c r="H309">
        <f>IF(T_LEAVE[[#This Row],[EMPLOYEE]]="","",MATCH(T_LEAVE[[#This Row],[EMPLOYEE]],L_EMPLABELS,0))</f>
        <v/>
      </c>
      <c r="I309">
        <f>IF(T_LEAVE[[#This Row],[EMPLOYEE]]="","",MATCH(T_LEAVE[[#This Row],[LEAVE TYPE]],L_LEAVETYPES,0))</f>
        <v/>
      </c>
      <c r="J309">
        <f t="array" ref="J309">IFERROR(INDEX(T_LEAVE_TYPES[SYMBOL],T_LEAVE[[#This Row],[LEAVE TYPE SYS ID]]),"")</f>
        <v/>
      </c>
      <c r="K309">
        <f>IF(T_LEAVE[[#This Row],[EMPLOYEE]]="","",IF(T_LEAVE[[#This Row],[ERROR]]="",0,1))</f>
        <v/>
      </c>
      <c r="L309">
        <f t="array" ref="L30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0">
      <c r="A310" t="inlineStr">
        <is>
          <t>Murali  V (1024783)</t>
        </is>
      </c>
      <c r="B310" s="15" t="inlineStr">
        <is>
          <t>Tuesday, 28 November 2023</t>
        </is>
      </c>
      <c r="C310" s="15" t="inlineStr">
        <is>
          <t>Wednesday, 29 November 2023</t>
        </is>
      </c>
      <c r="D310" t="inlineStr">
        <is>
          <t xml:space="preserve">Casual / Sick </t>
        </is>
      </c>
      <c r="E310" t="n">
        <v>2</v>
      </c>
      <c r="F310" s="1" t="n"/>
      <c r="G310" s="1" t="n"/>
      <c r="H310">
        <f>IF(T_LEAVE[[#This Row],[EMPLOYEE]]="","",MATCH(T_LEAVE[[#This Row],[EMPLOYEE]],L_EMPLABELS,0))</f>
        <v/>
      </c>
      <c r="I310">
        <f>IF(T_LEAVE[[#This Row],[EMPLOYEE]]="","",MATCH(T_LEAVE[[#This Row],[LEAVE TYPE]],L_LEAVETYPES,0))</f>
        <v/>
      </c>
      <c r="J310">
        <f t="array" ref="J310">IFERROR(INDEX(T_LEAVE_TYPES[SYMBOL],T_LEAVE[[#This Row],[LEAVE TYPE SYS ID]]),"")</f>
        <v/>
      </c>
      <c r="K310">
        <f>IF(T_LEAVE[[#This Row],[EMPLOYEE]]="","",IF(T_LEAVE[[#This Row],[ERROR]]="",0,1))</f>
        <v/>
      </c>
      <c r="L310">
        <f t="array" ref="L3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1">
      <c r="A311" t="inlineStr">
        <is>
          <t>Murali  V (1024783)</t>
        </is>
      </c>
      <c r="B311" s="15" t="inlineStr">
        <is>
          <t>Thursday, 19 October 2023</t>
        </is>
      </c>
      <c r="C311" s="15" t="inlineStr">
        <is>
          <t>Thursday, 19 October 2023</t>
        </is>
      </c>
      <c r="D311" t="inlineStr">
        <is>
          <t xml:space="preserve">Casual / Sick </t>
        </is>
      </c>
      <c r="E311" t="n">
        <v>1</v>
      </c>
      <c r="F311" s="1" t="n"/>
      <c r="G311" s="1" t="n"/>
      <c r="H311">
        <f>IF(T_LEAVE[[#This Row],[EMPLOYEE]]="","",MATCH(T_LEAVE[[#This Row],[EMPLOYEE]],L_EMPLABELS,0))</f>
        <v/>
      </c>
      <c r="I311">
        <f>IF(T_LEAVE[[#This Row],[EMPLOYEE]]="","",MATCH(T_LEAVE[[#This Row],[LEAVE TYPE]],L_LEAVETYPES,0))</f>
        <v/>
      </c>
      <c r="J311">
        <f t="array" ref="J311">IFERROR(INDEX(T_LEAVE_TYPES[SYMBOL],T_LEAVE[[#This Row],[LEAVE TYPE SYS ID]]),"")</f>
        <v/>
      </c>
      <c r="K311">
        <f>IF(T_LEAVE[[#This Row],[EMPLOYEE]]="","",IF(T_LEAVE[[#This Row],[ERROR]]="",0,1))</f>
        <v/>
      </c>
      <c r="L311">
        <f t="array" ref="L3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2">
      <c r="A312" t="inlineStr">
        <is>
          <t>Rangabhatla Sai Harish (1029533)</t>
        </is>
      </c>
      <c r="B312" s="15" t="inlineStr">
        <is>
          <t>Wednesday, 07 December 2022</t>
        </is>
      </c>
      <c r="C312" s="15" t="inlineStr">
        <is>
          <t>Wednesday, 07 December 2022</t>
        </is>
      </c>
      <c r="D312" t="inlineStr">
        <is>
          <t>Privilege</t>
        </is>
      </c>
      <c r="E312" t="n">
        <v>1</v>
      </c>
      <c r="F312" s="1" t="n"/>
      <c r="G312" s="1" t="n"/>
      <c r="H312">
        <f>IF(T_LEAVE[[#This Row],[EMPLOYEE]]="","",MATCH(T_LEAVE[[#This Row],[EMPLOYEE]],L_EMPLABELS,0))</f>
        <v/>
      </c>
      <c r="I312">
        <f>IF(T_LEAVE[[#This Row],[EMPLOYEE]]="","",MATCH(T_LEAVE[[#This Row],[LEAVE TYPE]],L_LEAVETYPES,0))</f>
        <v/>
      </c>
      <c r="J312">
        <f t="array" ref="J312">IFERROR(INDEX(T_LEAVE_TYPES[SYMBOL],T_LEAVE[[#This Row],[LEAVE TYPE SYS ID]]),"")</f>
        <v/>
      </c>
      <c r="K312">
        <f>IF(T_LEAVE[[#This Row],[EMPLOYEE]]="","",IF(T_LEAVE[[#This Row],[ERROR]]="",0,1))</f>
        <v/>
      </c>
      <c r="L312">
        <f t="array" ref="L3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3">
      <c r="A313" t="inlineStr">
        <is>
          <t>Rangabhatla Sai Harish (1029533)</t>
        </is>
      </c>
      <c r="B313" s="15" t="inlineStr">
        <is>
          <t>Monday, 05 December 2022</t>
        </is>
      </c>
      <c r="C313" s="15" t="inlineStr">
        <is>
          <t>Monday, 05 December 2022</t>
        </is>
      </c>
      <c r="D313" t="inlineStr">
        <is>
          <t>Privilege</t>
        </is>
      </c>
      <c r="E313" t="n">
        <v>1</v>
      </c>
      <c r="F313" s="1" t="n"/>
      <c r="G313" s="1" t="n"/>
      <c r="H313">
        <f>IF(T_LEAVE[[#This Row],[EMPLOYEE]]="","",MATCH(T_LEAVE[[#This Row],[EMPLOYEE]],L_EMPLABELS,0))</f>
        <v/>
      </c>
      <c r="I313">
        <f>IF(T_LEAVE[[#This Row],[EMPLOYEE]]="","",MATCH(T_LEAVE[[#This Row],[LEAVE TYPE]],L_LEAVETYPES,0))</f>
        <v/>
      </c>
      <c r="J313">
        <f t="array" ref="J313">IFERROR(INDEX(T_LEAVE_TYPES[SYMBOL],T_LEAVE[[#This Row],[LEAVE TYPE SYS ID]]),"")</f>
        <v/>
      </c>
      <c r="K313">
        <f>IF(T_LEAVE[[#This Row],[EMPLOYEE]]="","",IF(T_LEAVE[[#This Row],[ERROR]]="",0,1))</f>
        <v/>
      </c>
      <c r="L313">
        <f t="array" ref="L3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4">
      <c r="A314" t="inlineStr">
        <is>
          <t>Kamesh Ravichandran (1029302)</t>
        </is>
      </c>
      <c r="B314" s="15" t="inlineStr">
        <is>
          <t>Monday, 28 November 2022</t>
        </is>
      </c>
      <c r="C314" s="15" t="inlineStr">
        <is>
          <t>Monday, 28 November 2022</t>
        </is>
      </c>
      <c r="D314" t="inlineStr">
        <is>
          <t xml:space="preserve">Casual / Sick </t>
        </is>
      </c>
      <c r="E314" t="n">
        <v>1</v>
      </c>
      <c r="F314" s="1" t="n"/>
      <c r="G314" s="1" t="n"/>
      <c r="H314">
        <f>IF(T_LEAVE[[#This Row],[EMPLOYEE]]="","",MATCH(T_LEAVE[[#This Row],[EMPLOYEE]],L_EMPLABELS,0))</f>
        <v/>
      </c>
      <c r="I314">
        <f>IF(T_LEAVE[[#This Row],[EMPLOYEE]]="","",MATCH(T_LEAVE[[#This Row],[LEAVE TYPE]],L_LEAVETYPES,0))</f>
        <v/>
      </c>
      <c r="J314">
        <f t="array" ref="J314">IFERROR(INDEX(T_LEAVE_TYPES[SYMBOL],T_LEAVE[[#This Row],[LEAVE TYPE SYS ID]]),"")</f>
        <v/>
      </c>
      <c r="K314">
        <f>IF(T_LEAVE[[#This Row],[EMPLOYEE]]="","",IF(T_LEAVE[[#This Row],[ERROR]]="",0,1))</f>
        <v/>
      </c>
      <c r="L314">
        <f t="array" ref="L3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5">
      <c r="A315" t="inlineStr">
        <is>
          <t>Kamesh Ravichandran (1029302)</t>
        </is>
      </c>
      <c r="B315" s="15" t="inlineStr">
        <is>
          <t>Monday, 28 November 2022</t>
        </is>
      </c>
      <c r="C315" s="15" t="inlineStr">
        <is>
          <t>Monday, 28 November 2022</t>
        </is>
      </c>
      <c r="D315" t="inlineStr">
        <is>
          <t xml:space="preserve">Casual / Sick </t>
        </is>
      </c>
      <c r="E315" t="n">
        <v>1</v>
      </c>
      <c r="F315" s="1" t="n"/>
      <c r="G315" s="1" t="n"/>
      <c r="H315">
        <f>IF(T_LEAVE[[#This Row],[EMPLOYEE]]="","",MATCH(T_LEAVE[[#This Row],[EMPLOYEE]],L_EMPLABELS,0))</f>
        <v/>
      </c>
      <c r="I315">
        <f>IF(T_LEAVE[[#This Row],[EMPLOYEE]]="","",MATCH(T_LEAVE[[#This Row],[LEAVE TYPE]],L_LEAVETYPES,0))</f>
        <v/>
      </c>
      <c r="J315">
        <f t="array" ref="J315">IFERROR(INDEX(T_LEAVE_TYPES[SYMBOL],T_LEAVE[[#This Row],[LEAVE TYPE SYS ID]]),"")</f>
        <v/>
      </c>
      <c r="K315">
        <f>IF(T_LEAVE[[#This Row],[EMPLOYEE]]="","",IF(T_LEAVE[[#This Row],[ERROR]]="",0,1))</f>
        <v/>
      </c>
      <c r="L315">
        <f t="array" ref="L3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6">
      <c r="A316" t="inlineStr">
        <is>
          <t>Kamesh Ravichandran (1029302)</t>
        </is>
      </c>
      <c r="B316" s="15" t="inlineStr">
        <is>
          <t>Monday, 28 November 2022</t>
        </is>
      </c>
      <c r="C316" s="15" t="inlineStr">
        <is>
          <t>Monday, 28 November 2022</t>
        </is>
      </c>
      <c r="D316" t="inlineStr">
        <is>
          <t xml:space="preserve">Casual / Sick </t>
        </is>
      </c>
      <c r="E316" t="n">
        <v>1</v>
      </c>
      <c r="F316" s="1" t="n"/>
      <c r="G316" s="1" t="n"/>
      <c r="H316">
        <f>IF(T_LEAVE[[#This Row],[EMPLOYEE]]="","",MATCH(T_LEAVE[[#This Row],[EMPLOYEE]],L_EMPLABELS,0))</f>
        <v/>
      </c>
      <c r="I316">
        <f>IF(T_LEAVE[[#This Row],[EMPLOYEE]]="","",MATCH(T_LEAVE[[#This Row],[LEAVE TYPE]],L_LEAVETYPES,0))</f>
        <v/>
      </c>
      <c r="J316">
        <f t="array" ref="J316">IFERROR(INDEX(T_LEAVE_TYPES[SYMBOL],T_LEAVE[[#This Row],[LEAVE TYPE SYS ID]]),"")</f>
        <v/>
      </c>
      <c r="K316">
        <f>IF(T_LEAVE[[#This Row],[EMPLOYEE]]="","",IF(T_LEAVE[[#This Row],[ERROR]]="",0,1))</f>
        <v/>
      </c>
      <c r="L316">
        <f t="array" ref="L3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7">
      <c r="A317" t="inlineStr">
        <is>
          <t>Murali  V (1024783)</t>
        </is>
      </c>
      <c r="B317" s="15" t="inlineStr">
        <is>
          <t>Thursday, 31 August 2023</t>
        </is>
      </c>
      <c r="C317" s="15" t="inlineStr">
        <is>
          <t>Thursday, 31 August 2023</t>
        </is>
      </c>
      <c r="D317" t="inlineStr">
        <is>
          <t xml:space="preserve">Casual / Sick </t>
        </is>
      </c>
      <c r="E317" t="n">
        <v>1</v>
      </c>
      <c r="F317" s="1" t="n"/>
      <c r="G317" s="1" t="n"/>
      <c r="H317">
        <f>IF(T_LEAVE[[#This Row],[EMPLOYEE]]="","",MATCH(T_LEAVE[[#This Row],[EMPLOYEE]],L_EMPLABELS,0))</f>
        <v/>
      </c>
      <c r="I317">
        <f>IF(T_LEAVE[[#This Row],[EMPLOYEE]]="","",MATCH(T_LEAVE[[#This Row],[LEAVE TYPE]],L_LEAVETYPES,0))</f>
        <v/>
      </c>
      <c r="J317">
        <f t="array" ref="J317">IFERROR(INDEX(T_LEAVE_TYPES[SYMBOL],T_LEAVE[[#This Row],[LEAVE TYPE SYS ID]]),"")</f>
        <v/>
      </c>
      <c r="K317">
        <f>IF(T_LEAVE[[#This Row],[EMPLOYEE]]="","",IF(T_LEAVE[[#This Row],[ERROR]]="",0,1))</f>
        <v/>
      </c>
      <c r="L317">
        <f t="array" ref="L3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8">
      <c r="A318" t="inlineStr">
        <is>
          <t>Murali  V (1024783)</t>
        </is>
      </c>
      <c r="B318" s="15" t="inlineStr">
        <is>
          <t>Tuesday, 04 July 2023</t>
        </is>
      </c>
      <c r="C318" s="15" t="inlineStr">
        <is>
          <t>Tuesday, 04 July 2023</t>
        </is>
      </c>
      <c r="D318" t="inlineStr">
        <is>
          <t xml:space="preserve">Casual / Sick </t>
        </is>
      </c>
      <c r="E318" t="n">
        <v>1</v>
      </c>
      <c r="F318" s="1" t="n"/>
      <c r="G318" s="1" t="n"/>
      <c r="H318">
        <f>IF(T_LEAVE[[#This Row],[EMPLOYEE]]="","",MATCH(T_LEAVE[[#This Row],[EMPLOYEE]],L_EMPLABELS,0))</f>
        <v/>
      </c>
      <c r="I318">
        <f>IF(T_LEAVE[[#This Row],[EMPLOYEE]]="","",MATCH(T_LEAVE[[#This Row],[LEAVE TYPE]],L_LEAVETYPES,0))</f>
        <v/>
      </c>
      <c r="J318">
        <f t="array" ref="J318">IFERROR(INDEX(T_LEAVE_TYPES[SYMBOL],T_LEAVE[[#This Row],[LEAVE TYPE SYS ID]]),"")</f>
        <v/>
      </c>
      <c r="K318">
        <f>IF(T_LEAVE[[#This Row],[EMPLOYEE]]="","",IF(T_LEAVE[[#This Row],[ERROR]]="",0,1))</f>
        <v/>
      </c>
      <c r="L318">
        <f t="array" ref="L3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19">
      <c r="A319" t="inlineStr">
        <is>
          <t>Murali  V (1024783)</t>
        </is>
      </c>
      <c r="B319" s="15" t="inlineStr">
        <is>
          <t>Wednesday, 17 May 2023</t>
        </is>
      </c>
      <c r="C319" s="15" t="inlineStr">
        <is>
          <t>Wednesday, 17 May 2023</t>
        </is>
      </c>
      <c r="D319" t="inlineStr">
        <is>
          <t>Privilege</t>
        </is>
      </c>
      <c r="E319" t="n">
        <v>1</v>
      </c>
      <c r="F319" s="1" t="n"/>
      <c r="G319" s="1" t="n"/>
      <c r="H319">
        <f>IF(T_LEAVE[[#This Row],[EMPLOYEE]]="","",MATCH(T_LEAVE[[#This Row],[EMPLOYEE]],L_EMPLABELS,0))</f>
        <v/>
      </c>
      <c r="I319">
        <f>IF(T_LEAVE[[#This Row],[EMPLOYEE]]="","",MATCH(T_LEAVE[[#This Row],[LEAVE TYPE]],L_LEAVETYPES,0))</f>
        <v/>
      </c>
      <c r="J319">
        <f t="array" ref="J319">IFERROR(INDEX(T_LEAVE_TYPES[SYMBOL],T_LEAVE[[#This Row],[LEAVE TYPE SYS ID]]),"")</f>
        <v/>
      </c>
      <c r="K319">
        <f>IF(T_LEAVE[[#This Row],[EMPLOYEE]]="","",IF(T_LEAVE[[#This Row],[ERROR]]="",0,1))</f>
        <v/>
      </c>
      <c r="L319">
        <f t="array" ref="L3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0">
      <c r="A320" t="inlineStr">
        <is>
          <t>Murali  V (1024783)</t>
        </is>
      </c>
      <c r="B320" s="15" t="inlineStr">
        <is>
          <t>Monday, 03 April 2023</t>
        </is>
      </c>
      <c r="C320" s="15" t="inlineStr">
        <is>
          <t>Monday, 03 April 2023</t>
        </is>
      </c>
      <c r="D320" t="inlineStr">
        <is>
          <t xml:space="preserve">Casual / Sick </t>
        </is>
      </c>
      <c r="E320" t="n">
        <v>1</v>
      </c>
      <c r="F320" s="1" t="n"/>
      <c r="G320" s="1" t="n"/>
      <c r="H320">
        <f>IF(T_LEAVE[[#This Row],[EMPLOYEE]]="","",MATCH(T_LEAVE[[#This Row],[EMPLOYEE]],L_EMPLABELS,0))</f>
        <v/>
      </c>
      <c r="I320">
        <f>IF(T_LEAVE[[#This Row],[EMPLOYEE]]="","",MATCH(T_LEAVE[[#This Row],[LEAVE TYPE]],L_LEAVETYPES,0))</f>
        <v/>
      </c>
      <c r="J320">
        <f t="array" ref="J320">IFERROR(INDEX(T_LEAVE_TYPES[SYMBOL],T_LEAVE[[#This Row],[LEAVE TYPE SYS ID]]),"")</f>
        <v/>
      </c>
      <c r="K320">
        <f>IF(T_LEAVE[[#This Row],[EMPLOYEE]]="","",IF(T_LEAVE[[#This Row],[ERROR]]="",0,1))</f>
        <v/>
      </c>
      <c r="L320">
        <f t="array" ref="L3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1">
      <c r="A321" t="inlineStr">
        <is>
          <t>Murali  V (1024783)</t>
        </is>
      </c>
      <c r="B321" s="15" t="inlineStr">
        <is>
          <t>Wednesday, 29 March 2023</t>
        </is>
      </c>
      <c r="C321" s="15" t="inlineStr">
        <is>
          <t>Wednesday, 29 March 2023</t>
        </is>
      </c>
      <c r="D321" t="inlineStr">
        <is>
          <t>Privilege</t>
        </is>
      </c>
      <c r="E321" t="n">
        <v>1</v>
      </c>
      <c r="F321" s="1" t="n"/>
      <c r="G321" s="1" t="n"/>
      <c r="H321">
        <f>IF(T_LEAVE[[#This Row],[EMPLOYEE]]="","",MATCH(T_LEAVE[[#This Row],[EMPLOYEE]],L_EMPLABELS,0))</f>
        <v/>
      </c>
      <c r="I321">
        <f>IF(T_LEAVE[[#This Row],[EMPLOYEE]]="","",MATCH(T_LEAVE[[#This Row],[LEAVE TYPE]],L_LEAVETYPES,0))</f>
        <v/>
      </c>
      <c r="J321">
        <f t="array" ref="J321">IFERROR(INDEX(T_LEAVE_TYPES[SYMBOL],T_LEAVE[[#This Row],[LEAVE TYPE SYS ID]]),"")</f>
        <v/>
      </c>
      <c r="K321">
        <f>IF(T_LEAVE[[#This Row],[EMPLOYEE]]="","",IF(T_LEAVE[[#This Row],[ERROR]]="",0,1))</f>
        <v/>
      </c>
      <c r="L321">
        <f t="array" ref="L3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2">
      <c r="A322" t="inlineStr">
        <is>
          <t>Murali  V (1024783)</t>
        </is>
      </c>
      <c r="B322" s="15" t="inlineStr">
        <is>
          <t>Monday, 06 February 2023</t>
        </is>
      </c>
      <c r="C322" s="15" t="inlineStr">
        <is>
          <t>Monday, 06 February 2023</t>
        </is>
      </c>
      <c r="D322" t="inlineStr">
        <is>
          <t>Privilege</t>
        </is>
      </c>
      <c r="E322" t="n">
        <v>1</v>
      </c>
      <c r="F322" s="1" t="n"/>
      <c r="G322" s="1" t="n"/>
      <c r="H322">
        <f>IF(T_LEAVE[[#This Row],[EMPLOYEE]]="","",MATCH(T_LEAVE[[#This Row],[EMPLOYEE]],L_EMPLABELS,0))</f>
        <v/>
      </c>
      <c r="I322">
        <f>IF(T_LEAVE[[#This Row],[EMPLOYEE]]="","",MATCH(T_LEAVE[[#This Row],[LEAVE TYPE]],L_LEAVETYPES,0))</f>
        <v/>
      </c>
      <c r="J322">
        <f t="array" ref="J322">IFERROR(INDEX(T_LEAVE_TYPES[SYMBOL],T_LEAVE[[#This Row],[LEAVE TYPE SYS ID]]),"")</f>
        <v/>
      </c>
      <c r="K322">
        <f>IF(T_LEAVE[[#This Row],[EMPLOYEE]]="","",IF(T_LEAVE[[#This Row],[ERROR]]="",0,1))</f>
        <v/>
      </c>
      <c r="L322">
        <f t="array" ref="L3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3">
      <c r="A323" t="inlineStr">
        <is>
          <t>Murali  V (1024783)</t>
        </is>
      </c>
      <c r="B323" s="15" t="inlineStr">
        <is>
          <t>Tuesday, 17 January 2023</t>
        </is>
      </c>
      <c r="C323" s="15" t="inlineStr">
        <is>
          <t>Tuesday, 17 January 2023</t>
        </is>
      </c>
      <c r="D323" t="inlineStr">
        <is>
          <t>Privilege</t>
        </is>
      </c>
      <c r="E323" t="n">
        <v>1</v>
      </c>
      <c r="F323" s="1" t="n"/>
      <c r="G323" s="1" t="n"/>
      <c r="H323">
        <f>IF(T_LEAVE[[#This Row],[EMPLOYEE]]="","",MATCH(T_LEAVE[[#This Row],[EMPLOYEE]],L_EMPLABELS,0))</f>
        <v/>
      </c>
      <c r="I323">
        <f>IF(T_LEAVE[[#This Row],[EMPLOYEE]]="","",MATCH(T_LEAVE[[#This Row],[LEAVE TYPE]],L_LEAVETYPES,0))</f>
        <v/>
      </c>
      <c r="J323">
        <f t="array" ref="J323">IFERROR(INDEX(T_LEAVE_TYPES[SYMBOL],T_LEAVE[[#This Row],[LEAVE TYPE SYS ID]]),"")</f>
        <v/>
      </c>
      <c r="K323">
        <f>IF(T_LEAVE[[#This Row],[EMPLOYEE]]="","",IF(T_LEAVE[[#This Row],[ERROR]]="",0,1))</f>
        <v/>
      </c>
      <c r="L323">
        <f t="array" ref="L3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4">
      <c r="A324" t="inlineStr">
        <is>
          <t>Murali  V (1024783)</t>
        </is>
      </c>
      <c r="B324" s="15" t="inlineStr">
        <is>
          <t>Monday, 19 December 2022</t>
        </is>
      </c>
      <c r="C324" s="15" t="inlineStr">
        <is>
          <t>Monday, 19 December 2022</t>
        </is>
      </c>
      <c r="D324" t="inlineStr">
        <is>
          <t xml:space="preserve">Casual / Sick </t>
        </is>
      </c>
      <c r="E324" t="n">
        <v>1</v>
      </c>
      <c r="F324" s="1" t="n"/>
      <c r="G324" s="1" t="n"/>
      <c r="H324">
        <f>IF(T_LEAVE[[#This Row],[EMPLOYEE]]="","",MATCH(T_LEAVE[[#This Row],[EMPLOYEE]],L_EMPLABELS,0))</f>
        <v/>
      </c>
      <c r="I324">
        <f>IF(T_LEAVE[[#This Row],[EMPLOYEE]]="","",MATCH(T_LEAVE[[#This Row],[LEAVE TYPE]],L_LEAVETYPES,0))</f>
        <v/>
      </c>
      <c r="J324">
        <f t="array" ref="J324">IFERROR(INDEX(T_LEAVE_TYPES[SYMBOL],T_LEAVE[[#This Row],[LEAVE TYPE SYS ID]]),"")</f>
        <v/>
      </c>
      <c r="K324">
        <f>IF(T_LEAVE[[#This Row],[EMPLOYEE]]="","",IF(T_LEAVE[[#This Row],[ERROR]]="",0,1))</f>
        <v/>
      </c>
      <c r="L324">
        <f t="array" ref="L3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5">
      <c r="A325" t="inlineStr">
        <is>
          <t>Murali  V (1024783)</t>
        </is>
      </c>
      <c r="B325" s="15" t="inlineStr">
        <is>
          <t>Monday, 12 December 2022</t>
        </is>
      </c>
      <c r="C325" s="15" t="inlineStr">
        <is>
          <t>Wednesday, 14 December 2022</t>
        </is>
      </c>
      <c r="D325" t="inlineStr">
        <is>
          <t xml:space="preserve">Casual / Sick </t>
        </is>
      </c>
      <c r="E325" t="n">
        <v>3</v>
      </c>
      <c r="F325" s="1" t="n"/>
      <c r="G325" s="1" t="n"/>
      <c r="H325">
        <f>IF(T_LEAVE[[#This Row],[EMPLOYEE]]="","",MATCH(T_LEAVE[[#This Row],[EMPLOYEE]],L_EMPLABELS,0))</f>
        <v/>
      </c>
      <c r="I325">
        <f>IF(T_LEAVE[[#This Row],[EMPLOYEE]]="","",MATCH(T_LEAVE[[#This Row],[LEAVE TYPE]],L_LEAVETYPES,0))</f>
        <v/>
      </c>
      <c r="J325">
        <f t="array" ref="J325">IFERROR(INDEX(T_LEAVE_TYPES[SYMBOL],T_LEAVE[[#This Row],[LEAVE TYPE SYS ID]]),"")</f>
        <v/>
      </c>
      <c r="K325">
        <f>IF(T_LEAVE[[#This Row],[EMPLOYEE]]="","",IF(T_LEAVE[[#This Row],[ERROR]]="",0,1))</f>
        <v/>
      </c>
      <c r="L325">
        <f t="array" ref="L3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6">
      <c r="A326" t="inlineStr">
        <is>
          <t>Talada Sumanth (1029520)</t>
        </is>
      </c>
      <c r="B326" s="15" t="inlineStr">
        <is>
          <t>Wednesday, 09 November 2022</t>
        </is>
      </c>
      <c r="C326" s="15" t="inlineStr">
        <is>
          <t>Wednesday, 09 November 2022</t>
        </is>
      </c>
      <c r="D326" t="inlineStr">
        <is>
          <t>Privilege</t>
        </is>
      </c>
      <c r="E326" t="n">
        <v>1</v>
      </c>
      <c r="F326" s="1" t="n"/>
      <c r="G326" s="1" t="n"/>
      <c r="H326">
        <f>IF(T_LEAVE[[#This Row],[EMPLOYEE]]="","",MATCH(T_LEAVE[[#This Row],[EMPLOYEE]],L_EMPLABELS,0))</f>
        <v/>
      </c>
      <c r="I326">
        <f>IF(T_LEAVE[[#This Row],[EMPLOYEE]]="","",MATCH(T_LEAVE[[#This Row],[LEAVE TYPE]],L_LEAVETYPES,0))</f>
        <v/>
      </c>
      <c r="J326">
        <f t="array" ref="J326">IFERROR(INDEX(T_LEAVE_TYPES[SYMBOL],T_LEAVE[[#This Row],[LEAVE TYPE SYS ID]]),"")</f>
        <v/>
      </c>
      <c r="K326">
        <f>IF(T_LEAVE[[#This Row],[EMPLOYEE]]="","",IF(T_LEAVE[[#This Row],[ERROR]]="",0,1))</f>
        <v/>
      </c>
      <c r="L326">
        <f t="array" ref="L3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7">
      <c r="A327" t="inlineStr">
        <is>
          <t>Murali  V (1024783)</t>
        </is>
      </c>
      <c r="B327" s="15" t="inlineStr">
        <is>
          <t>Wednesday, 19 October 2022</t>
        </is>
      </c>
      <c r="C327" s="15" t="inlineStr">
        <is>
          <t>Wednesday, 19 October 2022</t>
        </is>
      </c>
      <c r="D327" t="inlineStr">
        <is>
          <t xml:space="preserve">Casual / Sick </t>
        </is>
      </c>
      <c r="E327" t="n">
        <v>1</v>
      </c>
      <c r="F327" s="1" t="n"/>
      <c r="G327" s="1" t="n"/>
      <c r="H327">
        <f>IF(T_LEAVE[[#This Row],[EMPLOYEE]]="","",MATCH(T_LEAVE[[#This Row],[EMPLOYEE]],L_EMPLABELS,0))</f>
        <v/>
      </c>
      <c r="I327">
        <f>IF(T_LEAVE[[#This Row],[EMPLOYEE]]="","",MATCH(T_LEAVE[[#This Row],[LEAVE TYPE]],L_LEAVETYPES,0))</f>
        <v/>
      </c>
      <c r="J327">
        <f t="array" ref="J327">IFERROR(INDEX(T_LEAVE_TYPES[SYMBOL],T_LEAVE[[#This Row],[LEAVE TYPE SYS ID]]),"")</f>
        <v/>
      </c>
      <c r="K327">
        <f>IF(T_LEAVE[[#This Row],[EMPLOYEE]]="","",IF(T_LEAVE[[#This Row],[ERROR]]="",0,1))</f>
        <v/>
      </c>
      <c r="L327">
        <f t="array" ref="L3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8">
      <c r="A328" t="inlineStr">
        <is>
          <t>Katakam Vijaykumar (1017149)</t>
        </is>
      </c>
      <c r="B328" s="15" t="inlineStr">
        <is>
          <t>Monday, 16 May 2022</t>
        </is>
      </c>
      <c r="C328" s="15" t="inlineStr">
        <is>
          <t>Wednesday, 18 May 2022</t>
        </is>
      </c>
      <c r="D328" t="inlineStr">
        <is>
          <t>Paternity</t>
        </is>
      </c>
      <c r="E328" t="n">
        <v>3</v>
      </c>
      <c r="F328" s="1" t="n"/>
      <c r="G328" s="1" t="n"/>
      <c r="H328">
        <f>IF(T_LEAVE[[#This Row],[EMPLOYEE]]="","",MATCH(T_LEAVE[[#This Row],[EMPLOYEE]],L_EMPLABELS,0))</f>
        <v/>
      </c>
      <c r="I328">
        <f>IF(T_LEAVE[[#This Row],[EMPLOYEE]]="","",MATCH(T_LEAVE[[#This Row],[LEAVE TYPE]],L_LEAVETYPES,0))</f>
        <v/>
      </c>
      <c r="J328">
        <f t="array" ref="J328">IFERROR(INDEX(T_LEAVE_TYPES[SYMBOL],T_LEAVE[[#This Row],[LEAVE TYPE SYS ID]]),"")</f>
        <v/>
      </c>
      <c r="K328">
        <f>IF(T_LEAVE[[#This Row],[EMPLOYEE]]="","",IF(T_LEAVE[[#This Row],[ERROR]]="",0,1))</f>
        <v/>
      </c>
      <c r="L328">
        <f t="array" ref="L3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29">
      <c r="A329" t="inlineStr">
        <is>
          <t>Katakam Vijaykumar (1017149)</t>
        </is>
      </c>
      <c r="B329" s="28" t="inlineStr">
        <is>
          <t>Monday, 20 March 2023</t>
        </is>
      </c>
      <c r="C329" s="15" t="inlineStr">
        <is>
          <t>Monday, 20 March 2023</t>
        </is>
      </c>
      <c r="D329" t="inlineStr">
        <is>
          <t xml:space="preserve">Casual / Sick </t>
        </is>
      </c>
      <c r="E329" t="n">
        <v>1</v>
      </c>
      <c r="F329" s="1" t="n"/>
      <c r="G329" s="1" t="n"/>
      <c r="H329">
        <f>IF(T_LEAVE[[#This Row],[EMPLOYEE]]="","",MATCH(T_LEAVE[[#This Row],[EMPLOYEE]],L_EMPLABELS,0))</f>
        <v/>
      </c>
      <c r="I329">
        <f>IF(T_LEAVE[[#This Row],[EMPLOYEE]]="","",MATCH(T_LEAVE[[#This Row],[LEAVE TYPE]],L_LEAVETYPES,0))</f>
        <v/>
      </c>
      <c r="J329">
        <f t="array" ref="J329">IFERROR(INDEX(T_LEAVE_TYPES[SYMBOL],T_LEAVE[[#This Row],[LEAVE TYPE SYS ID]]),"")</f>
        <v/>
      </c>
      <c r="K329">
        <f>IF(T_LEAVE[[#This Row],[EMPLOYEE]]="","",IF(T_LEAVE[[#This Row],[ERROR]]="",0,1))</f>
        <v/>
      </c>
      <c r="L329">
        <f t="array" ref="L3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0">
      <c r="A330" t="inlineStr">
        <is>
          <t>Talada Sumanth (1029520)</t>
        </is>
      </c>
      <c r="B330" s="15" t="inlineStr">
        <is>
          <t>Monday, 31 October 2022</t>
        </is>
      </c>
      <c r="C330" s="15" t="inlineStr">
        <is>
          <t>Wednesday, 02 November 2022</t>
        </is>
      </c>
      <c r="D330" t="inlineStr">
        <is>
          <t xml:space="preserve">Casual / Sick </t>
        </is>
      </c>
      <c r="E330" t="n">
        <v>2</v>
      </c>
      <c r="F330" s="1" t="n"/>
      <c r="G330" s="1" t="n"/>
      <c r="H330">
        <f>IF(T_LEAVE[[#This Row],[EMPLOYEE]]="","",MATCH(T_LEAVE[[#This Row],[EMPLOYEE]],L_EMPLABELS,0))</f>
        <v/>
      </c>
      <c r="I330">
        <f>IF(T_LEAVE[[#This Row],[EMPLOYEE]]="","",MATCH(T_LEAVE[[#This Row],[LEAVE TYPE]],L_LEAVETYPES,0))</f>
        <v/>
      </c>
      <c r="J330">
        <f t="array" ref="J330">IFERROR(INDEX(T_LEAVE_TYPES[SYMBOL],T_LEAVE[[#This Row],[LEAVE TYPE SYS ID]]),"")</f>
        <v/>
      </c>
      <c r="K330">
        <f>IF(T_LEAVE[[#This Row],[EMPLOYEE]]="","",IF(T_LEAVE[[#This Row],[ERROR]]="",0,1))</f>
        <v/>
      </c>
      <c r="L330">
        <f t="array" ref="L3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1">
      <c r="A331" t="inlineStr">
        <is>
          <t>Murali  V (1024783)</t>
        </is>
      </c>
      <c r="B331" s="15" t="inlineStr">
        <is>
          <t>Friday, 30 September 2022</t>
        </is>
      </c>
      <c r="C331" s="15" t="inlineStr">
        <is>
          <t>Friday, 30 September 2022</t>
        </is>
      </c>
      <c r="D331" t="inlineStr">
        <is>
          <t xml:space="preserve">Casual / Sick </t>
        </is>
      </c>
      <c r="E331" t="n">
        <v>1</v>
      </c>
      <c r="F331" s="1" t="n"/>
      <c r="G331" s="1" t="n"/>
      <c r="H331">
        <f>IF(T_LEAVE[[#This Row],[EMPLOYEE]]="","",MATCH(T_LEAVE[[#This Row],[EMPLOYEE]],L_EMPLABELS,0))</f>
        <v/>
      </c>
      <c r="I331">
        <f>IF(T_LEAVE[[#This Row],[EMPLOYEE]]="","",MATCH(T_LEAVE[[#This Row],[LEAVE TYPE]],L_LEAVETYPES,0))</f>
        <v/>
      </c>
      <c r="J331">
        <f t="array" ref="J331">IFERROR(INDEX(T_LEAVE_TYPES[SYMBOL],T_LEAVE[[#This Row],[LEAVE TYPE SYS ID]]),"")</f>
        <v/>
      </c>
      <c r="K331">
        <f>IF(T_LEAVE[[#This Row],[EMPLOYEE]]="","",IF(T_LEAVE[[#This Row],[ERROR]]="",0,1))</f>
        <v/>
      </c>
      <c r="L331">
        <f t="array" ref="L3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2">
      <c r="A332" t="inlineStr">
        <is>
          <t>Golla Venugopal (1028128)</t>
        </is>
      </c>
      <c r="B332" s="15" t="inlineStr">
        <is>
          <t>Wednesday, 19 October 2022</t>
        </is>
      </c>
      <c r="C332" s="15" t="inlineStr">
        <is>
          <t>Wednesday, 19 October 2022</t>
        </is>
      </c>
      <c r="D332" t="inlineStr">
        <is>
          <t>Privilege</t>
        </is>
      </c>
      <c r="E332" t="n">
        <v>1</v>
      </c>
      <c r="F332" s="1" t="n"/>
      <c r="G332" s="1" t="n"/>
      <c r="H332">
        <f>IF(T_LEAVE[[#This Row],[EMPLOYEE]]="","",MATCH(T_LEAVE[[#This Row],[EMPLOYEE]],L_EMPLABELS,0))</f>
        <v/>
      </c>
      <c r="I332">
        <f>IF(T_LEAVE[[#This Row],[EMPLOYEE]]="","",MATCH(T_LEAVE[[#This Row],[LEAVE TYPE]],L_LEAVETYPES,0))</f>
        <v/>
      </c>
      <c r="J332">
        <f t="array" ref="J332">IFERROR(INDEX(T_LEAVE_TYPES[SYMBOL],T_LEAVE[[#This Row],[LEAVE TYPE SYS ID]]),"")</f>
        <v/>
      </c>
      <c r="K332">
        <f>IF(T_LEAVE[[#This Row],[EMPLOYEE]]="","",IF(T_LEAVE[[#This Row],[ERROR]]="",0,1))</f>
        <v/>
      </c>
      <c r="L332">
        <f t="array" ref="L3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3">
      <c r="A333" t="inlineStr">
        <is>
          <t>Katakam Vijaykumar (1017149)</t>
        </is>
      </c>
      <c r="B333" s="15" t="inlineStr">
        <is>
          <t>Monday, 26 December 2022</t>
        </is>
      </c>
      <c r="C333" s="15" t="inlineStr">
        <is>
          <t>Monday, 26 December 2022</t>
        </is>
      </c>
      <c r="D333" t="inlineStr">
        <is>
          <t>Privilege</t>
        </is>
      </c>
      <c r="E333" t="n">
        <v>1</v>
      </c>
      <c r="F333" s="1" t="n"/>
      <c r="G333" s="1" t="n"/>
      <c r="H333">
        <f>IF(T_LEAVE[[#This Row],[EMPLOYEE]]="","",MATCH(T_LEAVE[[#This Row],[EMPLOYEE]],L_EMPLABELS,0))</f>
        <v/>
      </c>
      <c r="I333">
        <f>IF(T_LEAVE[[#This Row],[EMPLOYEE]]="","",MATCH(T_LEAVE[[#This Row],[LEAVE TYPE]],L_LEAVETYPES,0))</f>
        <v/>
      </c>
      <c r="J333">
        <f t="array" ref="J333">IFERROR(INDEX(T_LEAVE_TYPES[SYMBOL],T_LEAVE[[#This Row],[LEAVE TYPE SYS ID]]),"")</f>
        <v/>
      </c>
      <c r="K333">
        <f>IF(T_LEAVE[[#This Row],[EMPLOYEE]]="","",IF(T_LEAVE[[#This Row],[ERROR]]="",0,1))</f>
        <v/>
      </c>
      <c r="L333">
        <f t="array" ref="L3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4">
      <c r="A334" t="inlineStr">
        <is>
          <t>Ambika G Prabhu (1027414)</t>
        </is>
      </c>
      <c r="B334" s="15" t="inlineStr">
        <is>
          <t>Wednesday, 14 September 2022</t>
        </is>
      </c>
      <c r="C334" s="15" t="inlineStr">
        <is>
          <t>Friday, 16 September 2022</t>
        </is>
      </c>
      <c r="D334" t="inlineStr">
        <is>
          <t>Privilege</t>
        </is>
      </c>
      <c r="E334" t="n">
        <v>3</v>
      </c>
      <c r="F334" s="1" t="n"/>
      <c r="G334" s="1" t="n"/>
      <c r="H334">
        <f>IF(T_LEAVE[[#This Row],[EMPLOYEE]]="","",MATCH(T_LEAVE[[#This Row],[EMPLOYEE]],L_EMPLABELS,0))</f>
        <v/>
      </c>
      <c r="I334">
        <f>IF(T_LEAVE[[#This Row],[EMPLOYEE]]="","",MATCH(T_LEAVE[[#This Row],[LEAVE TYPE]],L_LEAVETYPES,0))</f>
        <v/>
      </c>
      <c r="J334">
        <f t="array" ref="J334">IFERROR(INDEX(T_LEAVE_TYPES[SYMBOL],T_LEAVE[[#This Row],[LEAVE TYPE SYS ID]]),"")</f>
        <v/>
      </c>
      <c r="K334">
        <f>IF(T_LEAVE[[#This Row],[EMPLOYEE]]="","",IF(T_LEAVE[[#This Row],[ERROR]]="",0,1))</f>
        <v/>
      </c>
      <c r="L334">
        <f t="array" ref="L3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5">
      <c r="A335" t="inlineStr">
        <is>
          <t>Ambika G Prabhu (1027414)</t>
        </is>
      </c>
      <c r="B335" s="15" t="inlineStr">
        <is>
          <t>Monday, 19 September 2022</t>
        </is>
      </c>
      <c r="C335" s="15" t="inlineStr">
        <is>
          <t>Monday, 19 September 2022</t>
        </is>
      </c>
      <c r="D335" t="inlineStr">
        <is>
          <t xml:space="preserve">Casual / Sick </t>
        </is>
      </c>
      <c r="E335" t="n">
        <v>1</v>
      </c>
      <c r="F335" s="1" t="n"/>
      <c r="G335" s="1" t="n"/>
      <c r="H335">
        <f>IF(T_LEAVE[[#This Row],[EMPLOYEE]]="","",MATCH(T_LEAVE[[#This Row],[EMPLOYEE]],L_EMPLABELS,0))</f>
        <v/>
      </c>
      <c r="I335">
        <f>IF(T_LEAVE[[#This Row],[EMPLOYEE]]="","",MATCH(T_LEAVE[[#This Row],[LEAVE TYPE]],L_LEAVETYPES,0))</f>
        <v/>
      </c>
      <c r="J335">
        <f t="array" ref="J335">IFERROR(INDEX(T_LEAVE_TYPES[SYMBOL],T_LEAVE[[#This Row],[LEAVE TYPE SYS ID]]),"")</f>
        <v/>
      </c>
      <c r="K335">
        <f>IF(T_LEAVE[[#This Row],[EMPLOYEE]]="","",IF(T_LEAVE[[#This Row],[ERROR]]="",0,1))</f>
        <v/>
      </c>
      <c r="L335">
        <f t="array" ref="L3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6">
      <c r="A336" t="inlineStr">
        <is>
          <t>Ambika G Prabhu (1027414)</t>
        </is>
      </c>
      <c r="B336" s="15" t="inlineStr">
        <is>
          <t>Friday, 30 September 2022</t>
        </is>
      </c>
      <c r="C336" s="15" t="inlineStr">
        <is>
          <t>Friday, 30 September 2022</t>
        </is>
      </c>
      <c r="D336" t="inlineStr">
        <is>
          <t xml:space="preserve">Casual / Sick </t>
        </is>
      </c>
      <c r="E336" t="n">
        <v>1</v>
      </c>
      <c r="F336" s="1" t="n"/>
      <c r="G336" s="1" t="n"/>
      <c r="H336">
        <f>IF(T_LEAVE[[#This Row],[EMPLOYEE]]="","",MATCH(T_LEAVE[[#This Row],[EMPLOYEE]],L_EMPLABELS,0))</f>
        <v/>
      </c>
      <c r="I336">
        <f>IF(T_LEAVE[[#This Row],[EMPLOYEE]]="","",MATCH(T_LEAVE[[#This Row],[LEAVE TYPE]],L_LEAVETYPES,0))</f>
        <v/>
      </c>
      <c r="J336">
        <f t="array" ref="J336">IFERROR(INDEX(T_LEAVE_TYPES[SYMBOL],T_LEAVE[[#This Row],[LEAVE TYPE SYS ID]]),"")</f>
        <v/>
      </c>
      <c r="K336">
        <f>IF(T_LEAVE[[#This Row],[EMPLOYEE]]="","",IF(T_LEAVE[[#This Row],[ERROR]]="",0,1))</f>
        <v/>
      </c>
      <c r="L336">
        <f t="array" ref="L3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7">
      <c r="A337" t="inlineStr">
        <is>
          <t>Ambika G Prabhu (1027414)</t>
        </is>
      </c>
      <c r="B337" s="15" t="inlineStr">
        <is>
          <t>Monday, 03 October 2022</t>
        </is>
      </c>
      <c r="C337" s="15" t="inlineStr">
        <is>
          <t>Tuesday, 11 October 2022</t>
        </is>
      </c>
      <c r="D337" t="inlineStr">
        <is>
          <t xml:space="preserve">Casual / Sick </t>
        </is>
      </c>
      <c r="E337" t="n">
        <v>6</v>
      </c>
      <c r="F337" s="1" t="n"/>
      <c r="G337" s="1" t="n"/>
      <c r="H337">
        <f>IF(T_LEAVE[[#This Row],[EMPLOYEE]]="","",MATCH(T_LEAVE[[#This Row],[EMPLOYEE]],L_EMPLABELS,0))</f>
        <v/>
      </c>
      <c r="I337">
        <f>IF(T_LEAVE[[#This Row],[EMPLOYEE]]="","",MATCH(T_LEAVE[[#This Row],[LEAVE TYPE]],L_LEAVETYPES,0))</f>
        <v/>
      </c>
      <c r="J337">
        <f t="array" ref="J337">IFERROR(INDEX(T_LEAVE_TYPES[SYMBOL],T_LEAVE[[#This Row],[LEAVE TYPE SYS ID]]),"")</f>
        <v/>
      </c>
      <c r="K337">
        <f>IF(T_LEAVE[[#This Row],[EMPLOYEE]]="","",IF(T_LEAVE[[#This Row],[ERROR]]="",0,1))</f>
        <v/>
      </c>
      <c r="L337">
        <f t="array" ref="L3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8">
      <c r="A338" t="inlineStr">
        <is>
          <t>Rajesh Kumar M (1027422)</t>
        </is>
      </c>
      <c r="B338" s="15" t="inlineStr">
        <is>
          <t>Tuesday, 04 October 2022</t>
        </is>
      </c>
      <c r="C338" s="15" t="inlineStr">
        <is>
          <t>Tuesday, 04 October 2022</t>
        </is>
      </c>
      <c r="D338" t="inlineStr">
        <is>
          <t xml:space="preserve">Casual / Sick </t>
        </is>
      </c>
      <c r="E338" t="n">
        <v>1</v>
      </c>
      <c r="F338" s="1" t="n"/>
      <c r="G338" s="1" t="n"/>
      <c r="H338">
        <f>IF(T_LEAVE[[#This Row],[EMPLOYEE]]="","",MATCH(T_LEAVE[[#This Row],[EMPLOYEE]],L_EMPLABELS,0))</f>
        <v/>
      </c>
      <c r="I338">
        <f>IF(T_LEAVE[[#This Row],[EMPLOYEE]]="","",MATCH(T_LEAVE[[#This Row],[LEAVE TYPE]],L_LEAVETYPES,0))</f>
        <v/>
      </c>
      <c r="J338">
        <f t="array" ref="J338">IFERROR(INDEX(T_LEAVE_TYPES[SYMBOL],T_LEAVE[[#This Row],[LEAVE TYPE SYS ID]]),"")</f>
        <v/>
      </c>
      <c r="K338">
        <f>IF(T_LEAVE[[#This Row],[EMPLOYEE]]="","",IF(T_LEAVE[[#This Row],[ERROR]]="",0,1))</f>
        <v/>
      </c>
      <c r="L338">
        <f t="array" ref="L3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39">
      <c r="A339" t="inlineStr">
        <is>
          <t>Shashi Kumar D (1028007)</t>
        </is>
      </c>
      <c r="B339" s="15" t="inlineStr">
        <is>
          <t>Monday, 26 September 2022</t>
        </is>
      </c>
      <c r="C339" s="15" t="inlineStr">
        <is>
          <t>Monday, 26 September 2022</t>
        </is>
      </c>
      <c r="D339" t="inlineStr">
        <is>
          <t>Privilege</t>
        </is>
      </c>
      <c r="E339" t="n">
        <v>1</v>
      </c>
      <c r="F339" s="1" t="n"/>
      <c r="G339" s="1" t="n"/>
      <c r="H339">
        <f>IF(T_LEAVE[[#This Row],[EMPLOYEE]]="","",MATCH(T_LEAVE[[#This Row],[EMPLOYEE]],L_EMPLABELS,0))</f>
        <v/>
      </c>
      <c r="I339">
        <f>IF(T_LEAVE[[#This Row],[EMPLOYEE]]="","",MATCH(T_LEAVE[[#This Row],[LEAVE TYPE]],L_LEAVETYPES,0))</f>
        <v/>
      </c>
      <c r="J339">
        <f t="array" ref="J339">IFERROR(INDEX(T_LEAVE_TYPES[SYMBOL],T_LEAVE[[#This Row],[LEAVE TYPE SYS ID]]),"")</f>
        <v/>
      </c>
      <c r="K339">
        <f>IF(T_LEAVE[[#This Row],[EMPLOYEE]]="","",IF(T_LEAVE[[#This Row],[ERROR]]="",0,1))</f>
        <v/>
      </c>
      <c r="L339">
        <f t="array" ref="L3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0">
      <c r="A340" t="inlineStr">
        <is>
          <t>Rajesh Kumar M (1027422)</t>
        </is>
      </c>
      <c r="B340" s="15" t="inlineStr">
        <is>
          <t>Friday, 09 September 2022</t>
        </is>
      </c>
      <c r="C340" s="15" t="inlineStr">
        <is>
          <t>Friday, 09 September 2022</t>
        </is>
      </c>
      <c r="D340" t="inlineStr">
        <is>
          <t xml:space="preserve">Casual / Sick </t>
        </is>
      </c>
      <c r="E340" t="n">
        <v>1</v>
      </c>
      <c r="F340" s="1" t="n"/>
      <c r="G340" s="1" t="n"/>
      <c r="H340">
        <f>IF(T_LEAVE[[#This Row],[EMPLOYEE]]="","",MATCH(T_LEAVE[[#This Row],[EMPLOYEE]],L_EMPLABELS,0))</f>
        <v/>
      </c>
      <c r="I340">
        <f>IF(T_LEAVE[[#This Row],[EMPLOYEE]]="","",MATCH(T_LEAVE[[#This Row],[LEAVE TYPE]],L_LEAVETYPES,0))</f>
        <v/>
      </c>
      <c r="J340">
        <f t="array" ref="J340">IFERROR(INDEX(T_LEAVE_TYPES[SYMBOL],T_LEAVE[[#This Row],[LEAVE TYPE SYS ID]]),"")</f>
        <v/>
      </c>
      <c r="K340">
        <f>IF(T_LEAVE[[#This Row],[EMPLOYEE]]="","",IF(T_LEAVE[[#This Row],[ERROR]]="",0,1))</f>
        <v/>
      </c>
      <c r="L340">
        <f t="array" ref="L3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1">
      <c r="A341" t="inlineStr">
        <is>
          <t>Nagarjun Naidu Mannem (1019816)</t>
        </is>
      </c>
      <c r="B341" s="15" t="inlineStr">
        <is>
          <t>Friday, 02 September 2022</t>
        </is>
      </c>
      <c r="C341" s="15" t="inlineStr">
        <is>
          <t>Friday, 02 September 2022</t>
        </is>
      </c>
      <c r="D341" t="inlineStr">
        <is>
          <t xml:space="preserve">Casual / Sick </t>
        </is>
      </c>
      <c r="E341" t="n">
        <v>1</v>
      </c>
      <c r="F341" s="1" t="n"/>
      <c r="G341" s="1" t="n"/>
      <c r="H341">
        <f>IF(T_LEAVE[[#This Row],[EMPLOYEE]]="","",MATCH(T_LEAVE[[#This Row],[EMPLOYEE]],L_EMPLABELS,0))</f>
        <v/>
      </c>
      <c r="I341">
        <f>IF(T_LEAVE[[#This Row],[EMPLOYEE]]="","",MATCH(T_LEAVE[[#This Row],[LEAVE TYPE]],L_LEAVETYPES,0))</f>
        <v/>
      </c>
      <c r="J341">
        <f t="array" ref="J341">IFERROR(INDEX(T_LEAVE_TYPES[SYMBOL],T_LEAVE[[#This Row],[LEAVE TYPE SYS ID]]),"")</f>
        <v/>
      </c>
      <c r="K341">
        <f>IF(T_LEAVE[[#This Row],[EMPLOYEE]]="","",IF(T_LEAVE[[#This Row],[ERROR]]="",0,1))</f>
        <v/>
      </c>
      <c r="L341">
        <f t="array" ref="L3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2">
      <c r="A342" t="inlineStr">
        <is>
          <t>Shashi Kumar D (1028007)</t>
        </is>
      </c>
      <c r="B342" s="15" t="inlineStr">
        <is>
          <t>Wednesday, 03 August 2022</t>
        </is>
      </c>
      <c r="C342" s="15" t="inlineStr">
        <is>
          <t>Wednesday, 03 August 2022</t>
        </is>
      </c>
      <c r="D342" t="inlineStr">
        <is>
          <t>Privilege</t>
        </is>
      </c>
      <c r="E342" t="n">
        <v>1</v>
      </c>
      <c r="F342" s="1" t="n"/>
      <c r="G342" s="1" t="n"/>
      <c r="H342">
        <f>IF(T_LEAVE[[#This Row],[EMPLOYEE]]="","",MATCH(T_LEAVE[[#This Row],[EMPLOYEE]],L_EMPLABELS,0))</f>
        <v/>
      </c>
      <c r="I342">
        <f>IF(T_LEAVE[[#This Row],[EMPLOYEE]]="","",MATCH(T_LEAVE[[#This Row],[LEAVE TYPE]],L_LEAVETYPES,0))</f>
        <v/>
      </c>
      <c r="J342">
        <f t="array" ref="J342">IFERROR(INDEX(T_LEAVE_TYPES[SYMBOL],T_LEAVE[[#This Row],[LEAVE TYPE SYS ID]]),"")</f>
        <v/>
      </c>
      <c r="K342">
        <f>IF(T_LEAVE[[#This Row],[EMPLOYEE]]="","",IF(T_LEAVE[[#This Row],[ERROR]]="",0,1))</f>
        <v/>
      </c>
      <c r="L342">
        <f t="array" ref="L3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3">
      <c r="A343" t="inlineStr">
        <is>
          <t>Nagarjun Naidu Mannem (1019816)</t>
        </is>
      </c>
      <c r="B343" s="15" t="inlineStr">
        <is>
          <t>Monday, 01 August 2022</t>
        </is>
      </c>
      <c r="C343" s="15" t="inlineStr">
        <is>
          <t>Monday, 01 August 2022</t>
        </is>
      </c>
      <c r="D343" t="inlineStr">
        <is>
          <t xml:space="preserve">Casual / Sick </t>
        </is>
      </c>
      <c r="E343" t="n">
        <v>1</v>
      </c>
      <c r="F343" s="1" t="n"/>
      <c r="G343" s="1" t="n"/>
      <c r="H343">
        <f>IF(T_LEAVE[[#This Row],[EMPLOYEE]]="","",MATCH(T_LEAVE[[#This Row],[EMPLOYEE]],L_EMPLABELS,0))</f>
        <v/>
      </c>
      <c r="I343">
        <f>IF(T_LEAVE[[#This Row],[EMPLOYEE]]="","",MATCH(T_LEAVE[[#This Row],[LEAVE TYPE]],L_LEAVETYPES,0))</f>
        <v/>
      </c>
      <c r="J343">
        <f t="array" ref="J343">IFERROR(INDEX(T_LEAVE_TYPES[SYMBOL],T_LEAVE[[#This Row],[LEAVE TYPE SYS ID]]),"")</f>
        <v/>
      </c>
      <c r="K343">
        <f>IF(T_LEAVE[[#This Row],[EMPLOYEE]]="","",IF(T_LEAVE[[#This Row],[ERROR]]="",0,1))</f>
        <v/>
      </c>
      <c r="L343">
        <f t="array" ref="L3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4">
      <c r="A344" t="inlineStr">
        <is>
          <t>Shashi Kumar D (1028007)</t>
        </is>
      </c>
      <c r="B344" s="15" t="inlineStr">
        <is>
          <t>Wednesday, 13 July 2022</t>
        </is>
      </c>
      <c r="C344" s="15" t="inlineStr">
        <is>
          <t>Thursday, 14 July 2022</t>
        </is>
      </c>
      <c r="D344" t="inlineStr">
        <is>
          <t xml:space="preserve">Casual / Sick </t>
        </is>
      </c>
      <c r="E344" t="n">
        <v>2</v>
      </c>
      <c r="F344" s="1" t="n"/>
      <c r="G344" s="1" t="n"/>
      <c r="H344">
        <f>IF(T_LEAVE[[#This Row],[EMPLOYEE]]="","",MATCH(T_LEAVE[[#This Row],[EMPLOYEE]],L_EMPLABELS,0))</f>
        <v/>
      </c>
      <c r="I344">
        <f>IF(T_LEAVE[[#This Row],[EMPLOYEE]]="","",MATCH(T_LEAVE[[#This Row],[LEAVE TYPE]],L_LEAVETYPES,0))</f>
        <v/>
      </c>
      <c r="J344">
        <f t="array" ref="J344">IFERROR(INDEX(T_LEAVE_TYPES[SYMBOL],T_LEAVE[[#This Row],[LEAVE TYPE SYS ID]]),"")</f>
        <v/>
      </c>
      <c r="K344">
        <f>IF(T_LEAVE[[#This Row],[EMPLOYEE]]="","",IF(T_LEAVE[[#This Row],[ERROR]]="",0,1))</f>
        <v/>
      </c>
      <c r="L344">
        <f t="array" ref="L3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5">
      <c r="A345" t="inlineStr">
        <is>
          <t>Rajesh Kumar M (1027422)</t>
        </is>
      </c>
      <c r="B345" s="15" t="inlineStr">
        <is>
          <t>Friday, 08 July 2022</t>
        </is>
      </c>
      <c r="C345" s="15" t="inlineStr">
        <is>
          <t>Friday, 08 July 2022</t>
        </is>
      </c>
      <c r="D345" t="inlineStr">
        <is>
          <t xml:space="preserve">Casual / Sick </t>
        </is>
      </c>
      <c r="E345" t="n">
        <v>1</v>
      </c>
      <c r="F345" s="1" t="n"/>
      <c r="G345" s="1" t="n"/>
      <c r="H345">
        <f>IF(T_LEAVE[[#This Row],[EMPLOYEE]]="","",MATCH(T_LEAVE[[#This Row],[EMPLOYEE]],L_EMPLABELS,0))</f>
        <v/>
      </c>
      <c r="I345">
        <f>IF(T_LEAVE[[#This Row],[EMPLOYEE]]="","",MATCH(T_LEAVE[[#This Row],[LEAVE TYPE]],L_LEAVETYPES,0))</f>
        <v/>
      </c>
      <c r="J345">
        <f t="array" ref="J345">IFERROR(INDEX(T_LEAVE_TYPES[SYMBOL],T_LEAVE[[#This Row],[LEAVE TYPE SYS ID]]),"")</f>
        <v/>
      </c>
      <c r="K345">
        <f>IF(T_LEAVE[[#This Row],[EMPLOYEE]]="","",IF(T_LEAVE[[#This Row],[ERROR]]="",0,1))</f>
        <v/>
      </c>
      <c r="L345">
        <f t="array" ref="L3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6">
      <c r="A346" t="inlineStr">
        <is>
          <t>Nagarjun Naidu Mannem (1019816)</t>
        </is>
      </c>
      <c r="B346" s="15" t="inlineStr">
        <is>
          <t>Friday, 20 May 2022</t>
        </is>
      </c>
      <c r="C346" s="15" t="inlineStr">
        <is>
          <t>Friday, 20 May 2022</t>
        </is>
      </c>
      <c r="D346" t="inlineStr">
        <is>
          <t xml:space="preserve">Casual / Sick </t>
        </is>
      </c>
      <c r="E346" t="n">
        <v>1</v>
      </c>
      <c r="F346" s="1" t="n"/>
      <c r="G346" s="1" t="n"/>
      <c r="H346">
        <f>IF(T_LEAVE[[#This Row],[EMPLOYEE]]="","",MATCH(T_LEAVE[[#This Row],[EMPLOYEE]],L_EMPLABELS,0))</f>
        <v/>
      </c>
      <c r="I346">
        <f>IF(T_LEAVE[[#This Row],[EMPLOYEE]]="","",MATCH(T_LEAVE[[#This Row],[LEAVE TYPE]],L_LEAVETYPES,0))</f>
        <v/>
      </c>
      <c r="J346">
        <f t="array" ref="J346">IFERROR(INDEX(T_LEAVE_TYPES[SYMBOL],T_LEAVE[[#This Row],[LEAVE TYPE SYS ID]]),"")</f>
        <v/>
      </c>
      <c r="K346">
        <f>IF(T_LEAVE[[#This Row],[EMPLOYEE]]="","",IF(T_LEAVE[[#This Row],[ERROR]]="",0,1))</f>
        <v/>
      </c>
      <c r="L346">
        <f t="array" ref="L3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7">
      <c r="A347" t="inlineStr">
        <is>
          <t>Nagarjun Naidu Mannem (1019816)</t>
        </is>
      </c>
      <c r="B347" s="15" t="inlineStr">
        <is>
          <t>Monday, 25 April 2022</t>
        </is>
      </c>
      <c r="C347" s="15" t="inlineStr">
        <is>
          <t>Monday, 25 April 2022</t>
        </is>
      </c>
      <c r="D347" t="inlineStr">
        <is>
          <t>Privilege</t>
        </is>
      </c>
      <c r="E347" t="n">
        <v>1</v>
      </c>
      <c r="F347" s="1" t="n"/>
      <c r="G347" s="1" t="n"/>
      <c r="H347">
        <f>IF(T_LEAVE[[#This Row],[EMPLOYEE]]="","",MATCH(T_LEAVE[[#This Row],[EMPLOYEE]],L_EMPLABELS,0))</f>
        <v/>
      </c>
      <c r="I347">
        <f>IF(T_LEAVE[[#This Row],[EMPLOYEE]]="","",MATCH(T_LEAVE[[#This Row],[LEAVE TYPE]],L_LEAVETYPES,0))</f>
        <v/>
      </c>
      <c r="J347">
        <f t="array" ref="J347">IFERROR(INDEX(T_LEAVE_TYPES[SYMBOL],T_LEAVE[[#This Row],[LEAVE TYPE SYS ID]]),"")</f>
        <v/>
      </c>
      <c r="K347">
        <f>IF(T_LEAVE[[#This Row],[EMPLOYEE]]="","",IF(T_LEAVE[[#This Row],[ERROR]]="",0,1))</f>
        <v/>
      </c>
      <c r="L347">
        <f t="array" ref="L3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8">
      <c r="A348" t="inlineStr">
        <is>
          <t>Nagarjun Naidu Mannem (1019816)</t>
        </is>
      </c>
      <c r="B348" s="15" t="inlineStr">
        <is>
          <t>Thursday, 07 April 2022</t>
        </is>
      </c>
      <c r="C348" s="15" t="inlineStr">
        <is>
          <t>Friday, 08 April 2022</t>
        </is>
      </c>
      <c r="D348" t="inlineStr">
        <is>
          <t>Privilege</t>
        </is>
      </c>
      <c r="E348" t="n">
        <v>2</v>
      </c>
      <c r="F348" s="1" t="n"/>
      <c r="G348" s="1" t="n"/>
      <c r="H348">
        <f>IF(T_LEAVE[[#This Row],[EMPLOYEE]]="","",MATCH(T_LEAVE[[#This Row],[EMPLOYEE]],L_EMPLABELS,0))</f>
        <v/>
      </c>
      <c r="I348">
        <f>IF(T_LEAVE[[#This Row],[EMPLOYEE]]="","",MATCH(T_LEAVE[[#This Row],[LEAVE TYPE]],L_LEAVETYPES,0))</f>
        <v/>
      </c>
      <c r="J348">
        <f t="array" ref="J348">IFERROR(INDEX(T_LEAVE_TYPES[SYMBOL],T_LEAVE[[#This Row],[LEAVE TYPE SYS ID]]),"")</f>
        <v/>
      </c>
      <c r="K348">
        <f>IF(T_LEAVE[[#This Row],[EMPLOYEE]]="","",IF(T_LEAVE[[#This Row],[ERROR]]="",0,1))</f>
        <v/>
      </c>
      <c r="L348">
        <f t="array" ref="L3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49">
      <c r="A349" t="inlineStr">
        <is>
          <t>Nagarjun Naidu Mannem (1019816)</t>
        </is>
      </c>
      <c r="B349" s="15" t="inlineStr">
        <is>
          <t>Tuesday, 05 April 2022</t>
        </is>
      </c>
      <c r="C349" s="15" t="inlineStr">
        <is>
          <t>Tuesday, 05 April 2022</t>
        </is>
      </c>
      <c r="D349" t="inlineStr">
        <is>
          <t>Privilege</t>
        </is>
      </c>
      <c r="E349" t="n">
        <v>1</v>
      </c>
      <c r="F349" s="1" t="n"/>
      <c r="G349" s="1" t="n"/>
      <c r="H349">
        <f>IF(T_LEAVE[[#This Row],[EMPLOYEE]]="","",MATCH(T_LEAVE[[#This Row],[EMPLOYEE]],L_EMPLABELS,0))</f>
        <v/>
      </c>
      <c r="I349">
        <f>IF(T_LEAVE[[#This Row],[EMPLOYEE]]="","",MATCH(T_LEAVE[[#This Row],[LEAVE TYPE]],L_LEAVETYPES,0))</f>
        <v/>
      </c>
      <c r="J349">
        <f t="array" ref="J349">IFERROR(INDEX(T_LEAVE_TYPES[SYMBOL],T_LEAVE[[#This Row],[LEAVE TYPE SYS ID]]),"")</f>
        <v/>
      </c>
      <c r="K349">
        <f>IF(T_LEAVE[[#This Row],[EMPLOYEE]]="","",IF(T_LEAVE[[#This Row],[ERROR]]="",0,1))</f>
        <v/>
      </c>
      <c r="L349">
        <f t="array" ref="L3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0">
      <c r="A350" t="inlineStr">
        <is>
          <t>Nagarjun Naidu Mannem (1019816)</t>
        </is>
      </c>
      <c r="B350" s="15" t="inlineStr">
        <is>
          <t>Thursday, 17 February 2022</t>
        </is>
      </c>
      <c r="C350" s="15" t="inlineStr">
        <is>
          <t>Thursday, 17 February 2022</t>
        </is>
      </c>
      <c r="D350" t="inlineStr">
        <is>
          <t>Privilege</t>
        </is>
      </c>
      <c r="E350" t="n">
        <v>1</v>
      </c>
      <c r="F350" s="1" t="n"/>
      <c r="G350" s="1" t="n"/>
      <c r="H350">
        <f>IF(T_LEAVE[[#This Row],[EMPLOYEE]]="","",MATCH(T_LEAVE[[#This Row],[EMPLOYEE]],L_EMPLABELS,0))</f>
        <v/>
      </c>
      <c r="I350">
        <f>IF(T_LEAVE[[#This Row],[EMPLOYEE]]="","",MATCH(T_LEAVE[[#This Row],[LEAVE TYPE]],L_LEAVETYPES,0))</f>
        <v/>
      </c>
      <c r="J350">
        <f t="array" ref="J350">IFERROR(INDEX(T_LEAVE_TYPES[SYMBOL],T_LEAVE[[#This Row],[LEAVE TYPE SYS ID]]),"")</f>
        <v/>
      </c>
      <c r="K350">
        <f>IF(T_LEAVE[[#This Row],[EMPLOYEE]]="","",IF(T_LEAVE[[#This Row],[ERROR]]="",0,1))</f>
        <v/>
      </c>
      <c r="L350">
        <f t="array" ref="L3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1">
      <c r="A351" t="inlineStr">
        <is>
          <t>Nagarjun Naidu Mannem (1019816)</t>
        </is>
      </c>
      <c r="B351" s="15" t="inlineStr">
        <is>
          <t>Thursday, 06 January 2022</t>
        </is>
      </c>
      <c r="C351" s="15" t="inlineStr">
        <is>
          <t>Thursday, 06 January 2022</t>
        </is>
      </c>
      <c r="D351" t="inlineStr">
        <is>
          <t>Privilege</t>
        </is>
      </c>
      <c r="E351" t="n">
        <v>1</v>
      </c>
      <c r="F351" s="1" t="n"/>
      <c r="G351" s="1" t="n"/>
      <c r="H351">
        <f>IF(T_LEAVE[[#This Row],[EMPLOYEE]]="","",MATCH(T_LEAVE[[#This Row],[EMPLOYEE]],L_EMPLABELS,0))</f>
        <v/>
      </c>
      <c r="I351">
        <f>IF(T_LEAVE[[#This Row],[EMPLOYEE]]="","",MATCH(T_LEAVE[[#This Row],[LEAVE TYPE]],L_LEAVETYPES,0))</f>
        <v/>
      </c>
      <c r="J351">
        <f t="array" ref="J351">IFERROR(INDEX(T_LEAVE_TYPES[SYMBOL],T_LEAVE[[#This Row],[LEAVE TYPE SYS ID]]),"")</f>
        <v/>
      </c>
      <c r="K351">
        <f>IF(T_LEAVE[[#This Row],[EMPLOYEE]]="","",IF(T_LEAVE[[#This Row],[ERROR]]="",0,1))</f>
        <v/>
      </c>
      <c r="L351">
        <f t="array" ref="L3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2">
      <c r="A352" t="inlineStr">
        <is>
          <t>Nagarjun Naidu Mannem (1019816)</t>
        </is>
      </c>
      <c r="B352" s="15" t="inlineStr">
        <is>
          <t>Monday, 20 June 2022</t>
        </is>
      </c>
      <c r="C352" s="15" t="inlineStr">
        <is>
          <t>Monday, 20 June 2022</t>
        </is>
      </c>
      <c r="D352" t="inlineStr">
        <is>
          <t>Privilege</t>
        </is>
      </c>
      <c r="E352" t="n">
        <v>1</v>
      </c>
      <c r="F352" s="1" t="n"/>
      <c r="G352" s="1" t="n"/>
      <c r="H352">
        <f>IF(T_LEAVE[[#This Row],[EMPLOYEE]]="","",MATCH(T_LEAVE[[#This Row],[EMPLOYEE]],L_EMPLABELS,0))</f>
        <v/>
      </c>
      <c r="I352">
        <f>IF(T_LEAVE[[#This Row],[EMPLOYEE]]="","",MATCH(T_LEAVE[[#This Row],[LEAVE TYPE]],L_LEAVETYPES,0))</f>
        <v/>
      </c>
      <c r="J352">
        <f t="array" ref="J352">IFERROR(INDEX(T_LEAVE_TYPES[SYMBOL],T_LEAVE[[#This Row],[LEAVE TYPE SYS ID]]),"")</f>
        <v/>
      </c>
      <c r="K352">
        <f>IF(T_LEAVE[[#This Row],[EMPLOYEE]]="","",IF(T_LEAVE[[#This Row],[ERROR]]="",0,1))</f>
        <v/>
      </c>
      <c r="L352">
        <f t="array" ref="L3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3">
      <c r="A353" t="inlineStr">
        <is>
          <t>Nagarjun Naidu Mannem (1019816)</t>
        </is>
      </c>
      <c r="B353" s="15" t="inlineStr">
        <is>
          <t>Friday, 03 June 2022</t>
        </is>
      </c>
      <c r="C353" s="15" t="inlineStr">
        <is>
          <t>Friday, 03 June 2022</t>
        </is>
      </c>
      <c r="D353" t="inlineStr">
        <is>
          <t xml:space="preserve">Casual / Sick </t>
        </is>
      </c>
      <c r="E353" t="n">
        <v>1</v>
      </c>
      <c r="F353" s="1" t="n"/>
      <c r="G353" s="1" t="n"/>
      <c r="H353">
        <f>IF(T_LEAVE[[#This Row],[EMPLOYEE]]="","",MATCH(T_LEAVE[[#This Row],[EMPLOYEE]],L_EMPLABELS,0))</f>
        <v/>
      </c>
      <c r="I353">
        <f>IF(T_LEAVE[[#This Row],[EMPLOYEE]]="","",MATCH(T_LEAVE[[#This Row],[LEAVE TYPE]],L_LEAVETYPES,0))</f>
        <v/>
      </c>
      <c r="J353">
        <f t="array" ref="J353">IFERROR(INDEX(T_LEAVE_TYPES[SYMBOL],T_LEAVE[[#This Row],[LEAVE TYPE SYS ID]]),"")</f>
        <v/>
      </c>
      <c r="K353">
        <f>IF(T_LEAVE[[#This Row],[EMPLOYEE]]="","",IF(T_LEAVE[[#This Row],[ERROR]]="",0,1))</f>
        <v/>
      </c>
      <c r="L353">
        <f t="array" ref="L3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4">
      <c r="A354" t="inlineStr">
        <is>
          <t>Shashi Kumar D (1028007)</t>
        </is>
      </c>
      <c r="B354" s="15" t="inlineStr">
        <is>
          <t>Wednesday, 15 June 2022</t>
        </is>
      </c>
      <c r="C354" s="15" t="inlineStr">
        <is>
          <t>Wednesday, 15 June 2022</t>
        </is>
      </c>
      <c r="D354" t="inlineStr">
        <is>
          <t>Privilege</t>
        </is>
      </c>
      <c r="E354" t="n">
        <v>1</v>
      </c>
      <c r="F354" s="1" t="n"/>
      <c r="G354" s="1" t="n"/>
      <c r="H354">
        <f>IF(T_LEAVE[[#This Row],[EMPLOYEE]]="","",MATCH(T_LEAVE[[#This Row],[EMPLOYEE]],L_EMPLABELS,0))</f>
        <v/>
      </c>
      <c r="I354">
        <f>IF(T_LEAVE[[#This Row],[EMPLOYEE]]="","",MATCH(T_LEAVE[[#This Row],[LEAVE TYPE]],L_LEAVETYPES,0))</f>
        <v/>
      </c>
      <c r="J354">
        <f t="array" ref="J354">IFERROR(INDEX(T_LEAVE_TYPES[SYMBOL],T_LEAVE[[#This Row],[LEAVE TYPE SYS ID]]),"")</f>
        <v/>
      </c>
      <c r="K354">
        <f>IF(T_LEAVE[[#This Row],[EMPLOYEE]]="","",IF(T_LEAVE[[#This Row],[ERROR]]="",0,1))</f>
        <v/>
      </c>
      <c r="L354">
        <f t="array" ref="L3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5">
      <c r="A355" t="inlineStr">
        <is>
          <t>Katakam Vijaykumar (1017149)</t>
        </is>
      </c>
      <c r="B355" s="15" t="inlineStr">
        <is>
          <t>Monday, 31 October 2022</t>
        </is>
      </c>
      <c r="C355" s="15" t="inlineStr">
        <is>
          <t>Monday, 31 October 2022</t>
        </is>
      </c>
      <c r="D355" t="inlineStr">
        <is>
          <t>Privilege</t>
        </is>
      </c>
      <c r="E355" t="n">
        <v>1</v>
      </c>
      <c r="F355" s="1" t="n"/>
      <c r="G355" s="1" t="n"/>
      <c r="H355">
        <f>IF(T_LEAVE[[#This Row],[EMPLOYEE]]="","",MATCH(T_LEAVE[[#This Row],[EMPLOYEE]],L_EMPLABELS,0))</f>
        <v/>
      </c>
      <c r="I355">
        <f>IF(T_LEAVE[[#This Row],[EMPLOYEE]]="","",MATCH(T_LEAVE[[#This Row],[LEAVE TYPE]],L_LEAVETYPES,0))</f>
        <v/>
      </c>
      <c r="J355">
        <f t="array" ref="J355">IFERROR(INDEX(T_LEAVE_TYPES[SYMBOL],T_LEAVE[[#This Row],[LEAVE TYPE SYS ID]]),"")</f>
        <v/>
      </c>
      <c r="K355">
        <f>IF(T_LEAVE[[#This Row],[EMPLOYEE]]="","",IF(T_LEAVE[[#This Row],[ERROR]]="",0,1))</f>
        <v/>
      </c>
      <c r="L355">
        <f t="array" ref="L3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6">
      <c r="A356" t="inlineStr">
        <is>
          <t>Rajesh Kumar M (1027422)</t>
        </is>
      </c>
      <c r="B356" s="15" t="inlineStr">
        <is>
          <t>Monday, 13 June 2022</t>
        </is>
      </c>
      <c r="C356" s="15" t="inlineStr">
        <is>
          <t>Monday, 13 June 2022</t>
        </is>
      </c>
      <c r="D356" t="inlineStr">
        <is>
          <t xml:space="preserve">Casual / Sick </t>
        </is>
      </c>
      <c r="E356" t="n">
        <v>1</v>
      </c>
      <c r="F356" s="1" t="n"/>
      <c r="G356" s="1" t="n"/>
      <c r="H356">
        <f>IF(T_LEAVE[[#This Row],[EMPLOYEE]]="","",MATCH(T_LEAVE[[#This Row],[EMPLOYEE]],L_EMPLABELS,0))</f>
        <v/>
      </c>
      <c r="I356">
        <f>IF(T_LEAVE[[#This Row],[EMPLOYEE]]="","",MATCH(T_LEAVE[[#This Row],[LEAVE TYPE]],L_LEAVETYPES,0))</f>
        <v/>
      </c>
      <c r="J356">
        <f t="array" ref="J356">IFERROR(INDEX(T_LEAVE_TYPES[SYMBOL],T_LEAVE[[#This Row],[LEAVE TYPE SYS ID]]),"")</f>
        <v/>
      </c>
      <c r="K356">
        <f>IF(T_LEAVE[[#This Row],[EMPLOYEE]]="","",IF(T_LEAVE[[#This Row],[ERROR]]="",0,1))</f>
        <v/>
      </c>
      <c r="L356">
        <f t="array" ref="L3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7">
      <c r="A357" t="inlineStr">
        <is>
          <t>Katakam Vijaykumar (1017149)</t>
        </is>
      </c>
      <c r="B357" s="15" t="inlineStr">
        <is>
          <t>Thursday, 27 October 2022</t>
        </is>
      </c>
      <c r="C357" s="15" t="inlineStr">
        <is>
          <t>Thursday, 27 October 2022</t>
        </is>
      </c>
      <c r="D357" t="inlineStr">
        <is>
          <t xml:space="preserve">Casual / Sick </t>
        </is>
      </c>
      <c r="E357" t="n">
        <v>1</v>
      </c>
      <c r="F357" s="1" t="n"/>
      <c r="G357" s="1" t="n"/>
      <c r="H357">
        <f>IF(T_LEAVE[[#This Row],[EMPLOYEE]]="","",MATCH(T_LEAVE[[#This Row],[EMPLOYEE]],L_EMPLABELS,0))</f>
        <v/>
      </c>
      <c r="I357">
        <f>IF(T_LEAVE[[#This Row],[EMPLOYEE]]="","",MATCH(T_LEAVE[[#This Row],[LEAVE TYPE]],L_LEAVETYPES,0))</f>
        <v/>
      </c>
      <c r="J357">
        <f t="array" ref="J357">IFERROR(INDEX(T_LEAVE_TYPES[SYMBOL],T_LEAVE[[#This Row],[LEAVE TYPE SYS ID]]),"")</f>
        <v/>
      </c>
      <c r="K357">
        <f>IF(T_LEAVE[[#This Row],[EMPLOYEE]]="","",IF(T_LEAVE[[#This Row],[ERROR]]="",0,1))</f>
        <v/>
      </c>
      <c r="L357">
        <f t="array" ref="L3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8">
      <c r="A358" t="inlineStr">
        <is>
          <t>Shashi Kumar D (1028007)</t>
        </is>
      </c>
      <c r="B358" s="15" t="inlineStr">
        <is>
          <t>Tuesday, 26 April 2022</t>
        </is>
      </c>
      <c r="C358" s="15" t="inlineStr">
        <is>
          <t>Wednesday, 27 April 2022</t>
        </is>
      </c>
      <c r="D358" t="inlineStr">
        <is>
          <t xml:space="preserve">Casual / Sick </t>
        </is>
      </c>
      <c r="E358" t="n">
        <v>2</v>
      </c>
      <c r="F358" s="1" t="n"/>
      <c r="G358" s="1" t="n"/>
      <c r="H358">
        <f>IF(T_LEAVE[[#This Row],[EMPLOYEE]]="","",MATCH(T_LEAVE[[#This Row],[EMPLOYEE]],L_EMPLABELS,0))</f>
        <v/>
      </c>
      <c r="I358">
        <f>IF(T_LEAVE[[#This Row],[EMPLOYEE]]="","",MATCH(T_LEAVE[[#This Row],[LEAVE TYPE]],L_LEAVETYPES,0))</f>
        <v/>
      </c>
      <c r="J358">
        <f t="array" ref="J358">IFERROR(INDEX(T_LEAVE_TYPES[SYMBOL],T_LEAVE[[#This Row],[LEAVE TYPE SYS ID]]),"")</f>
        <v/>
      </c>
      <c r="K358">
        <f>IF(T_LEAVE[[#This Row],[EMPLOYEE]]="","",IF(T_LEAVE[[#This Row],[ERROR]]="",0,1))</f>
        <v/>
      </c>
      <c r="L358">
        <f t="array" ref="L3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59">
      <c r="A359" t="inlineStr">
        <is>
          <t>Rajesh Kumar M (1027422)</t>
        </is>
      </c>
      <c r="B359" s="15" t="inlineStr">
        <is>
          <t>Thursday, 14 April 2022</t>
        </is>
      </c>
      <c r="C359" s="15" t="inlineStr">
        <is>
          <t>Thursday, 14 April 2022</t>
        </is>
      </c>
      <c r="D359" t="inlineStr">
        <is>
          <t xml:space="preserve">Casual / Sick </t>
        </is>
      </c>
      <c r="E359" t="n">
        <v>1</v>
      </c>
      <c r="F359" s="1" t="n"/>
      <c r="G359" s="1" t="n"/>
      <c r="H359">
        <f>IF(T_LEAVE[[#This Row],[EMPLOYEE]]="","",MATCH(T_LEAVE[[#This Row],[EMPLOYEE]],L_EMPLABELS,0))</f>
        <v/>
      </c>
      <c r="I359">
        <f>IF(T_LEAVE[[#This Row],[EMPLOYEE]]="","",MATCH(T_LEAVE[[#This Row],[LEAVE TYPE]],L_LEAVETYPES,0))</f>
        <v/>
      </c>
      <c r="J359">
        <f t="array" ref="J359">IFERROR(INDEX(T_LEAVE_TYPES[SYMBOL],T_LEAVE[[#This Row],[LEAVE TYPE SYS ID]]),"")</f>
        <v/>
      </c>
      <c r="K359">
        <f>IF(T_LEAVE[[#This Row],[EMPLOYEE]]="","",IF(T_LEAVE[[#This Row],[ERROR]]="",0,1))</f>
        <v/>
      </c>
      <c r="L359">
        <f t="array" ref="L3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0">
      <c r="A360" t="inlineStr">
        <is>
          <t>Shashi Kumar D (1028007)</t>
        </is>
      </c>
      <c r="B360" s="15" t="inlineStr">
        <is>
          <t>Friday, 18 March 2022</t>
        </is>
      </c>
      <c r="C360" s="15" t="inlineStr">
        <is>
          <t>Friday, 18 March 2022</t>
        </is>
      </c>
      <c r="D360" t="inlineStr">
        <is>
          <t xml:space="preserve">Casual / Sick </t>
        </is>
      </c>
      <c r="E360" t="n">
        <v>1</v>
      </c>
      <c r="F360" s="1" t="n"/>
      <c r="G360" s="1" t="n"/>
      <c r="H360">
        <f>IF(T_LEAVE[[#This Row],[EMPLOYEE]]="","",MATCH(T_LEAVE[[#This Row],[EMPLOYEE]],L_EMPLABELS,0))</f>
        <v/>
      </c>
      <c r="I360">
        <f>IF(T_LEAVE[[#This Row],[EMPLOYEE]]="","",MATCH(T_LEAVE[[#This Row],[LEAVE TYPE]],L_LEAVETYPES,0))</f>
        <v/>
      </c>
      <c r="J360">
        <f t="array" ref="J360">IFERROR(INDEX(T_LEAVE_TYPES[SYMBOL],T_LEAVE[[#This Row],[LEAVE TYPE SYS ID]]),"")</f>
        <v/>
      </c>
      <c r="K360">
        <f>IF(T_LEAVE[[#This Row],[EMPLOYEE]]="","",IF(T_LEAVE[[#This Row],[ERROR]]="",0,1))</f>
        <v/>
      </c>
      <c r="L360">
        <f t="array" ref="L3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1">
      <c r="A361" t="inlineStr">
        <is>
          <t>Nagarjun Naidu Mannem (1019816)</t>
        </is>
      </c>
      <c r="B361" s="15" t="inlineStr">
        <is>
          <t>Wednesday, 02 March 2022</t>
        </is>
      </c>
      <c r="C361" s="15" t="inlineStr">
        <is>
          <t>Wednesday, 02 March 2022</t>
        </is>
      </c>
      <c r="D361" t="inlineStr">
        <is>
          <t xml:space="preserve">Casual / Sick </t>
        </is>
      </c>
      <c r="E361" t="n">
        <v>1</v>
      </c>
      <c r="F361" s="1" t="n"/>
      <c r="G361" s="1" t="n"/>
      <c r="H361">
        <f>IF(T_LEAVE[[#This Row],[EMPLOYEE]]="","",MATCH(T_LEAVE[[#This Row],[EMPLOYEE]],L_EMPLABELS,0))</f>
        <v/>
      </c>
      <c r="I361">
        <f>IF(T_LEAVE[[#This Row],[EMPLOYEE]]="","",MATCH(T_LEAVE[[#This Row],[LEAVE TYPE]],L_LEAVETYPES,0))</f>
        <v/>
      </c>
      <c r="J361">
        <f t="array" ref="J361">IFERROR(INDEX(T_LEAVE_TYPES[SYMBOL],T_LEAVE[[#This Row],[LEAVE TYPE SYS ID]]),"")</f>
        <v/>
      </c>
      <c r="K361">
        <f>IF(T_LEAVE[[#This Row],[EMPLOYEE]]="","",IF(T_LEAVE[[#This Row],[ERROR]]="",0,1))</f>
        <v/>
      </c>
      <c r="L361">
        <f t="array" ref="L3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2">
      <c r="A362" t="inlineStr">
        <is>
          <t>Shashi Kumar D (1028007)</t>
        </is>
      </c>
      <c r="B362" s="15" t="inlineStr">
        <is>
          <t>Monday, 28 February 2022</t>
        </is>
      </c>
      <c r="C362" s="15" t="inlineStr">
        <is>
          <t>Monday, 28 February 2022</t>
        </is>
      </c>
      <c r="D362" t="inlineStr">
        <is>
          <t xml:space="preserve">Casual / Sick </t>
        </is>
      </c>
      <c r="E362" t="n">
        <v>1</v>
      </c>
      <c r="F362" s="1" t="n"/>
      <c r="G362" s="1" t="n"/>
      <c r="H362">
        <f>IF(T_LEAVE[[#This Row],[EMPLOYEE]]="","",MATCH(T_LEAVE[[#This Row],[EMPLOYEE]],L_EMPLABELS,0))</f>
        <v/>
      </c>
      <c r="I362">
        <f>IF(T_LEAVE[[#This Row],[EMPLOYEE]]="","",MATCH(T_LEAVE[[#This Row],[LEAVE TYPE]],L_LEAVETYPES,0))</f>
        <v/>
      </c>
      <c r="J362">
        <f t="array" ref="J362">IFERROR(INDEX(T_LEAVE_TYPES[SYMBOL],T_LEAVE[[#This Row],[LEAVE TYPE SYS ID]]),"")</f>
        <v/>
      </c>
      <c r="K362">
        <f>IF(T_LEAVE[[#This Row],[EMPLOYEE]]="","",IF(T_LEAVE[[#This Row],[ERROR]]="",0,1))</f>
        <v/>
      </c>
      <c r="L362">
        <f t="array" ref="L3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3">
      <c r="A363" t="inlineStr">
        <is>
          <t>Katakam Vijaykumar (1017149)</t>
        </is>
      </c>
      <c r="B363" s="15" t="inlineStr">
        <is>
          <t>Tuesday, 01 December 2020</t>
        </is>
      </c>
      <c r="C363" s="15" t="inlineStr">
        <is>
          <t>Monday, 07 December 2020</t>
        </is>
      </c>
      <c r="D363" t="inlineStr">
        <is>
          <t>Privilege</t>
        </is>
      </c>
      <c r="E363" t="n">
        <v>5</v>
      </c>
      <c r="F363" s="1" t="n"/>
      <c r="G363" s="1" t="n"/>
      <c r="H363">
        <f>IF(T_LEAVE[[#This Row],[EMPLOYEE]]="","",MATCH(T_LEAVE[[#This Row],[EMPLOYEE]],L_EMPLABELS,0))</f>
        <v/>
      </c>
      <c r="I363">
        <f>IF(T_LEAVE[[#This Row],[EMPLOYEE]]="","",MATCH(T_LEAVE[[#This Row],[LEAVE TYPE]],L_LEAVETYPES,0))</f>
        <v/>
      </c>
      <c r="J363">
        <f t="array" ref="J363">IFERROR(INDEX(T_LEAVE_TYPES[SYMBOL],T_LEAVE[[#This Row],[LEAVE TYPE SYS ID]]),"")</f>
        <v/>
      </c>
      <c r="K363">
        <f>IF(T_LEAVE[[#This Row],[EMPLOYEE]]="","",IF(T_LEAVE[[#This Row],[ERROR]]="",0,1))</f>
        <v/>
      </c>
      <c r="L363">
        <f t="array" ref="L3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4">
      <c r="A364" t="inlineStr">
        <is>
          <t>Poothi Reddy Niranjan Reddy  (1024413)</t>
        </is>
      </c>
      <c r="B364" s="15" t="inlineStr">
        <is>
          <t>Wednesday, 22 November 2023</t>
        </is>
      </c>
      <c r="C364" s="15" t="inlineStr">
        <is>
          <t>Wednesday, 22 November 2023</t>
        </is>
      </c>
      <c r="D364" t="inlineStr">
        <is>
          <t xml:space="preserve">Casual / Sick </t>
        </is>
      </c>
      <c r="E364" t="n">
        <v>1</v>
      </c>
      <c r="F364" s="1" t="n"/>
      <c r="G364" s="1" t="n"/>
      <c r="H364">
        <f>IF(T_LEAVE[[#This Row],[EMPLOYEE]]="","",MATCH(T_LEAVE[[#This Row],[EMPLOYEE]],L_EMPLABELS,0))</f>
        <v/>
      </c>
      <c r="I364">
        <f>IF(T_LEAVE[[#This Row],[EMPLOYEE]]="","",MATCH(T_LEAVE[[#This Row],[LEAVE TYPE]],L_LEAVETYPES,0))</f>
        <v/>
      </c>
      <c r="J364">
        <f t="array" ref="J364">IFERROR(INDEX(T_LEAVE_TYPES[SYMBOL],T_LEAVE[[#This Row],[LEAVE TYPE SYS ID]]),"")</f>
        <v/>
      </c>
      <c r="K364">
        <f>IF(T_LEAVE[[#This Row],[EMPLOYEE]]="","",IF(T_LEAVE[[#This Row],[ERROR]]="",0,1))</f>
        <v/>
      </c>
      <c r="L364">
        <f t="array" ref="L3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5">
      <c r="A365" t="inlineStr">
        <is>
          <t>Poothi Reddy Niranjan Reddy  (1024413)</t>
        </is>
      </c>
      <c r="B365" s="15" t="inlineStr">
        <is>
          <t>Monday, 27 November 2023</t>
        </is>
      </c>
      <c r="C365" s="15" t="inlineStr">
        <is>
          <t>Monday, 27 November 2023</t>
        </is>
      </c>
      <c r="D365" t="inlineStr">
        <is>
          <t>Privilege</t>
        </is>
      </c>
      <c r="E365" t="n">
        <v>1</v>
      </c>
      <c r="F365" s="1" t="n"/>
      <c r="G365" s="1" t="n"/>
      <c r="H365">
        <f>IF(T_LEAVE[[#This Row],[EMPLOYEE]]="","",MATCH(T_LEAVE[[#This Row],[EMPLOYEE]],L_EMPLABELS,0))</f>
        <v/>
      </c>
      <c r="I365">
        <f>IF(T_LEAVE[[#This Row],[EMPLOYEE]]="","",MATCH(T_LEAVE[[#This Row],[LEAVE TYPE]],L_LEAVETYPES,0))</f>
        <v/>
      </c>
      <c r="J365">
        <f t="array" ref="J365">IFERROR(INDEX(T_LEAVE_TYPES[SYMBOL],T_LEAVE[[#This Row],[LEAVE TYPE SYS ID]]),"")</f>
        <v/>
      </c>
      <c r="K365">
        <f>IF(T_LEAVE[[#This Row],[EMPLOYEE]]="","",IF(T_LEAVE[[#This Row],[ERROR]]="",0,1))</f>
        <v/>
      </c>
      <c r="L365">
        <f t="array" ref="L3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6">
      <c r="A366" t="inlineStr">
        <is>
          <t>Rajesh Kumar M (1027422)</t>
        </is>
      </c>
      <c r="B366" s="15" t="inlineStr">
        <is>
          <t>Monday, 20 December 2021</t>
        </is>
      </c>
      <c r="C366" s="15" t="inlineStr">
        <is>
          <t>Monday, 20 December 2021</t>
        </is>
      </c>
      <c r="D366" t="inlineStr">
        <is>
          <t xml:space="preserve">Casual / Sick </t>
        </is>
      </c>
      <c r="E366" t="n">
        <v>1</v>
      </c>
      <c r="F366" s="1" t="n"/>
      <c r="G366" s="1" t="n"/>
      <c r="H366">
        <f>IF(T_LEAVE[[#This Row],[EMPLOYEE]]="","",MATCH(T_LEAVE[[#This Row],[EMPLOYEE]],L_EMPLABELS,0))</f>
        <v/>
      </c>
      <c r="I366">
        <f>IF(T_LEAVE[[#This Row],[EMPLOYEE]]="","",MATCH(T_LEAVE[[#This Row],[LEAVE TYPE]],L_LEAVETYPES,0))</f>
        <v/>
      </c>
      <c r="J366">
        <f t="array" ref="J366">IFERROR(INDEX(T_LEAVE_TYPES[SYMBOL],T_LEAVE[[#This Row],[LEAVE TYPE SYS ID]]),"")</f>
        <v/>
      </c>
      <c r="K366">
        <f>IF(T_LEAVE[[#This Row],[EMPLOYEE]]="","",IF(T_LEAVE[[#This Row],[ERROR]]="",0,1))</f>
        <v/>
      </c>
      <c r="L366">
        <f t="array" ref="L3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7">
      <c r="A367" t="inlineStr">
        <is>
          <t>Poothi Reddy Niranjan Reddy  (1024413)</t>
        </is>
      </c>
      <c r="B367" s="15" t="inlineStr">
        <is>
          <t>Thursday, 21 September 2023</t>
        </is>
      </c>
      <c r="C367" s="15" t="inlineStr">
        <is>
          <t>Thursday, 21 September 2023</t>
        </is>
      </c>
      <c r="D367" t="inlineStr">
        <is>
          <t xml:space="preserve">Casual / Sick </t>
        </is>
      </c>
      <c r="E367" t="n">
        <v>1</v>
      </c>
      <c r="F367" s="1" t="n"/>
      <c r="G367" s="1" t="n"/>
      <c r="H367">
        <f>IF(T_LEAVE[[#This Row],[EMPLOYEE]]="","",MATCH(T_LEAVE[[#This Row],[EMPLOYEE]],L_EMPLABELS,0))</f>
        <v/>
      </c>
      <c r="I367">
        <f>IF(T_LEAVE[[#This Row],[EMPLOYEE]]="","",MATCH(T_LEAVE[[#This Row],[LEAVE TYPE]],L_LEAVETYPES,0))</f>
        <v/>
      </c>
      <c r="J367">
        <f t="array" ref="J367">IFERROR(INDEX(T_LEAVE_TYPES[SYMBOL],T_LEAVE[[#This Row],[LEAVE TYPE SYS ID]]),"")</f>
        <v/>
      </c>
      <c r="K367">
        <f>IF(T_LEAVE[[#This Row],[EMPLOYEE]]="","",IF(T_LEAVE[[#This Row],[ERROR]]="",0,1))</f>
        <v/>
      </c>
      <c r="L367">
        <f t="array" ref="L3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8">
      <c r="A368" t="inlineStr">
        <is>
          <t>Poothi Reddy Niranjan Reddy  (1024413)</t>
        </is>
      </c>
      <c r="B368" s="15" t="inlineStr">
        <is>
          <t>Monday, 04 September 2023</t>
        </is>
      </c>
      <c r="C368" s="15" t="inlineStr">
        <is>
          <t>Monday, 04 September 2023</t>
        </is>
      </c>
      <c r="D368" t="inlineStr">
        <is>
          <t xml:space="preserve">Casual / Sick </t>
        </is>
      </c>
      <c r="E368" t="n">
        <v>1</v>
      </c>
      <c r="F368" s="1" t="n"/>
      <c r="G368" s="1" t="n"/>
      <c r="H368">
        <f>IF(T_LEAVE[[#This Row],[EMPLOYEE]]="","",MATCH(T_LEAVE[[#This Row],[EMPLOYEE]],L_EMPLABELS,0))</f>
        <v/>
      </c>
      <c r="I368">
        <f>IF(T_LEAVE[[#This Row],[EMPLOYEE]]="","",MATCH(T_LEAVE[[#This Row],[LEAVE TYPE]],L_LEAVETYPES,0))</f>
        <v/>
      </c>
      <c r="J368">
        <f t="array" ref="J368">IFERROR(INDEX(T_LEAVE_TYPES[SYMBOL],T_LEAVE[[#This Row],[LEAVE TYPE SYS ID]]),"")</f>
        <v/>
      </c>
      <c r="K368">
        <f>IF(T_LEAVE[[#This Row],[EMPLOYEE]]="","",IF(T_LEAVE[[#This Row],[ERROR]]="",0,1))</f>
        <v/>
      </c>
      <c r="L368">
        <f t="array" ref="L3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69">
      <c r="A369" t="inlineStr">
        <is>
          <t>Poothi Reddy Niranjan Reddy  (1024413)</t>
        </is>
      </c>
      <c r="B369" s="15" t="inlineStr">
        <is>
          <t>Friday, 30 June 2023</t>
        </is>
      </c>
      <c r="C369" s="15" t="inlineStr">
        <is>
          <t>Friday, 30 June 2023</t>
        </is>
      </c>
      <c r="D369" t="inlineStr">
        <is>
          <t xml:space="preserve">Casual / Sick </t>
        </is>
      </c>
      <c r="E369" t="n">
        <v>1</v>
      </c>
      <c r="F369" s="1" t="n"/>
      <c r="G369" s="1" t="n"/>
      <c r="H369">
        <f>IF(T_LEAVE[[#This Row],[EMPLOYEE]]="","",MATCH(T_LEAVE[[#This Row],[EMPLOYEE]],L_EMPLABELS,0))</f>
        <v/>
      </c>
      <c r="I369">
        <f>IF(T_LEAVE[[#This Row],[EMPLOYEE]]="","",MATCH(T_LEAVE[[#This Row],[LEAVE TYPE]],L_LEAVETYPES,0))</f>
        <v/>
      </c>
      <c r="J369">
        <f t="array" ref="J369">IFERROR(INDEX(T_LEAVE_TYPES[SYMBOL],T_LEAVE[[#This Row],[LEAVE TYPE SYS ID]]),"")</f>
        <v/>
      </c>
      <c r="K369">
        <f>IF(T_LEAVE[[#This Row],[EMPLOYEE]]="","",IF(T_LEAVE[[#This Row],[ERROR]]="",0,1))</f>
        <v/>
      </c>
      <c r="L369">
        <f t="array" ref="L3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0">
      <c r="A370" t="inlineStr">
        <is>
          <t>Poothi Reddy Niranjan Reddy  (1024413)</t>
        </is>
      </c>
      <c r="B370" s="15" t="inlineStr">
        <is>
          <t>Wednesday, 21 June 2023</t>
        </is>
      </c>
      <c r="C370" s="15" t="inlineStr">
        <is>
          <t>Wednesday, 21 June 2023</t>
        </is>
      </c>
      <c r="D370" t="inlineStr">
        <is>
          <t xml:space="preserve">Casual / Sick </t>
        </is>
      </c>
      <c r="E370" t="n">
        <v>1</v>
      </c>
      <c r="F370" s="1" t="n"/>
      <c r="G370" s="1" t="n"/>
      <c r="H370">
        <f>IF(T_LEAVE[[#This Row],[EMPLOYEE]]="","",MATCH(T_LEAVE[[#This Row],[EMPLOYEE]],L_EMPLABELS,0))</f>
        <v/>
      </c>
      <c r="I370">
        <f>IF(T_LEAVE[[#This Row],[EMPLOYEE]]="","",MATCH(T_LEAVE[[#This Row],[LEAVE TYPE]],L_LEAVETYPES,0))</f>
        <v/>
      </c>
      <c r="J370">
        <f t="array" ref="J370">IFERROR(INDEX(T_LEAVE_TYPES[SYMBOL],T_LEAVE[[#This Row],[LEAVE TYPE SYS ID]]),"")</f>
        <v/>
      </c>
      <c r="K370">
        <f>IF(T_LEAVE[[#This Row],[EMPLOYEE]]="","",IF(T_LEAVE[[#This Row],[ERROR]]="",0,1))</f>
        <v/>
      </c>
      <c r="L370">
        <f t="array" ref="L3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1">
      <c r="A371" t="inlineStr">
        <is>
          <t>Poothi Reddy Niranjan Reddy  (1024413)</t>
        </is>
      </c>
      <c r="B371" s="15" t="inlineStr">
        <is>
          <t>Wednesday, 31 May 2023</t>
        </is>
      </c>
      <c r="C371" s="15" t="inlineStr">
        <is>
          <t>Wednesday, 31 May 2023</t>
        </is>
      </c>
      <c r="D371" t="inlineStr">
        <is>
          <t>Privilege</t>
        </is>
      </c>
      <c r="E371" t="n">
        <v>1</v>
      </c>
      <c r="F371" s="1" t="n"/>
      <c r="G371" s="1" t="n"/>
      <c r="H371">
        <f>IF(T_LEAVE[[#This Row],[EMPLOYEE]]="","",MATCH(T_LEAVE[[#This Row],[EMPLOYEE]],L_EMPLABELS,0))</f>
        <v/>
      </c>
      <c r="I371">
        <f>IF(T_LEAVE[[#This Row],[EMPLOYEE]]="","",MATCH(T_LEAVE[[#This Row],[LEAVE TYPE]],L_LEAVETYPES,0))</f>
        <v/>
      </c>
      <c r="J371">
        <f t="array" ref="J371">IFERROR(INDEX(T_LEAVE_TYPES[SYMBOL],T_LEAVE[[#This Row],[LEAVE TYPE SYS ID]]),"")</f>
        <v/>
      </c>
      <c r="K371">
        <f>IF(T_LEAVE[[#This Row],[EMPLOYEE]]="","",IF(T_LEAVE[[#This Row],[ERROR]]="",0,1))</f>
        <v/>
      </c>
      <c r="L371">
        <f t="array" ref="L3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2">
      <c r="A372" t="inlineStr">
        <is>
          <t>Poothi Reddy Niranjan Reddy  (1024413)</t>
        </is>
      </c>
      <c r="B372" s="15" t="inlineStr">
        <is>
          <t>Friday, 31 March 2023</t>
        </is>
      </c>
      <c r="C372" s="15" t="inlineStr">
        <is>
          <t>Friday, 31 March 2023</t>
        </is>
      </c>
      <c r="D372" t="inlineStr">
        <is>
          <t xml:space="preserve">Casual / Sick </t>
        </is>
      </c>
      <c r="E372" t="n">
        <v>1</v>
      </c>
      <c r="F372" s="1" t="n"/>
      <c r="G372" s="1" t="n"/>
      <c r="H372">
        <f>IF(T_LEAVE[[#This Row],[EMPLOYEE]]="","",MATCH(T_LEAVE[[#This Row],[EMPLOYEE]],L_EMPLABELS,0))</f>
        <v/>
      </c>
      <c r="I372">
        <f>IF(T_LEAVE[[#This Row],[EMPLOYEE]]="","",MATCH(T_LEAVE[[#This Row],[LEAVE TYPE]],L_LEAVETYPES,0))</f>
        <v/>
      </c>
      <c r="J372">
        <f t="array" ref="J372">IFERROR(INDEX(T_LEAVE_TYPES[SYMBOL],T_LEAVE[[#This Row],[LEAVE TYPE SYS ID]]),"")</f>
        <v/>
      </c>
      <c r="K372">
        <f>IF(T_LEAVE[[#This Row],[EMPLOYEE]]="","",IF(T_LEAVE[[#This Row],[ERROR]]="",0,1))</f>
        <v/>
      </c>
      <c r="L372">
        <f t="array" ref="L3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3">
      <c r="A373" t="inlineStr">
        <is>
          <t>Poothi Reddy Niranjan Reddy  (1024413)</t>
        </is>
      </c>
      <c r="B373" s="15" t="inlineStr">
        <is>
          <t>Wednesday, 15 February 2023</t>
        </is>
      </c>
      <c r="C373" s="15" t="inlineStr">
        <is>
          <t>Wednesday, 15 February 2023</t>
        </is>
      </c>
      <c r="D373" t="inlineStr">
        <is>
          <t xml:space="preserve">Casual / Sick </t>
        </is>
      </c>
      <c r="E373" t="n">
        <v>1</v>
      </c>
      <c r="F373" s="1" t="n"/>
      <c r="G373" s="1" t="n"/>
      <c r="H373">
        <f>IF(T_LEAVE[[#This Row],[EMPLOYEE]]="","",MATCH(T_LEAVE[[#This Row],[EMPLOYEE]],L_EMPLABELS,0))</f>
        <v/>
      </c>
      <c r="I373">
        <f>IF(T_LEAVE[[#This Row],[EMPLOYEE]]="","",MATCH(T_LEAVE[[#This Row],[LEAVE TYPE]],L_LEAVETYPES,0))</f>
        <v/>
      </c>
      <c r="J373">
        <f t="array" ref="J373">IFERROR(INDEX(T_LEAVE_TYPES[SYMBOL],T_LEAVE[[#This Row],[LEAVE TYPE SYS ID]]),"")</f>
        <v/>
      </c>
      <c r="K373">
        <f>IF(T_LEAVE[[#This Row],[EMPLOYEE]]="","",IF(T_LEAVE[[#This Row],[ERROR]]="",0,1))</f>
        <v/>
      </c>
      <c r="L373">
        <f t="array" ref="L3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4">
      <c r="A374" t="inlineStr">
        <is>
          <t>Poothi Reddy Niranjan Reddy  (1024413)</t>
        </is>
      </c>
      <c r="B374" s="15" t="inlineStr">
        <is>
          <t>Wednesday, 01 February 2023</t>
        </is>
      </c>
      <c r="C374" s="15" t="inlineStr">
        <is>
          <t>Wednesday, 01 February 2023</t>
        </is>
      </c>
      <c r="D374" t="inlineStr">
        <is>
          <t xml:space="preserve">Casual / Sick </t>
        </is>
      </c>
      <c r="E374" t="n">
        <v>1</v>
      </c>
      <c r="F374" s="1" t="n"/>
      <c r="G374" s="1" t="n"/>
      <c r="H374">
        <f>IF(T_LEAVE[[#This Row],[EMPLOYEE]]="","",MATCH(T_LEAVE[[#This Row],[EMPLOYEE]],L_EMPLABELS,0))</f>
        <v/>
      </c>
      <c r="I374">
        <f>IF(T_LEAVE[[#This Row],[EMPLOYEE]]="","",MATCH(T_LEAVE[[#This Row],[LEAVE TYPE]],L_LEAVETYPES,0))</f>
        <v/>
      </c>
      <c r="J374">
        <f t="array" ref="J374">IFERROR(INDEX(T_LEAVE_TYPES[SYMBOL],T_LEAVE[[#This Row],[LEAVE TYPE SYS ID]]),"")</f>
        <v/>
      </c>
      <c r="K374">
        <f>IF(T_LEAVE[[#This Row],[EMPLOYEE]]="","",IF(T_LEAVE[[#This Row],[ERROR]]="",0,1))</f>
        <v/>
      </c>
      <c r="L374">
        <f t="array" ref="L3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5">
      <c r="A375" t="inlineStr">
        <is>
          <t>Poothi Reddy Niranjan Reddy  (1024413)</t>
        </is>
      </c>
      <c r="B375" s="15" t="inlineStr">
        <is>
          <t>Monday, 12 December 2022</t>
        </is>
      </c>
      <c r="C375" s="15" t="inlineStr">
        <is>
          <t>Monday, 12 December 2022</t>
        </is>
      </c>
      <c r="D375" t="inlineStr">
        <is>
          <t xml:space="preserve">Casual / Sick </t>
        </is>
      </c>
      <c r="E375" t="n">
        <v>1</v>
      </c>
      <c r="F375" s="1" t="n"/>
      <c r="G375" s="1" t="n"/>
      <c r="H375">
        <f>IF(T_LEAVE[[#This Row],[EMPLOYEE]]="","",MATCH(T_LEAVE[[#This Row],[EMPLOYEE]],L_EMPLABELS,0))</f>
        <v/>
      </c>
      <c r="I375">
        <f>IF(T_LEAVE[[#This Row],[EMPLOYEE]]="","",MATCH(T_LEAVE[[#This Row],[LEAVE TYPE]],L_LEAVETYPES,0))</f>
        <v/>
      </c>
      <c r="J375">
        <f t="array" ref="J375">IFERROR(INDEX(T_LEAVE_TYPES[SYMBOL],T_LEAVE[[#This Row],[LEAVE TYPE SYS ID]]),"")</f>
        <v/>
      </c>
      <c r="K375">
        <f>IF(T_LEAVE[[#This Row],[EMPLOYEE]]="","",IF(T_LEAVE[[#This Row],[ERROR]]="",0,1))</f>
        <v/>
      </c>
      <c r="L375">
        <f t="array" ref="L3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6">
      <c r="A376" t="inlineStr">
        <is>
          <t>Katakam Vijaykumar (1017149)</t>
        </is>
      </c>
      <c r="B376" s="15" t="inlineStr">
        <is>
          <t>Tuesday, 08 December 2020</t>
        </is>
      </c>
      <c r="C376" s="15" t="inlineStr">
        <is>
          <t>Friday, 11 December 2020</t>
        </is>
      </c>
      <c r="D376" t="inlineStr">
        <is>
          <t>Privilege</t>
        </is>
      </c>
      <c r="E376" t="n">
        <v>4</v>
      </c>
      <c r="F376" s="1" t="n"/>
      <c r="G376" s="1" t="n"/>
      <c r="H376">
        <f>IF(T_LEAVE[[#This Row],[EMPLOYEE]]="","",MATCH(T_LEAVE[[#This Row],[EMPLOYEE]],L_EMPLABELS,0))</f>
        <v/>
      </c>
      <c r="I376">
        <f>IF(T_LEAVE[[#This Row],[EMPLOYEE]]="","",MATCH(T_LEAVE[[#This Row],[LEAVE TYPE]],L_LEAVETYPES,0))</f>
        <v/>
      </c>
      <c r="J376">
        <f t="array" ref="J376">IFERROR(INDEX(T_LEAVE_TYPES[SYMBOL],T_LEAVE[[#This Row],[LEAVE TYPE SYS ID]]),"")</f>
        <v/>
      </c>
      <c r="K376">
        <f>IF(T_LEAVE[[#This Row],[EMPLOYEE]]="","",IF(T_LEAVE[[#This Row],[ERROR]]="",0,1))</f>
        <v/>
      </c>
      <c r="L376">
        <f t="array" ref="L3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7">
      <c r="A377" t="inlineStr">
        <is>
          <t>Poothi Reddy Niranjan Reddy  (1024413)</t>
        </is>
      </c>
      <c r="B377" s="15" t="inlineStr">
        <is>
          <t>Wednesday, 07 December 2022</t>
        </is>
      </c>
      <c r="C377" s="15" t="inlineStr">
        <is>
          <t>Wednesday, 07 December 2022</t>
        </is>
      </c>
      <c r="D377" t="inlineStr">
        <is>
          <t xml:space="preserve">Casual / Sick </t>
        </is>
      </c>
      <c r="E377" t="n">
        <v>1</v>
      </c>
      <c r="F377" s="1" t="n"/>
      <c r="G377" s="1" t="n"/>
      <c r="H377">
        <f>IF(T_LEAVE[[#This Row],[EMPLOYEE]]="","",MATCH(T_LEAVE[[#This Row],[EMPLOYEE]],L_EMPLABELS,0))</f>
        <v/>
      </c>
      <c r="I377">
        <f>IF(T_LEAVE[[#This Row],[EMPLOYEE]]="","",MATCH(T_LEAVE[[#This Row],[LEAVE TYPE]],L_LEAVETYPES,0))</f>
        <v/>
      </c>
      <c r="J377">
        <f t="array" ref="J377">IFERROR(INDEX(T_LEAVE_TYPES[SYMBOL],T_LEAVE[[#This Row],[LEAVE TYPE SYS ID]]),"")</f>
        <v/>
      </c>
      <c r="K377">
        <f>IF(T_LEAVE[[#This Row],[EMPLOYEE]]="","",IF(T_LEAVE[[#This Row],[ERROR]]="",0,1))</f>
        <v/>
      </c>
      <c r="L377">
        <f t="array" ref="L3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8">
      <c r="A378" t="inlineStr">
        <is>
          <t>Poothi Reddy Niranjan Reddy  (1024413)</t>
        </is>
      </c>
      <c r="B378" s="15" t="inlineStr">
        <is>
          <t>Tuesday, 04 October 2022</t>
        </is>
      </c>
      <c r="C378" s="15" t="inlineStr">
        <is>
          <t>Tuesday, 04 October 2022</t>
        </is>
      </c>
      <c r="D378" t="inlineStr">
        <is>
          <t xml:space="preserve">Casual / Sick </t>
        </is>
      </c>
      <c r="E378" t="n">
        <v>1</v>
      </c>
      <c r="F378" s="1" t="n"/>
      <c r="G378" s="1" t="n"/>
      <c r="H378">
        <f>IF(T_LEAVE[[#This Row],[EMPLOYEE]]="","",MATCH(T_LEAVE[[#This Row],[EMPLOYEE]],L_EMPLABELS,0))</f>
        <v/>
      </c>
      <c r="I378">
        <f>IF(T_LEAVE[[#This Row],[EMPLOYEE]]="","",MATCH(T_LEAVE[[#This Row],[LEAVE TYPE]],L_LEAVETYPES,0))</f>
        <v/>
      </c>
      <c r="J378">
        <f t="array" ref="J378">IFERROR(INDEX(T_LEAVE_TYPES[SYMBOL],T_LEAVE[[#This Row],[LEAVE TYPE SYS ID]]),"")</f>
        <v/>
      </c>
      <c r="K378">
        <f>IF(T_LEAVE[[#This Row],[EMPLOYEE]]="","",IF(T_LEAVE[[#This Row],[ERROR]]="",0,1))</f>
        <v/>
      </c>
      <c r="L378">
        <f t="array" ref="L3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79">
      <c r="A379" t="inlineStr">
        <is>
          <t>Poothi Reddy Niranjan Reddy  (1024413)</t>
        </is>
      </c>
      <c r="B379" s="15" t="inlineStr">
        <is>
          <t>Tuesday, 21 June 2022</t>
        </is>
      </c>
      <c r="C379" s="15" t="inlineStr">
        <is>
          <t>Tuesday, 21 June 2022</t>
        </is>
      </c>
      <c r="D379" t="inlineStr">
        <is>
          <t xml:space="preserve">Casual / Sick </t>
        </is>
      </c>
      <c r="E379" t="n">
        <v>1</v>
      </c>
      <c r="F379" s="1" t="n"/>
      <c r="G379" s="1" t="n"/>
      <c r="H379">
        <f>IF(T_LEAVE[[#This Row],[EMPLOYEE]]="","",MATCH(T_LEAVE[[#This Row],[EMPLOYEE]],L_EMPLABELS,0))</f>
        <v/>
      </c>
      <c r="I379">
        <f>IF(T_LEAVE[[#This Row],[EMPLOYEE]]="","",MATCH(T_LEAVE[[#This Row],[LEAVE TYPE]],L_LEAVETYPES,0))</f>
        <v/>
      </c>
      <c r="J379">
        <f t="array" ref="J379">IFERROR(INDEX(T_LEAVE_TYPES[SYMBOL],T_LEAVE[[#This Row],[LEAVE TYPE SYS ID]]),"")</f>
        <v/>
      </c>
      <c r="K379">
        <f>IF(T_LEAVE[[#This Row],[EMPLOYEE]]="","",IF(T_LEAVE[[#This Row],[ERROR]]="",0,1))</f>
        <v/>
      </c>
      <c r="L379">
        <f t="array" ref="L3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0">
      <c r="A380" t="inlineStr">
        <is>
          <t>Poothi Reddy Niranjan Reddy  (1024413)</t>
        </is>
      </c>
      <c r="B380" s="15" t="inlineStr">
        <is>
          <t>Friday, 17 June 2022</t>
        </is>
      </c>
      <c r="C380" s="15" t="inlineStr">
        <is>
          <t>Friday, 17 June 2022</t>
        </is>
      </c>
      <c r="D380" t="inlineStr">
        <is>
          <t xml:space="preserve">Casual / Sick </t>
        </is>
      </c>
      <c r="E380" t="n">
        <v>1</v>
      </c>
      <c r="F380" s="1" t="n"/>
      <c r="G380" s="1" t="n"/>
      <c r="H380">
        <f>IF(T_LEAVE[[#This Row],[EMPLOYEE]]="","",MATCH(T_LEAVE[[#This Row],[EMPLOYEE]],L_EMPLABELS,0))</f>
        <v/>
      </c>
      <c r="I380">
        <f>IF(T_LEAVE[[#This Row],[EMPLOYEE]]="","",MATCH(T_LEAVE[[#This Row],[LEAVE TYPE]],L_LEAVETYPES,0))</f>
        <v/>
      </c>
      <c r="J380">
        <f t="array" ref="J380">IFERROR(INDEX(T_LEAVE_TYPES[SYMBOL],T_LEAVE[[#This Row],[LEAVE TYPE SYS ID]]),"")</f>
        <v/>
      </c>
      <c r="K380">
        <f>IF(T_LEAVE[[#This Row],[EMPLOYEE]]="","",IF(T_LEAVE[[#This Row],[ERROR]]="",0,1))</f>
        <v/>
      </c>
      <c r="L380">
        <f t="array" ref="L3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1">
      <c r="A381" t="inlineStr">
        <is>
          <t>Poothi Reddy Niranjan Reddy  (1024413)</t>
        </is>
      </c>
      <c r="B381" s="15" t="inlineStr">
        <is>
          <t>Friday, 10 June 2022</t>
        </is>
      </c>
      <c r="C381" s="15" t="inlineStr">
        <is>
          <t>Friday, 10 June 2022</t>
        </is>
      </c>
      <c r="D381" t="inlineStr">
        <is>
          <t>Privilege</t>
        </is>
      </c>
      <c r="E381" t="n">
        <v>1</v>
      </c>
      <c r="F381" s="1" t="n"/>
      <c r="G381" s="1" t="n"/>
      <c r="H381">
        <f>IF(T_LEAVE[[#This Row],[EMPLOYEE]]="","",MATCH(T_LEAVE[[#This Row],[EMPLOYEE]],L_EMPLABELS,0))</f>
        <v/>
      </c>
      <c r="I381">
        <f>IF(T_LEAVE[[#This Row],[EMPLOYEE]]="","",MATCH(T_LEAVE[[#This Row],[LEAVE TYPE]],L_LEAVETYPES,0))</f>
        <v/>
      </c>
      <c r="J381">
        <f t="array" ref="J381">IFERROR(INDEX(T_LEAVE_TYPES[SYMBOL],T_LEAVE[[#This Row],[LEAVE TYPE SYS ID]]),"")</f>
        <v/>
      </c>
      <c r="K381">
        <f>IF(T_LEAVE[[#This Row],[EMPLOYEE]]="","",IF(T_LEAVE[[#This Row],[ERROR]]="",0,1))</f>
        <v/>
      </c>
      <c r="L381">
        <f t="array" ref="L3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2">
      <c r="A382" t="inlineStr">
        <is>
          <t>Poothi Reddy Niranjan Reddy  (1024413)</t>
        </is>
      </c>
      <c r="B382" s="15" t="inlineStr">
        <is>
          <t>Monday, 11 April 2022</t>
        </is>
      </c>
      <c r="C382" s="15" t="inlineStr">
        <is>
          <t>Monday, 11 April 2022</t>
        </is>
      </c>
      <c r="D382" t="inlineStr">
        <is>
          <t xml:space="preserve">Casual / Sick </t>
        </is>
      </c>
      <c r="E382" t="n">
        <v>1</v>
      </c>
      <c r="F382" s="1" t="n"/>
      <c r="G382" s="1" t="n"/>
      <c r="H382">
        <f>IF(T_LEAVE[[#This Row],[EMPLOYEE]]="","",MATCH(T_LEAVE[[#This Row],[EMPLOYEE]],L_EMPLABELS,0))</f>
        <v/>
      </c>
      <c r="I382">
        <f>IF(T_LEAVE[[#This Row],[EMPLOYEE]]="","",MATCH(T_LEAVE[[#This Row],[LEAVE TYPE]],L_LEAVETYPES,0))</f>
        <v/>
      </c>
      <c r="J382">
        <f t="array" ref="J382">IFERROR(INDEX(T_LEAVE_TYPES[SYMBOL],T_LEAVE[[#This Row],[LEAVE TYPE SYS ID]]),"")</f>
        <v/>
      </c>
      <c r="K382">
        <f>IF(T_LEAVE[[#This Row],[EMPLOYEE]]="","",IF(T_LEAVE[[#This Row],[ERROR]]="",0,1))</f>
        <v/>
      </c>
      <c r="L382">
        <f t="array" ref="L3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3">
      <c r="A383" t="inlineStr">
        <is>
          <t>Katakam Vijaykumar (1017149)</t>
        </is>
      </c>
      <c r="B383" s="15" t="inlineStr">
        <is>
          <t>Tuesday, 08 December 2020</t>
        </is>
      </c>
      <c r="C383" s="15" t="inlineStr">
        <is>
          <t>Monday, 14 December 2020</t>
        </is>
      </c>
      <c r="D383" t="inlineStr">
        <is>
          <t>Privilege</t>
        </is>
      </c>
      <c r="E383" t="n">
        <v>5</v>
      </c>
      <c r="F383" s="1" t="n"/>
      <c r="G383" s="1" t="n"/>
      <c r="H383">
        <f>IF(T_LEAVE[[#This Row],[EMPLOYEE]]="","",MATCH(T_LEAVE[[#This Row],[EMPLOYEE]],L_EMPLABELS,0))</f>
        <v/>
      </c>
      <c r="I383">
        <f>IF(T_LEAVE[[#This Row],[EMPLOYEE]]="","",MATCH(T_LEAVE[[#This Row],[LEAVE TYPE]],L_LEAVETYPES,0))</f>
        <v/>
      </c>
      <c r="J383">
        <f t="array" ref="J383">IFERROR(INDEX(T_LEAVE_TYPES[SYMBOL],T_LEAVE[[#This Row],[LEAVE TYPE SYS ID]]),"")</f>
        <v/>
      </c>
      <c r="K383">
        <f>IF(T_LEAVE[[#This Row],[EMPLOYEE]]="","",IF(T_LEAVE[[#This Row],[ERROR]]="",0,1))</f>
        <v/>
      </c>
      <c r="L383">
        <f t="array" ref="L3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4">
      <c r="A384" t="inlineStr">
        <is>
          <t>Poothi Reddy Niranjan Reddy  (1024413)</t>
        </is>
      </c>
      <c r="B384" s="15" t="inlineStr">
        <is>
          <t>Friday, 18 February 2022</t>
        </is>
      </c>
      <c r="C384" s="15" t="inlineStr">
        <is>
          <t>Friday, 18 February 2022</t>
        </is>
      </c>
      <c r="D384" t="inlineStr">
        <is>
          <t>Privilege</t>
        </is>
      </c>
      <c r="E384" t="n">
        <v>1</v>
      </c>
      <c r="F384" s="1" t="n"/>
      <c r="G384" s="1" t="n"/>
      <c r="H384">
        <f>IF(T_LEAVE[[#This Row],[EMPLOYEE]]="","",MATCH(T_LEAVE[[#This Row],[EMPLOYEE]],L_EMPLABELS,0))</f>
        <v/>
      </c>
      <c r="I384">
        <f>IF(T_LEAVE[[#This Row],[EMPLOYEE]]="","",MATCH(T_LEAVE[[#This Row],[LEAVE TYPE]],L_LEAVETYPES,0))</f>
        <v/>
      </c>
      <c r="J384">
        <f t="array" ref="J384">IFERROR(INDEX(T_LEAVE_TYPES[SYMBOL],T_LEAVE[[#This Row],[LEAVE TYPE SYS ID]]),"")</f>
        <v/>
      </c>
      <c r="K384">
        <f>IF(T_LEAVE[[#This Row],[EMPLOYEE]]="","",IF(T_LEAVE[[#This Row],[ERROR]]="",0,1))</f>
        <v/>
      </c>
      <c r="L384">
        <f t="array" ref="L3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5">
      <c r="A385" t="inlineStr">
        <is>
          <t>Poothi Reddy Niranjan Reddy  (1024413)</t>
        </is>
      </c>
      <c r="B385" s="15" t="inlineStr">
        <is>
          <t>Friday, 18 March 2022</t>
        </is>
      </c>
      <c r="C385" s="15" t="inlineStr">
        <is>
          <t>Friday, 18 March 2022</t>
        </is>
      </c>
      <c r="D385" t="inlineStr">
        <is>
          <t>Privilege</t>
        </is>
      </c>
      <c r="E385" t="n">
        <v>1</v>
      </c>
      <c r="F385" s="1" t="n"/>
      <c r="G385" s="1" t="n"/>
      <c r="H385">
        <f>IF(T_LEAVE[[#This Row],[EMPLOYEE]]="","",MATCH(T_LEAVE[[#This Row],[EMPLOYEE]],L_EMPLABELS,0))</f>
        <v/>
      </c>
      <c r="I385">
        <f>IF(T_LEAVE[[#This Row],[EMPLOYEE]]="","",MATCH(T_LEAVE[[#This Row],[LEAVE TYPE]],L_LEAVETYPES,0))</f>
        <v/>
      </c>
      <c r="J385">
        <f t="array" ref="J385">IFERROR(INDEX(T_LEAVE_TYPES[SYMBOL],T_LEAVE[[#This Row],[LEAVE TYPE SYS ID]]),"")</f>
        <v/>
      </c>
      <c r="K385">
        <f>IF(T_LEAVE[[#This Row],[EMPLOYEE]]="","",IF(T_LEAVE[[#This Row],[ERROR]]="",0,1))</f>
        <v/>
      </c>
      <c r="L385">
        <f t="array" ref="L3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6">
      <c r="A386" t="inlineStr">
        <is>
          <t>Poothi Reddy Niranjan Reddy  (1024413)</t>
        </is>
      </c>
      <c r="B386" s="15" t="inlineStr">
        <is>
          <t>Wednesday, 09 March 2022</t>
        </is>
      </c>
      <c r="C386" s="15" t="inlineStr">
        <is>
          <t>Wednesday, 09 March 2022</t>
        </is>
      </c>
      <c r="D386" t="inlineStr">
        <is>
          <t>Privilege</t>
        </is>
      </c>
      <c r="E386" t="n">
        <v>1</v>
      </c>
      <c r="F386" s="1" t="n"/>
      <c r="G386" s="1" t="n"/>
      <c r="H386">
        <f>IF(T_LEAVE[[#This Row],[EMPLOYEE]]="","",MATCH(T_LEAVE[[#This Row],[EMPLOYEE]],L_EMPLABELS,0))</f>
        <v/>
      </c>
      <c r="I386">
        <f>IF(T_LEAVE[[#This Row],[EMPLOYEE]]="","",MATCH(T_LEAVE[[#This Row],[LEAVE TYPE]],L_LEAVETYPES,0))</f>
        <v/>
      </c>
      <c r="J386">
        <f t="array" ref="J386">IFERROR(INDEX(T_LEAVE_TYPES[SYMBOL],T_LEAVE[[#This Row],[LEAVE TYPE SYS ID]]),"")</f>
        <v/>
      </c>
      <c r="K386">
        <f>IF(T_LEAVE[[#This Row],[EMPLOYEE]]="","",IF(T_LEAVE[[#This Row],[ERROR]]="",0,1))</f>
        <v/>
      </c>
      <c r="L386">
        <f t="array" ref="L3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7">
      <c r="A387" t="inlineStr">
        <is>
          <t>Poothi Reddy Niranjan Reddy  (1024413)</t>
        </is>
      </c>
      <c r="B387" s="15" t="inlineStr">
        <is>
          <t>Thursday, 10 February 2022</t>
        </is>
      </c>
      <c r="C387" s="15" t="inlineStr">
        <is>
          <t>Thursday, 10 February 2022</t>
        </is>
      </c>
      <c r="D387" t="inlineStr">
        <is>
          <t xml:space="preserve">Casual / Sick </t>
        </is>
      </c>
      <c r="E387" t="n">
        <v>1</v>
      </c>
      <c r="F387" s="1" t="n"/>
      <c r="G387" s="1" t="n"/>
      <c r="H387">
        <f>IF(T_LEAVE[[#This Row],[EMPLOYEE]]="","",MATCH(T_LEAVE[[#This Row],[EMPLOYEE]],L_EMPLABELS,0))</f>
        <v/>
      </c>
      <c r="I387">
        <f>IF(T_LEAVE[[#This Row],[EMPLOYEE]]="","",MATCH(T_LEAVE[[#This Row],[LEAVE TYPE]],L_LEAVETYPES,0))</f>
        <v/>
      </c>
      <c r="J387">
        <f t="array" ref="J387">IFERROR(INDEX(T_LEAVE_TYPES[SYMBOL],T_LEAVE[[#This Row],[LEAVE TYPE SYS ID]]),"")</f>
        <v/>
      </c>
      <c r="K387">
        <f>IF(T_LEAVE[[#This Row],[EMPLOYEE]]="","",IF(T_LEAVE[[#This Row],[ERROR]]="",0,1))</f>
        <v/>
      </c>
      <c r="L387">
        <f t="array" ref="L3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8">
      <c r="A388" t="inlineStr">
        <is>
          <t>Poothi Reddy Niranjan Reddy  (1024413)</t>
        </is>
      </c>
      <c r="B388" s="15" t="inlineStr">
        <is>
          <t>Friday, 07 January 2022</t>
        </is>
      </c>
      <c r="C388" s="15" t="inlineStr">
        <is>
          <t>Friday, 07 January 2022</t>
        </is>
      </c>
      <c r="D388" t="inlineStr">
        <is>
          <t xml:space="preserve">Casual / Sick </t>
        </is>
      </c>
      <c r="E388" t="n">
        <v>1</v>
      </c>
      <c r="F388" s="1" t="n"/>
      <c r="G388" s="1" t="n"/>
      <c r="H388">
        <f>IF(T_LEAVE[[#This Row],[EMPLOYEE]]="","",MATCH(T_LEAVE[[#This Row],[EMPLOYEE]],L_EMPLABELS,0))</f>
        <v/>
      </c>
      <c r="I388">
        <f>IF(T_LEAVE[[#This Row],[EMPLOYEE]]="","",MATCH(T_LEAVE[[#This Row],[LEAVE TYPE]],L_LEAVETYPES,0))</f>
        <v/>
      </c>
      <c r="J388">
        <f t="array" ref="J388">IFERROR(INDEX(T_LEAVE_TYPES[SYMBOL],T_LEAVE[[#This Row],[LEAVE TYPE SYS ID]]),"")</f>
        <v/>
      </c>
      <c r="K388">
        <f>IF(T_LEAVE[[#This Row],[EMPLOYEE]]="","",IF(T_LEAVE[[#This Row],[ERROR]]="",0,1))</f>
        <v/>
      </c>
      <c r="L388">
        <f t="array" ref="L3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89">
      <c r="A389" t="inlineStr">
        <is>
          <t>Poothi Reddy Niranjan Reddy  (1024413)</t>
        </is>
      </c>
      <c r="B389" s="15" t="inlineStr">
        <is>
          <t>Friday, 17 December 2021</t>
        </is>
      </c>
      <c r="C389" s="15" t="inlineStr">
        <is>
          <t>Monday, 20 December 2021</t>
        </is>
      </c>
      <c r="D389" t="inlineStr">
        <is>
          <t xml:space="preserve">Casual / Sick </t>
        </is>
      </c>
      <c r="E389" t="n">
        <v>2</v>
      </c>
      <c r="F389" s="1" t="n"/>
      <c r="G389" s="1" t="n"/>
      <c r="H389">
        <f>IF(T_LEAVE[[#This Row],[EMPLOYEE]]="","",MATCH(T_LEAVE[[#This Row],[EMPLOYEE]],L_EMPLABELS,0))</f>
        <v/>
      </c>
      <c r="I389">
        <f>IF(T_LEAVE[[#This Row],[EMPLOYEE]]="","",MATCH(T_LEAVE[[#This Row],[LEAVE TYPE]],L_LEAVETYPES,0))</f>
        <v/>
      </c>
      <c r="J389">
        <f t="array" ref="J389">IFERROR(INDEX(T_LEAVE_TYPES[SYMBOL],T_LEAVE[[#This Row],[LEAVE TYPE SYS ID]]),"")</f>
        <v/>
      </c>
      <c r="K389">
        <f>IF(T_LEAVE[[#This Row],[EMPLOYEE]]="","",IF(T_LEAVE[[#This Row],[ERROR]]="",0,1))</f>
        <v/>
      </c>
      <c r="L389">
        <f t="array" ref="L3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0">
      <c r="A390" t="inlineStr">
        <is>
          <t>Poothi Reddy Niranjan Reddy  (1024413)</t>
        </is>
      </c>
      <c r="B390" s="15" t="inlineStr">
        <is>
          <t>Monday, 13 December 2021</t>
        </is>
      </c>
      <c r="C390" s="15" t="inlineStr">
        <is>
          <t>Thursday, 16 December 2021</t>
        </is>
      </c>
      <c r="D390" t="inlineStr">
        <is>
          <t>Privilege</t>
        </is>
      </c>
      <c r="E390" t="n">
        <v>4</v>
      </c>
      <c r="F390" s="1" t="n"/>
      <c r="G390" s="1" t="n"/>
      <c r="H390">
        <f>IF(T_LEAVE[[#This Row],[EMPLOYEE]]="","",MATCH(T_LEAVE[[#This Row],[EMPLOYEE]],L_EMPLABELS,0))</f>
        <v/>
      </c>
      <c r="I390">
        <f>IF(T_LEAVE[[#This Row],[EMPLOYEE]]="","",MATCH(T_LEAVE[[#This Row],[LEAVE TYPE]],L_LEAVETYPES,0))</f>
        <v/>
      </c>
      <c r="J390">
        <f t="array" ref="J390">IFERROR(INDEX(T_LEAVE_TYPES[SYMBOL],T_LEAVE[[#This Row],[LEAVE TYPE SYS ID]]),"")</f>
        <v/>
      </c>
      <c r="K390">
        <f>IF(T_LEAVE[[#This Row],[EMPLOYEE]]="","",IF(T_LEAVE[[#This Row],[ERROR]]="",0,1))</f>
        <v/>
      </c>
      <c r="L390">
        <f t="array" ref="L3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1">
      <c r="A391" t="inlineStr">
        <is>
          <t>Poothi Reddy Niranjan Reddy  (1024413)</t>
        </is>
      </c>
      <c r="B391" s="15" t="inlineStr">
        <is>
          <t>Friday, 10 December 2021</t>
        </is>
      </c>
      <c r="C391" s="15" t="inlineStr">
        <is>
          <t>Friday, 10 December 2021</t>
        </is>
      </c>
      <c r="D391" t="inlineStr">
        <is>
          <t xml:space="preserve">Casual / Sick </t>
        </is>
      </c>
      <c r="E391" t="n">
        <v>1</v>
      </c>
      <c r="F391" s="1" t="n"/>
      <c r="G391" s="1" t="n"/>
      <c r="H391">
        <f>IF(T_LEAVE[[#This Row],[EMPLOYEE]]="","",MATCH(T_LEAVE[[#This Row],[EMPLOYEE]],L_EMPLABELS,0))</f>
        <v/>
      </c>
      <c r="I391">
        <f>IF(T_LEAVE[[#This Row],[EMPLOYEE]]="","",MATCH(T_LEAVE[[#This Row],[LEAVE TYPE]],L_LEAVETYPES,0))</f>
        <v/>
      </c>
      <c r="J391">
        <f t="array" ref="J391">IFERROR(INDEX(T_LEAVE_TYPES[SYMBOL],T_LEAVE[[#This Row],[LEAVE TYPE SYS ID]]),"")</f>
        <v/>
      </c>
      <c r="K391">
        <f>IF(T_LEAVE[[#This Row],[EMPLOYEE]]="","",IF(T_LEAVE[[#This Row],[ERROR]]="",0,1))</f>
        <v/>
      </c>
      <c r="L391">
        <f t="array" ref="L3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2">
      <c r="A392" t="inlineStr">
        <is>
          <t>Poothi Reddy Niranjan Reddy  (1024413)</t>
        </is>
      </c>
      <c r="B392" s="15" t="inlineStr">
        <is>
          <t>Monday, 05 July 2021</t>
        </is>
      </c>
      <c r="C392" s="15" t="inlineStr">
        <is>
          <t>Monday, 05 July 2021</t>
        </is>
      </c>
      <c r="D392" t="inlineStr">
        <is>
          <t xml:space="preserve">Casual / Sick </t>
        </is>
      </c>
      <c r="E392" t="n">
        <v>1</v>
      </c>
      <c r="F392" s="1" t="n"/>
      <c r="G392" s="1" t="n"/>
      <c r="H392">
        <f>IF(T_LEAVE[[#This Row],[EMPLOYEE]]="","",MATCH(T_LEAVE[[#This Row],[EMPLOYEE]],L_EMPLABELS,0))</f>
        <v/>
      </c>
      <c r="I392">
        <f>IF(T_LEAVE[[#This Row],[EMPLOYEE]]="","",MATCH(T_LEAVE[[#This Row],[LEAVE TYPE]],L_LEAVETYPES,0))</f>
        <v/>
      </c>
      <c r="J392">
        <f t="array" ref="J392">IFERROR(INDEX(T_LEAVE_TYPES[SYMBOL],T_LEAVE[[#This Row],[LEAVE TYPE SYS ID]]),"")</f>
        <v/>
      </c>
      <c r="K392">
        <f>IF(T_LEAVE[[#This Row],[EMPLOYEE]]="","",IF(T_LEAVE[[#This Row],[ERROR]]="",0,1))</f>
        <v/>
      </c>
      <c r="L392">
        <f t="array" ref="L3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3">
      <c r="A393" t="inlineStr">
        <is>
          <t>Poothi Reddy Niranjan Reddy  (1024413)</t>
        </is>
      </c>
      <c r="B393" s="15" t="inlineStr">
        <is>
          <t>Thursday, 27 May 2021</t>
        </is>
      </c>
      <c r="C393" s="15" t="inlineStr">
        <is>
          <t>Thursday, 27 May 2021</t>
        </is>
      </c>
      <c r="D393" t="inlineStr">
        <is>
          <t>Privilege</t>
        </is>
      </c>
      <c r="E393" t="n">
        <v>1</v>
      </c>
      <c r="F393" s="1" t="n"/>
      <c r="G393" s="1" t="n"/>
      <c r="H393">
        <f>IF(T_LEAVE[[#This Row],[EMPLOYEE]]="","",MATCH(T_LEAVE[[#This Row],[EMPLOYEE]],L_EMPLABELS,0))</f>
        <v/>
      </c>
      <c r="I393">
        <f>IF(T_LEAVE[[#This Row],[EMPLOYEE]]="","",MATCH(T_LEAVE[[#This Row],[LEAVE TYPE]],L_LEAVETYPES,0))</f>
        <v/>
      </c>
      <c r="J393">
        <f t="array" ref="J393">IFERROR(INDEX(T_LEAVE_TYPES[SYMBOL],T_LEAVE[[#This Row],[LEAVE TYPE SYS ID]]),"")</f>
        <v/>
      </c>
      <c r="K393">
        <f>IF(T_LEAVE[[#This Row],[EMPLOYEE]]="","",IF(T_LEAVE[[#This Row],[ERROR]]="",0,1))</f>
        <v/>
      </c>
      <c r="L393">
        <f t="array" ref="L3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4">
      <c r="A394" t="inlineStr">
        <is>
          <t>Poothi Reddy Niranjan Reddy  (1024413)</t>
        </is>
      </c>
      <c r="B394" s="15" t="inlineStr">
        <is>
          <t>Wednesday, 28 April 2021</t>
        </is>
      </c>
      <c r="C394" s="15" t="inlineStr">
        <is>
          <t>Wednesday, 28 April 2021</t>
        </is>
      </c>
      <c r="D394" t="inlineStr">
        <is>
          <t>Privilege</t>
        </is>
      </c>
      <c r="E394" t="n">
        <v>1</v>
      </c>
      <c r="F394" s="1" t="n"/>
      <c r="G394" s="1" t="n"/>
      <c r="H394">
        <f>IF(T_LEAVE[[#This Row],[EMPLOYEE]]="","",MATCH(T_LEAVE[[#This Row],[EMPLOYEE]],L_EMPLABELS,0))</f>
        <v/>
      </c>
      <c r="I394">
        <f>IF(T_LEAVE[[#This Row],[EMPLOYEE]]="","",MATCH(T_LEAVE[[#This Row],[LEAVE TYPE]],L_LEAVETYPES,0))</f>
        <v/>
      </c>
      <c r="J394">
        <f t="array" ref="J394">IFERROR(INDEX(T_LEAVE_TYPES[SYMBOL],T_LEAVE[[#This Row],[LEAVE TYPE SYS ID]]),"")</f>
        <v/>
      </c>
      <c r="K394">
        <f>IF(T_LEAVE[[#This Row],[EMPLOYEE]]="","",IF(T_LEAVE[[#This Row],[ERROR]]="",0,1))</f>
        <v/>
      </c>
      <c r="L394">
        <f t="array" ref="L3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5">
      <c r="A395" t="inlineStr">
        <is>
          <t>Poothi Reddy Niranjan Reddy  (1024413)</t>
        </is>
      </c>
      <c r="B395" s="15" t="inlineStr">
        <is>
          <t>Tuesday, 27 April 2021</t>
        </is>
      </c>
      <c r="C395" s="15" t="inlineStr">
        <is>
          <t>Tuesday, 27 April 2021</t>
        </is>
      </c>
      <c r="D395" t="inlineStr">
        <is>
          <t>Privilege</t>
        </is>
      </c>
      <c r="E395" t="n">
        <v>1</v>
      </c>
      <c r="F395" s="1" t="n"/>
      <c r="G395" s="1" t="n"/>
      <c r="H395">
        <f>IF(T_LEAVE[[#This Row],[EMPLOYEE]]="","",MATCH(T_LEAVE[[#This Row],[EMPLOYEE]],L_EMPLABELS,0))</f>
        <v/>
      </c>
      <c r="I395">
        <f>IF(T_LEAVE[[#This Row],[EMPLOYEE]]="","",MATCH(T_LEAVE[[#This Row],[LEAVE TYPE]],L_LEAVETYPES,0))</f>
        <v/>
      </c>
      <c r="J395">
        <f t="array" ref="J395">IFERROR(INDEX(T_LEAVE_TYPES[SYMBOL],T_LEAVE[[#This Row],[LEAVE TYPE SYS ID]]),"")</f>
        <v/>
      </c>
      <c r="K395">
        <f>IF(T_LEAVE[[#This Row],[EMPLOYEE]]="","",IF(T_LEAVE[[#This Row],[ERROR]]="",0,1))</f>
        <v/>
      </c>
      <c r="L395">
        <f t="array" ref="L3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6">
      <c r="A396" t="inlineStr">
        <is>
          <t>Poothi Reddy Niranjan Reddy  (1024413)</t>
        </is>
      </c>
      <c r="B396" s="15" t="inlineStr">
        <is>
          <t>Thursday, 15 April 2021</t>
        </is>
      </c>
      <c r="C396" s="15" t="inlineStr">
        <is>
          <t>Thursday, 15 April 2021</t>
        </is>
      </c>
      <c r="D396" t="inlineStr">
        <is>
          <t xml:space="preserve">Casual / Sick </t>
        </is>
      </c>
      <c r="E396" t="n">
        <v>1</v>
      </c>
      <c r="F396" s="1" t="n"/>
      <c r="G396" s="1" t="n"/>
      <c r="H396">
        <f>IF(T_LEAVE[[#This Row],[EMPLOYEE]]="","",MATCH(T_LEAVE[[#This Row],[EMPLOYEE]],L_EMPLABELS,0))</f>
        <v/>
      </c>
      <c r="I396">
        <f>IF(T_LEAVE[[#This Row],[EMPLOYEE]]="","",MATCH(T_LEAVE[[#This Row],[LEAVE TYPE]],L_LEAVETYPES,0))</f>
        <v/>
      </c>
      <c r="J396">
        <f t="array" ref="J396">IFERROR(INDEX(T_LEAVE_TYPES[SYMBOL],T_LEAVE[[#This Row],[LEAVE TYPE SYS ID]]),"")</f>
        <v/>
      </c>
      <c r="K396">
        <f>IF(T_LEAVE[[#This Row],[EMPLOYEE]]="","",IF(T_LEAVE[[#This Row],[ERROR]]="",0,1))</f>
        <v/>
      </c>
      <c r="L396">
        <f t="array" ref="L3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7">
      <c r="A397" t="inlineStr">
        <is>
          <t>Poothi Reddy Niranjan Reddy  (1024413)</t>
        </is>
      </c>
      <c r="B397" s="15" t="inlineStr">
        <is>
          <t>Thursday, 22 April 2021</t>
        </is>
      </c>
      <c r="C397" s="15" t="inlineStr">
        <is>
          <t>Friday, 23 April 2021</t>
        </is>
      </c>
      <c r="D397" t="inlineStr">
        <is>
          <t xml:space="preserve">Casual / Sick </t>
        </is>
      </c>
      <c r="E397" t="n">
        <v>2</v>
      </c>
      <c r="F397" s="1" t="n"/>
      <c r="G397" s="1" t="n"/>
      <c r="H397">
        <f>IF(T_LEAVE[[#This Row],[EMPLOYEE]]="","",MATCH(T_LEAVE[[#This Row],[EMPLOYEE]],L_EMPLABELS,0))</f>
        <v/>
      </c>
      <c r="I397">
        <f>IF(T_LEAVE[[#This Row],[EMPLOYEE]]="","",MATCH(T_LEAVE[[#This Row],[LEAVE TYPE]],L_LEAVETYPES,0))</f>
        <v/>
      </c>
      <c r="J397">
        <f t="array" ref="J397">IFERROR(INDEX(T_LEAVE_TYPES[SYMBOL],T_LEAVE[[#This Row],[LEAVE TYPE SYS ID]]),"")</f>
        <v/>
      </c>
      <c r="K397">
        <f>IF(T_LEAVE[[#This Row],[EMPLOYEE]]="","",IF(T_LEAVE[[#This Row],[ERROR]]="",0,1))</f>
        <v/>
      </c>
      <c r="L397">
        <f t="array" ref="L3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8">
      <c r="A398" t="inlineStr">
        <is>
          <t>Poothi Reddy Niranjan Reddy  (1024413)</t>
        </is>
      </c>
      <c r="B398" s="15" t="inlineStr">
        <is>
          <t>Thursday, 04 March 2021</t>
        </is>
      </c>
      <c r="C398" s="15" t="inlineStr">
        <is>
          <t>Thursday, 04 March 2021</t>
        </is>
      </c>
      <c r="D398" t="inlineStr">
        <is>
          <t xml:space="preserve">Casual / Sick </t>
        </is>
      </c>
      <c r="E398" t="n">
        <v>1</v>
      </c>
      <c r="F398" s="1" t="n"/>
      <c r="G398" s="1" t="n"/>
      <c r="H398">
        <f>IF(T_LEAVE[[#This Row],[EMPLOYEE]]="","",MATCH(T_LEAVE[[#This Row],[EMPLOYEE]],L_EMPLABELS,0))</f>
        <v/>
      </c>
      <c r="I398">
        <f>IF(T_LEAVE[[#This Row],[EMPLOYEE]]="","",MATCH(T_LEAVE[[#This Row],[LEAVE TYPE]],L_LEAVETYPES,0))</f>
        <v/>
      </c>
      <c r="J398">
        <f t="array" ref="J398">IFERROR(INDEX(T_LEAVE_TYPES[SYMBOL],T_LEAVE[[#This Row],[LEAVE TYPE SYS ID]]),"")</f>
        <v/>
      </c>
      <c r="K398">
        <f>IF(T_LEAVE[[#This Row],[EMPLOYEE]]="","",IF(T_LEAVE[[#This Row],[ERROR]]="",0,1))</f>
        <v/>
      </c>
      <c r="L398">
        <f t="array" ref="L3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399">
      <c r="A399" t="inlineStr">
        <is>
          <t>Katakam Vijaykumar (1017149)</t>
        </is>
      </c>
      <c r="B399" s="28" t="inlineStr">
        <is>
          <t>Wednesday, 03 May 2023</t>
        </is>
      </c>
      <c r="C399" s="15" t="inlineStr">
        <is>
          <t>Thursday, 04 May 2023</t>
        </is>
      </c>
      <c r="D399" t="inlineStr">
        <is>
          <t xml:space="preserve">Casual / Sick </t>
        </is>
      </c>
      <c r="E399" t="n">
        <v>2</v>
      </c>
      <c r="F399" s="1" t="n"/>
      <c r="G399" s="1" t="n"/>
      <c r="H399">
        <f>IF(T_LEAVE[[#This Row],[EMPLOYEE]]="","",MATCH(T_LEAVE[[#This Row],[EMPLOYEE]],L_EMPLABELS,0))</f>
        <v/>
      </c>
      <c r="I399">
        <f>IF(T_LEAVE[[#This Row],[EMPLOYEE]]="","",MATCH(T_LEAVE[[#This Row],[LEAVE TYPE]],L_LEAVETYPES,0))</f>
        <v/>
      </c>
      <c r="J399">
        <f t="array" ref="J399">IFERROR(INDEX(T_LEAVE_TYPES[SYMBOL],T_LEAVE[[#This Row],[LEAVE TYPE SYS ID]]),"")</f>
        <v/>
      </c>
      <c r="K399">
        <f>IF(T_LEAVE[[#This Row],[EMPLOYEE]]="","",IF(T_LEAVE[[#This Row],[ERROR]]="",0,1))</f>
        <v/>
      </c>
      <c r="L399">
        <f t="array" ref="L3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0">
      <c r="A400" t="inlineStr">
        <is>
          <t>Nagarjun Naidu Mannem (1019816)</t>
        </is>
      </c>
      <c r="B400" s="15" t="inlineStr">
        <is>
          <t>Thursday, 31 December 2020</t>
        </is>
      </c>
      <c r="C400" s="15" t="inlineStr">
        <is>
          <t>Thursday, 31 December 2020</t>
        </is>
      </c>
      <c r="D400" t="inlineStr">
        <is>
          <t>Privilege</t>
        </is>
      </c>
      <c r="E400" t="n">
        <v>1</v>
      </c>
      <c r="F400" s="1" t="n"/>
      <c r="G400" s="1" t="n"/>
      <c r="H400">
        <f>IF(T_LEAVE[[#This Row],[EMPLOYEE]]="","",MATCH(T_LEAVE[[#This Row],[EMPLOYEE]],L_EMPLABELS,0))</f>
        <v/>
      </c>
      <c r="I400">
        <f>IF(T_LEAVE[[#This Row],[EMPLOYEE]]="","",MATCH(T_LEAVE[[#This Row],[LEAVE TYPE]],L_LEAVETYPES,0))</f>
        <v/>
      </c>
      <c r="J400">
        <f t="array" ref="J400">IFERROR(INDEX(T_LEAVE_TYPES[SYMBOL],T_LEAVE[[#This Row],[LEAVE TYPE SYS ID]]),"")</f>
        <v/>
      </c>
      <c r="K400">
        <f>IF(T_LEAVE[[#This Row],[EMPLOYEE]]="","",IF(T_LEAVE[[#This Row],[ERROR]]="",0,1))</f>
        <v/>
      </c>
      <c r="L400">
        <f t="array" ref="L4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1">
      <c r="A401" t="inlineStr">
        <is>
          <t>Nagarjun Naidu Mannem (1019816)</t>
        </is>
      </c>
      <c r="B401" s="15" t="inlineStr">
        <is>
          <t>Friday, 11 December 2020</t>
        </is>
      </c>
      <c r="C401" s="15" t="inlineStr">
        <is>
          <t>Friday, 11 December 2020</t>
        </is>
      </c>
      <c r="D401" t="inlineStr">
        <is>
          <t>Privilege</t>
        </is>
      </c>
      <c r="E401" t="n">
        <v>1</v>
      </c>
      <c r="F401" s="1" t="n"/>
      <c r="G401" s="1" t="n"/>
      <c r="H401">
        <f>IF(T_LEAVE[[#This Row],[EMPLOYEE]]="","",MATCH(T_LEAVE[[#This Row],[EMPLOYEE]],L_EMPLABELS,0))</f>
        <v/>
      </c>
      <c r="I401">
        <f>IF(T_LEAVE[[#This Row],[EMPLOYEE]]="","",MATCH(T_LEAVE[[#This Row],[LEAVE TYPE]],L_LEAVETYPES,0))</f>
        <v/>
      </c>
      <c r="J401">
        <f t="array" ref="J401">IFERROR(INDEX(T_LEAVE_TYPES[SYMBOL],T_LEAVE[[#This Row],[LEAVE TYPE SYS ID]]),"")</f>
        <v/>
      </c>
      <c r="K401">
        <f>IF(T_LEAVE[[#This Row],[EMPLOYEE]]="","",IF(T_LEAVE[[#This Row],[ERROR]]="",0,1))</f>
        <v/>
      </c>
      <c r="L401">
        <f t="array" ref="L4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2">
      <c r="A402" t="inlineStr">
        <is>
          <t>Nagarjun Naidu Mannem (1019816)</t>
        </is>
      </c>
      <c r="B402" s="15" t="inlineStr">
        <is>
          <t>Tuesday, 01 December 2020</t>
        </is>
      </c>
      <c r="C402" s="15" t="inlineStr">
        <is>
          <t>Tuesday, 01 December 2020</t>
        </is>
      </c>
      <c r="D402" t="inlineStr">
        <is>
          <t>Privilege</t>
        </is>
      </c>
      <c r="E402" t="n">
        <v>1</v>
      </c>
      <c r="F402" s="1" t="n"/>
      <c r="G402" s="1" t="n"/>
      <c r="H402">
        <f>IF(T_LEAVE[[#This Row],[EMPLOYEE]]="","",MATCH(T_LEAVE[[#This Row],[EMPLOYEE]],L_EMPLABELS,0))</f>
        <v/>
      </c>
      <c r="I402">
        <f>IF(T_LEAVE[[#This Row],[EMPLOYEE]]="","",MATCH(T_LEAVE[[#This Row],[LEAVE TYPE]],L_LEAVETYPES,0))</f>
        <v/>
      </c>
      <c r="J402">
        <f t="array" ref="J402">IFERROR(INDEX(T_LEAVE_TYPES[SYMBOL],T_LEAVE[[#This Row],[LEAVE TYPE SYS ID]]),"")</f>
        <v/>
      </c>
      <c r="K402">
        <f>IF(T_LEAVE[[#This Row],[EMPLOYEE]]="","",IF(T_LEAVE[[#This Row],[ERROR]]="",0,1))</f>
        <v/>
      </c>
      <c r="L402">
        <f t="array" ref="L4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3">
      <c r="A403" t="inlineStr">
        <is>
          <t>Rallapalli  Lashareef (1030213)</t>
        </is>
      </c>
      <c r="B403" s="15" t="inlineStr">
        <is>
          <t>Tuesday, 02 January 2024</t>
        </is>
      </c>
      <c r="C403" s="15" t="inlineStr">
        <is>
          <t>Friday, 05 January 2024</t>
        </is>
      </c>
      <c r="D403" t="inlineStr">
        <is>
          <t>Privilege</t>
        </is>
      </c>
      <c r="E403" t="n">
        <v>4</v>
      </c>
      <c r="F403" s="1" t="n"/>
      <c r="G403" s="1" t="n"/>
      <c r="H403">
        <f>IF(T_LEAVE[[#This Row],[EMPLOYEE]]="","",MATCH(T_LEAVE[[#This Row],[EMPLOYEE]],L_EMPLABELS,0))</f>
        <v/>
      </c>
      <c r="I403">
        <f>IF(T_LEAVE[[#This Row],[EMPLOYEE]]="","",MATCH(T_LEAVE[[#This Row],[LEAVE TYPE]],L_LEAVETYPES,0))</f>
        <v/>
      </c>
      <c r="J403">
        <f t="array" ref="J403">IFERROR(INDEX(T_LEAVE_TYPES[SYMBOL],T_LEAVE[[#This Row],[LEAVE TYPE SYS ID]]),"")</f>
        <v/>
      </c>
      <c r="K403">
        <f>IF(T_LEAVE[[#This Row],[EMPLOYEE]]="","",IF(T_LEAVE[[#This Row],[ERROR]]="",0,1))</f>
        <v/>
      </c>
      <c r="L403">
        <f t="array" ref="L40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4">
      <c r="A404" t="inlineStr">
        <is>
          <t>Rallapalli  Lashareef (1030213)</t>
        </is>
      </c>
      <c r="B404" s="15" t="inlineStr">
        <is>
          <t>Monday, 11 December 2023</t>
        </is>
      </c>
      <c r="C404" s="15" t="inlineStr">
        <is>
          <t>Tuesday, 12 December 2023</t>
        </is>
      </c>
      <c r="D404" t="inlineStr">
        <is>
          <t xml:space="preserve">Casual / Sick </t>
        </is>
      </c>
      <c r="E404" t="n">
        <v>2</v>
      </c>
      <c r="F404" s="1" t="n"/>
      <c r="G404" s="1" t="n"/>
      <c r="H404">
        <f>IF(T_LEAVE[[#This Row],[EMPLOYEE]]="","",MATCH(T_LEAVE[[#This Row],[EMPLOYEE]],L_EMPLABELS,0))</f>
        <v/>
      </c>
      <c r="I404">
        <f>IF(T_LEAVE[[#This Row],[EMPLOYEE]]="","",MATCH(T_LEAVE[[#This Row],[LEAVE TYPE]],L_LEAVETYPES,0))</f>
        <v/>
      </c>
      <c r="J404">
        <f t="array" ref="J404">IFERROR(INDEX(T_LEAVE_TYPES[SYMBOL],T_LEAVE[[#This Row],[LEAVE TYPE SYS ID]]),"")</f>
        <v/>
      </c>
      <c r="K404">
        <f>IF(T_LEAVE[[#This Row],[EMPLOYEE]]="","",IF(T_LEAVE[[#This Row],[ERROR]]="",0,1))</f>
        <v/>
      </c>
      <c r="L404">
        <f t="array" ref="L40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5">
      <c r="A405" t="inlineStr">
        <is>
          <t>Rallapalli  Lashareef (1030213)</t>
        </is>
      </c>
      <c r="B405" s="15" t="inlineStr">
        <is>
          <t>Friday, 17 November 2023</t>
        </is>
      </c>
      <c r="C405" s="15" t="inlineStr">
        <is>
          <t>Friday, 17 November 2023</t>
        </is>
      </c>
      <c r="D405" t="inlineStr">
        <is>
          <t xml:space="preserve">Casual / Sick </t>
        </is>
      </c>
      <c r="E405" t="n">
        <v>1</v>
      </c>
      <c r="F405" s="1" t="n"/>
      <c r="G405" s="1" t="n"/>
      <c r="H405">
        <f>IF(T_LEAVE[[#This Row],[EMPLOYEE]]="","",MATCH(T_LEAVE[[#This Row],[EMPLOYEE]],L_EMPLABELS,0))</f>
        <v/>
      </c>
      <c r="I405">
        <f>IF(T_LEAVE[[#This Row],[EMPLOYEE]]="","",MATCH(T_LEAVE[[#This Row],[LEAVE TYPE]],L_LEAVETYPES,0))</f>
        <v/>
      </c>
      <c r="J405">
        <f t="array" ref="J405">IFERROR(INDEX(T_LEAVE_TYPES[SYMBOL],T_LEAVE[[#This Row],[LEAVE TYPE SYS ID]]),"")</f>
        <v/>
      </c>
      <c r="K405">
        <f>IF(T_LEAVE[[#This Row],[EMPLOYEE]]="","",IF(T_LEAVE[[#This Row],[ERROR]]="",0,1))</f>
        <v/>
      </c>
      <c r="L405">
        <f t="array" ref="L40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6">
      <c r="A406" t="inlineStr">
        <is>
          <t>Rallapalli  Lashareef (1030213)</t>
        </is>
      </c>
      <c r="B406" s="15" t="inlineStr">
        <is>
          <t>Tuesday, 08 August 2023</t>
        </is>
      </c>
      <c r="C406" s="15" t="inlineStr">
        <is>
          <t>Thursday, 10 August 2023</t>
        </is>
      </c>
      <c r="D406" t="inlineStr">
        <is>
          <t>Privilege</t>
        </is>
      </c>
      <c r="E406" t="n">
        <v>3</v>
      </c>
      <c r="F406" s="1" t="n"/>
      <c r="G406" s="1" t="n"/>
      <c r="H406">
        <f>IF(T_LEAVE[[#This Row],[EMPLOYEE]]="","",MATCH(T_LEAVE[[#This Row],[EMPLOYEE]],L_EMPLABELS,0))</f>
        <v/>
      </c>
      <c r="I406">
        <f>IF(T_LEAVE[[#This Row],[EMPLOYEE]]="","",MATCH(T_LEAVE[[#This Row],[LEAVE TYPE]],L_LEAVETYPES,0))</f>
        <v/>
      </c>
      <c r="J406">
        <f t="array" ref="J406">IFERROR(INDEX(T_LEAVE_TYPES[SYMBOL],T_LEAVE[[#This Row],[LEAVE TYPE SYS ID]]),"")</f>
        <v/>
      </c>
      <c r="K406">
        <f>IF(T_LEAVE[[#This Row],[EMPLOYEE]]="","",IF(T_LEAVE[[#This Row],[ERROR]]="",0,1))</f>
        <v/>
      </c>
      <c r="L406">
        <f t="array" ref="L40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7">
      <c r="A407" t="inlineStr">
        <is>
          <t>Rallapalli  Lashareef (1030213)</t>
        </is>
      </c>
      <c r="B407" s="15" t="inlineStr">
        <is>
          <t>Friday, 14 July 2023</t>
        </is>
      </c>
      <c r="C407" s="15" t="inlineStr">
        <is>
          <t>Friday, 14 July 2023</t>
        </is>
      </c>
      <c r="D407" t="inlineStr">
        <is>
          <t xml:space="preserve">Casual / Sick </t>
        </is>
      </c>
      <c r="E407" t="n">
        <v>1</v>
      </c>
      <c r="F407" s="1" t="n"/>
      <c r="G407" s="1" t="n"/>
      <c r="H407">
        <f>IF(T_LEAVE[[#This Row],[EMPLOYEE]]="","",MATCH(T_LEAVE[[#This Row],[EMPLOYEE]],L_EMPLABELS,0))</f>
        <v/>
      </c>
      <c r="I407">
        <f>IF(T_LEAVE[[#This Row],[EMPLOYEE]]="","",MATCH(T_LEAVE[[#This Row],[LEAVE TYPE]],L_LEAVETYPES,0))</f>
        <v/>
      </c>
      <c r="J407">
        <f t="array" ref="J407">IFERROR(INDEX(T_LEAVE_TYPES[SYMBOL],T_LEAVE[[#This Row],[LEAVE TYPE SYS ID]]),"")</f>
        <v/>
      </c>
      <c r="K407">
        <f>IF(T_LEAVE[[#This Row],[EMPLOYEE]]="","",IF(T_LEAVE[[#This Row],[ERROR]]="",0,1))</f>
        <v/>
      </c>
      <c r="L407">
        <f t="array" ref="L40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8">
      <c r="A408" t="inlineStr">
        <is>
          <t>Rallapalli  Lashareef (1030213)</t>
        </is>
      </c>
      <c r="B408" s="15" t="inlineStr">
        <is>
          <t>Thursday, 08 June 2023</t>
        </is>
      </c>
      <c r="C408" s="15" t="inlineStr">
        <is>
          <t>Thursday, 08 June 2023</t>
        </is>
      </c>
      <c r="D408" t="inlineStr">
        <is>
          <t xml:space="preserve">Casual / Sick </t>
        </is>
      </c>
      <c r="E408" t="n">
        <v>1</v>
      </c>
      <c r="F408" s="1" t="n"/>
      <c r="G408" s="1" t="n"/>
      <c r="H408">
        <f>IF(T_LEAVE[[#This Row],[EMPLOYEE]]="","",MATCH(T_LEAVE[[#This Row],[EMPLOYEE]],L_EMPLABELS,0))</f>
        <v/>
      </c>
      <c r="I408">
        <f>IF(T_LEAVE[[#This Row],[EMPLOYEE]]="","",MATCH(T_LEAVE[[#This Row],[LEAVE TYPE]],L_LEAVETYPES,0))</f>
        <v/>
      </c>
      <c r="J408">
        <f t="array" ref="J408">IFERROR(INDEX(T_LEAVE_TYPES[SYMBOL],T_LEAVE[[#This Row],[LEAVE TYPE SYS ID]]),"")</f>
        <v/>
      </c>
      <c r="K408">
        <f>IF(T_LEAVE[[#This Row],[EMPLOYEE]]="","",IF(T_LEAVE[[#This Row],[ERROR]]="",0,1))</f>
        <v/>
      </c>
      <c r="L408">
        <f t="array" ref="L40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09">
      <c r="A409" t="inlineStr">
        <is>
          <t>Katakam Vijaykumar (1017149)</t>
        </is>
      </c>
      <c r="B409" s="15" t="inlineStr">
        <is>
          <t>Wednesday, 07 April 2021</t>
        </is>
      </c>
      <c r="C409" s="15" t="inlineStr">
        <is>
          <t>Friday, 09 April 2021</t>
        </is>
      </c>
      <c r="D409" t="inlineStr">
        <is>
          <t xml:space="preserve">Casual / Sick </t>
        </is>
      </c>
      <c r="E409" t="n">
        <v>3</v>
      </c>
      <c r="F409" s="1" t="n"/>
      <c r="G409" s="1" t="n"/>
      <c r="H409">
        <f>IF(T_LEAVE[[#This Row],[EMPLOYEE]]="","",MATCH(T_LEAVE[[#This Row],[EMPLOYEE]],L_EMPLABELS,0))</f>
        <v/>
      </c>
      <c r="I409">
        <f>IF(T_LEAVE[[#This Row],[EMPLOYEE]]="","",MATCH(T_LEAVE[[#This Row],[LEAVE TYPE]],L_LEAVETYPES,0))</f>
        <v/>
      </c>
      <c r="J409">
        <f t="array" ref="J409">IFERROR(INDEX(T_LEAVE_TYPES[SYMBOL],T_LEAVE[[#This Row],[LEAVE TYPE SYS ID]]),"")</f>
        <v/>
      </c>
      <c r="K409">
        <f>IF(T_LEAVE[[#This Row],[EMPLOYEE]]="","",IF(T_LEAVE[[#This Row],[ERROR]]="",0,1))</f>
        <v/>
      </c>
      <c r="L409">
        <f t="array" ref="L40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0">
      <c r="A410" t="inlineStr">
        <is>
          <t>Rallapalli  Lashareef (1030213)</t>
        </is>
      </c>
      <c r="B410" s="15" t="inlineStr">
        <is>
          <t>Monday, 03 April 2023</t>
        </is>
      </c>
      <c r="C410" s="15" t="inlineStr">
        <is>
          <t>Monday, 03 April 2023</t>
        </is>
      </c>
      <c r="D410" t="inlineStr">
        <is>
          <t>Privilege</t>
        </is>
      </c>
      <c r="E410" t="n">
        <v>1</v>
      </c>
      <c r="F410" s="1" t="n"/>
      <c r="G410" s="1" t="n"/>
      <c r="H410">
        <f>IF(T_LEAVE[[#This Row],[EMPLOYEE]]="","",MATCH(T_LEAVE[[#This Row],[EMPLOYEE]],L_EMPLABELS,0))</f>
        <v/>
      </c>
      <c r="I410">
        <f>IF(T_LEAVE[[#This Row],[EMPLOYEE]]="","",MATCH(T_LEAVE[[#This Row],[LEAVE TYPE]],L_LEAVETYPES,0))</f>
        <v/>
      </c>
      <c r="J410">
        <f t="array" ref="J410">IFERROR(INDEX(T_LEAVE_TYPES[SYMBOL],T_LEAVE[[#This Row],[LEAVE TYPE SYS ID]]),"")</f>
        <v/>
      </c>
      <c r="K410">
        <f>IF(T_LEAVE[[#This Row],[EMPLOYEE]]="","",IF(T_LEAVE[[#This Row],[ERROR]]="",0,1))</f>
        <v/>
      </c>
      <c r="L410">
        <f t="array" ref="L4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1">
      <c r="A411" t="inlineStr">
        <is>
          <t>Rallapalli  Lashareef (1030213)</t>
        </is>
      </c>
      <c r="B411" s="15" t="inlineStr">
        <is>
          <t>Thursday, 09 March 2023</t>
        </is>
      </c>
      <c r="C411" s="15" t="inlineStr">
        <is>
          <t>Thursday, 09 March 2023</t>
        </is>
      </c>
      <c r="D411" t="inlineStr">
        <is>
          <t>Privilege</t>
        </is>
      </c>
      <c r="E411" t="n">
        <v>1</v>
      </c>
      <c r="F411" s="1" t="n"/>
      <c r="G411" s="1" t="n"/>
      <c r="H411">
        <f>IF(T_LEAVE[[#This Row],[EMPLOYEE]]="","",MATCH(T_LEAVE[[#This Row],[EMPLOYEE]],L_EMPLABELS,0))</f>
        <v/>
      </c>
      <c r="I411">
        <f>IF(T_LEAVE[[#This Row],[EMPLOYEE]]="","",MATCH(T_LEAVE[[#This Row],[LEAVE TYPE]],L_LEAVETYPES,0))</f>
        <v/>
      </c>
      <c r="J411">
        <f t="array" ref="J411">IFERROR(INDEX(T_LEAVE_TYPES[SYMBOL],T_LEAVE[[#This Row],[LEAVE TYPE SYS ID]]),"")</f>
        <v/>
      </c>
      <c r="K411">
        <f>IF(T_LEAVE[[#This Row],[EMPLOYEE]]="","",IF(T_LEAVE[[#This Row],[ERROR]]="",0,1))</f>
        <v/>
      </c>
      <c r="L411">
        <f t="array" ref="L4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2">
      <c r="A412" t="inlineStr">
        <is>
          <t>Rallapalli  Lashareef (1030213)</t>
        </is>
      </c>
      <c r="B412" s="15" t="inlineStr">
        <is>
          <t>Monday, 20 February 2023</t>
        </is>
      </c>
      <c r="C412" s="15" t="inlineStr">
        <is>
          <t>Monday, 20 February 2023</t>
        </is>
      </c>
      <c r="D412" t="inlineStr">
        <is>
          <t>Privilege</t>
        </is>
      </c>
      <c r="E412" t="n">
        <v>1</v>
      </c>
      <c r="F412" s="1" t="n"/>
      <c r="G412" s="1" t="n"/>
      <c r="H412">
        <f>IF(T_LEAVE[[#This Row],[EMPLOYEE]]="","",MATCH(T_LEAVE[[#This Row],[EMPLOYEE]],L_EMPLABELS,0))</f>
        <v/>
      </c>
      <c r="I412">
        <f>IF(T_LEAVE[[#This Row],[EMPLOYEE]]="","",MATCH(T_LEAVE[[#This Row],[LEAVE TYPE]],L_LEAVETYPES,0))</f>
        <v/>
      </c>
      <c r="J412">
        <f t="array" ref="J412">IFERROR(INDEX(T_LEAVE_TYPES[SYMBOL],T_LEAVE[[#This Row],[LEAVE TYPE SYS ID]]),"")</f>
        <v/>
      </c>
      <c r="K412">
        <f>IF(T_LEAVE[[#This Row],[EMPLOYEE]]="","",IF(T_LEAVE[[#This Row],[ERROR]]="",0,1))</f>
        <v/>
      </c>
      <c r="L412">
        <f t="array" ref="L4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3">
      <c r="A413" t="inlineStr">
        <is>
          <t>Rallapalli  Lashareef (1030213)</t>
        </is>
      </c>
      <c r="B413" s="15" t="inlineStr">
        <is>
          <t>Monday, 23 January 2023</t>
        </is>
      </c>
      <c r="C413" s="15" t="inlineStr">
        <is>
          <t>Monday, 23 January 2023</t>
        </is>
      </c>
      <c r="D413" t="inlineStr">
        <is>
          <t xml:space="preserve">Casual / Sick </t>
        </is>
      </c>
      <c r="E413" t="n">
        <v>1</v>
      </c>
      <c r="F413" s="1" t="n"/>
      <c r="G413" s="1" t="n"/>
      <c r="H413">
        <f>IF(T_LEAVE[[#This Row],[EMPLOYEE]]="","",MATCH(T_LEAVE[[#This Row],[EMPLOYEE]],L_EMPLABELS,0))</f>
        <v/>
      </c>
      <c r="I413">
        <f>IF(T_LEAVE[[#This Row],[EMPLOYEE]]="","",MATCH(T_LEAVE[[#This Row],[LEAVE TYPE]],L_LEAVETYPES,0))</f>
        <v/>
      </c>
      <c r="J413">
        <f t="array" ref="J413">IFERROR(INDEX(T_LEAVE_TYPES[SYMBOL],T_LEAVE[[#This Row],[LEAVE TYPE SYS ID]]),"")</f>
        <v/>
      </c>
      <c r="K413">
        <f>IF(T_LEAVE[[#This Row],[EMPLOYEE]]="","",IF(T_LEAVE[[#This Row],[ERROR]]="",0,1))</f>
        <v/>
      </c>
      <c r="L413">
        <f t="array" ref="L4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4">
      <c r="A414" t="inlineStr">
        <is>
          <t>Samaleti  Srikanth (1033992)</t>
        </is>
      </c>
      <c r="B414" s="15" t="inlineStr">
        <is>
          <t>Tuesday, 19 December 2023</t>
        </is>
      </c>
      <c r="C414" s="15" t="inlineStr">
        <is>
          <t>Sunday, 31 December 2023</t>
        </is>
      </c>
      <c r="D414" t="inlineStr">
        <is>
          <t>LOP</t>
        </is>
      </c>
      <c r="E414" t="n">
        <v>12</v>
      </c>
      <c r="F414" s="1" t="n"/>
      <c r="G414" s="1" t="n"/>
      <c r="H414">
        <f>IF(T_LEAVE[[#This Row],[EMPLOYEE]]="","",MATCH(T_LEAVE[[#This Row],[EMPLOYEE]],L_EMPLABELS,0))</f>
        <v/>
      </c>
      <c r="I414">
        <f>IF(T_LEAVE[[#This Row],[EMPLOYEE]]="","",MATCH(T_LEAVE[[#This Row],[LEAVE TYPE]],L_LEAVETYPES,0))</f>
        <v/>
      </c>
      <c r="J414">
        <f t="array" ref="J414">IFERROR(INDEX(T_LEAVE_TYPES[SYMBOL],T_LEAVE[[#This Row],[LEAVE TYPE SYS ID]]),"")</f>
        <v/>
      </c>
      <c r="K414">
        <f>IF(T_LEAVE[[#This Row],[EMPLOYEE]]="","",IF(T_LEAVE[[#This Row],[ERROR]]="",0,1))</f>
        <v/>
      </c>
      <c r="L414">
        <f t="array" ref="L4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5">
      <c r="A415" t="inlineStr">
        <is>
          <t>Samaleti  Srikanth (1033992)</t>
        </is>
      </c>
      <c r="B415" s="15" t="inlineStr">
        <is>
          <t>Friday, 29 December 2023</t>
        </is>
      </c>
      <c r="C415" s="15" t="inlineStr">
        <is>
          <t>Friday, 29 December 2023</t>
        </is>
      </c>
      <c r="D415" t="inlineStr">
        <is>
          <t>LOP</t>
        </is>
      </c>
      <c r="E415" t="n">
        <v>1</v>
      </c>
      <c r="F415" s="1" t="n"/>
      <c r="G415" s="1" t="n"/>
      <c r="H415">
        <f>IF(T_LEAVE[[#This Row],[EMPLOYEE]]="","",MATCH(T_LEAVE[[#This Row],[EMPLOYEE]],L_EMPLABELS,0))</f>
        <v/>
      </c>
      <c r="I415">
        <f>IF(T_LEAVE[[#This Row],[EMPLOYEE]]="","",MATCH(T_LEAVE[[#This Row],[LEAVE TYPE]],L_LEAVETYPES,0))</f>
        <v/>
      </c>
      <c r="J415">
        <f t="array" ref="J415">IFERROR(INDEX(T_LEAVE_TYPES[SYMBOL],T_LEAVE[[#This Row],[LEAVE TYPE SYS ID]]),"")</f>
        <v/>
      </c>
      <c r="K415">
        <f>IF(T_LEAVE[[#This Row],[EMPLOYEE]]="","",IF(T_LEAVE[[#This Row],[ERROR]]="",0,1))</f>
        <v/>
      </c>
      <c r="L415">
        <f t="array" ref="L4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6">
      <c r="A416" t="inlineStr">
        <is>
          <t>Samaleti  Srikanth (1033992)</t>
        </is>
      </c>
      <c r="B416" s="15" t="inlineStr">
        <is>
          <t>Thursday, 28 December 2023</t>
        </is>
      </c>
      <c r="C416" s="15" t="inlineStr">
        <is>
          <t>Thursday, 28 December 2023</t>
        </is>
      </c>
      <c r="D416" t="inlineStr">
        <is>
          <t>LOP</t>
        </is>
      </c>
      <c r="E416" t="n">
        <v>1</v>
      </c>
      <c r="F416" s="1" t="n"/>
      <c r="G416" s="1" t="n"/>
      <c r="H416">
        <f>IF(T_LEAVE[[#This Row],[EMPLOYEE]]="","",MATCH(T_LEAVE[[#This Row],[EMPLOYEE]],L_EMPLABELS,0))</f>
        <v/>
      </c>
      <c r="I416">
        <f>IF(T_LEAVE[[#This Row],[EMPLOYEE]]="","",MATCH(T_LEAVE[[#This Row],[LEAVE TYPE]],L_LEAVETYPES,0))</f>
        <v/>
      </c>
      <c r="J416">
        <f t="array" ref="J416">IFERROR(INDEX(T_LEAVE_TYPES[SYMBOL],T_LEAVE[[#This Row],[LEAVE TYPE SYS ID]]),"")</f>
        <v/>
      </c>
      <c r="K416">
        <f>IF(T_LEAVE[[#This Row],[EMPLOYEE]]="","",IF(T_LEAVE[[#This Row],[ERROR]]="",0,1))</f>
        <v/>
      </c>
      <c r="L416">
        <f t="array" ref="L4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7">
      <c r="A417" t="inlineStr">
        <is>
          <t>Katakam Vijaykumar (1017149)</t>
        </is>
      </c>
      <c r="B417" s="28" t="inlineStr">
        <is>
          <t>Wednesday, 15 November 2023</t>
        </is>
      </c>
      <c r="C417" s="15" t="inlineStr">
        <is>
          <t>Thursday, 16 November 2023</t>
        </is>
      </c>
      <c r="D417" t="inlineStr">
        <is>
          <t>Privilege</t>
        </is>
      </c>
      <c r="E417" t="n">
        <v>2</v>
      </c>
      <c r="F417" s="1" t="n"/>
      <c r="G417" s="1" t="n"/>
      <c r="H417">
        <f>IF(T_LEAVE[[#This Row],[EMPLOYEE]]="","",MATCH(T_LEAVE[[#This Row],[EMPLOYEE]],L_EMPLABELS,0))</f>
        <v/>
      </c>
      <c r="I417">
        <f>IF(T_LEAVE[[#This Row],[EMPLOYEE]]="","",MATCH(T_LEAVE[[#This Row],[LEAVE TYPE]],L_LEAVETYPES,0))</f>
        <v/>
      </c>
      <c r="J417">
        <f t="array" ref="J417">IFERROR(INDEX(T_LEAVE_TYPES[SYMBOL],T_LEAVE[[#This Row],[LEAVE TYPE SYS ID]]),"")</f>
        <v/>
      </c>
      <c r="K417">
        <f>IF(T_LEAVE[[#This Row],[EMPLOYEE]]="","",IF(T_LEAVE[[#This Row],[ERROR]]="",0,1))</f>
        <v/>
      </c>
      <c r="L417">
        <f t="array" ref="L4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8">
      <c r="A418" t="inlineStr">
        <is>
          <t>Katakam Vijaykumar (1017149)</t>
        </is>
      </c>
      <c r="B418" s="15" t="inlineStr">
        <is>
          <t>Wednesday, 19 January 2022</t>
        </is>
      </c>
      <c r="C418" s="15" t="inlineStr">
        <is>
          <t>Wednesday, 19 January 2022</t>
        </is>
      </c>
      <c r="D418" t="inlineStr">
        <is>
          <t xml:space="preserve">Casual / Sick </t>
        </is>
      </c>
      <c r="E418" t="n">
        <v>1</v>
      </c>
      <c r="F418" s="1" t="n"/>
      <c r="G418" s="1" t="n"/>
      <c r="H418">
        <f>IF(T_LEAVE[[#This Row],[EMPLOYEE]]="","",MATCH(T_LEAVE[[#This Row],[EMPLOYEE]],L_EMPLABELS,0))</f>
        <v/>
      </c>
      <c r="I418">
        <f>IF(T_LEAVE[[#This Row],[EMPLOYEE]]="","",MATCH(T_LEAVE[[#This Row],[LEAVE TYPE]],L_LEAVETYPES,0))</f>
        <v/>
      </c>
      <c r="J418">
        <f t="array" ref="J418">IFERROR(INDEX(T_LEAVE_TYPES[SYMBOL],T_LEAVE[[#This Row],[LEAVE TYPE SYS ID]]),"")</f>
        <v/>
      </c>
      <c r="K418">
        <f>IF(T_LEAVE[[#This Row],[EMPLOYEE]]="","",IF(T_LEAVE[[#This Row],[ERROR]]="",0,1))</f>
        <v/>
      </c>
      <c r="L418">
        <f t="array" ref="L4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19">
      <c r="A419" t="inlineStr">
        <is>
          <t>Samaleti  Srikanth (1033992)</t>
        </is>
      </c>
      <c r="B419" s="15" t="inlineStr">
        <is>
          <t>Wednesday, 27 December 2023</t>
        </is>
      </c>
      <c r="C419" s="15" t="inlineStr">
        <is>
          <t>Wednesday, 27 December 2023</t>
        </is>
      </c>
      <c r="D419" t="inlineStr">
        <is>
          <t>LOP</t>
        </is>
      </c>
      <c r="E419" t="n">
        <v>1</v>
      </c>
      <c r="F419" s="1" t="n"/>
      <c r="G419" s="1" t="n"/>
      <c r="H419">
        <f>IF(T_LEAVE[[#This Row],[EMPLOYEE]]="","",MATCH(T_LEAVE[[#This Row],[EMPLOYEE]],L_EMPLABELS,0))</f>
        <v/>
      </c>
      <c r="I419">
        <f>IF(T_LEAVE[[#This Row],[EMPLOYEE]]="","",MATCH(T_LEAVE[[#This Row],[LEAVE TYPE]],L_LEAVETYPES,0))</f>
        <v/>
      </c>
      <c r="J419">
        <f t="array" ref="J419">IFERROR(INDEX(T_LEAVE_TYPES[SYMBOL],T_LEAVE[[#This Row],[LEAVE TYPE SYS ID]]),"")</f>
        <v/>
      </c>
      <c r="K419">
        <f>IF(T_LEAVE[[#This Row],[EMPLOYEE]]="","",IF(T_LEAVE[[#This Row],[ERROR]]="",0,1))</f>
        <v/>
      </c>
      <c r="L419">
        <f t="array" ref="L4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0">
      <c r="A420" t="inlineStr">
        <is>
          <t>Samaleti  Srikanth (1033992)</t>
        </is>
      </c>
      <c r="B420" s="15" t="inlineStr">
        <is>
          <t>Tuesday, 26 December 2023</t>
        </is>
      </c>
      <c r="C420" s="15" t="inlineStr">
        <is>
          <t>Tuesday, 26 December 2023</t>
        </is>
      </c>
      <c r="D420" t="inlineStr">
        <is>
          <t>LOP</t>
        </is>
      </c>
      <c r="E420" t="n">
        <v>1</v>
      </c>
      <c r="F420" s="1" t="n"/>
      <c r="G420" s="1" t="n"/>
      <c r="H420">
        <f>IF(T_LEAVE[[#This Row],[EMPLOYEE]]="","",MATCH(T_LEAVE[[#This Row],[EMPLOYEE]],L_EMPLABELS,0))</f>
        <v/>
      </c>
      <c r="I420">
        <f>IF(T_LEAVE[[#This Row],[EMPLOYEE]]="","",MATCH(T_LEAVE[[#This Row],[LEAVE TYPE]],L_LEAVETYPES,0))</f>
        <v/>
      </c>
      <c r="J420">
        <f t="array" ref="J420">IFERROR(INDEX(T_LEAVE_TYPES[SYMBOL],T_LEAVE[[#This Row],[LEAVE TYPE SYS ID]]),"")</f>
        <v/>
      </c>
      <c r="K420">
        <f>IF(T_LEAVE[[#This Row],[EMPLOYEE]]="","",IF(T_LEAVE[[#This Row],[ERROR]]="",0,1))</f>
        <v/>
      </c>
      <c r="L420">
        <f t="array" ref="L4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1">
      <c r="A421" t="inlineStr">
        <is>
          <t>Nagarjun Naidu Mannem (1019816)</t>
        </is>
      </c>
      <c r="B421" s="15" t="inlineStr">
        <is>
          <t>Tuesday, 17 November 2020</t>
        </is>
      </c>
      <c r="C421" s="15" t="inlineStr">
        <is>
          <t>Tuesday, 17 November 2020</t>
        </is>
      </c>
      <c r="D421" t="inlineStr">
        <is>
          <t>Privilege</t>
        </is>
      </c>
      <c r="E421" t="n">
        <v>1</v>
      </c>
      <c r="F421" s="1" t="n"/>
      <c r="G421" s="1" t="n"/>
      <c r="H421">
        <f>IF(T_LEAVE[[#This Row],[EMPLOYEE]]="","",MATCH(T_LEAVE[[#This Row],[EMPLOYEE]],L_EMPLABELS,0))</f>
        <v/>
      </c>
      <c r="I421">
        <f>IF(T_LEAVE[[#This Row],[EMPLOYEE]]="","",MATCH(T_LEAVE[[#This Row],[LEAVE TYPE]],L_LEAVETYPES,0))</f>
        <v/>
      </c>
      <c r="J421">
        <f t="array" ref="J421">IFERROR(INDEX(T_LEAVE_TYPES[SYMBOL],T_LEAVE[[#This Row],[LEAVE TYPE SYS ID]]),"")</f>
        <v/>
      </c>
      <c r="K421">
        <f>IF(T_LEAVE[[#This Row],[EMPLOYEE]]="","",IF(T_LEAVE[[#This Row],[ERROR]]="",0,1))</f>
        <v/>
      </c>
      <c r="L421">
        <f t="array" ref="L4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2">
      <c r="A422" t="inlineStr">
        <is>
          <t>Nagarjun Naidu Mannem (1019816)</t>
        </is>
      </c>
      <c r="B422" s="15" t="inlineStr">
        <is>
          <t>Thursday, 12 November 2020</t>
        </is>
      </c>
      <c r="C422" s="15" t="inlineStr">
        <is>
          <t>Thursday, 12 November 2020</t>
        </is>
      </c>
      <c r="D422" t="inlineStr">
        <is>
          <t>Privilege</t>
        </is>
      </c>
      <c r="E422" t="n">
        <v>1</v>
      </c>
      <c r="F422" s="1" t="n"/>
      <c r="G422" s="1" t="n"/>
      <c r="H422">
        <f>IF(T_LEAVE[[#This Row],[EMPLOYEE]]="","",MATCH(T_LEAVE[[#This Row],[EMPLOYEE]],L_EMPLABELS,0))</f>
        <v/>
      </c>
      <c r="I422">
        <f>IF(T_LEAVE[[#This Row],[EMPLOYEE]]="","",MATCH(T_LEAVE[[#This Row],[LEAVE TYPE]],L_LEAVETYPES,0))</f>
        <v/>
      </c>
      <c r="J422">
        <f t="array" ref="J422">IFERROR(INDEX(T_LEAVE_TYPES[SYMBOL],T_LEAVE[[#This Row],[LEAVE TYPE SYS ID]]),"")</f>
        <v/>
      </c>
      <c r="K422">
        <f>IF(T_LEAVE[[#This Row],[EMPLOYEE]]="","",IF(T_LEAVE[[#This Row],[ERROR]]="",0,1))</f>
        <v/>
      </c>
      <c r="L422">
        <f t="array" ref="L4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3">
      <c r="A423" t="inlineStr">
        <is>
          <t>Nagarjun Naidu Mannem (1019816)</t>
        </is>
      </c>
      <c r="B423" s="15" t="inlineStr">
        <is>
          <t>Thursday, 29 October 2020</t>
        </is>
      </c>
      <c r="C423" s="15" t="inlineStr">
        <is>
          <t>Friday, 30 October 2020</t>
        </is>
      </c>
      <c r="D423" t="inlineStr">
        <is>
          <t>Privilege</t>
        </is>
      </c>
      <c r="E423" t="n">
        <v>2</v>
      </c>
      <c r="F423" s="1" t="n"/>
      <c r="G423" s="1" t="n"/>
      <c r="H423">
        <f>IF(T_LEAVE[[#This Row],[EMPLOYEE]]="","",MATCH(T_LEAVE[[#This Row],[EMPLOYEE]],L_EMPLABELS,0))</f>
        <v/>
      </c>
      <c r="I423">
        <f>IF(T_LEAVE[[#This Row],[EMPLOYEE]]="","",MATCH(T_LEAVE[[#This Row],[LEAVE TYPE]],L_LEAVETYPES,0))</f>
        <v/>
      </c>
      <c r="J423">
        <f t="array" ref="J423">IFERROR(INDEX(T_LEAVE_TYPES[SYMBOL],T_LEAVE[[#This Row],[LEAVE TYPE SYS ID]]),"")</f>
        <v/>
      </c>
      <c r="K423">
        <f>IF(T_LEAVE[[#This Row],[EMPLOYEE]]="","",IF(T_LEAVE[[#This Row],[ERROR]]="",0,1))</f>
        <v/>
      </c>
      <c r="L423">
        <f t="array" ref="L4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4">
      <c r="A424" t="inlineStr">
        <is>
          <t>Nagarjun Naidu Mannem (1019816)</t>
        </is>
      </c>
      <c r="B424" s="15" t="inlineStr">
        <is>
          <t>Thursday, 22 October 2020</t>
        </is>
      </c>
      <c r="C424" s="15" t="inlineStr">
        <is>
          <t>Wednesday, 28 October 2020</t>
        </is>
      </c>
      <c r="D424" t="inlineStr">
        <is>
          <t xml:space="preserve">Casual / Sick </t>
        </is>
      </c>
      <c r="E424" t="n">
        <v>4</v>
      </c>
      <c r="F424" s="1" t="n"/>
      <c r="G424" s="1" t="n"/>
      <c r="H424">
        <f>IF(T_LEAVE[[#This Row],[EMPLOYEE]]="","",MATCH(T_LEAVE[[#This Row],[EMPLOYEE]],L_EMPLABELS,0))</f>
        <v/>
      </c>
      <c r="I424">
        <f>IF(T_LEAVE[[#This Row],[EMPLOYEE]]="","",MATCH(T_LEAVE[[#This Row],[LEAVE TYPE]],L_LEAVETYPES,0))</f>
        <v/>
      </c>
      <c r="J424">
        <f t="array" ref="J424">IFERROR(INDEX(T_LEAVE_TYPES[SYMBOL],T_LEAVE[[#This Row],[LEAVE TYPE SYS ID]]),"")</f>
        <v/>
      </c>
      <c r="K424">
        <f>IF(T_LEAVE[[#This Row],[EMPLOYEE]]="","",IF(T_LEAVE[[#This Row],[ERROR]]="",0,1))</f>
        <v/>
      </c>
      <c r="L424">
        <f t="array" ref="L4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5">
      <c r="A425" t="inlineStr">
        <is>
          <t>Samaleti  Srikanth (1033992)</t>
        </is>
      </c>
      <c r="B425" s="15" t="inlineStr">
        <is>
          <t>Friday, 22 December 2023</t>
        </is>
      </c>
      <c r="C425" s="15" t="inlineStr">
        <is>
          <t>Friday, 22 December 2023</t>
        </is>
      </c>
      <c r="D425" t="inlineStr">
        <is>
          <t>LOP</t>
        </is>
      </c>
      <c r="E425" t="n">
        <v>1</v>
      </c>
      <c r="F425" s="1" t="n"/>
      <c r="G425" s="1" t="n"/>
      <c r="H425">
        <f>IF(T_LEAVE[[#This Row],[EMPLOYEE]]="","",MATCH(T_LEAVE[[#This Row],[EMPLOYEE]],L_EMPLABELS,0))</f>
        <v/>
      </c>
      <c r="I425">
        <f>IF(T_LEAVE[[#This Row],[EMPLOYEE]]="","",MATCH(T_LEAVE[[#This Row],[LEAVE TYPE]],L_LEAVETYPES,0))</f>
        <v/>
      </c>
      <c r="J425">
        <f t="array" ref="J425">IFERROR(INDEX(T_LEAVE_TYPES[SYMBOL],T_LEAVE[[#This Row],[LEAVE TYPE SYS ID]]),"")</f>
        <v/>
      </c>
      <c r="K425">
        <f>IF(T_LEAVE[[#This Row],[EMPLOYEE]]="","",IF(T_LEAVE[[#This Row],[ERROR]]="",0,1))</f>
        <v/>
      </c>
      <c r="L425">
        <f t="array" ref="L4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6">
      <c r="A426" t="inlineStr">
        <is>
          <t>Samaleti  Srikanth (1033992)</t>
        </is>
      </c>
      <c r="B426" s="15" t="inlineStr">
        <is>
          <t>Thursday, 21 December 2023</t>
        </is>
      </c>
      <c r="C426" s="15" t="inlineStr">
        <is>
          <t>Thursday, 21 December 2023</t>
        </is>
      </c>
      <c r="D426" t="inlineStr">
        <is>
          <t>LOP</t>
        </is>
      </c>
      <c r="E426" t="n">
        <v>1</v>
      </c>
      <c r="F426" s="1" t="n"/>
      <c r="G426" s="1" t="n"/>
      <c r="H426">
        <f>IF(T_LEAVE[[#This Row],[EMPLOYEE]]="","",MATCH(T_LEAVE[[#This Row],[EMPLOYEE]],L_EMPLABELS,0))</f>
        <v/>
      </c>
      <c r="I426">
        <f>IF(T_LEAVE[[#This Row],[EMPLOYEE]]="","",MATCH(T_LEAVE[[#This Row],[LEAVE TYPE]],L_LEAVETYPES,0))</f>
        <v/>
      </c>
      <c r="J426">
        <f t="array" ref="J426">IFERROR(INDEX(T_LEAVE_TYPES[SYMBOL],T_LEAVE[[#This Row],[LEAVE TYPE SYS ID]]),"")</f>
        <v/>
      </c>
      <c r="K426">
        <f>IF(T_LEAVE[[#This Row],[EMPLOYEE]]="","",IF(T_LEAVE[[#This Row],[ERROR]]="",0,1))</f>
        <v/>
      </c>
      <c r="L426">
        <f t="array" ref="L4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7">
      <c r="A427" t="inlineStr">
        <is>
          <t>Samaleti  Srikanth (1033992)</t>
        </is>
      </c>
      <c r="B427" s="15" t="inlineStr">
        <is>
          <t>Wednesday, 20 December 2023</t>
        </is>
      </c>
      <c r="C427" s="15" t="inlineStr">
        <is>
          <t>Wednesday, 20 December 2023</t>
        </is>
      </c>
      <c r="D427" t="inlineStr">
        <is>
          <t>LOP</t>
        </is>
      </c>
      <c r="E427" t="n">
        <v>1</v>
      </c>
      <c r="F427" s="1" t="n"/>
      <c r="G427" s="1" t="n"/>
      <c r="H427">
        <f>IF(T_LEAVE[[#This Row],[EMPLOYEE]]="","",MATCH(T_LEAVE[[#This Row],[EMPLOYEE]],L_EMPLABELS,0))</f>
        <v/>
      </c>
      <c r="I427">
        <f>IF(T_LEAVE[[#This Row],[EMPLOYEE]]="","",MATCH(T_LEAVE[[#This Row],[LEAVE TYPE]],L_LEAVETYPES,0))</f>
        <v/>
      </c>
      <c r="J427">
        <f t="array" ref="J427">IFERROR(INDEX(T_LEAVE_TYPES[SYMBOL],T_LEAVE[[#This Row],[LEAVE TYPE SYS ID]]),"")</f>
        <v/>
      </c>
      <c r="K427">
        <f>IF(T_LEAVE[[#This Row],[EMPLOYEE]]="","",IF(T_LEAVE[[#This Row],[ERROR]]="",0,1))</f>
        <v/>
      </c>
      <c r="L427">
        <f t="array" ref="L4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8">
      <c r="A428" t="inlineStr">
        <is>
          <t>Samaleti  Srikanth (1033992)</t>
        </is>
      </c>
      <c r="B428" s="15" t="inlineStr">
        <is>
          <t>Friday, 15 December 2023</t>
        </is>
      </c>
      <c r="C428" s="15" t="inlineStr">
        <is>
          <t>Friday, 15 December 2023</t>
        </is>
      </c>
      <c r="D428" t="inlineStr">
        <is>
          <t xml:space="preserve">Casual / Sick </t>
        </is>
      </c>
      <c r="E428" t="n">
        <v>1</v>
      </c>
      <c r="F428" s="1" t="n"/>
      <c r="G428" s="1" t="n"/>
      <c r="H428">
        <f>IF(T_LEAVE[[#This Row],[EMPLOYEE]]="","",MATCH(T_LEAVE[[#This Row],[EMPLOYEE]],L_EMPLABELS,0))</f>
        <v/>
      </c>
      <c r="I428">
        <f>IF(T_LEAVE[[#This Row],[EMPLOYEE]]="","",MATCH(T_LEAVE[[#This Row],[LEAVE TYPE]],L_LEAVETYPES,0))</f>
        <v/>
      </c>
      <c r="J428">
        <f t="array" ref="J428">IFERROR(INDEX(T_LEAVE_TYPES[SYMBOL],T_LEAVE[[#This Row],[LEAVE TYPE SYS ID]]),"")</f>
        <v/>
      </c>
      <c r="K428">
        <f>IF(T_LEAVE[[#This Row],[EMPLOYEE]]="","",IF(T_LEAVE[[#This Row],[ERROR]]="",0,1))</f>
        <v/>
      </c>
      <c r="L428">
        <f t="array" ref="L4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29">
      <c r="A429" t="inlineStr">
        <is>
          <t>Santhiya  Krishnamoorthy (1024022)</t>
        </is>
      </c>
      <c r="B429" s="15" t="inlineStr">
        <is>
          <t>Wednesday, 15 November 2023</t>
        </is>
      </c>
      <c r="C429" s="15" t="inlineStr">
        <is>
          <t>Wednesday, 15 November 2023</t>
        </is>
      </c>
      <c r="D429" t="inlineStr">
        <is>
          <t xml:space="preserve">Casual / Sick </t>
        </is>
      </c>
      <c r="E429" t="n">
        <v>1</v>
      </c>
      <c r="F429" s="1" t="n"/>
      <c r="G429" s="1" t="n"/>
      <c r="H429">
        <f>IF(T_LEAVE[[#This Row],[EMPLOYEE]]="","",MATCH(T_LEAVE[[#This Row],[EMPLOYEE]],L_EMPLABELS,0))</f>
        <v/>
      </c>
      <c r="I429">
        <f>IF(T_LEAVE[[#This Row],[EMPLOYEE]]="","",MATCH(T_LEAVE[[#This Row],[LEAVE TYPE]],L_LEAVETYPES,0))</f>
        <v/>
      </c>
      <c r="J429">
        <f t="array" ref="J429">IFERROR(INDEX(T_LEAVE_TYPES[SYMBOL],T_LEAVE[[#This Row],[LEAVE TYPE SYS ID]]),"")</f>
        <v/>
      </c>
      <c r="K429">
        <f>IF(T_LEAVE[[#This Row],[EMPLOYEE]]="","",IF(T_LEAVE[[#This Row],[ERROR]]="",0,1))</f>
        <v/>
      </c>
      <c r="L429">
        <f t="array" ref="L4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0">
      <c r="A430" t="inlineStr">
        <is>
          <t>Santhiya  Krishnamoorthy (1024022)</t>
        </is>
      </c>
      <c r="B430" s="15" t="inlineStr">
        <is>
          <t>Friday, 29 September 2023</t>
        </is>
      </c>
      <c r="C430" s="15" t="inlineStr">
        <is>
          <t>Friday, 29 September 2023</t>
        </is>
      </c>
      <c r="D430" t="inlineStr">
        <is>
          <t>Privilege</t>
        </is>
      </c>
      <c r="E430" t="n">
        <v>1</v>
      </c>
      <c r="F430" s="1" t="n"/>
      <c r="G430" s="1" t="n"/>
      <c r="H430">
        <f>IF(T_LEAVE[[#This Row],[EMPLOYEE]]="","",MATCH(T_LEAVE[[#This Row],[EMPLOYEE]],L_EMPLABELS,0))</f>
        <v/>
      </c>
      <c r="I430">
        <f>IF(T_LEAVE[[#This Row],[EMPLOYEE]]="","",MATCH(T_LEAVE[[#This Row],[LEAVE TYPE]],L_LEAVETYPES,0))</f>
        <v/>
      </c>
      <c r="J430">
        <f t="array" ref="J430">IFERROR(INDEX(T_LEAVE_TYPES[SYMBOL],T_LEAVE[[#This Row],[LEAVE TYPE SYS ID]]),"")</f>
        <v/>
      </c>
      <c r="K430">
        <f>IF(T_LEAVE[[#This Row],[EMPLOYEE]]="","",IF(T_LEAVE[[#This Row],[ERROR]]="",0,1))</f>
        <v/>
      </c>
      <c r="L430">
        <f t="array" ref="L4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1">
      <c r="A431" t="inlineStr">
        <is>
          <t>Santhiya  Krishnamoorthy (1024022)</t>
        </is>
      </c>
      <c r="B431" s="15" t="inlineStr">
        <is>
          <t>Monday, 27 March 2023</t>
        </is>
      </c>
      <c r="C431" s="15" t="inlineStr">
        <is>
          <t>Monday, 27 March 2023</t>
        </is>
      </c>
      <c r="D431" t="inlineStr">
        <is>
          <t xml:space="preserve">Casual / Sick </t>
        </is>
      </c>
      <c r="E431" t="n">
        <v>1</v>
      </c>
      <c r="F431" s="1" t="n"/>
      <c r="G431" s="1" t="n"/>
      <c r="H431">
        <f>IF(T_LEAVE[[#This Row],[EMPLOYEE]]="","",MATCH(T_LEAVE[[#This Row],[EMPLOYEE]],L_EMPLABELS,0))</f>
        <v/>
      </c>
      <c r="I431">
        <f>IF(T_LEAVE[[#This Row],[EMPLOYEE]]="","",MATCH(T_LEAVE[[#This Row],[LEAVE TYPE]],L_LEAVETYPES,0))</f>
        <v/>
      </c>
      <c r="J431">
        <f t="array" ref="J431">IFERROR(INDEX(T_LEAVE_TYPES[SYMBOL],T_LEAVE[[#This Row],[LEAVE TYPE SYS ID]]),"")</f>
        <v/>
      </c>
      <c r="K431">
        <f>IF(T_LEAVE[[#This Row],[EMPLOYEE]]="","",IF(T_LEAVE[[#This Row],[ERROR]]="",0,1))</f>
        <v/>
      </c>
      <c r="L431">
        <f t="array" ref="L4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2">
      <c r="A432" t="inlineStr">
        <is>
          <t>Santhiya  Krishnamoorthy (1024022)</t>
        </is>
      </c>
      <c r="B432" s="15" t="inlineStr">
        <is>
          <t>Monday, 26 September 2022</t>
        </is>
      </c>
      <c r="C432" s="15" t="inlineStr">
        <is>
          <t>Monday, 26 September 2022</t>
        </is>
      </c>
      <c r="D432" s="17" t="inlineStr">
        <is>
          <t>Bereavement</t>
        </is>
      </c>
      <c r="E432" t="n">
        <v>1</v>
      </c>
      <c r="F432" s="1" t="n"/>
      <c r="G432" s="1" t="n"/>
      <c r="H432">
        <f>IF(T_LEAVE[[#This Row],[EMPLOYEE]]="","",MATCH(T_LEAVE[[#This Row],[EMPLOYEE]],L_EMPLABELS,0))</f>
        <v/>
      </c>
      <c r="I432">
        <f>IF(T_LEAVE[[#This Row],[EMPLOYEE]]="","",MATCH(T_LEAVE[[#This Row],[LEAVE TYPE]],L_LEAVETYPES,0))</f>
        <v/>
      </c>
      <c r="J432">
        <f t="array" ref="J432">IFERROR(INDEX(T_LEAVE_TYPES[SYMBOL],T_LEAVE[[#This Row],[LEAVE TYPE SYS ID]]),"")</f>
        <v/>
      </c>
      <c r="K432">
        <f>IF(T_LEAVE[[#This Row],[EMPLOYEE]]="","",IF(T_LEAVE[[#This Row],[ERROR]]="",0,1))</f>
        <v/>
      </c>
      <c r="L432">
        <f t="array" ref="L4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3">
      <c r="A433" t="inlineStr">
        <is>
          <t>Santhiya  Krishnamoorthy (1024022)</t>
        </is>
      </c>
      <c r="B433" s="15" t="inlineStr">
        <is>
          <t>Wednesday, 07 September 2022</t>
        </is>
      </c>
      <c r="C433" s="15" t="inlineStr">
        <is>
          <t>Wednesday, 07 September 2022</t>
        </is>
      </c>
      <c r="D433" t="inlineStr">
        <is>
          <t xml:space="preserve">Casual / Sick </t>
        </is>
      </c>
      <c r="E433" t="n">
        <v>1</v>
      </c>
      <c r="F433" s="1" t="n"/>
      <c r="G433" s="1" t="n"/>
      <c r="H433">
        <f>IF(T_LEAVE[[#This Row],[EMPLOYEE]]="","",MATCH(T_LEAVE[[#This Row],[EMPLOYEE]],L_EMPLABELS,0))</f>
        <v/>
      </c>
      <c r="I433">
        <f>IF(T_LEAVE[[#This Row],[EMPLOYEE]]="","",MATCH(T_LEAVE[[#This Row],[LEAVE TYPE]],L_LEAVETYPES,0))</f>
        <v/>
      </c>
      <c r="J433">
        <f t="array" ref="J433">IFERROR(INDEX(T_LEAVE_TYPES[SYMBOL],T_LEAVE[[#This Row],[LEAVE TYPE SYS ID]]),"")</f>
        <v/>
      </c>
      <c r="K433">
        <f>IF(T_LEAVE[[#This Row],[EMPLOYEE]]="","",IF(T_LEAVE[[#This Row],[ERROR]]="",0,1))</f>
        <v/>
      </c>
      <c r="L433">
        <f t="array" ref="L4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4">
      <c r="A434" t="inlineStr">
        <is>
          <t>Santhiya  Krishnamoorthy (1024022)</t>
        </is>
      </c>
      <c r="B434" s="15" t="inlineStr">
        <is>
          <t>Monday, 04 July 2022</t>
        </is>
      </c>
      <c r="C434" s="15" t="inlineStr">
        <is>
          <t>Monday, 04 July 2022</t>
        </is>
      </c>
      <c r="D434" t="inlineStr">
        <is>
          <t xml:space="preserve">Casual / Sick </t>
        </is>
      </c>
      <c r="E434" t="n">
        <v>1</v>
      </c>
      <c r="F434" s="1" t="n"/>
      <c r="G434" s="1" t="n"/>
      <c r="H434">
        <f>IF(T_LEAVE[[#This Row],[EMPLOYEE]]="","",MATCH(T_LEAVE[[#This Row],[EMPLOYEE]],L_EMPLABELS,0))</f>
        <v/>
      </c>
      <c r="I434">
        <f>IF(T_LEAVE[[#This Row],[EMPLOYEE]]="","",MATCH(T_LEAVE[[#This Row],[LEAVE TYPE]],L_LEAVETYPES,0))</f>
        <v/>
      </c>
      <c r="J434">
        <f t="array" ref="J434">IFERROR(INDEX(T_LEAVE_TYPES[SYMBOL],T_LEAVE[[#This Row],[LEAVE TYPE SYS ID]]),"")</f>
        <v/>
      </c>
      <c r="K434">
        <f>IF(T_LEAVE[[#This Row],[EMPLOYEE]]="","",IF(T_LEAVE[[#This Row],[ERROR]]="",0,1))</f>
        <v/>
      </c>
      <c r="L434">
        <f t="array" ref="L4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5">
      <c r="A435" t="inlineStr">
        <is>
          <t>Santhiya  Krishnamoorthy (1024022)</t>
        </is>
      </c>
      <c r="B435" s="15" t="inlineStr">
        <is>
          <t>Tuesday, 24 May 2022</t>
        </is>
      </c>
      <c r="C435" s="15" t="inlineStr">
        <is>
          <t>Tuesday, 24 May 2022</t>
        </is>
      </c>
      <c r="D435" t="inlineStr">
        <is>
          <t xml:space="preserve">Casual / Sick </t>
        </is>
      </c>
      <c r="E435" t="n">
        <v>1</v>
      </c>
      <c r="F435" s="1" t="n"/>
      <c r="G435" s="1" t="n"/>
      <c r="H435">
        <f>IF(T_LEAVE[[#This Row],[EMPLOYEE]]="","",MATCH(T_LEAVE[[#This Row],[EMPLOYEE]],L_EMPLABELS,0))</f>
        <v/>
      </c>
      <c r="I435">
        <f>IF(T_LEAVE[[#This Row],[EMPLOYEE]]="","",MATCH(T_LEAVE[[#This Row],[LEAVE TYPE]],L_LEAVETYPES,0))</f>
        <v/>
      </c>
      <c r="J435">
        <f t="array" ref="J435">IFERROR(INDEX(T_LEAVE_TYPES[SYMBOL],T_LEAVE[[#This Row],[LEAVE TYPE SYS ID]]),"")</f>
        <v/>
      </c>
      <c r="K435">
        <f>IF(T_LEAVE[[#This Row],[EMPLOYEE]]="","",IF(T_LEAVE[[#This Row],[ERROR]]="",0,1))</f>
        <v/>
      </c>
      <c r="L435">
        <f t="array" ref="L4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6">
      <c r="A436" t="inlineStr">
        <is>
          <t>Santhiya  Krishnamoorthy (1024022)</t>
        </is>
      </c>
      <c r="B436" s="15" t="inlineStr">
        <is>
          <t>Tuesday, 26 April 2022</t>
        </is>
      </c>
      <c r="C436" s="15" t="inlineStr">
        <is>
          <t>Tuesday, 26 April 2022</t>
        </is>
      </c>
      <c r="D436" t="inlineStr">
        <is>
          <t>Privilege</t>
        </is>
      </c>
      <c r="E436" t="n">
        <v>1</v>
      </c>
      <c r="F436" s="1" t="n"/>
      <c r="G436" s="1" t="n"/>
      <c r="H436">
        <f>IF(T_LEAVE[[#This Row],[EMPLOYEE]]="","",MATCH(T_LEAVE[[#This Row],[EMPLOYEE]],L_EMPLABELS,0))</f>
        <v/>
      </c>
      <c r="I436">
        <f>IF(T_LEAVE[[#This Row],[EMPLOYEE]]="","",MATCH(T_LEAVE[[#This Row],[LEAVE TYPE]],L_LEAVETYPES,0))</f>
        <v/>
      </c>
      <c r="J436">
        <f t="array" ref="J436">IFERROR(INDEX(T_LEAVE_TYPES[SYMBOL],T_LEAVE[[#This Row],[LEAVE TYPE SYS ID]]),"")</f>
        <v/>
      </c>
      <c r="K436">
        <f>IF(T_LEAVE[[#This Row],[EMPLOYEE]]="","",IF(T_LEAVE[[#This Row],[ERROR]]="",0,1))</f>
        <v/>
      </c>
      <c r="L436">
        <f t="array" ref="L4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7">
      <c r="A437" t="inlineStr">
        <is>
          <t>Santhiya  Krishnamoorthy (1024022)</t>
        </is>
      </c>
      <c r="B437" s="15" t="inlineStr">
        <is>
          <t>Monday, 28 February 2022</t>
        </is>
      </c>
      <c r="C437" s="15" t="inlineStr">
        <is>
          <t>Monday, 28 February 2022</t>
        </is>
      </c>
      <c r="D437" t="inlineStr">
        <is>
          <t>Privilege</t>
        </is>
      </c>
      <c r="E437" t="n">
        <v>1</v>
      </c>
      <c r="F437" s="1" t="n"/>
      <c r="G437" s="1" t="n"/>
      <c r="H437">
        <f>IF(T_LEAVE[[#This Row],[EMPLOYEE]]="","",MATCH(T_LEAVE[[#This Row],[EMPLOYEE]],L_EMPLABELS,0))</f>
        <v/>
      </c>
      <c r="I437">
        <f>IF(T_LEAVE[[#This Row],[EMPLOYEE]]="","",MATCH(T_LEAVE[[#This Row],[LEAVE TYPE]],L_LEAVETYPES,0))</f>
        <v/>
      </c>
      <c r="J437">
        <f t="array" ref="J437">IFERROR(INDEX(T_LEAVE_TYPES[SYMBOL],T_LEAVE[[#This Row],[LEAVE TYPE SYS ID]]),"")</f>
        <v/>
      </c>
      <c r="K437">
        <f>IF(T_LEAVE[[#This Row],[EMPLOYEE]]="","",IF(T_LEAVE[[#This Row],[ERROR]]="",0,1))</f>
        <v/>
      </c>
      <c r="L437">
        <f t="array" ref="L4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8">
      <c r="A438" t="inlineStr">
        <is>
          <t>Santhiya  Krishnamoorthy (1024022)</t>
        </is>
      </c>
      <c r="B438" s="15" t="inlineStr">
        <is>
          <t>Monday, 17 January 2022</t>
        </is>
      </c>
      <c r="C438" s="15" t="inlineStr">
        <is>
          <t>Monday, 17 January 2022</t>
        </is>
      </c>
      <c r="D438" t="inlineStr">
        <is>
          <t xml:space="preserve">Casual / Sick </t>
        </is>
      </c>
      <c r="E438" t="n">
        <v>1</v>
      </c>
      <c r="F438" s="1" t="n"/>
      <c r="G438" s="1" t="n"/>
      <c r="H438">
        <f>IF(T_LEAVE[[#This Row],[EMPLOYEE]]="","",MATCH(T_LEAVE[[#This Row],[EMPLOYEE]],L_EMPLABELS,0))</f>
        <v/>
      </c>
      <c r="I438">
        <f>IF(T_LEAVE[[#This Row],[EMPLOYEE]]="","",MATCH(T_LEAVE[[#This Row],[LEAVE TYPE]],L_LEAVETYPES,0))</f>
        <v/>
      </c>
      <c r="J438">
        <f t="array" ref="J438">IFERROR(INDEX(T_LEAVE_TYPES[SYMBOL],T_LEAVE[[#This Row],[LEAVE TYPE SYS ID]]),"")</f>
        <v/>
      </c>
      <c r="K438">
        <f>IF(T_LEAVE[[#This Row],[EMPLOYEE]]="","",IF(T_LEAVE[[#This Row],[ERROR]]="",0,1))</f>
        <v/>
      </c>
      <c r="L438">
        <f t="array" ref="L4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39">
      <c r="A439" t="inlineStr">
        <is>
          <t>Santhiya  Krishnamoorthy (1024022)</t>
        </is>
      </c>
      <c r="B439" s="15" t="inlineStr">
        <is>
          <t>Monday, 24 May 2021</t>
        </is>
      </c>
      <c r="C439" s="15" t="inlineStr">
        <is>
          <t>Sunday, 21 November 2021</t>
        </is>
      </c>
      <c r="D439" t="inlineStr">
        <is>
          <t>Maternity</t>
        </is>
      </c>
      <c r="E439" t="n">
        <v>182</v>
      </c>
      <c r="F439" s="1" t="n"/>
      <c r="G439" s="1" t="n"/>
      <c r="H439">
        <f>IF(T_LEAVE[[#This Row],[EMPLOYEE]]="","",MATCH(T_LEAVE[[#This Row],[EMPLOYEE]],L_EMPLABELS,0))</f>
        <v/>
      </c>
      <c r="I439">
        <f>IF(T_LEAVE[[#This Row],[EMPLOYEE]]="","",MATCH(T_LEAVE[[#This Row],[LEAVE TYPE]],L_LEAVETYPES,0))</f>
        <v/>
      </c>
      <c r="J439">
        <f t="array" ref="J439">IFERROR(INDEX(T_LEAVE_TYPES[SYMBOL],T_LEAVE[[#This Row],[LEAVE TYPE SYS ID]]),"")</f>
        <v/>
      </c>
      <c r="K439">
        <f>IF(T_LEAVE[[#This Row],[EMPLOYEE]]="","",IF(T_LEAVE[[#This Row],[ERROR]]="",0,1))</f>
        <v/>
      </c>
      <c r="L439">
        <f t="array" ref="L4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0">
      <c r="A440" t="inlineStr">
        <is>
          <t>Santhiya  Krishnamoorthy (1024022)</t>
        </is>
      </c>
      <c r="B440" s="15" t="inlineStr">
        <is>
          <t>Monday, 10 May 2021</t>
        </is>
      </c>
      <c r="C440" s="15" t="inlineStr">
        <is>
          <t>Monday, 10 May 2021</t>
        </is>
      </c>
      <c r="D440" t="inlineStr">
        <is>
          <t>Privilege</t>
        </is>
      </c>
      <c r="E440" t="n">
        <v>1</v>
      </c>
      <c r="F440" s="1" t="n"/>
      <c r="G440" s="1" t="n"/>
      <c r="H440">
        <f>IF(T_LEAVE[[#This Row],[EMPLOYEE]]="","",MATCH(T_LEAVE[[#This Row],[EMPLOYEE]],L_EMPLABELS,0))</f>
        <v/>
      </c>
      <c r="I440">
        <f>IF(T_LEAVE[[#This Row],[EMPLOYEE]]="","",MATCH(T_LEAVE[[#This Row],[LEAVE TYPE]],L_LEAVETYPES,0))</f>
        <v/>
      </c>
      <c r="J440">
        <f t="array" ref="J440">IFERROR(INDEX(T_LEAVE_TYPES[SYMBOL],T_LEAVE[[#This Row],[LEAVE TYPE SYS ID]]),"")</f>
        <v/>
      </c>
      <c r="K440">
        <f>IF(T_LEAVE[[#This Row],[EMPLOYEE]]="","",IF(T_LEAVE[[#This Row],[ERROR]]="",0,1))</f>
        <v/>
      </c>
      <c r="L440">
        <f t="array" ref="L4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1">
      <c r="A441" t="inlineStr">
        <is>
          <t>Santhiya  Krishnamoorthy (1024022)</t>
        </is>
      </c>
      <c r="B441" s="15" t="inlineStr">
        <is>
          <t>Thursday, 15 April 2021</t>
        </is>
      </c>
      <c r="C441" s="15" t="inlineStr">
        <is>
          <t>Friday, 16 April 2021</t>
        </is>
      </c>
      <c r="D441" t="inlineStr">
        <is>
          <t xml:space="preserve">Casual / Sick </t>
        </is>
      </c>
      <c r="E441" t="n">
        <v>2</v>
      </c>
      <c r="F441" s="1" t="n"/>
      <c r="G441" s="1" t="n"/>
      <c r="H441">
        <f>IF(T_LEAVE[[#This Row],[EMPLOYEE]]="","",MATCH(T_LEAVE[[#This Row],[EMPLOYEE]],L_EMPLABELS,0))</f>
        <v/>
      </c>
      <c r="I441">
        <f>IF(T_LEAVE[[#This Row],[EMPLOYEE]]="","",MATCH(T_LEAVE[[#This Row],[LEAVE TYPE]],L_LEAVETYPES,0))</f>
        <v/>
      </c>
      <c r="J441">
        <f t="array" ref="J441">IFERROR(INDEX(T_LEAVE_TYPES[SYMBOL],T_LEAVE[[#This Row],[LEAVE TYPE SYS ID]]),"")</f>
        <v/>
      </c>
      <c r="K441">
        <f>IF(T_LEAVE[[#This Row],[EMPLOYEE]]="","",IF(T_LEAVE[[#This Row],[ERROR]]="",0,1))</f>
        <v/>
      </c>
      <c r="L441">
        <f t="array" ref="L4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2">
      <c r="A442" t="inlineStr">
        <is>
          <t>Santhiya  Krishnamoorthy (1024022)</t>
        </is>
      </c>
      <c r="B442" s="15" t="inlineStr">
        <is>
          <t>Friday, 26 March 2021</t>
        </is>
      </c>
      <c r="C442" s="15" t="inlineStr">
        <is>
          <t>Friday, 26 March 2021</t>
        </is>
      </c>
      <c r="D442" t="inlineStr">
        <is>
          <t>Privilege</t>
        </is>
      </c>
      <c r="E442" t="n">
        <v>1</v>
      </c>
      <c r="F442" s="1" t="n"/>
      <c r="G442" s="1" t="n"/>
      <c r="H442">
        <f>IF(T_LEAVE[[#This Row],[EMPLOYEE]]="","",MATCH(T_LEAVE[[#This Row],[EMPLOYEE]],L_EMPLABELS,0))</f>
        <v/>
      </c>
      <c r="I442">
        <f>IF(T_LEAVE[[#This Row],[EMPLOYEE]]="","",MATCH(T_LEAVE[[#This Row],[LEAVE TYPE]],L_LEAVETYPES,0))</f>
        <v/>
      </c>
      <c r="J442">
        <f t="array" ref="J442">IFERROR(INDEX(T_LEAVE_TYPES[SYMBOL],T_LEAVE[[#This Row],[LEAVE TYPE SYS ID]]),"")</f>
        <v/>
      </c>
      <c r="K442">
        <f>IF(T_LEAVE[[#This Row],[EMPLOYEE]]="","",IF(T_LEAVE[[#This Row],[ERROR]]="",0,1))</f>
        <v/>
      </c>
      <c r="L442">
        <f t="array" ref="L4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3">
      <c r="A443" t="inlineStr">
        <is>
          <t>Santhiya  Krishnamoorthy (1024022)</t>
        </is>
      </c>
      <c r="B443" s="15" t="inlineStr">
        <is>
          <t>Wednesday, 10 March 2021</t>
        </is>
      </c>
      <c r="C443" s="15" t="inlineStr">
        <is>
          <t>Wednesday, 10 March 2021</t>
        </is>
      </c>
      <c r="D443" t="inlineStr">
        <is>
          <t>Privilege</t>
        </is>
      </c>
      <c r="E443" t="n">
        <v>1</v>
      </c>
      <c r="F443" s="1" t="n"/>
      <c r="G443" s="1" t="n"/>
      <c r="H443">
        <f>IF(T_LEAVE[[#This Row],[EMPLOYEE]]="","",MATCH(T_LEAVE[[#This Row],[EMPLOYEE]],L_EMPLABELS,0))</f>
        <v/>
      </c>
      <c r="I443">
        <f>IF(T_LEAVE[[#This Row],[EMPLOYEE]]="","",MATCH(T_LEAVE[[#This Row],[LEAVE TYPE]],L_LEAVETYPES,0))</f>
        <v/>
      </c>
      <c r="J443">
        <f t="array" ref="J443">IFERROR(INDEX(T_LEAVE_TYPES[SYMBOL],T_LEAVE[[#This Row],[LEAVE TYPE SYS ID]]),"")</f>
        <v/>
      </c>
      <c r="K443">
        <f>IF(T_LEAVE[[#This Row],[EMPLOYEE]]="","",IF(T_LEAVE[[#This Row],[ERROR]]="",0,1))</f>
        <v/>
      </c>
      <c r="L443">
        <f t="array" ref="L4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4">
      <c r="A444" t="inlineStr">
        <is>
          <t>Santhiya  Krishnamoorthy (1024022)</t>
        </is>
      </c>
      <c r="B444" s="15" t="inlineStr">
        <is>
          <t>Tuesday, 09 March 2021</t>
        </is>
      </c>
      <c r="C444" s="15" t="inlineStr">
        <is>
          <t>Tuesday, 09 March 2021</t>
        </is>
      </c>
      <c r="D444" t="inlineStr">
        <is>
          <t>Privilege</t>
        </is>
      </c>
      <c r="E444" t="n">
        <v>1</v>
      </c>
      <c r="F444" s="1" t="n"/>
      <c r="G444" s="1" t="n"/>
      <c r="H444">
        <f>IF(T_LEAVE[[#This Row],[EMPLOYEE]]="","",MATCH(T_LEAVE[[#This Row],[EMPLOYEE]],L_EMPLABELS,0))</f>
        <v/>
      </c>
      <c r="I444">
        <f>IF(T_LEAVE[[#This Row],[EMPLOYEE]]="","",MATCH(T_LEAVE[[#This Row],[LEAVE TYPE]],L_LEAVETYPES,0))</f>
        <v/>
      </c>
      <c r="J444">
        <f t="array" ref="J444">IFERROR(INDEX(T_LEAVE_TYPES[SYMBOL],T_LEAVE[[#This Row],[LEAVE TYPE SYS ID]]),"")</f>
        <v/>
      </c>
      <c r="K444">
        <f>IF(T_LEAVE[[#This Row],[EMPLOYEE]]="","",IF(T_LEAVE[[#This Row],[ERROR]]="",0,1))</f>
        <v/>
      </c>
      <c r="L444">
        <f t="array" ref="L4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5">
      <c r="A445" t="inlineStr">
        <is>
          <t>Santhiya  Krishnamoorthy (1024022)</t>
        </is>
      </c>
      <c r="B445" s="15" t="inlineStr">
        <is>
          <t>Thursday, 11 February 2021</t>
        </is>
      </c>
      <c r="C445" s="15" t="inlineStr">
        <is>
          <t>Thursday, 11 February 2021</t>
        </is>
      </c>
      <c r="D445" t="inlineStr">
        <is>
          <t xml:space="preserve">Casual / Sick </t>
        </is>
      </c>
      <c r="E445" t="n">
        <v>1</v>
      </c>
      <c r="F445" s="1" t="n"/>
      <c r="G445" s="1" t="n"/>
      <c r="H445">
        <f>IF(T_LEAVE[[#This Row],[EMPLOYEE]]="","",MATCH(T_LEAVE[[#This Row],[EMPLOYEE]],L_EMPLABELS,0))</f>
        <v/>
      </c>
      <c r="I445">
        <f>IF(T_LEAVE[[#This Row],[EMPLOYEE]]="","",MATCH(T_LEAVE[[#This Row],[LEAVE TYPE]],L_LEAVETYPES,0))</f>
        <v/>
      </c>
      <c r="J445">
        <f t="array" ref="J445">IFERROR(INDEX(T_LEAVE_TYPES[SYMBOL],T_LEAVE[[#This Row],[LEAVE TYPE SYS ID]]),"")</f>
        <v/>
      </c>
      <c r="K445">
        <f>IF(T_LEAVE[[#This Row],[EMPLOYEE]]="","",IF(T_LEAVE[[#This Row],[ERROR]]="",0,1))</f>
        <v/>
      </c>
      <c r="L445">
        <f t="array" ref="L4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6">
      <c r="A446" t="inlineStr">
        <is>
          <t>Santhiya  Krishnamoorthy (1024022)</t>
        </is>
      </c>
      <c r="B446" s="15" t="inlineStr">
        <is>
          <t>Wednesday, 06 January 2021</t>
        </is>
      </c>
      <c r="C446" s="15" t="inlineStr">
        <is>
          <t>Wednesday, 06 January 2021</t>
        </is>
      </c>
      <c r="D446" t="inlineStr">
        <is>
          <t xml:space="preserve">Casual / Sick </t>
        </is>
      </c>
      <c r="E446" t="n">
        <v>1</v>
      </c>
      <c r="F446" s="1" t="n"/>
      <c r="G446" s="1" t="n"/>
      <c r="H446">
        <f>IF(T_LEAVE[[#This Row],[EMPLOYEE]]="","",MATCH(T_LEAVE[[#This Row],[EMPLOYEE]],L_EMPLABELS,0))</f>
        <v/>
      </c>
      <c r="I446">
        <f>IF(T_LEAVE[[#This Row],[EMPLOYEE]]="","",MATCH(T_LEAVE[[#This Row],[LEAVE TYPE]],L_LEAVETYPES,0))</f>
        <v/>
      </c>
      <c r="J446">
        <f t="array" ref="J446">IFERROR(INDEX(T_LEAVE_TYPES[SYMBOL],T_LEAVE[[#This Row],[LEAVE TYPE SYS ID]]),"")</f>
        <v/>
      </c>
      <c r="K446">
        <f>IF(T_LEAVE[[#This Row],[EMPLOYEE]]="","",IF(T_LEAVE[[#This Row],[ERROR]]="",0,1))</f>
        <v/>
      </c>
      <c r="L446">
        <f t="array" ref="L4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7">
      <c r="A447" t="inlineStr">
        <is>
          <t>Santhiya  Krishnamoorthy (1024022)</t>
        </is>
      </c>
      <c r="B447" s="15" t="inlineStr">
        <is>
          <t>Friday, 04 December 2020</t>
        </is>
      </c>
      <c r="C447" s="15" t="inlineStr">
        <is>
          <t>Friday, 04 December 2020</t>
        </is>
      </c>
      <c r="D447" s="17" t="inlineStr">
        <is>
          <t>Bereavement</t>
        </is>
      </c>
      <c r="E447" t="n">
        <v>1</v>
      </c>
      <c r="F447" s="1" t="n"/>
      <c r="G447" s="1" t="n"/>
      <c r="H447">
        <f>IF(T_LEAVE[[#This Row],[EMPLOYEE]]="","",MATCH(T_LEAVE[[#This Row],[EMPLOYEE]],L_EMPLABELS,0))</f>
        <v/>
      </c>
      <c r="I447">
        <f>IF(T_LEAVE[[#This Row],[EMPLOYEE]]="","",MATCH(T_LEAVE[[#This Row],[LEAVE TYPE]],L_LEAVETYPES,0))</f>
        <v/>
      </c>
      <c r="J447">
        <f t="array" ref="J447">IFERROR(INDEX(T_LEAVE_TYPES[SYMBOL],T_LEAVE[[#This Row],[LEAVE TYPE SYS ID]]),"")</f>
        <v/>
      </c>
      <c r="K447">
        <f>IF(T_LEAVE[[#This Row],[EMPLOYEE]]="","",IF(T_LEAVE[[#This Row],[ERROR]]="",0,1))</f>
        <v/>
      </c>
      <c r="L447">
        <f t="array" ref="L4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8">
      <c r="A448" t="inlineStr">
        <is>
          <t>Nagarjun Naidu Mannem (1019816)</t>
        </is>
      </c>
      <c r="B448" s="15" t="inlineStr">
        <is>
          <t>Wednesday, 16 September 2020</t>
        </is>
      </c>
      <c r="C448" s="15" t="inlineStr">
        <is>
          <t>Wednesday, 16 September 2020</t>
        </is>
      </c>
      <c r="D448" t="inlineStr">
        <is>
          <t xml:space="preserve">Casual / Sick </t>
        </is>
      </c>
      <c r="E448" t="n">
        <v>1</v>
      </c>
      <c r="F448" s="1" t="n"/>
      <c r="G448" s="1" t="n"/>
      <c r="H448">
        <f>IF(T_LEAVE[[#This Row],[EMPLOYEE]]="","",MATCH(T_LEAVE[[#This Row],[EMPLOYEE]],L_EMPLABELS,0))</f>
        <v/>
      </c>
      <c r="I448">
        <f>IF(T_LEAVE[[#This Row],[EMPLOYEE]]="","",MATCH(T_LEAVE[[#This Row],[LEAVE TYPE]],L_LEAVETYPES,0))</f>
        <v/>
      </c>
      <c r="J448">
        <f t="array" ref="J448">IFERROR(INDEX(T_LEAVE_TYPES[SYMBOL],T_LEAVE[[#This Row],[LEAVE TYPE SYS ID]]),"")</f>
        <v/>
      </c>
      <c r="K448">
        <f>IF(T_LEAVE[[#This Row],[EMPLOYEE]]="","",IF(T_LEAVE[[#This Row],[ERROR]]="",0,1))</f>
        <v/>
      </c>
      <c r="L448">
        <f t="array" ref="L4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49">
      <c r="A449" t="inlineStr">
        <is>
          <t>Nagarjun Naidu Mannem (1019816)</t>
        </is>
      </c>
      <c r="B449" s="15" t="inlineStr">
        <is>
          <t>Monday, 17 August 2020</t>
        </is>
      </c>
      <c r="C449" s="15" t="inlineStr">
        <is>
          <t>Monday, 17 August 2020</t>
        </is>
      </c>
      <c r="D449" t="inlineStr">
        <is>
          <t xml:space="preserve">Casual / Sick </t>
        </is>
      </c>
      <c r="E449" t="n">
        <v>1</v>
      </c>
      <c r="F449" s="1" t="n"/>
      <c r="G449" s="1" t="n"/>
      <c r="H449">
        <f>IF(T_LEAVE[[#This Row],[EMPLOYEE]]="","",MATCH(T_LEAVE[[#This Row],[EMPLOYEE]],L_EMPLABELS,0))</f>
        <v/>
      </c>
      <c r="I449">
        <f>IF(T_LEAVE[[#This Row],[EMPLOYEE]]="","",MATCH(T_LEAVE[[#This Row],[LEAVE TYPE]],L_LEAVETYPES,0))</f>
        <v/>
      </c>
      <c r="J449">
        <f t="array" ref="J449">IFERROR(INDEX(T_LEAVE_TYPES[SYMBOL],T_LEAVE[[#This Row],[LEAVE TYPE SYS ID]]),"")</f>
        <v/>
      </c>
      <c r="K449">
        <f>IF(T_LEAVE[[#This Row],[EMPLOYEE]]="","",IF(T_LEAVE[[#This Row],[ERROR]]="",0,1))</f>
        <v/>
      </c>
      <c r="L449">
        <f t="array" ref="L4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0">
      <c r="A450" t="inlineStr">
        <is>
          <t>Santhiya  Krishnamoorthy (1024022)</t>
        </is>
      </c>
      <c r="B450" s="15" t="inlineStr">
        <is>
          <t>Wednesday, 02 December 2020</t>
        </is>
      </c>
      <c r="C450" s="15" t="inlineStr">
        <is>
          <t>Wednesday, 02 December 2020</t>
        </is>
      </c>
      <c r="D450" t="inlineStr">
        <is>
          <t>Privilege</t>
        </is>
      </c>
      <c r="E450" t="n">
        <v>1</v>
      </c>
      <c r="F450" s="1" t="n"/>
      <c r="G450" s="1" t="n"/>
      <c r="H450">
        <f>IF(T_LEAVE[[#This Row],[EMPLOYEE]]="","",MATCH(T_LEAVE[[#This Row],[EMPLOYEE]],L_EMPLABELS,0))</f>
        <v/>
      </c>
      <c r="I450">
        <f>IF(T_LEAVE[[#This Row],[EMPLOYEE]]="","",MATCH(T_LEAVE[[#This Row],[LEAVE TYPE]],L_LEAVETYPES,0))</f>
        <v/>
      </c>
      <c r="J450">
        <f t="array" ref="J450">IFERROR(INDEX(T_LEAVE_TYPES[SYMBOL],T_LEAVE[[#This Row],[LEAVE TYPE SYS ID]]),"")</f>
        <v/>
      </c>
      <c r="K450">
        <f>IF(T_LEAVE[[#This Row],[EMPLOYEE]]="","",IF(T_LEAVE[[#This Row],[ERROR]]="",0,1))</f>
        <v/>
      </c>
      <c r="L450">
        <f t="array" ref="L4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1">
      <c r="A451" t="inlineStr">
        <is>
          <t>Santhiya  Krishnamoorthy (1024022)</t>
        </is>
      </c>
      <c r="B451" s="15" t="inlineStr">
        <is>
          <t>Friday, 13 November 2020</t>
        </is>
      </c>
      <c r="C451" s="15" t="inlineStr">
        <is>
          <t>Friday, 13 November 2020</t>
        </is>
      </c>
      <c r="D451" t="inlineStr">
        <is>
          <t>LOP</t>
        </is>
      </c>
      <c r="E451" t="n">
        <v>1</v>
      </c>
      <c r="F451" s="1" t="n"/>
      <c r="G451" s="1" t="n"/>
      <c r="H451">
        <f>IF(T_LEAVE[[#This Row],[EMPLOYEE]]="","",MATCH(T_LEAVE[[#This Row],[EMPLOYEE]],L_EMPLABELS,0))</f>
        <v/>
      </c>
      <c r="I451">
        <f>IF(T_LEAVE[[#This Row],[EMPLOYEE]]="","",MATCH(T_LEAVE[[#This Row],[LEAVE TYPE]],L_LEAVETYPES,0))</f>
        <v/>
      </c>
      <c r="J451">
        <f t="array" ref="J451">IFERROR(INDEX(T_LEAVE_TYPES[SYMBOL],T_LEAVE[[#This Row],[LEAVE TYPE SYS ID]]),"")</f>
        <v/>
      </c>
      <c r="K451">
        <f>IF(T_LEAVE[[#This Row],[EMPLOYEE]]="","",IF(T_LEAVE[[#This Row],[ERROR]]="",0,1))</f>
        <v/>
      </c>
      <c r="L451">
        <f t="array" ref="L4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2">
      <c r="A452" t="inlineStr">
        <is>
          <t>Santhiya  Krishnamoorthy (1024022)</t>
        </is>
      </c>
      <c r="B452" s="15" t="inlineStr">
        <is>
          <t>Tuesday, 17 November 2020</t>
        </is>
      </c>
      <c r="C452" s="15" t="inlineStr">
        <is>
          <t>Tuesday, 17 November 2020</t>
        </is>
      </c>
      <c r="D452" t="inlineStr">
        <is>
          <t>LOP</t>
        </is>
      </c>
      <c r="E452" t="n">
        <v>1</v>
      </c>
      <c r="F452" s="1" t="n"/>
      <c r="G452" s="1" t="n"/>
      <c r="H452">
        <f>IF(T_LEAVE[[#This Row],[EMPLOYEE]]="","",MATCH(T_LEAVE[[#This Row],[EMPLOYEE]],L_EMPLABELS,0))</f>
        <v/>
      </c>
      <c r="I452">
        <f>IF(T_LEAVE[[#This Row],[EMPLOYEE]]="","",MATCH(T_LEAVE[[#This Row],[LEAVE TYPE]],L_LEAVETYPES,0))</f>
        <v/>
      </c>
      <c r="J452">
        <f t="array" ref="J452">IFERROR(INDEX(T_LEAVE_TYPES[SYMBOL],T_LEAVE[[#This Row],[LEAVE TYPE SYS ID]]),"")</f>
        <v/>
      </c>
      <c r="K452">
        <f>IF(T_LEAVE[[#This Row],[EMPLOYEE]]="","",IF(T_LEAVE[[#This Row],[ERROR]]="",0,1))</f>
        <v/>
      </c>
      <c r="L452">
        <f t="array" ref="L4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3">
      <c r="A453" t="inlineStr">
        <is>
          <t>Santhiya  Krishnamoorthy (1024022)</t>
        </is>
      </c>
      <c r="B453" s="15" t="inlineStr">
        <is>
          <t>Tuesday, 27 October 2020</t>
        </is>
      </c>
      <c r="C453" s="15" t="inlineStr">
        <is>
          <t>Wednesday, 28 October 2020</t>
        </is>
      </c>
      <c r="D453" t="inlineStr">
        <is>
          <t xml:space="preserve">Casual / Sick </t>
        </is>
      </c>
      <c r="E453" t="n">
        <v>2</v>
      </c>
      <c r="F453" s="1" t="n"/>
      <c r="G453" s="1" t="n"/>
      <c r="H453">
        <f>IF(T_LEAVE[[#This Row],[EMPLOYEE]]="","",MATCH(T_LEAVE[[#This Row],[EMPLOYEE]],L_EMPLABELS,0))</f>
        <v/>
      </c>
      <c r="I453">
        <f>IF(T_LEAVE[[#This Row],[EMPLOYEE]]="","",MATCH(T_LEAVE[[#This Row],[LEAVE TYPE]],L_LEAVETYPES,0))</f>
        <v/>
      </c>
      <c r="J453">
        <f t="array" ref="J453">IFERROR(INDEX(T_LEAVE_TYPES[SYMBOL],T_LEAVE[[#This Row],[LEAVE TYPE SYS ID]]),"")</f>
        <v/>
      </c>
      <c r="K453">
        <f>IF(T_LEAVE[[#This Row],[EMPLOYEE]]="","",IF(T_LEAVE[[#This Row],[ERROR]]="",0,1))</f>
        <v/>
      </c>
      <c r="L453">
        <f t="array" ref="L4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4">
      <c r="A454" t="inlineStr">
        <is>
          <t>Nagarjun Naidu Mannem (1019816)</t>
        </is>
      </c>
      <c r="B454" s="15" t="inlineStr">
        <is>
          <t>Tuesday, 05 May 2020</t>
        </is>
      </c>
      <c r="C454" s="15" t="inlineStr">
        <is>
          <t>Tuesday, 05 May 2020</t>
        </is>
      </c>
      <c r="D454" t="inlineStr">
        <is>
          <t xml:space="preserve">Casual / Sick </t>
        </is>
      </c>
      <c r="E454" t="n">
        <v>1</v>
      </c>
      <c r="F454" s="1" t="n"/>
      <c r="G454" s="1" t="n"/>
      <c r="H454">
        <f>IF(T_LEAVE[[#This Row],[EMPLOYEE]]="","",MATCH(T_LEAVE[[#This Row],[EMPLOYEE]],L_EMPLABELS,0))</f>
        <v/>
      </c>
      <c r="I454">
        <f>IF(T_LEAVE[[#This Row],[EMPLOYEE]]="","",MATCH(T_LEAVE[[#This Row],[LEAVE TYPE]],L_LEAVETYPES,0))</f>
        <v/>
      </c>
      <c r="J454">
        <f t="array" ref="J454">IFERROR(INDEX(T_LEAVE_TYPES[SYMBOL],T_LEAVE[[#This Row],[LEAVE TYPE SYS ID]]),"")</f>
        <v/>
      </c>
      <c r="K454">
        <f>IF(T_LEAVE[[#This Row],[EMPLOYEE]]="","",IF(T_LEAVE[[#This Row],[ERROR]]="",0,1))</f>
        <v/>
      </c>
      <c r="L454">
        <f t="array" ref="L4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5">
      <c r="A455" t="inlineStr">
        <is>
          <t>Nagarjun Naidu Mannem (1019816)</t>
        </is>
      </c>
      <c r="B455" s="15" t="inlineStr">
        <is>
          <t>Thursday, 12 March 2020</t>
        </is>
      </c>
      <c r="C455" s="15" t="inlineStr">
        <is>
          <t>Thursday, 12 March 2020</t>
        </is>
      </c>
      <c r="D455" t="inlineStr">
        <is>
          <t xml:space="preserve">Casual / Sick </t>
        </is>
      </c>
      <c r="E455" t="n">
        <v>1</v>
      </c>
      <c r="F455" s="1" t="n"/>
      <c r="G455" s="1" t="n"/>
      <c r="H455">
        <f>IF(T_LEAVE[[#This Row],[EMPLOYEE]]="","",MATCH(T_LEAVE[[#This Row],[EMPLOYEE]],L_EMPLABELS,0))</f>
        <v/>
      </c>
      <c r="I455">
        <f>IF(T_LEAVE[[#This Row],[EMPLOYEE]]="","",MATCH(T_LEAVE[[#This Row],[LEAVE TYPE]],L_LEAVETYPES,0))</f>
        <v/>
      </c>
      <c r="J455">
        <f t="array" ref="J455">IFERROR(INDEX(T_LEAVE_TYPES[SYMBOL],T_LEAVE[[#This Row],[LEAVE TYPE SYS ID]]),"")</f>
        <v/>
      </c>
      <c r="K455">
        <f>IF(T_LEAVE[[#This Row],[EMPLOYEE]]="","",IF(T_LEAVE[[#This Row],[ERROR]]="",0,1))</f>
        <v/>
      </c>
      <c r="L455">
        <f t="array" ref="L4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6">
      <c r="A456" t="inlineStr">
        <is>
          <t>Siddhartha  Mishra (1018884)</t>
        </is>
      </c>
      <c r="B456" s="15" t="inlineStr">
        <is>
          <t>Monday, 11 December 2023</t>
        </is>
      </c>
      <c r="C456" s="15" t="inlineStr">
        <is>
          <t>Wednesday, 13 December 2023</t>
        </is>
      </c>
      <c r="D456" t="inlineStr">
        <is>
          <t>Privilege</t>
        </is>
      </c>
      <c r="E456" t="n">
        <v>3</v>
      </c>
      <c r="F456" s="1" t="n"/>
      <c r="G456" s="1" t="n"/>
      <c r="H456">
        <f>IF(T_LEAVE[[#This Row],[EMPLOYEE]]="","",MATCH(T_LEAVE[[#This Row],[EMPLOYEE]],L_EMPLABELS,0))</f>
        <v/>
      </c>
      <c r="I456">
        <f>IF(T_LEAVE[[#This Row],[EMPLOYEE]]="","",MATCH(T_LEAVE[[#This Row],[LEAVE TYPE]],L_LEAVETYPES,0))</f>
        <v/>
      </c>
      <c r="J456">
        <f t="array" ref="J456">IFERROR(INDEX(T_LEAVE_TYPES[SYMBOL],T_LEAVE[[#This Row],[LEAVE TYPE SYS ID]]),"")</f>
        <v/>
      </c>
      <c r="K456">
        <f>IF(T_LEAVE[[#This Row],[EMPLOYEE]]="","",IF(T_LEAVE[[#This Row],[ERROR]]="",0,1))</f>
        <v/>
      </c>
      <c r="L456">
        <f t="array" ref="L4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7">
      <c r="A457" t="inlineStr">
        <is>
          <t>Siddhartha  Mishra (1018884)</t>
        </is>
      </c>
      <c r="B457" s="15" t="inlineStr">
        <is>
          <t>Monday, 27 November 2023</t>
        </is>
      </c>
      <c r="C457" s="15" t="inlineStr">
        <is>
          <t>Friday, 08 December 2023</t>
        </is>
      </c>
      <c r="D457" t="inlineStr">
        <is>
          <t>Privilege</t>
        </is>
      </c>
      <c r="E457" t="n">
        <v>10</v>
      </c>
      <c r="F457" s="1" t="n"/>
      <c r="G457" s="1" t="n"/>
      <c r="H457">
        <f>IF(T_LEAVE[[#This Row],[EMPLOYEE]]="","",MATCH(T_LEAVE[[#This Row],[EMPLOYEE]],L_EMPLABELS,0))</f>
        <v/>
      </c>
      <c r="I457">
        <f>IF(T_LEAVE[[#This Row],[EMPLOYEE]]="","",MATCH(T_LEAVE[[#This Row],[LEAVE TYPE]],L_LEAVETYPES,0))</f>
        <v/>
      </c>
      <c r="J457">
        <f t="array" ref="J457">IFERROR(INDEX(T_LEAVE_TYPES[SYMBOL],T_LEAVE[[#This Row],[LEAVE TYPE SYS ID]]),"")</f>
        <v/>
      </c>
      <c r="K457">
        <f>IF(T_LEAVE[[#This Row],[EMPLOYEE]]="","",IF(T_LEAVE[[#This Row],[ERROR]]="",0,1))</f>
        <v/>
      </c>
      <c r="L457">
        <f t="array" ref="L4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8">
      <c r="A458" t="inlineStr">
        <is>
          <t>Siddhartha  Mishra (1018884)</t>
        </is>
      </c>
      <c r="B458" s="15" t="inlineStr">
        <is>
          <t>Monday, 30 October 2023</t>
        </is>
      </c>
      <c r="C458" s="15" t="inlineStr">
        <is>
          <t>Monday, 30 October 2023</t>
        </is>
      </c>
      <c r="D458" t="inlineStr">
        <is>
          <t>Privilege</t>
        </is>
      </c>
      <c r="E458" t="n">
        <v>1</v>
      </c>
      <c r="F458" s="1" t="n"/>
      <c r="G458" s="1" t="n"/>
      <c r="H458">
        <f>IF(T_LEAVE[[#This Row],[EMPLOYEE]]="","",MATCH(T_LEAVE[[#This Row],[EMPLOYEE]],L_EMPLABELS,0))</f>
        <v/>
      </c>
      <c r="I458">
        <f>IF(T_LEAVE[[#This Row],[EMPLOYEE]]="","",MATCH(T_LEAVE[[#This Row],[LEAVE TYPE]],L_LEAVETYPES,0))</f>
        <v/>
      </c>
      <c r="J458">
        <f t="array" ref="J458">IFERROR(INDEX(T_LEAVE_TYPES[SYMBOL],T_LEAVE[[#This Row],[LEAVE TYPE SYS ID]]),"")</f>
        <v/>
      </c>
      <c r="K458">
        <f>IF(T_LEAVE[[#This Row],[EMPLOYEE]]="","",IF(T_LEAVE[[#This Row],[ERROR]]="",0,1))</f>
        <v/>
      </c>
      <c r="L458">
        <f t="array" ref="L4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59">
      <c r="A459" t="inlineStr">
        <is>
          <t>Siddhartha  Mishra (1018884)</t>
        </is>
      </c>
      <c r="B459" s="15" t="inlineStr">
        <is>
          <t>Tuesday, 19 September 2023</t>
        </is>
      </c>
      <c r="C459" s="15" t="inlineStr">
        <is>
          <t>Wednesday, 20 September 2023</t>
        </is>
      </c>
      <c r="D459" t="inlineStr">
        <is>
          <t>Privilege</t>
        </is>
      </c>
      <c r="E459" t="n">
        <v>2</v>
      </c>
      <c r="F459" s="1" t="n"/>
      <c r="G459" s="1" t="n"/>
      <c r="H459">
        <f>IF(T_LEAVE[[#This Row],[EMPLOYEE]]="","",MATCH(T_LEAVE[[#This Row],[EMPLOYEE]],L_EMPLABELS,0))</f>
        <v/>
      </c>
      <c r="I459">
        <f>IF(T_LEAVE[[#This Row],[EMPLOYEE]]="","",MATCH(T_LEAVE[[#This Row],[LEAVE TYPE]],L_LEAVETYPES,0))</f>
        <v/>
      </c>
      <c r="J459">
        <f t="array" ref="J459">IFERROR(INDEX(T_LEAVE_TYPES[SYMBOL],T_LEAVE[[#This Row],[LEAVE TYPE SYS ID]]),"")</f>
        <v/>
      </c>
      <c r="K459">
        <f>IF(T_LEAVE[[#This Row],[EMPLOYEE]]="","",IF(T_LEAVE[[#This Row],[ERROR]]="",0,1))</f>
        <v/>
      </c>
      <c r="L459">
        <f t="array" ref="L4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0">
      <c r="A460" t="inlineStr">
        <is>
          <t>Siddhartha  Mishra (1018884)</t>
        </is>
      </c>
      <c r="B460" s="15" t="inlineStr">
        <is>
          <t>Thursday, 15 June 2023</t>
        </is>
      </c>
      <c r="C460" s="15" t="inlineStr">
        <is>
          <t>Thursday, 15 June 2023</t>
        </is>
      </c>
      <c r="D460" t="inlineStr">
        <is>
          <t>Privilege</t>
        </is>
      </c>
      <c r="E460" t="n">
        <v>1</v>
      </c>
      <c r="F460" s="1" t="n"/>
      <c r="G460" s="1" t="n"/>
      <c r="H460">
        <f>IF(T_LEAVE[[#This Row],[EMPLOYEE]]="","",MATCH(T_LEAVE[[#This Row],[EMPLOYEE]],L_EMPLABELS,0))</f>
        <v/>
      </c>
      <c r="I460">
        <f>IF(T_LEAVE[[#This Row],[EMPLOYEE]]="","",MATCH(T_LEAVE[[#This Row],[LEAVE TYPE]],L_LEAVETYPES,0))</f>
        <v/>
      </c>
      <c r="J460">
        <f t="array" ref="J460">IFERROR(INDEX(T_LEAVE_TYPES[SYMBOL],T_LEAVE[[#This Row],[LEAVE TYPE SYS ID]]),"")</f>
        <v/>
      </c>
      <c r="K460">
        <f>IF(T_LEAVE[[#This Row],[EMPLOYEE]]="","",IF(T_LEAVE[[#This Row],[ERROR]]="",0,1))</f>
        <v/>
      </c>
      <c r="L460">
        <f t="array" ref="L4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1">
      <c r="A461" t="inlineStr">
        <is>
          <t>Siddhartha  Mishra (1018884)</t>
        </is>
      </c>
      <c r="B461" s="15" t="inlineStr">
        <is>
          <t>Wednesday, 07 June 2023</t>
        </is>
      </c>
      <c r="C461" s="15" t="inlineStr">
        <is>
          <t>Wednesday, 07 June 2023</t>
        </is>
      </c>
      <c r="D461" t="inlineStr">
        <is>
          <t>Privilege</t>
        </is>
      </c>
      <c r="E461" t="n">
        <v>1</v>
      </c>
      <c r="F461" s="1" t="n"/>
      <c r="G461" s="1" t="n"/>
      <c r="H461">
        <f>IF(T_LEAVE[[#This Row],[EMPLOYEE]]="","",MATCH(T_LEAVE[[#This Row],[EMPLOYEE]],L_EMPLABELS,0))</f>
        <v/>
      </c>
      <c r="I461">
        <f>IF(T_LEAVE[[#This Row],[EMPLOYEE]]="","",MATCH(T_LEAVE[[#This Row],[LEAVE TYPE]],L_LEAVETYPES,0))</f>
        <v/>
      </c>
      <c r="J461">
        <f t="array" ref="J461">IFERROR(INDEX(T_LEAVE_TYPES[SYMBOL],T_LEAVE[[#This Row],[LEAVE TYPE SYS ID]]),"")</f>
        <v/>
      </c>
      <c r="K461">
        <f>IF(T_LEAVE[[#This Row],[EMPLOYEE]]="","",IF(T_LEAVE[[#This Row],[ERROR]]="",0,1))</f>
        <v/>
      </c>
      <c r="L461">
        <f t="array" ref="L4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2">
      <c r="A462" t="inlineStr">
        <is>
          <t>Siddhartha  Mishra (1018884)</t>
        </is>
      </c>
      <c r="B462" s="15" t="inlineStr">
        <is>
          <t>Friday, 31 March 2023</t>
        </is>
      </c>
      <c r="C462" s="15" t="inlineStr">
        <is>
          <t>Friday, 31 March 2023</t>
        </is>
      </c>
      <c r="D462" t="inlineStr">
        <is>
          <t>Privilege</t>
        </is>
      </c>
      <c r="E462" t="n">
        <v>1</v>
      </c>
      <c r="F462" s="1" t="n"/>
      <c r="G462" s="1" t="n"/>
      <c r="H462">
        <f>IF(T_LEAVE[[#This Row],[EMPLOYEE]]="","",MATCH(T_LEAVE[[#This Row],[EMPLOYEE]],L_EMPLABELS,0))</f>
        <v/>
      </c>
      <c r="I462">
        <f>IF(T_LEAVE[[#This Row],[EMPLOYEE]]="","",MATCH(T_LEAVE[[#This Row],[LEAVE TYPE]],L_LEAVETYPES,0))</f>
        <v/>
      </c>
      <c r="J462">
        <f t="array" ref="J462">IFERROR(INDEX(T_LEAVE_TYPES[SYMBOL],T_LEAVE[[#This Row],[LEAVE TYPE SYS ID]]),"")</f>
        <v/>
      </c>
      <c r="K462">
        <f>IF(T_LEAVE[[#This Row],[EMPLOYEE]]="","",IF(T_LEAVE[[#This Row],[ERROR]]="",0,1))</f>
        <v/>
      </c>
      <c r="L462">
        <f t="array" ref="L4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3">
      <c r="A463" t="inlineStr">
        <is>
          <t>Siddhartha  Mishra (1018884)</t>
        </is>
      </c>
      <c r="B463" s="15" t="inlineStr">
        <is>
          <t>Wednesday, 22 March 2023</t>
        </is>
      </c>
      <c r="C463" s="15" t="inlineStr">
        <is>
          <t>Wednesday, 22 March 2023</t>
        </is>
      </c>
      <c r="D463" t="inlineStr">
        <is>
          <t>Privilege</t>
        </is>
      </c>
      <c r="E463" t="n">
        <v>1</v>
      </c>
      <c r="F463" s="1" t="n"/>
      <c r="G463" s="1" t="n"/>
      <c r="H463">
        <f>IF(T_LEAVE[[#This Row],[EMPLOYEE]]="","",MATCH(T_LEAVE[[#This Row],[EMPLOYEE]],L_EMPLABELS,0))</f>
        <v/>
      </c>
      <c r="I463">
        <f>IF(T_LEAVE[[#This Row],[EMPLOYEE]]="","",MATCH(T_LEAVE[[#This Row],[LEAVE TYPE]],L_LEAVETYPES,0))</f>
        <v/>
      </c>
      <c r="J463">
        <f t="array" ref="J463">IFERROR(INDEX(T_LEAVE_TYPES[SYMBOL],T_LEAVE[[#This Row],[LEAVE TYPE SYS ID]]),"")</f>
        <v/>
      </c>
      <c r="K463">
        <f>IF(T_LEAVE[[#This Row],[EMPLOYEE]]="","",IF(T_LEAVE[[#This Row],[ERROR]]="",0,1))</f>
        <v/>
      </c>
      <c r="L463">
        <f t="array" ref="L4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4">
      <c r="A464" t="inlineStr">
        <is>
          <t>Siddhartha  Mishra (1018884)</t>
        </is>
      </c>
      <c r="B464" s="15" t="inlineStr">
        <is>
          <t>Friday, 18 November 2022</t>
        </is>
      </c>
      <c r="C464" s="15" t="inlineStr">
        <is>
          <t>Friday, 18 November 2022</t>
        </is>
      </c>
      <c r="D464" t="inlineStr">
        <is>
          <t>Privilege</t>
        </is>
      </c>
      <c r="E464" t="n">
        <v>1</v>
      </c>
      <c r="F464" s="1" t="n"/>
      <c r="G464" s="1" t="n"/>
      <c r="H464">
        <f>IF(T_LEAVE[[#This Row],[EMPLOYEE]]="","",MATCH(T_LEAVE[[#This Row],[EMPLOYEE]],L_EMPLABELS,0))</f>
        <v/>
      </c>
      <c r="I464">
        <f>IF(T_LEAVE[[#This Row],[EMPLOYEE]]="","",MATCH(T_LEAVE[[#This Row],[LEAVE TYPE]],L_LEAVETYPES,0))</f>
        <v/>
      </c>
      <c r="J464">
        <f t="array" ref="J464">IFERROR(INDEX(T_LEAVE_TYPES[SYMBOL],T_LEAVE[[#This Row],[LEAVE TYPE SYS ID]]),"")</f>
        <v/>
      </c>
      <c r="K464">
        <f>IF(T_LEAVE[[#This Row],[EMPLOYEE]]="","",IF(T_LEAVE[[#This Row],[ERROR]]="",0,1))</f>
        <v/>
      </c>
      <c r="L464">
        <f t="array" ref="L4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5">
      <c r="A465" t="inlineStr">
        <is>
          <t>Sreenath  M S (1027419)</t>
        </is>
      </c>
      <c r="B465" s="15" t="inlineStr">
        <is>
          <t>Wednesday, 06 December 2023</t>
        </is>
      </c>
      <c r="C465" s="15" t="inlineStr">
        <is>
          <t>Friday, 08 December 2023</t>
        </is>
      </c>
      <c r="D465" t="inlineStr">
        <is>
          <t xml:space="preserve">Casual / Sick </t>
        </is>
      </c>
      <c r="E465" t="n">
        <v>3</v>
      </c>
      <c r="F465" s="1" t="n"/>
      <c r="G465" s="1" t="n"/>
      <c r="H465">
        <f>IF(T_LEAVE[[#This Row],[EMPLOYEE]]="","",MATCH(T_LEAVE[[#This Row],[EMPLOYEE]],L_EMPLABELS,0))</f>
        <v/>
      </c>
      <c r="I465">
        <f>IF(T_LEAVE[[#This Row],[EMPLOYEE]]="","",MATCH(T_LEAVE[[#This Row],[LEAVE TYPE]],L_LEAVETYPES,0))</f>
        <v/>
      </c>
      <c r="J465">
        <f t="array" ref="J465">IFERROR(INDEX(T_LEAVE_TYPES[SYMBOL],T_LEAVE[[#This Row],[LEAVE TYPE SYS ID]]),"")</f>
        <v/>
      </c>
      <c r="K465">
        <f>IF(T_LEAVE[[#This Row],[EMPLOYEE]]="","",IF(T_LEAVE[[#This Row],[ERROR]]="",0,1))</f>
        <v/>
      </c>
      <c r="L465">
        <f t="array" ref="L4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6">
      <c r="A466" t="inlineStr">
        <is>
          <t>Sreenath  M S (1027419)</t>
        </is>
      </c>
      <c r="B466" s="15" t="inlineStr">
        <is>
          <t>Friday, 06 October 2023</t>
        </is>
      </c>
      <c r="C466" s="15" t="inlineStr">
        <is>
          <t>Friday, 06 October 2023</t>
        </is>
      </c>
      <c r="D466" t="inlineStr">
        <is>
          <t xml:space="preserve">Casual / Sick </t>
        </is>
      </c>
      <c r="E466" t="n">
        <v>1</v>
      </c>
      <c r="F466" s="1" t="n"/>
      <c r="G466" s="1" t="n"/>
      <c r="H466">
        <f>IF(T_LEAVE[[#This Row],[EMPLOYEE]]="","",MATCH(T_LEAVE[[#This Row],[EMPLOYEE]],L_EMPLABELS,0))</f>
        <v/>
      </c>
      <c r="I466">
        <f>IF(T_LEAVE[[#This Row],[EMPLOYEE]]="","",MATCH(T_LEAVE[[#This Row],[LEAVE TYPE]],L_LEAVETYPES,0))</f>
        <v/>
      </c>
      <c r="J466">
        <f t="array" ref="J466">IFERROR(INDEX(T_LEAVE_TYPES[SYMBOL],T_LEAVE[[#This Row],[LEAVE TYPE SYS ID]]),"")</f>
        <v/>
      </c>
      <c r="K466">
        <f>IF(T_LEAVE[[#This Row],[EMPLOYEE]]="","",IF(T_LEAVE[[#This Row],[ERROR]]="",0,1))</f>
        <v/>
      </c>
      <c r="L466">
        <f t="array" ref="L4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7">
      <c r="A467" t="inlineStr">
        <is>
          <t>Sreenath  M S (1027419)</t>
        </is>
      </c>
      <c r="B467" s="15" t="inlineStr">
        <is>
          <t>Monday, 28 August 2023</t>
        </is>
      </c>
      <c r="C467" s="15" t="inlineStr">
        <is>
          <t>Wednesday, 30 August 2023</t>
        </is>
      </c>
      <c r="D467" t="inlineStr">
        <is>
          <t xml:space="preserve">Casual / Sick </t>
        </is>
      </c>
      <c r="E467" t="n">
        <v>3</v>
      </c>
      <c r="F467" s="1" t="n"/>
      <c r="G467" s="1" t="n"/>
      <c r="H467">
        <f>IF(T_LEAVE[[#This Row],[EMPLOYEE]]="","",MATCH(T_LEAVE[[#This Row],[EMPLOYEE]],L_EMPLABELS,0))</f>
        <v/>
      </c>
      <c r="I467">
        <f>IF(T_LEAVE[[#This Row],[EMPLOYEE]]="","",MATCH(T_LEAVE[[#This Row],[LEAVE TYPE]],L_LEAVETYPES,0))</f>
        <v/>
      </c>
      <c r="J467">
        <f t="array" ref="J467">IFERROR(INDEX(T_LEAVE_TYPES[SYMBOL],T_LEAVE[[#This Row],[LEAVE TYPE SYS ID]]),"")</f>
        <v/>
      </c>
      <c r="K467">
        <f>IF(T_LEAVE[[#This Row],[EMPLOYEE]]="","",IF(T_LEAVE[[#This Row],[ERROR]]="",0,1))</f>
        <v/>
      </c>
      <c r="L467">
        <f t="array" ref="L4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8">
      <c r="A468" t="inlineStr">
        <is>
          <t>Sreenath  M S (1027419)</t>
        </is>
      </c>
      <c r="B468" s="15" t="inlineStr">
        <is>
          <t>Monday, 14 November 2022</t>
        </is>
      </c>
      <c r="C468" s="15" t="inlineStr">
        <is>
          <t>Monday, 14 November 2022</t>
        </is>
      </c>
      <c r="D468" t="inlineStr">
        <is>
          <t xml:space="preserve">Casual / Sick </t>
        </is>
      </c>
      <c r="E468" t="n">
        <v>1</v>
      </c>
      <c r="F468" s="1" t="n"/>
      <c r="G468" s="1" t="n"/>
      <c r="H468">
        <f>IF(T_LEAVE[[#This Row],[EMPLOYEE]]="","",MATCH(T_LEAVE[[#This Row],[EMPLOYEE]],L_EMPLABELS,0))</f>
        <v/>
      </c>
      <c r="I468">
        <f>IF(T_LEAVE[[#This Row],[EMPLOYEE]]="","",MATCH(T_LEAVE[[#This Row],[LEAVE TYPE]],L_LEAVETYPES,0))</f>
        <v/>
      </c>
      <c r="J468">
        <f t="array" ref="J468">IFERROR(INDEX(T_LEAVE_TYPES[SYMBOL],T_LEAVE[[#This Row],[LEAVE TYPE SYS ID]]),"")</f>
        <v/>
      </c>
      <c r="K468">
        <f>IF(T_LEAVE[[#This Row],[EMPLOYEE]]="","",IF(T_LEAVE[[#This Row],[ERROR]]="",0,1))</f>
        <v/>
      </c>
      <c r="L468">
        <f t="array" ref="L4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69">
      <c r="A469" t="inlineStr">
        <is>
          <t>Sreenath  M S (1027419)</t>
        </is>
      </c>
      <c r="B469" s="15" t="inlineStr">
        <is>
          <t>Thursday, 08 December 2022</t>
        </is>
      </c>
      <c r="C469" s="15" t="inlineStr">
        <is>
          <t>Friday, 09 December 2022</t>
        </is>
      </c>
      <c r="D469" t="inlineStr">
        <is>
          <t xml:space="preserve">Casual / Sick </t>
        </is>
      </c>
      <c r="E469" t="n">
        <v>2</v>
      </c>
      <c r="F469" s="1" t="n"/>
      <c r="G469" s="1" t="n"/>
      <c r="H469">
        <f>IF(T_LEAVE[[#This Row],[EMPLOYEE]]="","",MATCH(T_LEAVE[[#This Row],[EMPLOYEE]],L_EMPLABELS,0))</f>
        <v/>
      </c>
      <c r="I469">
        <f>IF(T_LEAVE[[#This Row],[EMPLOYEE]]="","",MATCH(T_LEAVE[[#This Row],[LEAVE TYPE]],L_LEAVETYPES,0))</f>
        <v/>
      </c>
      <c r="J469">
        <f t="array" ref="J469">IFERROR(INDEX(T_LEAVE_TYPES[SYMBOL],T_LEAVE[[#This Row],[LEAVE TYPE SYS ID]]),"")</f>
        <v/>
      </c>
      <c r="K469">
        <f>IF(T_LEAVE[[#This Row],[EMPLOYEE]]="","",IF(T_LEAVE[[#This Row],[ERROR]]="",0,1))</f>
        <v/>
      </c>
      <c r="L469">
        <f t="array" ref="L4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0">
      <c r="A470" t="inlineStr">
        <is>
          <t>Swikruti  Mahapatra (1023926)</t>
        </is>
      </c>
      <c r="B470" s="15" t="inlineStr">
        <is>
          <t>Friday, 22 December 2023</t>
        </is>
      </c>
      <c r="C470" s="15" t="inlineStr">
        <is>
          <t>Friday, 22 December 2023</t>
        </is>
      </c>
      <c r="D470" t="inlineStr">
        <is>
          <t xml:space="preserve">Casual / Sick </t>
        </is>
      </c>
      <c r="E470" t="n">
        <v>1</v>
      </c>
      <c r="F470" s="1" t="n"/>
      <c r="G470" s="1" t="n"/>
      <c r="H470">
        <f>IF(T_LEAVE[[#This Row],[EMPLOYEE]]="","",MATCH(T_LEAVE[[#This Row],[EMPLOYEE]],L_EMPLABELS,0))</f>
        <v/>
      </c>
      <c r="I470">
        <f>IF(T_LEAVE[[#This Row],[EMPLOYEE]]="","",MATCH(T_LEAVE[[#This Row],[LEAVE TYPE]],L_LEAVETYPES,0))</f>
        <v/>
      </c>
      <c r="J470">
        <f t="array" ref="J470">IFERROR(INDEX(T_LEAVE_TYPES[SYMBOL],T_LEAVE[[#This Row],[LEAVE TYPE SYS ID]]),"")</f>
        <v/>
      </c>
      <c r="K470">
        <f>IF(T_LEAVE[[#This Row],[EMPLOYEE]]="","",IF(T_LEAVE[[#This Row],[ERROR]]="",0,1))</f>
        <v/>
      </c>
      <c r="L470">
        <f t="array" ref="L4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1">
      <c r="A471" t="inlineStr">
        <is>
          <t>Nagarjun Naidu Mannem (1019816)</t>
        </is>
      </c>
      <c r="B471" s="15" t="inlineStr">
        <is>
          <t>Monday, 20 January 2020</t>
        </is>
      </c>
      <c r="C471" s="15" t="inlineStr">
        <is>
          <t>Monday, 20 January 2020</t>
        </is>
      </c>
      <c r="D471" t="inlineStr">
        <is>
          <t xml:space="preserve">Casual / Sick </t>
        </is>
      </c>
      <c r="E471" t="n">
        <v>1</v>
      </c>
      <c r="F471" s="1" t="n"/>
      <c r="G471" s="1" t="n"/>
      <c r="H471">
        <f>IF(T_LEAVE[[#This Row],[EMPLOYEE]]="","",MATCH(T_LEAVE[[#This Row],[EMPLOYEE]],L_EMPLABELS,0))</f>
        <v/>
      </c>
      <c r="I471">
        <f>IF(T_LEAVE[[#This Row],[EMPLOYEE]]="","",MATCH(T_LEAVE[[#This Row],[LEAVE TYPE]],L_LEAVETYPES,0))</f>
        <v/>
      </c>
      <c r="J471">
        <f t="array" ref="J471">IFERROR(INDEX(T_LEAVE_TYPES[SYMBOL],T_LEAVE[[#This Row],[LEAVE TYPE SYS ID]]),"")</f>
        <v/>
      </c>
      <c r="K471">
        <f>IF(T_LEAVE[[#This Row],[EMPLOYEE]]="","",IF(T_LEAVE[[#This Row],[ERROR]]="",0,1))</f>
        <v/>
      </c>
      <c r="L471">
        <f t="array" ref="L4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2">
      <c r="A472" t="inlineStr">
        <is>
          <t>Swikruti  Mahapatra (1023926)</t>
        </is>
      </c>
      <c r="B472" s="15" t="inlineStr">
        <is>
          <t>Wednesday, 29 November 2023</t>
        </is>
      </c>
      <c r="C472" s="15" t="inlineStr">
        <is>
          <t>Wednesday, 29 November 2023</t>
        </is>
      </c>
      <c r="D472" t="inlineStr">
        <is>
          <t xml:space="preserve">Casual / Sick </t>
        </is>
      </c>
      <c r="E472" t="n">
        <v>1</v>
      </c>
      <c r="F472" s="1" t="n"/>
      <c r="G472" s="1" t="n"/>
      <c r="H472">
        <f>IF(T_LEAVE[[#This Row],[EMPLOYEE]]="","",MATCH(T_LEAVE[[#This Row],[EMPLOYEE]],L_EMPLABELS,0))</f>
        <v/>
      </c>
      <c r="I472">
        <f>IF(T_LEAVE[[#This Row],[EMPLOYEE]]="","",MATCH(T_LEAVE[[#This Row],[LEAVE TYPE]],L_LEAVETYPES,0))</f>
        <v/>
      </c>
      <c r="J472">
        <f t="array" ref="J472">IFERROR(INDEX(T_LEAVE_TYPES[SYMBOL],T_LEAVE[[#This Row],[LEAVE TYPE SYS ID]]),"")</f>
        <v/>
      </c>
      <c r="K472">
        <f>IF(T_LEAVE[[#This Row],[EMPLOYEE]]="","",IF(T_LEAVE[[#This Row],[ERROR]]="",0,1))</f>
        <v/>
      </c>
      <c r="L472">
        <f t="array" ref="L4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3">
      <c r="A473" t="inlineStr">
        <is>
          <t>Swikruti  Mahapatra (1023926)</t>
        </is>
      </c>
      <c r="B473" s="15" t="inlineStr">
        <is>
          <t>Sunday, 01 January 2023</t>
        </is>
      </c>
      <c r="C473" s="15" t="inlineStr">
        <is>
          <t>Monday, 19 June 2023</t>
        </is>
      </c>
      <c r="D473" t="inlineStr">
        <is>
          <t>Maternity</t>
        </is>
      </c>
      <c r="E473" t="n">
        <v>170</v>
      </c>
      <c r="F473" s="1" t="n"/>
      <c r="G473" s="1" t="n"/>
      <c r="H473">
        <f>IF(T_LEAVE[[#This Row],[EMPLOYEE]]="","",MATCH(T_LEAVE[[#This Row],[EMPLOYEE]],L_EMPLABELS,0))</f>
        <v/>
      </c>
      <c r="I473">
        <f>IF(T_LEAVE[[#This Row],[EMPLOYEE]]="","",MATCH(T_LEAVE[[#This Row],[LEAVE TYPE]],L_LEAVETYPES,0))</f>
        <v/>
      </c>
      <c r="J473">
        <f t="array" ref="J473">IFERROR(INDEX(T_LEAVE_TYPES[SYMBOL],T_LEAVE[[#This Row],[LEAVE TYPE SYS ID]]),"")</f>
        <v/>
      </c>
      <c r="K473">
        <f>IF(T_LEAVE[[#This Row],[EMPLOYEE]]="","",IF(T_LEAVE[[#This Row],[ERROR]]="",0,1))</f>
        <v/>
      </c>
      <c r="L473">
        <f t="array" ref="L4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4">
      <c r="A474" t="inlineStr">
        <is>
          <t>Swikruti  Mahapatra (1023926)</t>
        </is>
      </c>
      <c r="B474" s="15" t="inlineStr">
        <is>
          <t>Monday, 19 December 2022</t>
        </is>
      </c>
      <c r="C474" s="15" t="inlineStr">
        <is>
          <t>Saturday, 31 December 2022</t>
        </is>
      </c>
      <c r="D474" t="inlineStr">
        <is>
          <t>Maternity</t>
        </is>
      </c>
      <c r="E474" t="n">
        <v>13</v>
      </c>
      <c r="F474" s="1" t="n"/>
      <c r="G474" s="1" t="n"/>
      <c r="H474">
        <f>IF(T_LEAVE[[#This Row],[EMPLOYEE]]="","",MATCH(T_LEAVE[[#This Row],[EMPLOYEE]],L_EMPLABELS,0))</f>
        <v/>
      </c>
      <c r="I474">
        <f>IF(T_LEAVE[[#This Row],[EMPLOYEE]]="","",MATCH(T_LEAVE[[#This Row],[LEAVE TYPE]],L_LEAVETYPES,0))</f>
        <v/>
      </c>
      <c r="J474">
        <f t="array" ref="J474">IFERROR(INDEX(T_LEAVE_TYPES[SYMBOL],T_LEAVE[[#This Row],[LEAVE TYPE SYS ID]]),"")</f>
        <v/>
      </c>
      <c r="K474">
        <f>IF(T_LEAVE[[#This Row],[EMPLOYEE]]="","",IF(T_LEAVE[[#This Row],[ERROR]]="",0,1))</f>
        <v/>
      </c>
      <c r="L474">
        <f t="array" ref="L4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5">
      <c r="A475" t="inlineStr">
        <is>
          <t>Swikruti  Mahapatra (1023926)</t>
        </is>
      </c>
      <c r="B475" s="15" t="inlineStr">
        <is>
          <t>Friday, 16 December 2022</t>
        </is>
      </c>
      <c r="C475" s="15" t="inlineStr">
        <is>
          <t>Friday, 16 December 2022</t>
        </is>
      </c>
      <c r="D475" t="inlineStr">
        <is>
          <t xml:space="preserve">Casual / Sick </t>
        </is>
      </c>
      <c r="E475" t="n">
        <v>1</v>
      </c>
      <c r="F475" s="1" t="n"/>
      <c r="G475" s="1" t="n"/>
      <c r="H475">
        <f>IF(T_LEAVE[[#This Row],[EMPLOYEE]]="","",MATCH(T_LEAVE[[#This Row],[EMPLOYEE]],L_EMPLABELS,0))</f>
        <v/>
      </c>
      <c r="I475">
        <f>IF(T_LEAVE[[#This Row],[EMPLOYEE]]="","",MATCH(T_LEAVE[[#This Row],[LEAVE TYPE]],L_LEAVETYPES,0))</f>
        <v/>
      </c>
      <c r="J475">
        <f t="array" ref="J475">IFERROR(INDEX(T_LEAVE_TYPES[SYMBOL],T_LEAVE[[#This Row],[LEAVE TYPE SYS ID]]),"")</f>
        <v/>
      </c>
      <c r="K475">
        <f>IF(T_LEAVE[[#This Row],[EMPLOYEE]]="","",IF(T_LEAVE[[#This Row],[ERROR]]="",0,1))</f>
        <v/>
      </c>
      <c r="L475">
        <f t="array" ref="L4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6">
      <c r="A476" t="inlineStr">
        <is>
          <t>Swikruti  Mahapatra (1023926)</t>
        </is>
      </c>
      <c r="B476" s="15" t="inlineStr">
        <is>
          <t>Wednesday, 07 December 2022</t>
        </is>
      </c>
      <c r="C476" s="15" t="inlineStr">
        <is>
          <t>Wednesday, 07 December 2022</t>
        </is>
      </c>
      <c r="D476" t="inlineStr">
        <is>
          <t xml:space="preserve">Casual / Sick </t>
        </is>
      </c>
      <c r="E476" t="n">
        <v>1</v>
      </c>
      <c r="F476" s="1" t="n"/>
      <c r="G476" s="1" t="n"/>
      <c r="H476">
        <f>IF(T_LEAVE[[#This Row],[EMPLOYEE]]="","",MATCH(T_LEAVE[[#This Row],[EMPLOYEE]],L_EMPLABELS,0))</f>
        <v/>
      </c>
      <c r="I476">
        <f>IF(T_LEAVE[[#This Row],[EMPLOYEE]]="","",MATCH(T_LEAVE[[#This Row],[LEAVE TYPE]],L_LEAVETYPES,0))</f>
        <v/>
      </c>
      <c r="J476">
        <f t="array" ref="J476">IFERROR(INDEX(T_LEAVE_TYPES[SYMBOL],T_LEAVE[[#This Row],[LEAVE TYPE SYS ID]]),"")</f>
        <v/>
      </c>
      <c r="K476">
        <f>IF(T_LEAVE[[#This Row],[EMPLOYEE]]="","",IF(T_LEAVE[[#This Row],[ERROR]]="",0,1))</f>
        <v/>
      </c>
      <c r="L476">
        <f t="array" ref="L4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7">
      <c r="A477" t="inlineStr">
        <is>
          <t>Swikruti  Mahapatra (1023926)</t>
        </is>
      </c>
      <c r="B477" s="15" t="inlineStr">
        <is>
          <t>Friday, 10 June 2022</t>
        </is>
      </c>
      <c r="C477" s="15" t="inlineStr">
        <is>
          <t>Friday, 10 June 2022</t>
        </is>
      </c>
      <c r="D477" t="inlineStr">
        <is>
          <t xml:space="preserve">Casual / Sick </t>
        </is>
      </c>
      <c r="E477" t="n">
        <v>1</v>
      </c>
      <c r="F477" s="1" t="n"/>
      <c r="G477" s="1" t="n"/>
      <c r="H477">
        <f>IF(T_LEAVE[[#This Row],[EMPLOYEE]]="","",MATCH(T_LEAVE[[#This Row],[EMPLOYEE]],L_EMPLABELS,0))</f>
        <v/>
      </c>
      <c r="I477">
        <f>IF(T_LEAVE[[#This Row],[EMPLOYEE]]="","",MATCH(T_LEAVE[[#This Row],[LEAVE TYPE]],L_LEAVETYPES,0))</f>
        <v/>
      </c>
      <c r="J477">
        <f t="array" ref="J477">IFERROR(INDEX(T_LEAVE_TYPES[SYMBOL],T_LEAVE[[#This Row],[LEAVE TYPE SYS ID]]),"")</f>
        <v/>
      </c>
      <c r="K477">
        <f>IF(T_LEAVE[[#This Row],[EMPLOYEE]]="","",IF(T_LEAVE[[#This Row],[ERROR]]="",0,1))</f>
        <v/>
      </c>
      <c r="L477">
        <f t="array" ref="L4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8">
      <c r="A478" t="inlineStr">
        <is>
          <t>Swikruti  Mahapatra (1023926)</t>
        </is>
      </c>
      <c r="B478" s="15" t="inlineStr">
        <is>
          <t>Thursday, 14 April 2022</t>
        </is>
      </c>
      <c r="C478" s="15" t="inlineStr">
        <is>
          <t>Thursday, 14 April 2022</t>
        </is>
      </c>
      <c r="D478" t="inlineStr">
        <is>
          <t xml:space="preserve">Casual / Sick </t>
        </is>
      </c>
      <c r="E478" t="n">
        <v>1</v>
      </c>
      <c r="F478" s="1" t="n"/>
      <c r="G478" s="1" t="n"/>
      <c r="H478">
        <f>IF(T_LEAVE[[#This Row],[EMPLOYEE]]="","",MATCH(T_LEAVE[[#This Row],[EMPLOYEE]],L_EMPLABELS,0))</f>
        <v/>
      </c>
      <c r="I478">
        <f>IF(T_LEAVE[[#This Row],[EMPLOYEE]]="","",MATCH(T_LEAVE[[#This Row],[LEAVE TYPE]],L_LEAVETYPES,0))</f>
        <v/>
      </c>
      <c r="J478">
        <f t="array" ref="J478">IFERROR(INDEX(T_LEAVE_TYPES[SYMBOL],T_LEAVE[[#This Row],[LEAVE TYPE SYS ID]]),"")</f>
        <v/>
      </c>
      <c r="K478">
        <f>IF(T_LEAVE[[#This Row],[EMPLOYEE]]="","",IF(T_LEAVE[[#This Row],[ERROR]]="",0,1))</f>
        <v/>
      </c>
      <c r="L478">
        <f t="array" ref="L4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79">
      <c r="A479" t="inlineStr">
        <is>
          <t>Swikruti  Mahapatra (1023926)</t>
        </is>
      </c>
      <c r="B479" s="15" t="inlineStr">
        <is>
          <t>Monday, 27 December 2021</t>
        </is>
      </c>
      <c r="C479" s="15" t="inlineStr">
        <is>
          <t>Friday, 31 December 2021</t>
        </is>
      </c>
      <c r="D479" t="inlineStr">
        <is>
          <t xml:space="preserve">Casual / Sick </t>
        </is>
      </c>
      <c r="E479" t="n">
        <v>5</v>
      </c>
      <c r="F479" s="1" t="n"/>
      <c r="G479" s="1" t="n"/>
      <c r="H479">
        <f>IF(T_LEAVE[[#This Row],[EMPLOYEE]]="","",MATCH(T_LEAVE[[#This Row],[EMPLOYEE]],L_EMPLABELS,0))</f>
        <v/>
      </c>
      <c r="I479">
        <f>IF(T_LEAVE[[#This Row],[EMPLOYEE]]="","",MATCH(T_LEAVE[[#This Row],[LEAVE TYPE]],L_LEAVETYPES,0))</f>
        <v/>
      </c>
      <c r="J479">
        <f t="array" ref="J479">IFERROR(INDEX(T_LEAVE_TYPES[SYMBOL],T_LEAVE[[#This Row],[LEAVE TYPE SYS ID]]),"")</f>
        <v/>
      </c>
      <c r="K479">
        <f>IF(T_LEAVE[[#This Row],[EMPLOYEE]]="","",IF(T_LEAVE[[#This Row],[ERROR]]="",0,1))</f>
        <v/>
      </c>
      <c r="L479">
        <f t="array" ref="L4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0">
      <c r="A480" t="inlineStr">
        <is>
          <t>Nagarjun Naidu Mannem (1019816)</t>
        </is>
      </c>
      <c r="B480" s="15" t="inlineStr">
        <is>
          <t>Monday, 25 November 2019</t>
        </is>
      </c>
      <c r="C480" s="15" t="inlineStr">
        <is>
          <t>Wednesday, 27 November 2019</t>
        </is>
      </c>
      <c r="D480" t="inlineStr">
        <is>
          <t>Privilege</t>
        </is>
      </c>
      <c r="E480" t="n">
        <v>3</v>
      </c>
      <c r="F480" s="1" t="n"/>
      <c r="G480" s="1" t="n"/>
      <c r="H480">
        <f>IF(T_LEAVE[[#This Row],[EMPLOYEE]]="","",MATCH(T_LEAVE[[#This Row],[EMPLOYEE]],L_EMPLABELS,0))</f>
        <v/>
      </c>
      <c r="I480">
        <f>IF(T_LEAVE[[#This Row],[EMPLOYEE]]="","",MATCH(T_LEAVE[[#This Row],[LEAVE TYPE]],L_LEAVETYPES,0))</f>
        <v/>
      </c>
      <c r="J480">
        <f t="array" ref="J480">IFERROR(INDEX(T_LEAVE_TYPES[SYMBOL],T_LEAVE[[#This Row],[LEAVE TYPE SYS ID]]),"")</f>
        <v/>
      </c>
      <c r="K480">
        <f>IF(T_LEAVE[[#This Row],[EMPLOYEE]]="","",IF(T_LEAVE[[#This Row],[ERROR]]="",0,1))</f>
        <v/>
      </c>
      <c r="L480">
        <f t="array" ref="L4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1">
      <c r="A481" t="inlineStr">
        <is>
          <t>Nagarjun Naidu Mannem (1019816)</t>
        </is>
      </c>
      <c r="B481" s="15" t="inlineStr">
        <is>
          <t>Monday, 18 November 2019</t>
        </is>
      </c>
      <c r="C481" s="15" t="inlineStr">
        <is>
          <t>Friday, 22 November 2019</t>
        </is>
      </c>
      <c r="D481" t="inlineStr">
        <is>
          <t>Paternity</t>
        </is>
      </c>
      <c r="E481" t="n">
        <v>5</v>
      </c>
      <c r="F481" s="1" t="n"/>
      <c r="G481" s="1" t="n"/>
      <c r="H481">
        <f>IF(T_LEAVE[[#This Row],[EMPLOYEE]]="","",MATCH(T_LEAVE[[#This Row],[EMPLOYEE]],L_EMPLABELS,0))</f>
        <v/>
      </c>
      <c r="I481">
        <f>IF(T_LEAVE[[#This Row],[EMPLOYEE]]="","",MATCH(T_LEAVE[[#This Row],[LEAVE TYPE]],L_LEAVETYPES,0))</f>
        <v/>
      </c>
      <c r="J481">
        <f t="array" ref="J481">IFERROR(INDEX(T_LEAVE_TYPES[SYMBOL],T_LEAVE[[#This Row],[LEAVE TYPE SYS ID]]),"")</f>
        <v/>
      </c>
      <c r="K481">
        <f>IF(T_LEAVE[[#This Row],[EMPLOYEE]]="","",IF(T_LEAVE[[#This Row],[ERROR]]="",0,1))</f>
        <v/>
      </c>
      <c r="L481">
        <f t="array" ref="L4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2">
      <c r="A482" t="inlineStr">
        <is>
          <t>Katakam Vijaykumar (1017149)</t>
        </is>
      </c>
      <c r="B482" s="15" t="inlineStr">
        <is>
          <t>Wednesday, 19 October 2022</t>
        </is>
      </c>
      <c r="C482" s="15" t="inlineStr">
        <is>
          <t>Wednesday, 19 October 2022</t>
        </is>
      </c>
      <c r="D482" t="inlineStr">
        <is>
          <t>Privilege</t>
        </is>
      </c>
      <c r="E482" t="n">
        <v>1</v>
      </c>
      <c r="F482" s="1" t="n"/>
      <c r="G482" s="1" t="n"/>
      <c r="H482">
        <f>IF(T_LEAVE[[#This Row],[EMPLOYEE]]="","",MATCH(T_LEAVE[[#This Row],[EMPLOYEE]],L_EMPLABELS,0))</f>
        <v/>
      </c>
      <c r="I482">
        <f>IF(T_LEAVE[[#This Row],[EMPLOYEE]]="","",MATCH(T_LEAVE[[#This Row],[LEAVE TYPE]],L_LEAVETYPES,0))</f>
        <v/>
      </c>
      <c r="J482">
        <f t="array" ref="J482">IFERROR(INDEX(T_LEAVE_TYPES[SYMBOL],T_LEAVE[[#This Row],[LEAVE TYPE SYS ID]]),"")</f>
        <v/>
      </c>
      <c r="K482">
        <f>IF(T_LEAVE[[#This Row],[EMPLOYEE]]="","",IF(T_LEAVE[[#This Row],[ERROR]]="",0,1))</f>
        <v/>
      </c>
      <c r="L482">
        <f t="array" ref="L4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3">
      <c r="A483" t="inlineStr">
        <is>
          <t>Katakam Vijaykumar (1017149)</t>
        </is>
      </c>
      <c r="B483" s="28" t="inlineStr">
        <is>
          <t>Wednesday, 30 August 2023</t>
        </is>
      </c>
      <c r="C483" s="15" t="inlineStr">
        <is>
          <t>Wednesday, 30 August 2023</t>
        </is>
      </c>
      <c r="D483" t="inlineStr">
        <is>
          <t>Privilege</t>
        </is>
      </c>
      <c r="E483" t="n">
        <v>1</v>
      </c>
      <c r="F483" s="1" t="n"/>
      <c r="G483" s="1" t="n"/>
      <c r="H483">
        <f>IF(T_LEAVE[[#This Row],[EMPLOYEE]]="","",MATCH(T_LEAVE[[#This Row],[EMPLOYEE]],L_EMPLABELS,0))</f>
        <v/>
      </c>
      <c r="I483">
        <f>IF(T_LEAVE[[#This Row],[EMPLOYEE]]="","",MATCH(T_LEAVE[[#This Row],[LEAVE TYPE]],L_LEAVETYPES,0))</f>
        <v/>
      </c>
      <c r="J483">
        <f t="array" ref="J483">IFERROR(INDEX(T_LEAVE_TYPES[SYMBOL],T_LEAVE[[#This Row],[LEAVE TYPE SYS ID]]),"")</f>
        <v/>
      </c>
      <c r="K483">
        <f>IF(T_LEAVE[[#This Row],[EMPLOYEE]]="","",IF(T_LEAVE[[#This Row],[ERROR]]="",0,1))</f>
        <v/>
      </c>
      <c r="L483">
        <f t="array" ref="L4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4">
      <c r="A484" t="inlineStr">
        <is>
          <t>Vempuluru  Chandrasekhar (1025043)</t>
        </is>
      </c>
      <c r="B484" s="15" t="inlineStr">
        <is>
          <t>Tuesday, 26 December 2023</t>
        </is>
      </c>
      <c r="C484" s="15" t="inlineStr">
        <is>
          <t>Tuesday, 26 December 2023</t>
        </is>
      </c>
      <c r="D484" t="inlineStr">
        <is>
          <t>Privilege</t>
        </is>
      </c>
      <c r="E484" t="n">
        <v>1</v>
      </c>
      <c r="F484" s="1" t="n"/>
      <c r="G484" s="1" t="n"/>
      <c r="H484">
        <f>IF(T_LEAVE[[#This Row],[EMPLOYEE]]="","",MATCH(T_LEAVE[[#This Row],[EMPLOYEE]],L_EMPLABELS,0))</f>
        <v/>
      </c>
      <c r="I484">
        <f>IF(T_LEAVE[[#This Row],[EMPLOYEE]]="","",MATCH(T_LEAVE[[#This Row],[LEAVE TYPE]],L_LEAVETYPES,0))</f>
        <v/>
      </c>
      <c r="J484">
        <f t="array" ref="J484">IFERROR(INDEX(T_LEAVE_TYPES[SYMBOL],T_LEAVE[[#This Row],[LEAVE TYPE SYS ID]]),"")</f>
        <v/>
      </c>
      <c r="K484">
        <f>IF(T_LEAVE[[#This Row],[EMPLOYEE]]="","",IF(T_LEAVE[[#This Row],[ERROR]]="",0,1))</f>
        <v/>
      </c>
      <c r="L484">
        <f t="array" ref="L4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5">
      <c r="A485" t="inlineStr">
        <is>
          <t>Vempuluru  Chandrasekhar (1025043)</t>
        </is>
      </c>
      <c r="B485" s="15" t="inlineStr">
        <is>
          <t>Monday, 04 December 2023</t>
        </is>
      </c>
      <c r="C485" s="15" t="inlineStr">
        <is>
          <t>Monday, 04 December 2023</t>
        </is>
      </c>
      <c r="D485" t="inlineStr">
        <is>
          <t>Privilege</t>
        </is>
      </c>
      <c r="E485" t="n">
        <v>1</v>
      </c>
      <c r="F485" s="1" t="n"/>
      <c r="G485" s="1" t="n"/>
      <c r="H485">
        <f>IF(T_LEAVE[[#This Row],[EMPLOYEE]]="","",MATCH(T_LEAVE[[#This Row],[EMPLOYEE]],L_EMPLABELS,0))</f>
        <v/>
      </c>
      <c r="I485">
        <f>IF(T_LEAVE[[#This Row],[EMPLOYEE]]="","",MATCH(T_LEAVE[[#This Row],[LEAVE TYPE]],L_LEAVETYPES,0))</f>
        <v/>
      </c>
      <c r="J485">
        <f t="array" ref="J485">IFERROR(INDEX(T_LEAVE_TYPES[SYMBOL],T_LEAVE[[#This Row],[LEAVE TYPE SYS ID]]),"")</f>
        <v/>
      </c>
      <c r="K485">
        <f>IF(T_LEAVE[[#This Row],[EMPLOYEE]]="","",IF(T_LEAVE[[#This Row],[ERROR]]="",0,1))</f>
        <v/>
      </c>
      <c r="L485">
        <f t="array" ref="L4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6">
      <c r="A486" t="inlineStr">
        <is>
          <t>Vempuluru  Chandrasekhar (1025043)</t>
        </is>
      </c>
      <c r="B486" s="15" t="inlineStr">
        <is>
          <t>Monday, 20 November 2023</t>
        </is>
      </c>
      <c r="C486" s="15" t="inlineStr">
        <is>
          <t>Monday, 20 November 2023</t>
        </is>
      </c>
      <c r="D486" t="inlineStr">
        <is>
          <t>Privilege</t>
        </is>
      </c>
      <c r="E486" t="n">
        <v>1</v>
      </c>
      <c r="F486" s="1" t="n"/>
      <c r="G486" s="1" t="n"/>
      <c r="H486">
        <f>IF(T_LEAVE[[#This Row],[EMPLOYEE]]="","",MATCH(T_LEAVE[[#This Row],[EMPLOYEE]],L_EMPLABELS,0))</f>
        <v/>
      </c>
      <c r="I486">
        <f>IF(T_LEAVE[[#This Row],[EMPLOYEE]]="","",MATCH(T_LEAVE[[#This Row],[LEAVE TYPE]],L_LEAVETYPES,0))</f>
        <v/>
      </c>
      <c r="J486">
        <f t="array" ref="J486">IFERROR(INDEX(T_LEAVE_TYPES[SYMBOL],T_LEAVE[[#This Row],[LEAVE TYPE SYS ID]]),"")</f>
        <v/>
      </c>
      <c r="K486">
        <f>IF(T_LEAVE[[#This Row],[EMPLOYEE]]="","",IF(T_LEAVE[[#This Row],[ERROR]]="",0,1))</f>
        <v/>
      </c>
      <c r="L486">
        <f t="array" ref="L4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7">
      <c r="A487" t="inlineStr">
        <is>
          <t>Vempuluru  Chandrasekhar (1025043)</t>
        </is>
      </c>
      <c r="B487" s="15" t="inlineStr">
        <is>
          <t>Wednesday, 15 November 2023</t>
        </is>
      </c>
      <c r="C487" s="15" t="inlineStr">
        <is>
          <t>Thursday, 16 November 2023</t>
        </is>
      </c>
      <c r="D487" t="inlineStr">
        <is>
          <t xml:space="preserve">Casual / Sick </t>
        </is>
      </c>
      <c r="E487" t="n">
        <v>2</v>
      </c>
      <c r="F487" s="1" t="n"/>
      <c r="G487" s="1" t="n"/>
      <c r="H487">
        <f>IF(T_LEAVE[[#This Row],[EMPLOYEE]]="","",MATCH(T_LEAVE[[#This Row],[EMPLOYEE]],L_EMPLABELS,0))</f>
        <v/>
      </c>
      <c r="I487">
        <f>IF(T_LEAVE[[#This Row],[EMPLOYEE]]="","",MATCH(T_LEAVE[[#This Row],[LEAVE TYPE]],L_LEAVETYPES,0))</f>
        <v/>
      </c>
      <c r="J487">
        <f t="array" ref="J487">IFERROR(INDEX(T_LEAVE_TYPES[SYMBOL],T_LEAVE[[#This Row],[LEAVE TYPE SYS ID]]),"")</f>
        <v/>
      </c>
      <c r="K487">
        <f>IF(T_LEAVE[[#This Row],[EMPLOYEE]]="","",IF(T_LEAVE[[#This Row],[ERROR]]="",0,1))</f>
        <v/>
      </c>
      <c r="L487">
        <f t="array" ref="L4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8">
      <c r="A488" t="inlineStr">
        <is>
          <t>Vempuluru  Chandrasekhar (1025043)</t>
        </is>
      </c>
      <c r="B488" s="15" t="inlineStr">
        <is>
          <t>Tuesday, 12 September 2023</t>
        </is>
      </c>
      <c r="C488" s="15" t="inlineStr">
        <is>
          <t>Wednesday, 13 September 2023</t>
        </is>
      </c>
      <c r="D488" t="inlineStr">
        <is>
          <t xml:space="preserve">Casual / Sick </t>
        </is>
      </c>
      <c r="E488" t="n">
        <v>2</v>
      </c>
      <c r="F488" s="1" t="n"/>
      <c r="G488" s="1" t="n"/>
      <c r="H488">
        <f>IF(T_LEAVE[[#This Row],[EMPLOYEE]]="","",MATCH(T_LEAVE[[#This Row],[EMPLOYEE]],L_EMPLABELS,0))</f>
        <v/>
      </c>
      <c r="I488">
        <f>IF(T_LEAVE[[#This Row],[EMPLOYEE]]="","",MATCH(T_LEAVE[[#This Row],[LEAVE TYPE]],L_LEAVETYPES,0))</f>
        <v/>
      </c>
      <c r="J488">
        <f t="array" ref="J488">IFERROR(INDEX(T_LEAVE_TYPES[SYMBOL],T_LEAVE[[#This Row],[LEAVE TYPE SYS ID]]),"")</f>
        <v/>
      </c>
      <c r="K488">
        <f>IF(T_LEAVE[[#This Row],[EMPLOYEE]]="","",IF(T_LEAVE[[#This Row],[ERROR]]="",0,1))</f>
        <v/>
      </c>
      <c r="L488">
        <f t="array" ref="L4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89">
      <c r="A489" t="inlineStr">
        <is>
          <t>Vempuluru  Chandrasekhar (1025043)</t>
        </is>
      </c>
      <c r="B489" s="15" t="inlineStr">
        <is>
          <t>Thursday, 11 May 2023</t>
        </is>
      </c>
      <c r="C489" s="15" t="inlineStr">
        <is>
          <t>Friday, 12 May 2023</t>
        </is>
      </c>
      <c r="D489" t="inlineStr">
        <is>
          <t>Privilege</t>
        </is>
      </c>
      <c r="E489" t="n">
        <v>2</v>
      </c>
      <c r="F489" s="1" t="n"/>
      <c r="G489" s="1" t="n"/>
      <c r="H489">
        <f>IF(T_LEAVE[[#This Row],[EMPLOYEE]]="","",MATCH(T_LEAVE[[#This Row],[EMPLOYEE]],L_EMPLABELS,0))</f>
        <v/>
      </c>
      <c r="I489">
        <f>IF(T_LEAVE[[#This Row],[EMPLOYEE]]="","",MATCH(T_LEAVE[[#This Row],[LEAVE TYPE]],L_LEAVETYPES,0))</f>
        <v/>
      </c>
      <c r="J489">
        <f t="array" ref="J489">IFERROR(INDEX(T_LEAVE_TYPES[SYMBOL],T_LEAVE[[#This Row],[LEAVE TYPE SYS ID]]),"")</f>
        <v/>
      </c>
      <c r="K489">
        <f>IF(T_LEAVE[[#This Row],[EMPLOYEE]]="","",IF(T_LEAVE[[#This Row],[ERROR]]="",0,1))</f>
        <v/>
      </c>
      <c r="L489">
        <f t="array" ref="L4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0">
      <c r="A490" t="inlineStr">
        <is>
          <t>Vempuluru  Chandrasekhar (1025043)</t>
        </is>
      </c>
      <c r="B490" s="15" t="inlineStr">
        <is>
          <t>Monday, 08 May 2023</t>
        </is>
      </c>
      <c r="C490" s="15" t="inlineStr">
        <is>
          <t>Tuesday, 09 May 2023</t>
        </is>
      </c>
      <c r="D490" t="inlineStr">
        <is>
          <t xml:space="preserve">Casual / Sick </t>
        </is>
      </c>
      <c r="E490" t="n">
        <v>2</v>
      </c>
      <c r="F490" s="1" t="n"/>
      <c r="G490" s="1" t="n"/>
      <c r="H490">
        <f>IF(T_LEAVE[[#This Row],[EMPLOYEE]]="","",MATCH(T_LEAVE[[#This Row],[EMPLOYEE]],L_EMPLABELS,0))</f>
        <v/>
      </c>
      <c r="I490">
        <f>IF(T_LEAVE[[#This Row],[EMPLOYEE]]="","",MATCH(T_LEAVE[[#This Row],[LEAVE TYPE]],L_LEAVETYPES,0))</f>
        <v/>
      </c>
      <c r="J490">
        <f t="array" ref="J490">IFERROR(INDEX(T_LEAVE_TYPES[SYMBOL],T_LEAVE[[#This Row],[LEAVE TYPE SYS ID]]),"")</f>
        <v/>
      </c>
      <c r="K490">
        <f>IF(T_LEAVE[[#This Row],[EMPLOYEE]]="","",IF(T_LEAVE[[#This Row],[ERROR]]="",0,1))</f>
        <v/>
      </c>
      <c r="L490">
        <f t="array" ref="L4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1">
      <c r="A491" t="inlineStr">
        <is>
          <t>Vempuluru  Chandrasekhar (1025043)</t>
        </is>
      </c>
      <c r="B491" s="15" t="inlineStr">
        <is>
          <t>Monday, 13 March 2023</t>
        </is>
      </c>
      <c r="C491" s="15" t="inlineStr">
        <is>
          <t>Monday, 13 March 2023</t>
        </is>
      </c>
      <c r="D491" t="inlineStr">
        <is>
          <t xml:space="preserve">Casual / Sick </t>
        </is>
      </c>
      <c r="E491" t="n">
        <v>1</v>
      </c>
      <c r="F491" s="1" t="n"/>
      <c r="G491" s="1" t="n"/>
      <c r="H491">
        <f>IF(T_LEAVE[[#This Row],[EMPLOYEE]]="","",MATCH(T_LEAVE[[#This Row],[EMPLOYEE]],L_EMPLABELS,0))</f>
        <v/>
      </c>
      <c r="I491">
        <f>IF(T_LEAVE[[#This Row],[EMPLOYEE]]="","",MATCH(T_LEAVE[[#This Row],[LEAVE TYPE]],L_LEAVETYPES,0))</f>
        <v/>
      </c>
      <c r="J491">
        <f t="array" ref="J491">IFERROR(INDEX(T_LEAVE_TYPES[SYMBOL],T_LEAVE[[#This Row],[LEAVE TYPE SYS ID]]),"")</f>
        <v/>
      </c>
      <c r="K491">
        <f>IF(T_LEAVE[[#This Row],[EMPLOYEE]]="","",IF(T_LEAVE[[#This Row],[ERROR]]="",0,1))</f>
        <v/>
      </c>
      <c r="L491">
        <f t="array" ref="L4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2">
      <c r="A492" t="inlineStr">
        <is>
          <t>Vempuluru  Chandrasekhar (1025043)</t>
        </is>
      </c>
      <c r="B492" s="15" t="inlineStr">
        <is>
          <t>Monday, 06 February 2023</t>
        </is>
      </c>
      <c r="C492" s="15" t="inlineStr">
        <is>
          <t>Monday, 06 February 2023</t>
        </is>
      </c>
      <c r="D492" t="inlineStr">
        <is>
          <t xml:space="preserve">Casual / Sick </t>
        </is>
      </c>
      <c r="E492" t="n">
        <v>1</v>
      </c>
      <c r="F492" s="1" t="n"/>
      <c r="G492" s="1" t="n"/>
      <c r="H492">
        <f>IF(T_LEAVE[[#This Row],[EMPLOYEE]]="","",MATCH(T_LEAVE[[#This Row],[EMPLOYEE]],L_EMPLABELS,0))</f>
        <v/>
      </c>
      <c r="I492">
        <f>IF(T_LEAVE[[#This Row],[EMPLOYEE]]="","",MATCH(T_LEAVE[[#This Row],[LEAVE TYPE]],L_LEAVETYPES,0))</f>
        <v/>
      </c>
      <c r="J492">
        <f t="array" ref="J492">IFERROR(INDEX(T_LEAVE_TYPES[SYMBOL],T_LEAVE[[#This Row],[LEAVE TYPE SYS ID]]),"")</f>
        <v/>
      </c>
      <c r="K492">
        <f>IF(T_LEAVE[[#This Row],[EMPLOYEE]]="","",IF(T_LEAVE[[#This Row],[ERROR]]="",0,1))</f>
        <v/>
      </c>
      <c r="L492">
        <f t="array" ref="L4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3">
      <c r="A493" t="inlineStr">
        <is>
          <t>Vempuluru  Chandrasekhar (1025043)</t>
        </is>
      </c>
      <c r="B493" s="15" t="inlineStr">
        <is>
          <t>Thursday, 29 December 2022</t>
        </is>
      </c>
      <c r="C493" s="15" t="inlineStr">
        <is>
          <t>Friday, 30 December 2022</t>
        </is>
      </c>
      <c r="D493" t="inlineStr">
        <is>
          <t>Privilege</t>
        </is>
      </c>
      <c r="E493" t="n">
        <v>2</v>
      </c>
      <c r="F493" s="1" t="n"/>
      <c r="G493" s="1" t="n"/>
      <c r="H493">
        <f>IF(T_LEAVE[[#This Row],[EMPLOYEE]]="","",MATCH(T_LEAVE[[#This Row],[EMPLOYEE]],L_EMPLABELS,0))</f>
        <v/>
      </c>
      <c r="I493">
        <f>IF(T_LEAVE[[#This Row],[EMPLOYEE]]="","",MATCH(T_LEAVE[[#This Row],[LEAVE TYPE]],L_LEAVETYPES,0))</f>
        <v/>
      </c>
      <c r="J493">
        <f t="array" ref="J493">IFERROR(INDEX(T_LEAVE_TYPES[SYMBOL],T_LEAVE[[#This Row],[LEAVE TYPE SYS ID]]),"")</f>
        <v/>
      </c>
      <c r="K493">
        <f>IF(T_LEAVE[[#This Row],[EMPLOYEE]]="","",IF(T_LEAVE[[#This Row],[ERROR]]="",0,1))</f>
        <v/>
      </c>
      <c r="L493">
        <f t="array" ref="L4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4">
      <c r="A494" t="inlineStr">
        <is>
          <t>Vempuluru  Chandrasekhar (1025043)</t>
        </is>
      </c>
      <c r="B494" s="15" t="inlineStr">
        <is>
          <t>Wednesday, 07 December 2022</t>
        </is>
      </c>
      <c r="C494" s="15" t="inlineStr">
        <is>
          <t>Thursday, 08 December 2022</t>
        </is>
      </c>
      <c r="D494" t="inlineStr">
        <is>
          <t xml:space="preserve">Casual / Sick </t>
        </is>
      </c>
      <c r="E494" t="n">
        <v>2</v>
      </c>
      <c r="F494" s="1" t="n"/>
      <c r="G494" s="1" t="n"/>
      <c r="H494">
        <f>IF(T_LEAVE[[#This Row],[EMPLOYEE]]="","",MATCH(T_LEAVE[[#This Row],[EMPLOYEE]],L_EMPLABELS,0))</f>
        <v/>
      </c>
      <c r="I494">
        <f>IF(T_LEAVE[[#This Row],[EMPLOYEE]]="","",MATCH(T_LEAVE[[#This Row],[LEAVE TYPE]],L_LEAVETYPES,0))</f>
        <v/>
      </c>
      <c r="J494">
        <f t="array" ref="J494">IFERROR(INDEX(T_LEAVE_TYPES[SYMBOL],T_LEAVE[[#This Row],[LEAVE TYPE SYS ID]]),"")</f>
        <v/>
      </c>
      <c r="K494">
        <f>IF(T_LEAVE[[#This Row],[EMPLOYEE]]="","",IF(T_LEAVE[[#This Row],[ERROR]]="",0,1))</f>
        <v/>
      </c>
      <c r="L494">
        <f t="array" ref="L4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5">
      <c r="A495" t="inlineStr">
        <is>
          <t>Vempuluru  Chandrasekhar (1025043)</t>
        </is>
      </c>
      <c r="B495" s="15" t="inlineStr">
        <is>
          <t>Thursday, 24 November 2022</t>
        </is>
      </c>
      <c r="C495" s="15" t="inlineStr">
        <is>
          <t>Friday, 25 November 2022</t>
        </is>
      </c>
      <c r="D495" t="inlineStr">
        <is>
          <t xml:space="preserve">Casual / Sick </t>
        </is>
      </c>
      <c r="E495" t="n">
        <v>2</v>
      </c>
      <c r="F495" s="1" t="n"/>
      <c r="G495" s="1" t="n"/>
      <c r="H495">
        <f>IF(T_LEAVE[[#This Row],[EMPLOYEE]]="","",MATCH(T_LEAVE[[#This Row],[EMPLOYEE]],L_EMPLABELS,0))</f>
        <v/>
      </c>
      <c r="I495">
        <f>IF(T_LEAVE[[#This Row],[EMPLOYEE]]="","",MATCH(T_LEAVE[[#This Row],[LEAVE TYPE]],L_LEAVETYPES,0))</f>
        <v/>
      </c>
      <c r="J495">
        <f t="array" ref="J495">IFERROR(INDEX(T_LEAVE_TYPES[SYMBOL],T_LEAVE[[#This Row],[LEAVE TYPE SYS ID]]),"")</f>
        <v/>
      </c>
      <c r="K495">
        <f>IF(T_LEAVE[[#This Row],[EMPLOYEE]]="","",IF(T_LEAVE[[#This Row],[ERROR]]="",0,1))</f>
        <v/>
      </c>
      <c r="L495">
        <f t="array" ref="L4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6">
      <c r="A496" t="inlineStr">
        <is>
          <t>Vidya  K (1023719)</t>
        </is>
      </c>
      <c r="B496" s="15" t="inlineStr">
        <is>
          <t>Monday, 11 December 2023</t>
        </is>
      </c>
      <c r="C496" s="15" t="inlineStr">
        <is>
          <t>Tuesday, 12 December 2023</t>
        </is>
      </c>
      <c r="D496" t="inlineStr">
        <is>
          <t xml:space="preserve">Casual / Sick </t>
        </is>
      </c>
      <c r="E496" t="n">
        <v>2</v>
      </c>
      <c r="F496" s="1" t="n"/>
      <c r="G496" s="1" t="n"/>
      <c r="H496">
        <f>IF(T_LEAVE[[#This Row],[EMPLOYEE]]="","",MATCH(T_LEAVE[[#This Row],[EMPLOYEE]],L_EMPLABELS,0))</f>
        <v/>
      </c>
      <c r="I496">
        <f>IF(T_LEAVE[[#This Row],[EMPLOYEE]]="","",MATCH(T_LEAVE[[#This Row],[LEAVE TYPE]],L_LEAVETYPES,0))</f>
        <v/>
      </c>
      <c r="J496">
        <f t="array" ref="J496">IFERROR(INDEX(T_LEAVE_TYPES[SYMBOL],T_LEAVE[[#This Row],[LEAVE TYPE SYS ID]]),"")</f>
        <v/>
      </c>
      <c r="K496">
        <f>IF(T_LEAVE[[#This Row],[EMPLOYEE]]="","",IF(T_LEAVE[[#This Row],[ERROR]]="",0,1))</f>
        <v/>
      </c>
      <c r="L496">
        <f t="array" ref="L4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7">
      <c r="A497" t="inlineStr">
        <is>
          <t>Vidya  K (1023719)</t>
        </is>
      </c>
      <c r="B497" s="15" t="inlineStr">
        <is>
          <t>Wednesday, 25 October 2023</t>
        </is>
      </c>
      <c r="C497" s="15" t="inlineStr">
        <is>
          <t>Wednesday, 25 October 2023</t>
        </is>
      </c>
      <c r="D497" t="inlineStr">
        <is>
          <t>Privilege</t>
        </is>
      </c>
      <c r="E497" t="n">
        <v>1</v>
      </c>
      <c r="F497" s="1" t="n"/>
      <c r="G497" s="1" t="n"/>
      <c r="H497">
        <f>IF(T_LEAVE[[#This Row],[EMPLOYEE]]="","",MATCH(T_LEAVE[[#This Row],[EMPLOYEE]],L_EMPLABELS,0))</f>
        <v/>
      </c>
      <c r="I497">
        <f>IF(T_LEAVE[[#This Row],[EMPLOYEE]]="","",MATCH(T_LEAVE[[#This Row],[LEAVE TYPE]],L_LEAVETYPES,0))</f>
        <v/>
      </c>
      <c r="J497">
        <f t="array" ref="J497">IFERROR(INDEX(T_LEAVE_TYPES[SYMBOL],T_LEAVE[[#This Row],[LEAVE TYPE SYS ID]]),"")</f>
        <v/>
      </c>
      <c r="K497">
        <f>IF(T_LEAVE[[#This Row],[EMPLOYEE]]="","",IF(T_LEAVE[[#This Row],[ERROR]]="",0,1))</f>
        <v/>
      </c>
      <c r="L497">
        <f t="array" ref="L4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8">
      <c r="A498" t="inlineStr">
        <is>
          <t>Vidya  K (1023719)</t>
        </is>
      </c>
      <c r="B498" s="15" t="inlineStr">
        <is>
          <t>Wednesday, 23 August 2023</t>
        </is>
      </c>
      <c r="C498" s="15" t="inlineStr">
        <is>
          <t>Wednesday, 23 August 2023</t>
        </is>
      </c>
      <c r="D498" t="inlineStr">
        <is>
          <t xml:space="preserve">Casual / Sick </t>
        </is>
      </c>
      <c r="E498" t="n">
        <v>1</v>
      </c>
      <c r="F498" s="1" t="n"/>
      <c r="G498" s="1" t="n"/>
      <c r="H498">
        <f>IF(T_LEAVE[[#This Row],[EMPLOYEE]]="","",MATCH(T_LEAVE[[#This Row],[EMPLOYEE]],L_EMPLABELS,0))</f>
        <v/>
      </c>
      <c r="I498">
        <f>IF(T_LEAVE[[#This Row],[EMPLOYEE]]="","",MATCH(T_LEAVE[[#This Row],[LEAVE TYPE]],L_LEAVETYPES,0))</f>
        <v/>
      </c>
      <c r="J498">
        <f t="array" ref="J498">IFERROR(INDEX(T_LEAVE_TYPES[SYMBOL],T_LEAVE[[#This Row],[LEAVE TYPE SYS ID]]),"")</f>
        <v/>
      </c>
      <c r="K498">
        <f>IF(T_LEAVE[[#This Row],[EMPLOYEE]]="","",IF(T_LEAVE[[#This Row],[ERROR]]="",0,1))</f>
        <v/>
      </c>
      <c r="L498">
        <f t="array" ref="L4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499">
      <c r="A499" t="inlineStr">
        <is>
          <t>Vidya  K (1023719)</t>
        </is>
      </c>
      <c r="B499" s="15" t="inlineStr">
        <is>
          <t>Monday, 21 August 2023</t>
        </is>
      </c>
      <c r="C499" s="15" t="inlineStr">
        <is>
          <t>Tuesday, 22 August 2023</t>
        </is>
      </c>
      <c r="D499" t="inlineStr">
        <is>
          <t>Privilege</t>
        </is>
      </c>
      <c r="E499" t="n">
        <v>2</v>
      </c>
      <c r="F499" s="1" t="n"/>
      <c r="G499" s="1" t="n"/>
      <c r="H499">
        <f>IF(T_LEAVE[[#This Row],[EMPLOYEE]]="","",MATCH(T_LEAVE[[#This Row],[EMPLOYEE]],L_EMPLABELS,0))</f>
        <v/>
      </c>
      <c r="I499">
        <f>IF(T_LEAVE[[#This Row],[EMPLOYEE]]="","",MATCH(T_LEAVE[[#This Row],[LEAVE TYPE]],L_LEAVETYPES,0))</f>
        <v/>
      </c>
      <c r="J499">
        <f t="array" ref="J499">IFERROR(INDEX(T_LEAVE_TYPES[SYMBOL],T_LEAVE[[#This Row],[LEAVE TYPE SYS ID]]),"")</f>
        <v/>
      </c>
      <c r="K499">
        <f>IF(T_LEAVE[[#This Row],[EMPLOYEE]]="","",IF(T_LEAVE[[#This Row],[ERROR]]="",0,1))</f>
        <v/>
      </c>
      <c r="L499">
        <f t="array" ref="L4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0">
      <c r="A500" t="inlineStr">
        <is>
          <t>Vidya  K (1023719)</t>
        </is>
      </c>
      <c r="B500" s="15" t="inlineStr">
        <is>
          <t>Friday, 19 May 2023</t>
        </is>
      </c>
      <c r="C500" s="15" t="inlineStr">
        <is>
          <t>Friday, 19 May 2023</t>
        </is>
      </c>
      <c r="D500" t="inlineStr">
        <is>
          <t xml:space="preserve">Casual / Sick </t>
        </is>
      </c>
      <c r="E500" t="n">
        <v>1</v>
      </c>
      <c r="F500" s="1" t="n"/>
      <c r="G500" s="1" t="n"/>
      <c r="H500">
        <f>IF(T_LEAVE[[#This Row],[EMPLOYEE]]="","",MATCH(T_LEAVE[[#This Row],[EMPLOYEE]],L_EMPLABELS,0))</f>
        <v/>
      </c>
      <c r="I500">
        <f>IF(T_LEAVE[[#This Row],[EMPLOYEE]]="","",MATCH(T_LEAVE[[#This Row],[LEAVE TYPE]],L_LEAVETYPES,0))</f>
        <v/>
      </c>
      <c r="J500">
        <f t="array" ref="J500">IFERROR(INDEX(T_LEAVE_TYPES[SYMBOL],T_LEAVE[[#This Row],[LEAVE TYPE SYS ID]]),"")</f>
        <v/>
      </c>
      <c r="K500">
        <f>IF(T_LEAVE[[#This Row],[EMPLOYEE]]="","",IF(T_LEAVE[[#This Row],[ERROR]]="",0,1))</f>
        <v/>
      </c>
      <c r="L500">
        <f t="array" ref="L5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1">
      <c r="A501" t="inlineStr">
        <is>
          <t>Vidya  K (1023719)</t>
        </is>
      </c>
      <c r="B501" s="15" t="inlineStr">
        <is>
          <t>Friday, 10 February 2023</t>
        </is>
      </c>
      <c r="C501" s="15" t="inlineStr">
        <is>
          <t>Friday, 10 February 2023</t>
        </is>
      </c>
      <c r="D501" t="inlineStr">
        <is>
          <t>Privilege</t>
        </is>
      </c>
      <c r="E501" t="n">
        <v>1</v>
      </c>
      <c r="F501" s="1" t="n"/>
      <c r="G501" s="1" t="n"/>
      <c r="H501">
        <f>IF(T_LEAVE[[#This Row],[EMPLOYEE]]="","",MATCH(T_LEAVE[[#This Row],[EMPLOYEE]],L_EMPLABELS,0))</f>
        <v/>
      </c>
      <c r="I501">
        <f>IF(T_LEAVE[[#This Row],[EMPLOYEE]]="","",MATCH(T_LEAVE[[#This Row],[LEAVE TYPE]],L_LEAVETYPES,0))</f>
        <v/>
      </c>
      <c r="J501">
        <f t="array" ref="J501">IFERROR(INDEX(T_LEAVE_TYPES[SYMBOL],T_LEAVE[[#This Row],[LEAVE TYPE SYS ID]]),"")</f>
        <v/>
      </c>
      <c r="K501">
        <f>IF(T_LEAVE[[#This Row],[EMPLOYEE]]="","",IF(T_LEAVE[[#This Row],[ERROR]]="",0,1))</f>
        <v/>
      </c>
      <c r="L501">
        <f t="array" ref="L5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2">
      <c r="A502" t="inlineStr">
        <is>
          <t>Vidya  K (1023719)</t>
        </is>
      </c>
      <c r="B502" s="15" t="inlineStr">
        <is>
          <t>Monday, 05 December 2022</t>
        </is>
      </c>
      <c r="C502" s="15" t="inlineStr">
        <is>
          <t>Monday, 05 December 2022</t>
        </is>
      </c>
      <c r="D502" t="inlineStr">
        <is>
          <t xml:space="preserve">Casual / Sick </t>
        </is>
      </c>
      <c r="E502" t="n">
        <v>1</v>
      </c>
      <c r="F502" s="1" t="n"/>
      <c r="G502" s="1" t="n"/>
      <c r="H502">
        <f>IF(T_LEAVE[[#This Row],[EMPLOYEE]]="","",MATCH(T_LEAVE[[#This Row],[EMPLOYEE]],L_EMPLABELS,0))</f>
        <v/>
      </c>
      <c r="I502">
        <f>IF(T_LEAVE[[#This Row],[EMPLOYEE]]="","",MATCH(T_LEAVE[[#This Row],[LEAVE TYPE]],L_LEAVETYPES,0))</f>
        <v/>
      </c>
      <c r="J502">
        <f t="array" ref="J502">IFERROR(INDEX(T_LEAVE_TYPES[SYMBOL],T_LEAVE[[#This Row],[LEAVE TYPE SYS ID]]),"")</f>
        <v/>
      </c>
      <c r="K502">
        <f>IF(T_LEAVE[[#This Row],[EMPLOYEE]]="","",IF(T_LEAVE[[#This Row],[ERROR]]="",0,1))</f>
        <v/>
      </c>
      <c r="L502">
        <f t="array" ref="L5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3">
      <c r="A503" t="inlineStr">
        <is>
          <t>Vidya  K (1023719)</t>
        </is>
      </c>
      <c r="B503" s="15" t="inlineStr">
        <is>
          <t>Friday, 16 September 2022</t>
        </is>
      </c>
      <c r="C503" s="15" t="inlineStr">
        <is>
          <t>Friday, 16 September 2022</t>
        </is>
      </c>
      <c r="D503" t="inlineStr">
        <is>
          <t xml:space="preserve">Casual / Sick </t>
        </is>
      </c>
      <c r="E503" t="n">
        <v>1</v>
      </c>
      <c r="F503" s="1" t="n"/>
      <c r="G503" s="1" t="n"/>
      <c r="H503">
        <f>IF(T_LEAVE[[#This Row],[EMPLOYEE]]="","",MATCH(T_LEAVE[[#This Row],[EMPLOYEE]],L_EMPLABELS,0))</f>
        <v/>
      </c>
      <c r="I503">
        <f>IF(T_LEAVE[[#This Row],[EMPLOYEE]]="","",MATCH(T_LEAVE[[#This Row],[LEAVE TYPE]],L_LEAVETYPES,0))</f>
        <v/>
      </c>
      <c r="J503">
        <f t="array" ref="J503">IFERROR(INDEX(T_LEAVE_TYPES[SYMBOL],T_LEAVE[[#This Row],[LEAVE TYPE SYS ID]]),"")</f>
        <v/>
      </c>
      <c r="K503">
        <f>IF(T_LEAVE[[#This Row],[EMPLOYEE]]="","",IF(T_LEAVE[[#This Row],[ERROR]]="",0,1))</f>
        <v/>
      </c>
      <c r="L503">
        <f t="array" ref="L50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4">
      <c r="A504" t="inlineStr">
        <is>
          <t>Nagarjun Naidu Mannem (1019816)</t>
        </is>
      </c>
      <c r="B504" s="15" t="inlineStr">
        <is>
          <t>Monday, 08 April 2019</t>
        </is>
      </c>
      <c r="C504" s="15" t="inlineStr">
        <is>
          <t>Tuesday, 09 April 2019</t>
        </is>
      </c>
      <c r="D504" t="inlineStr">
        <is>
          <t>Privilege</t>
        </is>
      </c>
      <c r="E504" t="n">
        <v>2</v>
      </c>
      <c r="F504" s="1" t="n"/>
      <c r="G504" s="1" t="n"/>
      <c r="H504">
        <f>IF(T_LEAVE[[#This Row],[EMPLOYEE]]="","",MATCH(T_LEAVE[[#This Row],[EMPLOYEE]],L_EMPLABELS,0))</f>
        <v/>
      </c>
      <c r="I504">
        <f>IF(T_LEAVE[[#This Row],[EMPLOYEE]]="","",MATCH(T_LEAVE[[#This Row],[LEAVE TYPE]],L_LEAVETYPES,0))</f>
        <v/>
      </c>
      <c r="J504">
        <f t="array" ref="J504">IFERROR(INDEX(T_LEAVE_TYPES[SYMBOL],T_LEAVE[[#This Row],[LEAVE TYPE SYS ID]]),"")</f>
        <v/>
      </c>
      <c r="K504">
        <f>IF(T_LEAVE[[#This Row],[EMPLOYEE]]="","",IF(T_LEAVE[[#This Row],[ERROR]]="",0,1))</f>
        <v/>
      </c>
      <c r="L504">
        <f t="array" ref="L50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5">
      <c r="A505" t="inlineStr">
        <is>
          <t>Yukesh  (1033125)</t>
        </is>
      </c>
      <c r="B505" s="15" t="inlineStr">
        <is>
          <t>Tuesday, 02 January 2024</t>
        </is>
      </c>
      <c r="C505" s="15" t="inlineStr">
        <is>
          <t>Tuesday, 02 January 2024</t>
        </is>
      </c>
      <c r="D505" t="inlineStr">
        <is>
          <t xml:space="preserve">Casual / Sick </t>
        </is>
      </c>
      <c r="E505" t="n">
        <v>1</v>
      </c>
      <c r="F505" s="1" t="n"/>
      <c r="G505" s="1" t="n"/>
      <c r="H505">
        <f>IF(T_LEAVE[[#This Row],[EMPLOYEE]]="","",MATCH(T_LEAVE[[#This Row],[EMPLOYEE]],L_EMPLABELS,0))</f>
        <v/>
      </c>
      <c r="I505">
        <f>IF(T_LEAVE[[#This Row],[EMPLOYEE]]="","",MATCH(T_LEAVE[[#This Row],[LEAVE TYPE]],L_LEAVETYPES,0))</f>
        <v/>
      </c>
      <c r="J505">
        <f t="array" ref="J505">IFERROR(INDEX(T_LEAVE_TYPES[SYMBOL],T_LEAVE[[#This Row],[LEAVE TYPE SYS ID]]),"")</f>
        <v/>
      </c>
      <c r="K505">
        <f>IF(T_LEAVE[[#This Row],[EMPLOYEE]]="","",IF(T_LEAVE[[#This Row],[ERROR]]="",0,1))</f>
        <v/>
      </c>
      <c r="L505">
        <f t="array" ref="L50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6">
      <c r="A506" t="inlineStr">
        <is>
          <t>Yukesh  (1033125)</t>
        </is>
      </c>
      <c r="B506" s="15" t="inlineStr">
        <is>
          <t>Monday, 04 December 2023</t>
        </is>
      </c>
      <c r="C506" s="15" t="inlineStr">
        <is>
          <t>Monday, 04 December 2023</t>
        </is>
      </c>
      <c r="D506" t="inlineStr">
        <is>
          <t xml:space="preserve">Casual / Sick </t>
        </is>
      </c>
      <c r="E506" t="n">
        <v>1</v>
      </c>
      <c r="F506" s="1" t="n"/>
      <c r="G506" s="1" t="n"/>
      <c r="H506">
        <f>IF(T_LEAVE[[#This Row],[EMPLOYEE]]="","",MATCH(T_LEAVE[[#This Row],[EMPLOYEE]],L_EMPLABELS,0))</f>
        <v/>
      </c>
      <c r="I506">
        <f>IF(T_LEAVE[[#This Row],[EMPLOYEE]]="","",MATCH(T_LEAVE[[#This Row],[LEAVE TYPE]],L_LEAVETYPES,0))</f>
        <v/>
      </c>
      <c r="J506">
        <f t="array" ref="J506">IFERROR(INDEX(T_LEAVE_TYPES[SYMBOL],T_LEAVE[[#This Row],[LEAVE TYPE SYS ID]]),"")</f>
        <v/>
      </c>
      <c r="K506">
        <f>IF(T_LEAVE[[#This Row],[EMPLOYEE]]="","",IF(T_LEAVE[[#This Row],[ERROR]]="",0,1))</f>
        <v/>
      </c>
      <c r="L506">
        <f t="array" ref="L50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7">
      <c r="A507" t="inlineStr">
        <is>
          <t>Aishwarya  Ds (1024946)</t>
        </is>
      </c>
      <c r="B507" t="inlineStr">
        <is>
          <t>Thursday, 18 January 2024</t>
        </is>
      </c>
      <c r="C507" t="inlineStr">
        <is>
          <t>Thursday, 18 January 2024</t>
        </is>
      </c>
      <c r="D507" t="inlineStr">
        <is>
          <t xml:space="preserve">Casual / Sick </t>
        </is>
      </c>
      <c r="E507" t="n">
        <v>1</v>
      </c>
      <c r="F507" s="1" t="n"/>
      <c r="G507" s="1" t="n"/>
      <c r="H507">
        <f>IF(T_LEAVE[[#This Row],[EMPLOYEE]]="","",MATCH(T_LEAVE[[#This Row],[EMPLOYEE]],L_EMPLABELS,0))</f>
        <v/>
      </c>
      <c r="I507">
        <f>IF(T_LEAVE[[#This Row],[EMPLOYEE]]="","",MATCH(T_LEAVE[[#This Row],[LEAVE TYPE]],L_LEAVETYPES,0))</f>
        <v/>
      </c>
      <c r="J507">
        <f t="array" ref="J507">IFERROR(INDEX(T_LEAVE_TYPES[SYMBOL],T_LEAVE[[#This Row],[LEAVE TYPE SYS ID]]),"")</f>
        <v/>
      </c>
      <c r="K507">
        <f>IF(T_LEAVE[[#This Row],[EMPLOYEE]]="","",IF(T_LEAVE[[#This Row],[ERROR]]="",0,1))</f>
        <v/>
      </c>
      <c r="L507">
        <f t="array" ref="L50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8">
      <c r="A508" t="inlineStr">
        <is>
          <t>Shrish Ram Bale (1033831)</t>
        </is>
      </c>
      <c r="B508" t="inlineStr">
        <is>
          <t>Wednesday, 03 January 2024</t>
        </is>
      </c>
      <c r="C508" t="inlineStr">
        <is>
          <t>Wednesday, 03 January 2024</t>
        </is>
      </c>
      <c r="D508" t="inlineStr">
        <is>
          <t xml:space="preserve">Casual / Sick </t>
        </is>
      </c>
      <c r="E508" t="n">
        <v>1</v>
      </c>
      <c r="F508" s="1" t="n"/>
      <c r="G508" s="1" t="n"/>
      <c r="H508">
        <f>IF(T_LEAVE[[#This Row],[EMPLOYEE]]="","",MATCH(T_LEAVE[[#This Row],[EMPLOYEE]],L_EMPLABELS,0))</f>
        <v/>
      </c>
      <c r="I508">
        <f>IF(T_LEAVE[[#This Row],[EMPLOYEE]]="","",MATCH(T_LEAVE[[#This Row],[LEAVE TYPE]],L_LEAVETYPES,0))</f>
        <v/>
      </c>
      <c r="J508">
        <f t="array" ref="J508">IFERROR(INDEX(T_LEAVE_TYPES[SYMBOL],T_LEAVE[[#This Row],[LEAVE TYPE SYS ID]]),"")</f>
        <v/>
      </c>
      <c r="K508">
        <f>IF(T_LEAVE[[#This Row],[EMPLOYEE]]="","",IF(T_LEAVE[[#This Row],[ERROR]]="",0,1))</f>
        <v/>
      </c>
      <c r="L508">
        <f t="array" ref="L50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09">
      <c r="A509" t="inlineStr">
        <is>
          <t>Suchismita  Mohanty (1022859)</t>
        </is>
      </c>
      <c r="B509" t="inlineStr">
        <is>
          <t>Friday, 29 December 2023</t>
        </is>
      </c>
      <c r="C509" t="inlineStr">
        <is>
          <t>Friday, 29 December 2023</t>
        </is>
      </c>
      <c r="D509" t="inlineStr">
        <is>
          <t>Privilege</t>
        </is>
      </c>
      <c r="E509" t="n">
        <v>1</v>
      </c>
      <c r="F509" s="1" t="n"/>
      <c r="G509" s="1" t="n"/>
      <c r="H509">
        <f>IF(T_LEAVE[[#This Row],[EMPLOYEE]]="","",MATCH(T_LEAVE[[#This Row],[EMPLOYEE]],L_EMPLABELS,0))</f>
        <v/>
      </c>
      <c r="I509">
        <f>IF(T_LEAVE[[#This Row],[EMPLOYEE]]="","",MATCH(T_LEAVE[[#This Row],[LEAVE TYPE]],L_LEAVETYPES,0))</f>
        <v/>
      </c>
      <c r="J509">
        <f t="array" ref="J509">IFERROR(INDEX(T_LEAVE_TYPES[SYMBOL],T_LEAVE[[#This Row],[LEAVE TYPE SYS ID]]),"")</f>
        <v/>
      </c>
      <c r="K509">
        <f>IF(T_LEAVE[[#This Row],[EMPLOYEE]]="","",IF(T_LEAVE[[#This Row],[ERROR]]="",0,1))</f>
        <v/>
      </c>
      <c r="L509">
        <f t="array" ref="L50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0">
      <c r="A510" t="inlineStr">
        <is>
          <t>Aishwarya  Ds (1024946)</t>
        </is>
      </c>
      <c r="B510" t="inlineStr">
        <is>
          <t>Friday, 29 December 2023</t>
        </is>
      </c>
      <c r="C510" t="inlineStr">
        <is>
          <t>Friday, 29 December 2023</t>
        </is>
      </c>
      <c r="D510" t="inlineStr">
        <is>
          <t>Privilege</t>
        </is>
      </c>
      <c r="E510" t="n">
        <v>1</v>
      </c>
      <c r="F510" s="1" t="n"/>
      <c r="G510" s="1" t="n"/>
      <c r="H510">
        <f>IF(T_LEAVE[[#This Row],[EMPLOYEE]]="","",MATCH(T_LEAVE[[#This Row],[EMPLOYEE]],L_EMPLABELS,0))</f>
        <v/>
      </c>
      <c r="I510">
        <f>IF(T_LEAVE[[#This Row],[EMPLOYEE]]="","",MATCH(T_LEAVE[[#This Row],[LEAVE TYPE]],L_LEAVETYPES,0))</f>
        <v/>
      </c>
      <c r="J510">
        <f t="array" ref="J510">IFERROR(INDEX(T_LEAVE_TYPES[SYMBOL],T_LEAVE[[#This Row],[LEAVE TYPE SYS ID]]),"")</f>
        <v/>
      </c>
      <c r="K510">
        <f>IF(T_LEAVE[[#This Row],[EMPLOYEE]]="","",IF(T_LEAVE[[#This Row],[ERROR]]="",0,1))</f>
        <v/>
      </c>
      <c r="L510">
        <f t="array" ref="L5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1">
      <c r="A511" t="inlineStr">
        <is>
          <t>P Thulasi (1026938)</t>
        </is>
      </c>
      <c r="B511" t="inlineStr">
        <is>
          <t>Friday, 29 December 2023</t>
        </is>
      </c>
      <c r="C511" t="inlineStr">
        <is>
          <t>Friday, 29 December 2023</t>
        </is>
      </c>
      <c r="D511" t="inlineStr">
        <is>
          <t>Privilege</t>
        </is>
      </c>
      <c r="E511" t="n">
        <v>1</v>
      </c>
      <c r="F511" s="1" t="n"/>
      <c r="G511" s="1" t="n"/>
      <c r="H511">
        <f>IF(T_LEAVE[[#This Row],[EMPLOYEE]]="","",MATCH(T_LEAVE[[#This Row],[EMPLOYEE]],L_EMPLABELS,0))</f>
        <v/>
      </c>
      <c r="I511">
        <f>IF(T_LEAVE[[#This Row],[EMPLOYEE]]="","",MATCH(T_LEAVE[[#This Row],[LEAVE TYPE]],L_LEAVETYPES,0))</f>
        <v/>
      </c>
      <c r="J511">
        <f t="array" ref="J511">IFERROR(INDEX(T_LEAVE_TYPES[SYMBOL],T_LEAVE[[#This Row],[LEAVE TYPE SYS ID]]),"")</f>
        <v/>
      </c>
      <c r="K511">
        <f>IF(T_LEAVE[[#This Row],[EMPLOYEE]]="","",IF(T_LEAVE[[#This Row],[ERROR]]="",0,1))</f>
        <v/>
      </c>
      <c r="L511">
        <f t="array" ref="L5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2">
      <c r="A512" t="inlineStr">
        <is>
          <t>P Thulasi (1026938)</t>
        </is>
      </c>
      <c r="B512" t="inlineStr">
        <is>
          <t>Thursday, 28 December 2023</t>
        </is>
      </c>
      <c r="C512" t="inlineStr">
        <is>
          <t>Thursday, 28 December 2023</t>
        </is>
      </c>
      <c r="D512" t="inlineStr">
        <is>
          <t xml:space="preserve">Casual / Sick </t>
        </is>
      </c>
      <c r="E512" t="n">
        <v>1</v>
      </c>
      <c r="F512" s="1" t="n"/>
      <c r="G512" s="1" t="n"/>
      <c r="H512">
        <f>IF(T_LEAVE[[#This Row],[EMPLOYEE]]="","",MATCH(T_LEAVE[[#This Row],[EMPLOYEE]],L_EMPLABELS,0))</f>
        <v/>
      </c>
      <c r="I512">
        <f>IF(T_LEAVE[[#This Row],[EMPLOYEE]]="","",MATCH(T_LEAVE[[#This Row],[LEAVE TYPE]],L_LEAVETYPES,0))</f>
        <v/>
      </c>
      <c r="J512">
        <f t="array" ref="J512">IFERROR(INDEX(T_LEAVE_TYPES[SYMBOL],T_LEAVE[[#This Row],[LEAVE TYPE SYS ID]]),"")</f>
        <v/>
      </c>
      <c r="K512">
        <f>IF(T_LEAVE[[#This Row],[EMPLOYEE]]="","",IF(T_LEAVE[[#This Row],[ERROR]]="",0,1))</f>
        <v/>
      </c>
      <c r="L512">
        <f t="array" ref="L5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3">
      <c r="A513" t="inlineStr">
        <is>
          <t>Chitturi Sriramya (1028935)</t>
        </is>
      </c>
      <c r="B513" t="inlineStr">
        <is>
          <t>Tuesday, 26 December 2023</t>
        </is>
      </c>
      <c r="C513" t="inlineStr">
        <is>
          <t>Tuesday, 26 December 2023</t>
        </is>
      </c>
      <c r="D513" t="inlineStr">
        <is>
          <t>Privilege</t>
        </is>
      </c>
      <c r="E513" t="n">
        <v>1</v>
      </c>
      <c r="F513" s="1" t="n"/>
      <c r="G513" s="1" t="n"/>
      <c r="H513">
        <f>IF(T_LEAVE[[#This Row],[EMPLOYEE]]="","",MATCH(T_LEAVE[[#This Row],[EMPLOYEE]],L_EMPLABELS,0))</f>
        <v/>
      </c>
      <c r="I513">
        <f>IF(T_LEAVE[[#This Row],[EMPLOYEE]]="","",MATCH(T_LEAVE[[#This Row],[LEAVE TYPE]],L_LEAVETYPES,0))</f>
        <v/>
      </c>
      <c r="J513">
        <f t="array" ref="J513">IFERROR(INDEX(T_LEAVE_TYPES[SYMBOL],T_LEAVE[[#This Row],[LEAVE TYPE SYS ID]]),"")</f>
        <v/>
      </c>
      <c r="K513">
        <f>IF(T_LEAVE[[#This Row],[EMPLOYEE]]="","",IF(T_LEAVE[[#This Row],[ERROR]]="",0,1))</f>
        <v/>
      </c>
      <c r="L513">
        <f t="array" ref="L5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4">
      <c r="A514" t="inlineStr">
        <is>
          <t>Chitturi Sriramya (1028935)</t>
        </is>
      </c>
      <c r="B514" t="inlineStr">
        <is>
          <t>Friday, 22 December 2023</t>
        </is>
      </c>
      <c r="C514" t="inlineStr">
        <is>
          <t>Friday, 22 December 2023</t>
        </is>
      </c>
      <c r="D514" t="inlineStr">
        <is>
          <t>Privilege</t>
        </is>
      </c>
      <c r="E514" t="n">
        <v>1</v>
      </c>
      <c r="F514" s="1" t="n"/>
      <c r="G514" s="1" t="n"/>
      <c r="H514">
        <f>IF(T_LEAVE[[#This Row],[EMPLOYEE]]="","",MATCH(T_LEAVE[[#This Row],[EMPLOYEE]],L_EMPLABELS,0))</f>
        <v/>
      </c>
      <c r="I514">
        <f>IF(T_LEAVE[[#This Row],[EMPLOYEE]]="","",MATCH(T_LEAVE[[#This Row],[LEAVE TYPE]],L_LEAVETYPES,0))</f>
        <v/>
      </c>
      <c r="J514">
        <f t="array" ref="J514">IFERROR(INDEX(T_LEAVE_TYPES[SYMBOL],T_LEAVE[[#This Row],[LEAVE TYPE SYS ID]]),"")</f>
        <v/>
      </c>
      <c r="K514">
        <f>IF(T_LEAVE[[#This Row],[EMPLOYEE]]="","",IF(T_LEAVE[[#This Row],[ERROR]]="",0,1))</f>
        <v/>
      </c>
      <c r="L514">
        <f t="array" ref="L5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5">
      <c r="A515" t="inlineStr">
        <is>
          <t>Preetam  Patel (1024572)</t>
        </is>
      </c>
      <c r="B515" t="inlineStr">
        <is>
          <t>Friday, 22 December 2023</t>
        </is>
      </c>
      <c r="C515" t="inlineStr">
        <is>
          <t>Friday, 22 December 2023</t>
        </is>
      </c>
      <c r="D515" t="inlineStr">
        <is>
          <t xml:space="preserve">Casual / Sick </t>
        </is>
      </c>
      <c r="E515" t="n">
        <v>1</v>
      </c>
      <c r="F515" s="1" t="n"/>
      <c r="G515" s="1" t="n"/>
      <c r="H515">
        <f>IF(T_LEAVE[[#This Row],[EMPLOYEE]]="","",MATCH(T_LEAVE[[#This Row],[EMPLOYEE]],L_EMPLABELS,0))</f>
        <v/>
      </c>
      <c r="I515">
        <f>IF(T_LEAVE[[#This Row],[EMPLOYEE]]="","",MATCH(T_LEAVE[[#This Row],[LEAVE TYPE]],L_LEAVETYPES,0))</f>
        <v/>
      </c>
      <c r="J515">
        <f t="array" ref="J515">IFERROR(INDEX(T_LEAVE_TYPES[SYMBOL],T_LEAVE[[#This Row],[LEAVE TYPE SYS ID]]),"")</f>
        <v/>
      </c>
      <c r="K515">
        <f>IF(T_LEAVE[[#This Row],[EMPLOYEE]]="","",IF(T_LEAVE[[#This Row],[ERROR]]="",0,1))</f>
        <v/>
      </c>
      <c r="L515">
        <f t="array" ref="L5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6">
      <c r="A516" t="inlineStr">
        <is>
          <t>Yokesh Nagaraj (1026937)</t>
        </is>
      </c>
      <c r="B516" t="inlineStr">
        <is>
          <t>Tuesday, 26 December 2023</t>
        </is>
      </c>
      <c r="C516" t="inlineStr">
        <is>
          <t>Tuesday, 26 December 2023</t>
        </is>
      </c>
      <c r="D516" t="inlineStr">
        <is>
          <t xml:space="preserve">Casual / Sick </t>
        </is>
      </c>
      <c r="E516" t="n">
        <v>1</v>
      </c>
      <c r="F516" s="1" t="n"/>
      <c r="G516" s="1" t="n"/>
      <c r="H516">
        <f>IF(T_LEAVE[[#This Row],[EMPLOYEE]]="","",MATCH(T_LEAVE[[#This Row],[EMPLOYEE]],L_EMPLABELS,0))</f>
        <v/>
      </c>
      <c r="I516">
        <f>IF(T_LEAVE[[#This Row],[EMPLOYEE]]="","",MATCH(T_LEAVE[[#This Row],[LEAVE TYPE]],L_LEAVETYPES,0))</f>
        <v/>
      </c>
      <c r="J516">
        <f t="array" ref="J516">IFERROR(INDEX(T_LEAVE_TYPES[SYMBOL],T_LEAVE[[#This Row],[LEAVE TYPE SYS ID]]),"")</f>
        <v/>
      </c>
      <c r="K516">
        <f>IF(T_LEAVE[[#This Row],[EMPLOYEE]]="","",IF(T_LEAVE[[#This Row],[ERROR]]="",0,1))</f>
        <v/>
      </c>
      <c r="L516">
        <f t="array" ref="L5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7">
      <c r="A517" t="inlineStr">
        <is>
          <t>Karthika  R (1020012)</t>
        </is>
      </c>
      <c r="B517" t="inlineStr">
        <is>
          <t>Tuesday, 26 December 2023</t>
        </is>
      </c>
      <c r="C517" t="inlineStr">
        <is>
          <t>Thursday, 28 December 2023</t>
        </is>
      </c>
      <c r="D517" t="inlineStr">
        <is>
          <t>Privilege</t>
        </is>
      </c>
      <c r="E517" t="n">
        <v>3</v>
      </c>
      <c r="F517" s="1" t="n"/>
      <c r="G517" s="1" t="n"/>
      <c r="H517">
        <f>IF(T_LEAVE[[#This Row],[EMPLOYEE]]="","",MATCH(T_LEAVE[[#This Row],[EMPLOYEE]],L_EMPLABELS,0))</f>
        <v/>
      </c>
      <c r="I517">
        <f>IF(T_LEAVE[[#This Row],[EMPLOYEE]]="","",MATCH(T_LEAVE[[#This Row],[LEAVE TYPE]],L_LEAVETYPES,0))</f>
        <v/>
      </c>
      <c r="J517">
        <f t="array" ref="J517">IFERROR(INDEX(T_LEAVE_TYPES[SYMBOL],T_LEAVE[[#This Row],[LEAVE TYPE SYS ID]]),"")</f>
        <v/>
      </c>
      <c r="K517">
        <f>IF(T_LEAVE[[#This Row],[EMPLOYEE]]="","",IF(T_LEAVE[[#This Row],[ERROR]]="",0,1))</f>
        <v/>
      </c>
      <c r="L517">
        <f t="array" ref="L5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8">
      <c r="A518" t="inlineStr">
        <is>
          <t>Balam Jyothi (1022134)</t>
        </is>
      </c>
      <c r="B518" t="inlineStr">
        <is>
          <t>Thursday, 21 December 2023</t>
        </is>
      </c>
      <c r="C518" t="inlineStr">
        <is>
          <t>Thursday, 21 December 2023</t>
        </is>
      </c>
      <c r="D518" t="inlineStr">
        <is>
          <t xml:space="preserve">Casual / Sick </t>
        </is>
      </c>
      <c r="E518" t="n">
        <v>1</v>
      </c>
      <c r="F518" s="1" t="n"/>
      <c r="G518" s="1" t="n"/>
      <c r="H518">
        <f>IF(T_LEAVE[[#This Row],[EMPLOYEE]]="","",MATCH(T_LEAVE[[#This Row],[EMPLOYEE]],L_EMPLABELS,0))</f>
        <v/>
      </c>
      <c r="I518">
        <f>IF(T_LEAVE[[#This Row],[EMPLOYEE]]="","",MATCH(T_LEAVE[[#This Row],[LEAVE TYPE]],L_LEAVETYPES,0))</f>
        <v/>
      </c>
      <c r="J518">
        <f t="array" ref="J518">IFERROR(INDEX(T_LEAVE_TYPES[SYMBOL],T_LEAVE[[#This Row],[LEAVE TYPE SYS ID]]),"")</f>
        <v/>
      </c>
      <c r="K518">
        <f>IF(T_LEAVE[[#This Row],[EMPLOYEE]]="","",IF(T_LEAVE[[#This Row],[ERROR]]="",0,1))</f>
        <v/>
      </c>
      <c r="L518">
        <f t="array" ref="L5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19">
      <c r="A519" t="inlineStr">
        <is>
          <t>Sushmitha  M (1027703)</t>
        </is>
      </c>
      <c r="B519" t="inlineStr">
        <is>
          <t>Monday, 18 December 2023</t>
        </is>
      </c>
      <c r="C519" t="inlineStr">
        <is>
          <t>Monday, 18 December 2023</t>
        </is>
      </c>
      <c r="D519" t="inlineStr">
        <is>
          <t>Privilege</t>
        </is>
      </c>
      <c r="E519" t="n">
        <v>0.5</v>
      </c>
      <c r="F519" s="1" t="n"/>
      <c r="G519" s="1" t="n"/>
      <c r="H519">
        <f>IF(T_LEAVE[[#This Row],[EMPLOYEE]]="","",MATCH(T_LEAVE[[#This Row],[EMPLOYEE]],L_EMPLABELS,0))</f>
        <v/>
      </c>
      <c r="I519">
        <f>IF(T_LEAVE[[#This Row],[EMPLOYEE]]="","",MATCH(T_LEAVE[[#This Row],[LEAVE TYPE]],L_LEAVETYPES,0))</f>
        <v/>
      </c>
      <c r="J519">
        <f t="array" ref="J519">IFERROR(INDEX(T_LEAVE_TYPES[SYMBOL],T_LEAVE[[#This Row],[LEAVE TYPE SYS ID]]),"")</f>
        <v/>
      </c>
      <c r="K519">
        <f>IF(T_LEAVE[[#This Row],[EMPLOYEE]]="","",IF(T_LEAVE[[#This Row],[ERROR]]="",0,1))</f>
        <v/>
      </c>
      <c r="L519">
        <f t="array" ref="L5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0">
      <c r="A520" t="inlineStr">
        <is>
          <t>Sushmitha  M (1027703)</t>
        </is>
      </c>
      <c r="B520" t="inlineStr">
        <is>
          <t>Tuesday, 19 December 2023</t>
        </is>
      </c>
      <c r="C520" t="inlineStr">
        <is>
          <t>Tuesday, 19 December 2023</t>
        </is>
      </c>
      <c r="D520" t="inlineStr">
        <is>
          <t xml:space="preserve">Casual / Sick </t>
        </is>
      </c>
      <c r="E520" t="n">
        <v>1</v>
      </c>
      <c r="F520" s="1" t="n"/>
      <c r="G520" s="1" t="n"/>
      <c r="H520">
        <f>IF(T_LEAVE[[#This Row],[EMPLOYEE]]="","",MATCH(T_LEAVE[[#This Row],[EMPLOYEE]],L_EMPLABELS,0))</f>
        <v/>
      </c>
      <c r="I520">
        <f>IF(T_LEAVE[[#This Row],[EMPLOYEE]]="","",MATCH(T_LEAVE[[#This Row],[LEAVE TYPE]],L_LEAVETYPES,0))</f>
        <v/>
      </c>
      <c r="J520">
        <f t="array" ref="J520">IFERROR(INDEX(T_LEAVE_TYPES[SYMBOL],T_LEAVE[[#This Row],[LEAVE TYPE SYS ID]]),"")</f>
        <v/>
      </c>
      <c r="K520">
        <f>IF(T_LEAVE[[#This Row],[EMPLOYEE]]="","",IF(T_LEAVE[[#This Row],[ERROR]]="",0,1))</f>
        <v/>
      </c>
      <c r="L520">
        <f t="array" ref="L5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1">
      <c r="A521" t="inlineStr">
        <is>
          <t>Nanubala Komal Raja (1026550)</t>
        </is>
      </c>
      <c r="B521" t="inlineStr">
        <is>
          <t>Monday, 18 December 2023</t>
        </is>
      </c>
      <c r="C521" t="inlineStr">
        <is>
          <t>Monday, 18 December 2023</t>
        </is>
      </c>
      <c r="D521" t="inlineStr">
        <is>
          <t xml:space="preserve">Casual / Sick </t>
        </is>
      </c>
      <c r="E521" t="n">
        <v>1</v>
      </c>
      <c r="F521" s="1" t="n"/>
      <c r="G521" s="1" t="n"/>
      <c r="H521">
        <f>IF(T_LEAVE[[#This Row],[EMPLOYEE]]="","",MATCH(T_LEAVE[[#This Row],[EMPLOYEE]],L_EMPLABELS,0))</f>
        <v/>
      </c>
      <c r="I521">
        <f>IF(T_LEAVE[[#This Row],[EMPLOYEE]]="","",MATCH(T_LEAVE[[#This Row],[LEAVE TYPE]],L_LEAVETYPES,0))</f>
        <v/>
      </c>
      <c r="J521">
        <f t="array" ref="J521">IFERROR(INDEX(T_LEAVE_TYPES[SYMBOL],T_LEAVE[[#This Row],[LEAVE TYPE SYS ID]]),"")</f>
        <v/>
      </c>
      <c r="K521">
        <f>IF(T_LEAVE[[#This Row],[EMPLOYEE]]="","",IF(T_LEAVE[[#This Row],[ERROR]]="",0,1))</f>
        <v/>
      </c>
      <c r="L521">
        <f t="array" ref="L5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2">
      <c r="A522" t="inlineStr">
        <is>
          <t>Suchismita  Mohanty (1022859)</t>
        </is>
      </c>
      <c r="B522" t="inlineStr">
        <is>
          <t>Monday, 11 December 2023</t>
        </is>
      </c>
      <c r="C522" t="inlineStr">
        <is>
          <t>Monday, 11 December 2023</t>
        </is>
      </c>
      <c r="D522" t="inlineStr">
        <is>
          <t xml:space="preserve">Casual / Sick </t>
        </is>
      </c>
      <c r="E522" t="n">
        <v>1</v>
      </c>
      <c r="F522" s="1" t="n"/>
      <c r="G522" s="1" t="n"/>
      <c r="H522">
        <f>IF(T_LEAVE[[#This Row],[EMPLOYEE]]="","",MATCH(T_LEAVE[[#This Row],[EMPLOYEE]],L_EMPLABELS,0))</f>
        <v/>
      </c>
      <c r="I522">
        <f>IF(T_LEAVE[[#This Row],[EMPLOYEE]]="","",MATCH(T_LEAVE[[#This Row],[LEAVE TYPE]],L_LEAVETYPES,0))</f>
        <v/>
      </c>
      <c r="J522">
        <f t="array" ref="J522">IFERROR(INDEX(T_LEAVE_TYPES[SYMBOL],T_LEAVE[[#This Row],[LEAVE TYPE SYS ID]]),"")</f>
        <v/>
      </c>
      <c r="K522">
        <f>IF(T_LEAVE[[#This Row],[EMPLOYEE]]="","",IF(T_LEAVE[[#This Row],[ERROR]]="",0,1))</f>
        <v/>
      </c>
      <c r="L522">
        <f t="array" ref="L5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3">
      <c r="A523" t="inlineStr">
        <is>
          <t>Kalyan Krishna Kora (1033097)</t>
        </is>
      </c>
      <c r="B523" t="inlineStr">
        <is>
          <t>Tuesday, 12 December 2023</t>
        </is>
      </c>
      <c r="C523" t="inlineStr">
        <is>
          <t>Tuesday, 12 December 2023</t>
        </is>
      </c>
      <c r="D523" t="inlineStr">
        <is>
          <t xml:space="preserve">Casual / Sick </t>
        </is>
      </c>
      <c r="E523" t="n">
        <v>1</v>
      </c>
      <c r="F523" s="1" t="n"/>
      <c r="G523" s="1" t="n"/>
      <c r="H523">
        <f>IF(T_LEAVE[[#This Row],[EMPLOYEE]]="","",MATCH(T_LEAVE[[#This Row],[EMPLOYEE]],L_EMPLABELS,0))</f>
        <v/>
      </c>
      <c r="I523">
        <f>IF(T_LEAVE[[#This Row],[EMPLOYEE]]="","",MATCH(T_LEAVE[[#This Row],[LEAVE TYPE]],L_LEAVETYPES,0))</f>
        <v/>
      </c>
      <c r="J523">
        <f t="array" ref="J523">IFERROR(INDEX(T_LEAVE_TYPES[SYMBOL],T_LEAVE[[#This Row],[LEAVE TYPE SYS ID]]),"")</f>
        <v/>
      </c>
      <c r="K523">
        <f>IF(T_LEAVE[[#This Row],[EMPLOYEE]]="","",IF(T_LEAVE[[#This Row],[ERROR]]="",0,1))</f>
        <v/>
      </c>
      <c r="L523">
        <f t="array" ref="L5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4">
      <c r="A524" t="inlineStr">
        <is>
          <t>Preetam  Patel (1024572)</t>
        </is>
      </c>
      <c r="B524" t="inlineStr">
        <is>
          <t>Friday, 08 December 2023</t>
        </is>
      </c>
      <c r="C524" t="inlineStr">
        <is>
          <t>Monday, 11 December 2023</t>
        </is>
      </c>
      <c r="D524" t="inlineStr">
        <is>
          <t xml:space="preserve">Casual / Sick </t>
        </is>
      </c>
      <c r="E524" t="n">
        <v>2</v>
      </c>
      <c r="F524" s="1" t="n"/>
      <c r="G524" s="1" t="n"/>
      <c r="H524">
        <f>IF(T_LEAVE[[#This Row],[EMPLOYEE]]="","",MATCH(T_LEAVE[[#This Row],[EMPLOYEE]],L_EMPLABELS,0))</f>
        <v/>
      </c>
      <c r="I524">
        <f>IF(T_LEAVE[[#This Row],[EMPLOYEE]]="","",MATCH(T_LEAVE[[#This Row],[LEAVE TYPE]],L_LEAVETYPES,0))</f>
        <v/>
      </c>
      <c r="J524">
        <f t="array" ref="J524">IFERROR(INDEX(T_LEAVE_TYPES[SYMBOL],T_LEAVE[[#This Row],[LEAVE TYPE SYS ID]]),"")</f>
        <v/>
      </c>
      <c r="K524">
        <f>IF(T_LEAVE[[#This Row],[EMPLOYEE]]="","",IF(T_LEAVE[[#This Row],[ERROR]]="",0,1))</f>
        <v/>
      </c>
      <c r="L524">
        <f t="array" ref="L5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5">
      <c r="A525" t="inlineStr">
        <is>
          <t>Chilakala  Srikanth Reddy (1027289)</t>
        </is>
      </c>
      <c r="B525" t="inlineStr">
        <is>
          <t>Thursday, 07 December 2023</t>
        </is>
      </c>
      <c r="C525" t="inlineStr">
        <is>
          <t>Monday, 11 December 2023</t>
        </is>
      </c>
      <c r="D525" t="inlineStr">
        <is>
          <t xml:space="preserve">Casual / Sick </t>
        </is>
      </c>
      <c r="E525" t="n">
        <v>3</v>
      </c>
      <c r="F525" s="1" t="n"/>
      <c r="G525" s="1" t="n"/>
      <c r="H525">
        <f>IF(T_LEAVE[[#This Row],[EMPLOYEE]]="","",MATCH(T_LEAVE[[#This Row],[EMPLOYEE]],L_EMPLABELS,0))</f>
        <v/>
      </c>
      <c r="I525">
        <f>IF(T_LEAVE[[#This Row],[EMPLOYEE]]="","",MATCH(T_LEAVE[[#This Row],[LEAVE TYPE]],L_LEAVETYPES,0))</f>
        <v/>
      </c>
      <c r="J525">
        <f t="array" ref="J525">IFERROR(INDEX(T_LEAVE_TYPES[SYMBOL],T_LEAVE[[#This Row],[LEAVE TYPE SYS ID]]),"")</f>
        <v/>
      </c>
      <c r="K525">
        <f>IF(T_LEAVE[[#This Row],[EMPLOYEE]]="","",IF(T_LEAVE[[#This Row],[ERROR]]="",0,1))</f>
        <v/>
      </c>
      <c r="L525">
        <f t="array" ref="L5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6">
      <c r="A526" t="inlineStr">
        <is>
          <t>Kalyan Krishna Kora (1033097)</t>
        </is>
      </c>
      <c r="B526" t="inlineStr">
        <is>
          <t>Monday, 11 December 2023</t>
        </is>
      </c>
      <c r="C526" t="inlineStr">
        <is>
          <t>Monday, 11 December 2023</t>
        </is>
      </c>
      <c r="D526" t="inlineStr">
        <is>
          <t xml:space="preserve">Casual / Sick </t>
        </is>
      </c>
      <c r="E526" t="n">
        <v>1</v>
      </c>
      <c r="F526" s="1" t="n"/>
      <c r="G526" s="1" t="n"/>
      <c r="H526">
        <f>IF(T_LEAVE[[#This Row],[EMPLOYEE]]="","",MATCH(T_LEAVE[[#This Row],[EMPLOYEE]],L_EMPLABELS,0))</f>
        <v/>
      </c>
      <c r="I526">
        <f>IF(T_LEAVE[[#This Row],[EMPLOYEE]]="","",MATCH(T_LEAVE[[#This Row],[LEAVE TYPE]],L_LEAVETYPES,0))</f>
        <v/>
      </c>
      <c r="J526">
        <f t="array" ref="J526">IFERROR(INDEX(T_LEAVE_TYPES[SYMBOL],T_LEAVE[[#This Row],[LEAVE TYPE SYS ID]]),"")</f>
        <v/>
      </c>
      <c r="K526">
        <f>IF(T_LEAVE[[#This Row],[EMPLOYEE]]="","",IF(T_LEAVE[[#This Row],[ERROR]]="",0,1))</f>
        <v/>
      </c>
      <c r="L526">
        <f t="array" ref="L5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7">
      <c r="A527" t="inlineStr">
        <is>
          <t>Nanubala Komal Raja (1026550)</t>
        </is>
      </c>
      <c r="B527" t="inlineStr">
        <is>
          <t>Monday, 11 December 2023</t>
        </is>
      </c>
      <c r="C527" t="inlineStr">
        <is>
          <t>Monday, 11 December 2023</t>
        </is>
      </c>
      <c r="D527" t="inlineStr">
        <is>
          <t xml:space="preserve">Casual / Sick </t>
        </is>
      </c>
      <c r="E527" t="n">
        <v>1</v>
      </c>
      <c r="F527" s="1" t="n"/>
      <c r="G527" s="1" t="n"/>
      <c r="H527">
        <f>IF(T_LEAVE[[#This Row],[EMPLOYEE]]="","",MATCH(T_LEAVE[[#This Row],[EMPLOYEE]],L_EMPLABELS,0))</f>
        <v/>
      </c>
      <c r="I527">
        <f>IF(T_LEAVE[[#This Row],[EMPLOYEE]]="","",MATCH(T_LEAVE[[#This Row],[LEAVE TYPE]],L_LEAVETYPES,0))</f>
        <v/>
      </c>
      <c r="J527">
        <f t="array" ref="J527">IFERROR(INDEX(T_LEAVE_TYPES[SYMBOL],T_LEAVE[[#This Row],[LEAVE TYPE SYS ID]]),"")</f>
        <v/>
      </c>
      <c r="K527">
        <f>IF(T_LEAVE[[#This Row],[EMPLOYEE]]="","",IF(T_LEAVE[[#This Row],[ERROR]]="",0,1))</f>
        <v/>
      </c>
      <c r="L527">
        <f t="array" ref="L5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8">
      <c r="A528" t="inlineStr">
        <is>
          <t>Sushmitha  M (1027703)</t>
        </is>
      </c>
      <c r="B528" t="inlineStr">
        <is>
          <t>Friday, 08 December 2023</t>
        </is>
      </c>
      <c r="C528" t="inlineStr">
        <is>
          <t>Friday, 08 December 2023</t>
        </is>
      </c>
      <c r="D528" t="inlineStr">
        <is>
          <t xml:space="preserve">Casual / Sick </t>
        </is>
      </c>
      <c r="E528" t="n">
        <v>1</v>
      </c>
      <c r="F528" s="1" t="n"/>
      <c r="G528" s="1" t="n"/>
      <c r="H528">
        <f>IF(T_LEAVE[[#This Row],[EMPLOYEE]]="","",MATCH(T_LEAVE[[#This Row],[EMPLOYEE]],L_EMPLABELS,0))</f>
        <v/>
      </c>
      <c r="I528">
        <f>IF(T_LEAVE[[#This Row],[EMPLOYEE]]="","",MATCH(T_LEAVE[[#This Row],[LEAVE TYPE]],L_LEAVETYPES,0))</f>
        <v/>
      </c>
      <c r="J528">
        <f t="array" ref="J528">IFERROR(INDEX(T_LEAVE_TYPES[SYMBOL],T_LEAVE[[#This Row],[LEAVE TYPE SYS ID]]),"")</f>
        <v/>
      </c>
      <c r="K528">
        <f>IF(T_LEAVE[[#This Row],[EMPLOYEE]]="","",IF(T_LEAVE[[#This Row],[ERROR]]="",0,1))</f>
        <v/>
      </c>
      <c r="L528">
        <f t="array" ref="L5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29">
      <c r="A529" t="inlineStr">
        <is>
          <t>S Suneetha (1020246)</t>
        </is>
      </c>
      <c r="B529" t="inlineStr">
        <is>
          <t>Monday, 27 November 2023</t>
        </is>
      </c>
      <c r="C529" t="inlineStr">
        <is>
          <t>Friday, 01 December 2023</t>
        </is>
      </c>
      <c r="D529" t="inlineStr">
        <is>
          <t>Maternity</t>
        </is>
      </c>
      <c r="E529" t="n">
        <v>5</v>
      </c>
      <c r="F529" s="1" t="n"/>
      <c r="G529" s="1" t="n"/>
      <c r="H529">
        <f>IF(T_LEAVE[[#This Row],[EMPLOYEE]]="","",MATCH(T_LEAVE[[#This Row],[EMPLOYEE]],L_EMPLABELS,0))</f>
        <v/>
      </c>
      <c r="I529">
        <f>IF(T_LEAVE[[#This Row],[EMPLOYEE]]="","",MATCH(T_LEAVE[[#This Row],[LEAVE TYPE]],L_LEAVETYPES,0))</f>
        <v/>
      </c>
      <c r="J529">
        <f t="array" ref="J529">IFERROR(INDEX(T_LEAVE_TYPES[SYMBOL],T_LEAVE[[#This Row],[LEAVE TYPE SYS ID]]),"")</f>
        <v/>
      </c>
      <c r="K529">
        <f>IF(T_LEAVE[[#This Row],[EMPLOYEE]]="","",IF(T_LEAVE[[#This Row],[ERROR]]="",0,1))</f>
        <v/>
      </c>
      <c r="L529">
        <f t="array" ref="L5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0">
      <c r="A530" t="inlineStr">
        <is>
          <t>S Suneetha (1020246)</t>
        </is>
      </c>
      <c r="B530" t="inlineStr">
        <is>
          <t>Wednesday, 22 November 2023</t>
        </is>
      </c>
      <c r="C530" t="inlineStr">
        <is>
          <t>Friday, 24 November 2023</t>
        </is>
      </c>
      <c r="D530" t="inlineStr">
        <is>
          <t>Maternity</t>
        </is>
      </c>
      <c r="E530" t="n">
        <v>3</v>
      </c>
      <c r="F530" s="1" t="n"/>
      <c r="G530" s="1" t="n"/>
      <c r="H530">
        <f>IF(T_LEAVE[[#This Row],[EMPLOYEE]]="","",MATCH(T_LEAVE[[#This Row],[EMPLOYEE]],L_EMPLABELS,0))</f>
        <v/>
      </c>
      <c r="I530">
        <f>IF(T_LEAVE[[#This Row],[EMPLOYEE]]="","",MATCH(T_LEAVE[[#This Row],[LEAVE TYPE]],L_LEAVETYPES,0))</f>
        <v/>
      </c>
      <c r="J530">
        <f t="array" ref="J530">IFERROR(INDEX(T_LEAVE_TYPES[SYMBOL],T_LEAVE[[#This Row],[LEAVE TYPE SYS ID]]),"")</f>
        <v/>
      </c>
      <c r="K530">
        <f>IF(T_LEAVE[[#This Row],[EMPLOYEE]]="","",IF(T_LEAVE[[#This Row],[ERROR]]="",0,1))</f>
        <v/>
      </c>
      <c r="L530">
        <f t="array" ref="L5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1">
      <c r="A531" t="inlineStr">
        <is>
          <t>Aishwarya  Ds (1024946)</t>
        </is>
      </c>
      <c r="B531" t="inlineStr">
        <is>
          <t>Wednesday, 29 November 2023</t>
        </is>
      </c>
      <c r="C531" t="inlineStr">
        <is>
          <t>Wednesday, 29 November 2023</t>
        </is>
      </c>
      <c r="D531" t="inlineStr">
        <is>
          <t>Privilege</t>
        </is>
      </c>
      <c r="E531" t="n">
        <v>1</v>
      </c>
      <c r="F531" s="1" t="n"/>
      <c r="G531" s="1" t="n"/>
      <c r="H531">
        <f>IF(T_LEAVE[[#This Row],[EMPLOYEE]]="","",MATCH(T_LEAVE[[#This Row],[EMPLOYEE]],L_EMPLABELS,0))</f>
        <v/>
      </c>
      <c r="I531">
        <f>IF(T_LEAVE[[#This Row],[EMPLOYEE]]="","",MATCH(T_LEAVE[[#This Row],[LEAVE TYPE]],L_LEAVETYPES,0))</f>
        <v/>
      </c>
      <c r="J531">
        <f t="array" ref="J531">IFERROR(INDEX(T_LEAVE_TYPES[SYMBOL],T_LEAVE[[#This Row],[LEAVE TYPE SYS ID]]),"")</f>
        <v/>
      </c>
      <c r="K531">
        <f>IF(T_LEAVE[[#This Row],[EMPLOYEE]]="","",IF(T_LEAVE[[#This Row],[ERROR]]="",0,1))</f>
        <v/>
      </c>
      <c r="L531">
        <f t="array" ref="L5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2">
      <c r="A532" t="inlineStr">
        <is>
          <t>Aishwarya  Ds (1024946)</t>
        </is>
      </c>
      <c r="B532" t="inlineStr">
        <is>
          <t>Tuesday, 28 November 2023</t>
        </is>
      </c>
      <c r="C532" t="inlineStr">
        <is>
          <t>Tuesday, 28 November 2023</t>
        </is>
      </c>
      <c r="D532" t="inlineStr">
        <is>
          <t xml:space="preserve">Casual / Sick </t>
        </is>
      </c>
      <c r="E532" t="n">
        <v>1</v>
      </c>
      <c r="F532" s="1" t="n"/>
      <c r="G532" s="1" t="n"/>
      <c r="H532">
        <f>IF(T_LEAVE[[#This Row],[EMPLOYEE]]="","",MATCH(T_LEAVE[[#This Row],[EMPLOYEE]],L_EMPLABELS,0))</f>
        <v/>
      </c>
      <c r="I532">
        <f>IF(T_LEAVE[[#This Row],[EMPLOYEE]]="","",MATCH(T_LEAVE[[#This Row],[LEAVE TYPE]],L_LEAVETYPES,0))</f>
        <v/>
      </c>
      <c r="J532">
        <f t="array" ref="J532">IFERROR(INDEX(T_LEAVE_TYPES[SYMBOL],T_LEAVE[[#This Row],[LEAVE TYPE SYS ID]]),"")</f>
        <v/>
      </c>
      <c r="K532">
        <f>IF(T_LEAVE[[#This Row],[EMPLOYEE]]="","",IF(T_LEAVE[[#This Row],[ERROR]]="",0,1))</f>
        <v/>
      </c>
      <c r="L532">
        <f t="array" ref="L5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3">
      <c r="A533" t="inlineStr">
        <is>
          <t>Balam Jyothi (1022134)</t>
        </is>
      </c>
      <c r="B533" t="inlineStr">
        <is>
          <t>Monday, 23 October 2023</t>
        </is>
      </c>
      <c r="C533" t="inlineStr">
        <is>
          <t>Monday, 23 October 2023</t>
        </is>
      </c>
      <c r="D533" t="inlineStr">
        <is>
          <t xml:space="preserve">Casual / Sick </t>
        </is>
      </c>
      <c r="E533" t="n">
        <v>1</v>
      </c>
      <c r="F533" s="1" t="n"/>
      <c r="G533" s="1" t="n"/>
      <c r="H533">
        <f>IF(T_LEAVE[[#This Row],[EMPLOYEE]]="","",MATCH(T_LEAVE[[#This Row],[EMPLOYEE]],L_EMPLABELS,0))</f>
        <v/>
      </c>
      <c r="I533">
        <f>IF(T_LEAVE[[#This Row],[EMPLOYEE]]="","",MATCH(T_LEAVE[[#This Row],[LEAVE TYPE]],L_LEAVETYPES,0))</f>
        <v/>
      </c>
      <c r="J533">
        <f t="array" ref="J533">IFERROR(INDEX(T_LEAVE_TYPES[SYMBOL],T_LEAVE[[#This Row],[LEAVE TYPE SYS ID]]),"")</f>
        <v/>
      </c>
      <c r="K533">
        <f>IF(T_LEAVE[[#This Row],[EMPLOYEE]]="","",IF(T_LEAVE[[#This Row],[ERROR]]="",0,1))</f>
        <v/>
      </c>
      <c r="L533">
        <f t="array" ref="L5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4">
      <c r="A534" t="inlineStr">
        <is>
          <t>Balam Jyothi (1022134)</t>
        </is>
      </c>
      <c r="B534" t="inlineStr">
        <is>
          <t>Friday, 17 November 2023</t>
        </is>
      </c>
      <c r="C534" t="inlineStr">
        <is>
          <t>Friday, 17 November 2023</t>
        </is>
      </c>
      <c r="D534" t="inlineStr">
        <is>
          <t xml:space="preserve">Casual / Sick </t>
        </is>
      </c>
      <c r="E534" t="n">
        <v>1</v>
      </c>
      <c r="F534" s="1" t="n"/>
      <c r="G534" s="1" t="n"/>
      <c r="H534">
        <f>IF(T_LEAVE[[#This Row],[EMPLOYEE]]="","",MATCH(T_LEAVE[[#This Row],[EMPLOYEE]],L_EMPLABELS,0))</f>
        <v/>
      </c>
      <c r="I534">
        <f>IF(T_LEAVE[[#This Row],[EMPLOYEE]]="","",MATCH(T_LEAVE[[#This Row],[LEAVE TYPE]],L_LEAVETYPES,0))</f>
        <v/>
      </c>
      <c r="J534">
        <f t="array" ref="J534">IFERROR(INDEX(T_LEAVE_TYPES[SYMBOL],T_LEAVE[[#This Row],[LEAVE TYPE SYS ID]]),"")</f>
        <v/>
      </c>
      <c r="K534">
        <f>IF(T_LEAVE[[#This Row],[EMPLOYEE]]="","",IF(T_LEAVE[[#This Row],[ERROR]]="",0,1))</f>
        <v/>
      </c>
      <c r="L534">
        <f t="array" ref="L5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5">
      <c r="A535" t="inlineStr">
        <is>
          <t>S Suneetha (1020246)</t>
        </is>
      </c>
      <c r="B535" t="inlineStr">
        <is>
          <t>Monday, 06 November 2023</t>
        </is>
      </c>
      <c r="C535" t="inlineStr">
        <is>
          <t>Friday, 17 November 2023</t>
        </is>
      </c>
      <c r="D535" t="inlineStr">
        <is>
          <t>Maternity</t>
        </is>
      </c>
      <c r="E535" t="n">
        <v>12</v>
      </c>
      <c r="F535" s="1" t="n"/>
      <c r="G535" s="1" t="n"/>
      <c r="H535">
        <f>IF(T_LEAVE[[#This Row],[EMPLOYEE]]="","",MATCH(T_LEAVE[[#This Row],[EMPLOYEE]],L_EMPLABELS,0))</f>
        <v/>
      </c>
      <c r="I535">
        <f>IF(T_LEAVE[[#This Row],[EMPLOYEE]]="","",MATCH(T_LEAVE[[#This Row],[LEAVE TYPE]],L_LEAVETYPES,0))</f>
        <v/>
      </c>
      <c r="J535">
        <f t="array" ref="J535">IFERROR(INDEX(T_LEAVE_TYPES[SYMBOL],T_LEAVE[[#This Row],[LEAVE TYPE SYS ID]]),"")</f>
        <v/>
      </c>
      <c r="K535">
        <f>IF(T_LEAVE[[#This Row],[EMPLOYEE]]="","",IF(T_LEAVE[[#This Row],[ERROR]]="",0,1))</f>
        <v/>
      </c>
      <c r="L535">
        <f t="array" ref="L5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6">
      <c r="A536" t="inlineStr">
        <is>
          <t>Sushmitha  M (1027703)</t>
        </is>
      </c>
      <c r="B536" t="inlineStr">
        <is>
          <t>Tuesday, 21 November 2023</t>
        </is>
      </c>
      <c r="C536" t="inlineStr">
        <is>
          <t>Tuesday, 21 November 2023</t>
        </is>
      </c>
      <c r="D536" t="inlineStr">
        <is>
          <t xml:space="preserve">Casual / Sick </t>
        </is>
      </c>
      <c r="E536" t="n">
        <v>1</v>
      </c>
      <c r="F536" s="1" t="n"/>
      <c r="G536" s="1" t="n"/>
      <c r="H536">
        <f>IF(T_LEAVE[[#This Row],[EMPLOYEE]]="","",MATCH(T_LEAVE[[#This Row],[EMPLOYEE]],L_EMPLABELS,0))</f>
        <v/>
      </c>
      <c r="I536">
        <f>IF(T_LEAVE[[#This Row],[EMPLOYEE]]="","",MATCH(T_LEAVE[[#This Row],[LEAVE TYPE]],L_LEAVETYPES,0))</f>
        <v/>
      </c>
      <c r="J536">
        <f t="array" ref="J536">IFERROR(INDEX(T_LEAVE_TYPES[SYMBOL],T_LEAVE[[#This Row],[LEAVE TYPE SYS ID]]),"")</f>
        <v/>
      </c>
      <c r="K536">
        <f>IF(T_LEAVE[[#This Row],[EMPLOYEE]]="","",IF(T_LEAVE[[#This Row],[ERROR]]="",0,1))</f>
        <v/>
      </c>
      <c r="L536">
        <f t="array" ref="L5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7">
      <c r="A537" t="inlineStr">
        <is>
          <t>Karthika  R (1020012)</t>
        </is>
      </c>
      <c r="B537" t="inlineStr">
        <is>
          <t>Monday, 20 November 2023</t>
        </is>
      </c>
      <c r="C537" t="inlineStr">
        <is>
          <t>Monday, 20 November 2023</t>
        </is>
      </c>
      <c r="D537" t="inlineStr">
        <is>
          <t xml:space="preserve">Casual / Sick </t>
        </is>
      </c>
      <c r="E537" t="n">
        <v>1</v>
      </c>
      <c r="F537" s="1" t="n"/>
      <c r="G537" s="1" t="n"/>
      <c r="H537">
        <f>IF(T_LEAVE[[#This Row],[EMPLOYEE]]="","",MATCH(T_LEAVE[[#This Row],[EMPLOYEE]],L_EMPLABELS,0))</f>
        <v/>
      </c>
      <c r="I537">
        <f>IF(T_LEAVE[[#This Row],[EMPLOYEE]]="","",MATCH(T_LEAVE[[#This Row],[LEAVE TYPE]],L_LEAVETYPES,0))</f>
        <v/>
      </c>
      <c r="J537">
        <f t="array" ref="J537">IFERROR(INDEX(T_LEAVE_TYPES[SYMBOL],T_LEAVE[[#This Row],[LEAVE TYPE SYS ID]]),"")</f>
        <v/>
      </c>
      <c r="K537">
        <f>IF(T_LEAVE[[#This Row],[EMPLOYEE]]="","",IF(T_LEAVE[[#This Row],[ERROR]]="",0,1))</f>
        <v/>
      </c>
      <c r="L537">
        <f t="array" ref="L5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8">
      <c r="A538" t="inlineStr">
        <is>
          <t>Suchismita  Mohanty (1022859)</t>
        </is>
      </c>
      <c r="B538" t="inlineStr">
        <is>
          <t>Monday, 20 November 2023</t>
        </is>
      </c>
      <c r="C538" t="inlineStr">
        <is>
          <t>Monday, 20 November 2023</t>
        </is>
      </c>
      <c r="D538" t="inlineStr">
        <is>
          <t xml:space="preserve">Casual / Sick </t>
        </is>
      </c>
      <c r="E538" t="n">
        <v>1</v>
      </c>
      <c r="F538" s="1" t="n"/>
      <c r="G538" s="1" t="n"/>
      <c r="H538">
        <f>IF(T_LEAVE[[#This Row],[EMPLOYEE]]="","",MATCH(T_LEAVE[[#This Row],[EMPLOYEE]],L_EMPLABELS,0))</f>
        <v/>
      </c>
      <c r="I538">
        <f>IF(T_LEAVE[[#This Row],[EMPLOYEE]]="","",MATCH(T_LEAVE[[#This Row],[LEAVE TYPE]],L_LEAVETYPES,0))</f>
        <v/>
      </c>
      <c r="J538">
        <f t="array" ref="J538">IFERROR(INDEX(T_LEAVE_TYPES[SYMBOL],T_LEAVE[[#This Row],[LEAVE TYPE SYS ID]]),"")</f>
        <v/>
      </c>
      <c r="K538">
        <f>IF(T_LEAVE[[#This Row],[EMPLOYEE]]="","",IF(T_LEAVE[[#This Row],[ERROR]]="",0,1))</f>
        <v/>
      </c>
      <c r="L538">
        <f t="array" ref="L5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39">
      <c r="A539" t="inlineStr">
        <is>
          <t>Preetam  Patel (1024572)</t>
        </is>
      </c>
      <c r="B539" t="inlineStr">
        <is>
          <t>Tuesday, 14 November 2023</t>
        </is>
      </c>
      <c r="C539" t="inlineStr">
        <is>
          <t>Tuesday, 14 November 2023</t>
        </is>
      </c>
      <c r="D539" t="inlineStr">
        <is>
          <t xml:space="preserve">Casual / Sick </t>
        </is>
      </c>
      <c r="E539" t="n">
        <v>1</v>
      </c>
      <c r="F539" s="1" t="n"/>
      <c r="G539" s="1" t="n"/>
      <c r="H539">
        <f>IF(T_LEAVE[[#This Row],[EMPLOYEE]]="","",MATCH(T_LEAVE[[#This Row],[EMPLOYEE]],L_EMPLABELS,0))</f>
        <v/>
      </c>
      <c r="I539">
        <f>IF(T_LEAVE[[#This Row],[EMPLOYEE]]="","",MATCH(T_LEAVE[[#This Row],[LEAVE TYPE]],L_LEAVETYPES,0))</f>
        <v/>
      </c>
      <c r="J539">
        <f t="array" ref="J539">IFERROR(INDEX(T_LEAVE_TYPES[SYMBOL],T_LEAVE[[#This Row],[LEAVE TYPE SYS ID]]),"")</f>
        <v/>
      </c>
      <c r="K539">
        <f>IF(T_LEAVE[[#This Row],[EMPLOYEE]]="","",IF(T_LEAVE[[#This Row],[ERROR]]="",0,1))</f>
        <v/>
      </c>
      <c r="L539">
        <f t="array" ref="L5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0">
      <c r="A540" t="inlineStr">
        <is>
          <t>Karthika  R (1020012)</t>
        </is>
      </c>
      <c r="B540" t="inlineStr">
        <is>
          <t>Thursday, 09 November 2023</t>
        </is>
      </c>
      <c r="C540" t="inlineStr">
        <is>
          <t>Thursday, 09 November 2023</t>
        </is>
      </c>
      <c r="D540" t="inlineStr">
        <is>
          <t xml:space="preserve">Casual / Sick </t>
        </is>
      </c>
      <c r="E540" t="n">
        <v>1</v>
      </c>
      <c r="F540" s="1" t="n"/>
      <c r="G540" s="1" t="n"/>
      <c r="H540">
        <f>IF(T_LEAVE[[#This Row],[EMPLOYEE]]="","",MATCH(T_LEAVE[[#This Row],[EMPLOYEE]],L_EMPLABELS,0))</f>
        <v/>
      </c>
      <c r="I540">
        <f>IF(T_LEAVE[[#This Row],[EMPLOYEE]]="","",MATCH(T_LEAVE[[#This Row],[LEAVE TYPE]],L_LEAVETYPES,0))</f>
        <v/>
      </c>
      <c r="J540">
        <f t="array" ref="J540">IFERROR(INDEX(T_LEAVE_TYPES[SYMBOL],T_LEAVE[[#This Row],[LEAVE TYPE SYS ID]]),"")</f>
        <v/>
      </c>
      <c r="K540">
        <f>IF(T_LEAVE[[#This Row],[EMPLOYEE]]="","",IF(T_LEAVE[[#This Row],[ERROR]]="",0,1))</f>
        <v/>
      </c>
      <c r="L540">
        <f t="array" ref="L5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1">
      <c r="A541" t="inlineStr">
        <is>
          <t>Chilakala  Srikanth Reddy (1027289)</t>
        </is>
      </c>
      <c r="B541" t="inlineStr">
        <is>
          <t>Friday, 03 November 2023</t>
        </is>
      </c>
      <c r="C541" t="inlineStr">
        <is>
          <t>Friday, 03 November 2023</t>
        </is>
      </c>
      <c r="D541" t="inlineStr">
        <is>
          <t xml:space="preserve">Casual / Sick </t>
        </is>
      </c>
      <c r="E541" t="n">
        <v>1</v>
      </c>
      <c r="F541" s="1" t="n"/>
      <c r="G541" s="1" t="n"/>
      <c r="H541">
        <f>IF(T_LEAVE[[#This Row],[EMPLOYEE]]="","",MATCH(T_LEAVE[[#This Row],[EMPLOYEE]],L_EMPLABELS,0))</f>
        <v/>
      </c>
      <c r="I541">
        <f>IF(T_LEAVE[[#This Row],[EMPLOYEE]]="","",MATCH(T_LEAVE[[#This Row],[LEAVE TYPE]],L_LEAVETYPES,0))</f>
        <v/>
      </c>
      <c r="J541">
        <f t="array" ref="J541">IFERROR(INDEX(T_LEAVE_TYPES[SYMBOL],T_LEAVE[[#This Row],[LEAVE TYPE SYS ID]]),"")</f>
        <v/>
      </c>
      <c r="K541">
        <f>IF(T_LEAVE[[#This Row],[EMPLOYEE]]="","",IF(T_LEAVE[[#This Row],[ERROR]]="",0,1))</f>
        <v/>
      </c>
      <c r="L541">
        <f t="array" ref="L5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2">
      <c r="A542" t="inlineStr">
        <is>
          <t>Aishwarya  Ds (1024946)</t>
        </is>
      </c>
      <c r="B542" t="inlineStr">
        <is>
          <t>Thursday, 26 October 2023</t>
        </is>
      </c>
      <c r="C542" t="inlineStr">
        <is>
          <t>Thursday, 26 October 2023</t>
        </is>
      </c>
      <c r="D542" t="inlineStr">
        <is>
          <t xml:space="preserve">Casual / Sick </t>
        </is>
      </c>
      <c r="E542" t="n">
        <v>1</v>
      </c>
      <c r="F542" s="1" t="n"/>
      <c r="G542" s="1" t="n"/>
      <c r="H542">
        <f>IF(T_LEAVE[[#This Row],[EMPLOYEE]]="","",MATCH(T_LEAVE[[#This Row],[EMPLOYEE]],L_EMPLABELS,0))</f>
        <v/>
      </c>
      <c r="I542">
        <f>IF(T_LEAVE[[#This Row],[EMPLOYEE]]="","",MATCH(T_LEAVE[[#This Row],[LEAVE TYPE]],L_LEAVETYPES,0))</f>
        <v/>
      </c>
      <c r="J542">
        <f t="array" ref="J542">IFERROR(INDEX(T_LEAVE_TYPES[SYMBOL],T_LEAVE[[#This Row],[LEAVE TYPE SYS ID]]),"")</f>
        <v/>
      </c>
      <c r="K542">
        <f>IF(T_LEAVE[[#This Row],[EMPLOYEE]]="","",IF(T_LEAVE[[#This Row],[ERROR]]="",0,1))</f>
        <v/>
      </c>
      <c r="L542">
        <f t="array" ref="L5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3">
      <c r="A543" t="inlineStr">
        <is>
          <t>P Thulasi (1026938)</t>
        </is>
      </c>
      <c r="B543" t="inlineStr">
        <is>
          <t>Thursday, 26 October 2023</t>
        </is>
      </c>
      <c r="C543" t="inlineStr">
        <is>
          <t>Thursday, 26 October 2023</t>
        </is>
      </c>
      <c r="D543" t="inlineStr">
        <is>
          <t xml:space="preserve">Casual / Sick </t>
        </is>
      </c>
      <c r="E543" t="n">
        <v>1</v>
      </c>
      <c r="F543" s="1" t="n"/>
      <c r="G543" s="1" t="n"/>
      <c r="H543">
        <f>IF(T_LEAVE[[#This Row],[EMPLOYEE]]="","",MATCH(T_LEAVE[[#This Row],[EMPLOYEE]],L_EMPLABELS,0))</f>
        <v/>
      </c>
      <c r="I543">
        <f>IF(T_LEAVE[[#This Row],[EMPLOYEE]]="","",MATCH(T_LEAVE[[#This Row],[LEAVE TYPE]],L_LEAVETYPES,0))</f>
        <v/>
      </c>
      <c r="J543">
        <f t="array" ref="J543">IFERROR(INDEX(T_LEAVE_TYPES[SYMBOL],T_LEAVE[[#This Row],[LEAVE TYPE SYS ID]]),"")</f>
        <v/>
      </c>
      <c r="K543">
        <f>IF(T_LEAVE[[#This Row],[EMPLOYEE]]="","",IF(T_LEAVE[[#This Row],[ERROR]]="",0,1))</f>
        <v/>
      </c>
      <c r="L543">
        <f t="array" ref="L5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4">
      <c r="A544" t="inlineStr">
        <is>
          <t>P Thulasi (1026938)</t>
        </is>
      </c>
      <c r="B544" t="inlineStr">
        <is>
          <t>Monday, 11 September 2023</t>
        </is>
      </c>
      <c r="C544" t="inlineStr">
        <is>
          <t>Monday, 11 September 2023</t>
        </is>
      </c>
      <c r="D544" t="inlineStr">
        <is>
          <t xml:space="preserve">Casual / Sick </t>
        </is>
      </c>
      <c r="E544" t="n">
        <v>1</v>
      </c>
      <c r="F544" s="1" t="n"/>
      <c r="G544" s="1" t="n"/>
      <c r="H544">
        <f>IF(T_LEAVE[[#This Row],[EMPLOYEE]]="","",MATCH(T_LEAVE[[#This Row],[EMPLOYEE]],L_EMPLABELS,0))</f>
        <v/>
      </c>
      <c r="I544">
        <f>IF(T_LEAVE[[#This Row],[EMPLOYEE]]="","",MATCH(T_LEAVE[[#This Row],[LEAVE TYPE]],L_LEAVETYPES,0))</f>
        <v/>
      </c>
      <c r="J544">
        <f t="array" ref="J544">IFERROR(INDEX(T_LEAVE_TYPES[SYMBOL],T_LEAVE[[#This Row],[LEAVE TYPE SYS ID]]),"")</f>
        <v/>
      </c>
      <c r="K544">
        <f>IF(T_LEAVE[[#This Row],[EMPLOYEE]]="","",IF(T_LEAVE[[#This Row],[ERROR]]="",0,1))</f>
        <v/>
      </c>
      <c r="L544">
        <f t="array" ref="L5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5">
      <c r="A545" t="inlineStr">
        <is>
          <t>Chitturi Sriramya (1028935)</t>
        </is>
      </c>
      <c r="B545" t="inlineStr">
        <is>
          <t>Wednesday, 25 October 2023</t>
        </is>
      </c>
      <c r="C545" t="inlineStr">
        <is>
          <t>Wednesday, 25 October 2023</t>
        </is>
      </c>
      <c r="D545" t="inlineStr">
        <is>
          <t xml:space="preserve">Casual / Sick </t>
        </is>
      </c>
      <c r="E545" t="n">
        <v>1</v>
      </c>
      <c r="F545" s="1" t="n"/>
      <c r="G545" s="1" t="n"/>
      <c r="H545">
        <f>IF(T_LEAVE[[#This Row],[EMPLOYEE]]="","",MATCH(T_LEAVE[[#This Row],[EMPLOYEE]],L_EMPLABELS,0))</f>
        <v/>
      </c>
      <c r="I545">
        <f>IF(T_LEAVE[[#This Row],[EMPLOYEE]]="","",MATCH(T_LEAVE[[#This Row],[LEAVE TYPE]],L_LEAVETYPES,0))</f>
        <v/>
      </c>
      <c r="J545">
        <f t="array" ref="J545">IFERROR(INDEX(T_LEAVE_TYPES[SYMBOL],T_LEAVE[[#This Row],[LEAVE TYPE SYS ID]]),"")</f>
        <v/>
      </c>
      <c r="K545">
        <f>IF(T_LEAVE[[#This Row],[EMPLOYEE]]="","",IF(T_LEAVE[[#This Row],[ERROR]]="",0,1))</f>
        <v/>
      </c>
      <c r="L545">
        <f t="array" ref="L5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6">
      <c r="A546" t="inlineStr">
        <is>
          <t>Karthika  R (1020012)</t>
        </is>
      </c>
      <c r="B546" t="inlineStr">
        <is>
          <t>Monday, 23 October 2023</t>
        </is>
      </c>
      <c r="C546" t="inlineStr">
        <is>
          <t>Monday, 23 October 2023</t>
        </is>
      </c>
      <c r="D546" t="inlineStr">
        <is>
          <t>Privilege</t>
        </is>
      </c>
      <c r="E546" t="n">
        <v>1</v>
      </c>
      <c r="F546" s="1" t="n"/>
      <c r="G546" s="1" t="n"/>
      <c r="H546">
        <f>IF(T_LEAVE[[#This Row],[EMPLOYEE]]="","",MATCH(T_LEAVE[[#This Row],[EMPLOYEE]],L_EMPLABELS,0))</f>
        <v/>
      </c>
      <c r="I546">
        <f>IF(T_LEAVE[[#This Row],[EMPLOYEE]]="","",MATCH(T_LEAVE[[#This Row],[LEAVE TYPE]],L_LEAVETYPES,0))</f>
        <v/>
      </c>
      <c r="J546">
        <f t="array" ref="J546">IFERROR(INDEX(T_LEAVE_TYPES[SYMBOL],T_LEAVE[[#This Row],[LEAVE TYPE SYS ID]]),"")</f>
        <v/>
      </c>
      <c r="K546">
        <f>IF(T_LEAVE[[#This Row],[EMPLOYEE]]="","",IF(T_LEAVE[[#This Row],[ERROR]]="",0,1))</f>
        <v/>
      </c>
      <c r="L546">
        <f t="array" ref="L5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7">
      <c r="A547" t="inlineStr">
        <is>
          <t>Sushmitha  M (1027703)</t>
        </is>
      </c>
      <c r="B547" t="inlineStr">
        <is>
          <t>Wednesday, 18 October 2023</t>
        </is>
      </c>
      <c r="C547" t="inlineStr">
        <is>
          <t>Wednesday, 18 October 2023</t>
        </is>
      </c>
      <c r="D547" t="inlineStr">
        <is>
          <t xml:space="preserve">Casual / Sick </t>
        </is>
      </c>
      <c r="E547" t="n">
        <v>1</v>
      </c>
      <c r="F547" s="1" t="n"/>
      <c r="G547" s="1" t="n"/>
      <c r="H547">
        <f>IF(T_LEAVE[[#This Row],[EMPLOYEE]]="","",MATCH(T_LEAVE[[#This Row],[EMPLOYEE]],L_EMPLABELS,0))</f>
        <v/>
      </c>
      <c r="I547">
        <f>IF(T_LEAVE[[#This Row],[EMPLOYEE]]="","",MATCH(T_LEAVE[[#This Row],[LEAVE TYPE]],L_LEAVETYPES,0))</f>
        <v/>
      </c>
      <c r="J547">
        <f t="array" ref="J547">IFERROR(INDEX(T_LEAVE_TYPES[SYMBOL],T_LEAVE[[#This Row],[LEAVE TYPE SYS ID]]),"")</f>
        <v/>
      </c>
      <c r="K547">
        <f>IF(T_LEAVE[[#This Row],[EMPLOYEE]]="","",IF(T_LEAVE[[#This Row],[ERROR]]="",0,1))</f>
        <v/>
      </c>
      <c r="L547">
        <f t="array" ref="L5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8">
      <c r="A548" t="inlineStr">
        <is>
          <t>S Suneetha (1020246)</t>
        </is>
      </c>
      <c r="B548" t="inlineStr">
        <is>
          <t>Monday, 16 October 2023</t>
        </is>
      </c>
      <c r="C548" t="inlineStr">
        <is>
          <t>Monday, 16 October 2023</t>
        </is>
      </c>
      <c r="D548" t="inlineStr">
        <is>
          <t>Privilege</t>
        </is>
      </c>
      <c r="E548" t="n">
        <v>1</v>
      </c>
      <c r="F548" s="1" t="n"/>
      <c r="G548" s="1" t="n"/>
      <c r="H548">
        <f>IF(T_LEAVE[[#This Row],[EMPLOYEE]]="","",MATCH(T_LEAVE[[#This Row],[EMPLOYEE]],L_EMPLABELS,0))</f>
        <v/>
      </c>
      <c r="I548">
        <f>IF(T_LEAVE[[#This Row],[EMPLOYEE]]="","",MATCH(T_LEAVE[[#This Row],[LEAVE TYPE]],L_LEAVETYPES,0))</f>
        <v/>
      </c>
      <c r="J548">
        <f t="array" ref="J548">IFERROR(INDEX(T_LEAVE_TYPES[SYMBOL],T_LEAVE[[#This Row],[LEAVE TYPE SYS ID]]),"")</f>
        <v/>
      </c>
      <c r="K548">
        <f>IF(T_LEAVE[[#This Row],[EMPLOYEE]]="","",IF(T_LEAVE[[#This Row],[ERROR]]="",0,1))</f>
        <v/>
      </c>
      <c r="L548">
        <f t="array" ref="L5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49">
      <c r="A549" t="inlineStr">
        <is>
          <t>S Suneetha (1020246)</t>
        </is>
      </c>
      <c r="B549" t="inlineStr">
        <is>
          <t>Thursday, 12 October 2023</t>
        </is>
      </c>
      <c r="C549" t="inlineStr">
        <is>
          <t>Friday, 13 October 2023</t>
        </is>
      </c>
      <c r="D549" t="inlineStr">
        <is>
          <t>Privilege</t>
        </is>
      </c>
      <c r="E549" t="n">
        <v>2</v>
      </c>
      <c r="F549" s="1" t="n"/>
      <c r="G549" s="1" t="n"/>
      <c r="H549">
        <f>IF(T_LEAVE[[#This Row],[EMPLOYEE]]="","",MATCH(T_LEAVE[[#This Row],[EMPLOYEE]],L_EMPLABELS,0))</f>
        <v/>
      </c>
      <c r="I549">
        <f>IF(T_LEAVE[[#This Row],[EMPLOYEE]]="","",MATCH(T_LEAVE[[#This Row],[LEAVE TYPE]],L_LEAVETYPES,0))</f>
        <v/>
      </c>
      <c r="J549">
        <f t="array" ref="J549">IFERROR(INDEX(T_LEAVE_TYPES[SYMBOL],T_LEAVE[[#This Row],[LEAVE TYPE SYS ID]]),"")</f>
        <v/>
      </c>
      <c r="K549">
        <f>IF(T_LEAVE[[#This Row],[EMPLOYEE]]="","",IF(T_LEAVE[[#This Row],[ERROR]]="",0,1))</f>
        <v/>
      </c>
      <c r="L549">
        <f t="array" ref="L5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0">
      <c r="A550" t="inlineStr">
        <is>
          <t>S Suneetha (1020246)</t>
        </is>
      </c>
      <c r="B550" t="inlineStr">
        <is>
          <t>Tuesday, 10 October 2023</t>
        </is>
      </c>
      <c r="C550" t="inlineStr">
        <is>
          <t>Wednesday, 11 October 2023</t>
        </is>
      </c>
      <c r="D550" t="inlineStr">
        <is>
          <t xml:space="preserve">Casual / Sick </t>
        </is>
      </c>
      <c r="E550" t="n">
        <v>2</v>
      </c>
      <c r="F550" s="1" t="n"/>
      <c r="G550" s="1" t="n"/>
      <c r="H550">
        <f>IF(T_LEAVE[[#This Row],[EMPLOYEE]]="","",MATCH(T_LEAVE[[#This Row],[EMPLOYEE]],L_EMPLABELS,0))</f>
        <v/>
      </c>
      <c r="I550">
        <f>IF(T_LEAVE[[#This Row],[EMPLOYEE]]="","",MATCH(T_LEAVE[[#This Row],[LEAVE TYPE]],L_LEAVETYPES,0))</f>
        <v/>
      </c>
      <c r="J550">
        <f t="array" ref="J550">IFERROR(INDEX(T_LEAVE_TYPES[SYMBOL],T_LEAVE[[#This Row],[LEAVE TYPE SYS ID]]),"")</f>
        <v/>
      </c>
      <c r="K550">
        <f>IF(T_LEAVE[[#This Row],[EMPLOYEE]]="","",IF(T_LEAVE[[#This Row],[ERROR]]="",0,1))</f>
        <v/>
      </c>
      <c r="L550">
        <f t="array" ref="L5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1">
      <c r="A551" t="inlineStr">
        <is>
          <t>Chitturi Sriramya (1028935)</t>
        </is>
      </c>
      <c r="B551" t="inlineStr">
        <is>
          <t>Friday, 06 October 2023</t>
        </is>
      </c>
      <c r="C551" t="inlineStr">
        <is>
          <t>Friday, 06 October 2023</t>
        </is>
      </c>
      <c r="D551" t="inlineStr">
        <is>
          <t xml:space="preserve">Casual / Sick </t>
        </is>
      </c>
      <c r="E551" t="n">
        <v>1</v>
      </c>
      <c r="F551" s="1" t="n"/>
      <c r="G551" s="1" t="n"/>
      <c r="H551">
        <f>IF(T_LEAVE[[#This Row],[EMPLOYEE]]="","",MATCH(T_LEAVE[[#This Row],[EMPLOYEE]],L_EMPLABELS,0))</f>
        <v/>
      </c>
      <c r="I551">
        <f>IF(T_LEAVE[[#This Row],[EMPLOYEE]]="","",MATCH(T_LEAVE[[#This Row],[LEAVE TYPE]],L_LEAVETYPES,0))</f>
        <v/>
      </c>
      <c r="J551">
        <f t="array" ref="J551">IFERROR(INDEX(T_LEAVE_TYPES[SYMBOL],T_LEAVE[[#This Row],[LEAVE TYPE SYS ID]]),"")</f>
        <v/>
      </c>
      <c r="K551">
        <f>IF(T_LEAVE[[#This Row],[EMPLOYEE]]="","",IF(T_LEAVE[[#This Row],[ERROR]]="",0,1))</f>
        <v/>
      </c>
      <c r="L551">
        <f t="array" ref="L5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2">
      <c r="A552" t="inlineStr">
        <is>
          <t>Chilakala  Srikanth Reddy (1027289)</t>
        </is>
      </c>
      <c r="B552" t="inlineStr">
        <is>
          <t>Thursday, 28 September 2023</t>
        </is>
      </c>
      <c r="C552" t="inlineStr">
        <is>
          <t>Thursday, 28 September 2023</t>
        </is>
      </c>
      <c r="D552" t="inlineStr">
        <is>
          <t xml:space="preserve">Casual / Sick </t>
        </is>
      </c>
      <c r="E552" t="n">
        <v>0.5</v>
      </c>
      <c r="F552" s="1" t="n"/>
      <c r="G552" s="1" t="n"/>
      <c r="H552">
        <f>IF(T_LEAVE[[#This Row],[EMPLOYEE]]="","",MATCH(T_LEAVE[[#This Row],[EMPLOYEE]],L_EMPLABELS,0))</f>
        <v/>
      </c>
      <c r="I552">
        <f>IF(T_LEAVE[[#This Row],[EMPLOYEE]]="","",MATCH(T_LEAVE[[#This Row],[LEAVE TYPE]],L_LEAVETYPES,0))</f>
        <v/>
      </c>
      <c r="J552">
        <f t="array" ref="J552">IFERROR(INDEX(T_LEAVE_TYPES[SYMBOL],T_LEAVE[[#This Row],[LEAVE TYPE SYS ID]]),"")</f>
        <v/>
      </c>
      <c r="K552">
        <f>IF(T_LEAVE[[#This Row],[EMPLOYEE]]="","",IF(T_LEAVE[[#This Row],[ERROR]]="",0,1))</f>
        <v/>
      </c>
      <c r="L552">
        <f t="array" ref="L5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3">
      <c r="A553" t="inlineStr">
        <is>
          <t>Suchismita  Mohanty (1022859)</t>
        </is>
      </c>
      <c r="B553" t="inlineStr">
        <is>
          <t>Wednesday, 27 September 2023</t>
        </is>
      </c>
      <c r="C553" t="inlineStr">
        <is>
          <t>Wednesday, 27 September 2023</t>
        </is>
      </c>
      <c r="D553" t="inlineStr">
        <is>
          <t>Privilege</t>
        </is>
      </c>
      <c r="E553" t="n">
        <v>1</v>
      </c>
      <c r="F553" s="1" t="n"/>
      <c r="G553" s="1" t="n"/>
      <c r="H553">
        <f>IF(T_LEAVE[[#This Row],[EMPLOYEE]]="","",MATCH(T_LEAVE[[#This Row],[EMPLOYEE]],L_EMPLABELS,0))</f>
        <v/>
      </c>
      <c r="I553">
        <f>IF(T_LEAVE[[#This Row],[EMPLOYEE]]="","",MATCH(T_LEAVE[[#This Row],[LEAVE TYPE]],L_LEAVETYPES,0))</f>
        <v/>
      </c>
      <c r="J553">
        <f t="array" ref="J553">IFERROR(INDEX(T_LEAVE_TYPES[SYMBOL],T_LEAVE[[#This Row],[LEAVE TYPE SYS ID]]),"")</f>
        <v/>
      </c>
      <c r="K553">
        <f>IF(T_LEAVE[[#This Row],[EMPLOYEE]]="","",IF(T_LEAVE[[#This Row],[ERROR]]="",0,1))</f>
        <v/>
      </c>
      <c r="L553">
        <f t="array" ref="L5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4">
      <c r="A554" t="inlineStr">
        <is>
          <t>Aishwarya  Ds (1024946)</t>
        </is>
      </c>
      <c r="B554" t="inlineStr">
        <is>
          <t>Friday, 15 September 2023</t>
        </is>
      </c>
      <c r="C554" t="inlineStr">
        <is>
          <t>Friday, 15 September 2023</t>
        </is>
      </c>
      <c r="D554" t="inlineStr">
        <is>
          <t>Privilege</t>
        </is>
      </c>
      <c r="E554" t="n">
        <v>1</v>
      </c>
      <c r="F554" s="1" t="n"/>
      <c r="G554" s="1" t="n"/>
      <c r="H554">
        <f>IF(T_LEAVE[[#This Row],[EMPLOYEE]]="","",MATCH(T_LEAVE[[#This Row],[EMPLOYEE]],L_EMPLABELS,0))</f>
        <v/>
      </c>
      <c r="I554">
        <f>IF(T_LEAVE[[#This Row],[EMPLOYEE]]="","",MATCH(T_LEAVE[[#This Row],[LEAVE TYPE]],L_LEAVETYPES,0))</f>
        <v/>
      </c>
      <c r="J554">
        <f t="array" ref="J554">IFERROR(INDEX(T_LEAVE_TYPES[SYMBOL],T_LEAVE[[#This Row],[LEAVE TYPE SYS ID]]),"")</f>
        <v/>
      </c>
      <c r="K554">
        <f>IF(T_LEAVE[[#This Row],[EMPLOYEE]]="","",IF(T_LEAVE[[#This Row],[ERROR]]="",0,1))</f>
        <v/>
      </c>
      <c r="L554">
        <f t="array" ref="L5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5">
      <c r="A555" t="inlineStr">
        <is>
          <t>Chitturi Sriramya (1028935)</t>
        </is>
      </c>
      <c r="B555" t="inlineStr">
        <is>
          <t>Thursday, 31 August 2023</t>
        </is>
      </c>
      <c r="C555" t="inlineStr">
        <is>
          <t>Thursday, 31 August 2023</t>
        </is>
      </c>
      <c r="D555" t="inlineStr">
        <is>
          <t xml:space="preserve">Casual / Sick </t>
        </is>
      </c>
      <c r="E555" t="n">
        <v>1</v>
      </c>
      <c r="F555" s="1" t="n"/>
      <c r="G555" s="1" t="n"/>
      <c r="H555">
        <f>IF(T_LEAVE[[#This Row],[EMPLOYEE]]="","",MATCH(T_LEAVE[[#This Row],[EMPLOYEE]],L_EMPLABELS,0))</f>
        <v/>
      </c>
      <c r="I555">
        <f>IF(T_LEAVE[[#This Row],[EMPLOYEE]]="","",MATCH(T_LEAVE[[#This Row],[LEAVE TYPE]],L_LEAVETYPES,0))</f>
        <v/>
      </c>
      <c r="J555">
        <f t="array" ref="J555">IFERROR(INDEX(T_LEAVE_TYPES[SYMBOL],T_LEAVE[[#This Row],[LEAVE TYPE SYS ID]]),"")</f>
        <v/>
      </c>
      <c r="K555">
        <f>IF(T_LEAVE[[#This Row],[EMPLOYEE]]="","",IF(T_LEAVE[[#This Row],[ERROR]]="",0,1))</f>
        <v/>
      </c>
      <c r="L555">
        <f t="array" ref="L5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6">
      <c r="A556" t="inlineStr">
        <is>
          <t>Chitturi Sriramya (1028935)</t>
        </is>
      </c>
      <c r="B556" t="inlineStr">
        <is>
          <t>Monday, 14 August 2023</t>
        </is>
      </c>
      <c r="C556" t="inlineStr">
        <is>
          <t>Monday, 14 August 2023</t>
        </is>
      </c>
      <c r="D556" t="inlineStr">
        <is>
          <t>Privilege</t>
        </is>
      </c>
      <c r="E556" t="n">
        <v>1</v>
      </c>
      <c r="F556" s="1" t="n"/>
      <c r="G556" s="1" t="n"/>
      <c r="H556">
        <f>IF(T_LEAVE[[#This Row],[EMPLOYEE]]="","",MATCH(T_LEAVE[[#This Row],[EMPLOYEE]],L_EMPLABELS,0))</f>
        <v/>
      </c>
      <c r="I556">
        <f>IF(T_LEAVE[[#This Row],[EMPLOYEE]]="","",MATCH(T_LEAVE[[#This Row],[LEAVE TYPE]],L_LEAVETYPES,0))</f>
        <v/>
      </c>
      <c r="J556">
        <f t="array" ref="J556">IFERROR(INDEX(T_LEAVE_TYPES[SYMBOL],T_LEAVE[[#This Row],[LEAVE TYPE SYS ID]]),"")</f>
        <v/>
      </c>
      <c r="K556">
        <f>IF(T_LEAVE[[#This Row],[EMPLOYEE]]="","",IF(T_LEAVE[[#This Row],[ERROR]]="",0,1))</f>
        <v/>
      </c>
      <c r="L556">
        <f t="array" ref="L5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7">
      <c r="A557" t="inlineStr">
        <is>
          <t>Chitturi Sriramya (1028935)</t>
        </is>
      </c>
      <c r="B557" t="inlineStr">
        <is>
          <t>Monday, 10 July 2023</t>
        </is>
      </c>
      <c r="C557" t="inlineStr">
        <is>
          <t>Monday, 10 July 2023</t>
        </is>
      </c>
      <c r="D557" t="inlineStr">
        <is>
          <t xml:space="preserve">Casual / Sick </t>
        </is>
      </c>
      <c r="E557" t="n">
        <v>1</v>
      </c>
      <c r="F557" s="1" t="n"/>
      <c r="G557" s="1" t="n"/>
      <c r="H557">
        <f>IF(T_LEAVE[[#This Row],[EMPLOYEE]]="","",MATCH(T_LEAVE[[#This Row],[EMPLOYEE]],L_EMPLABELS,0))</f>
        <v/>
      </c>
      <c r="I557">
        <f>IF(T_LEAVE[[#This Row],[EMPLOYEE]]="","",MATCH(T_LEAVE[[#This Row],[LEAVE TYPE]],L_LEAVETYPES,0))</f>
        <v/>
      </c>
      <c r="J557">
        <f t="array" ref="J557">IFERROR(INDEX(T_LEAVE_TYPES[SYMBOL],T_LEAVE[[#This Row],[LEAVE TYPE SYS ID]]),"")</f>
        <v/>
      </c>
      <c r="K557">
        <f>IF(T_LEAVE[[#This Row],[EMPLOYEE]]="","",IF(T_LEAVE[[#This Row],[ERROR]]="",0,1))</f>
        <v/>
      </c>
      <c r="L557">
        <f t="array" ref="L5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8">
      <c r="A558" t="inlineStr">
        <is>
          <t>S Suneetha (1020246)</t>
        </is>
      </c>
      <c r="B558" t="inlineStr">
        <is>
          <t>Monday, 28 August 2023</t>
        </is>
      </c>
      <c r="C558" t="inlineStr">
        <is>
          <t>Thursday, 31 August 2023</t>
        </is>
      </c>
      <c r="D558" t="inlineStr">
        <is>
          <t>Privilege</t>
        </is>
      </c>
      <c r="E558" t="n">
        <v>4</v>
      </c>
      <c r="F558" s="1" t="n"/>
      <c r="G558" s="1" t="n"/>
      <c r="H558">
        <f>IF(T_LEAVE[[#This Row],[EMPLOYEE]]="","",MATCH(T_LEAVE[[#This Row],[EMPLOYEE]],L_EMPLABELS,0))</f>
        <v/>
      </c>
      <c r="I558">
        <f>IF(T_LEAVE[[#This Row],[EMPLOYEE]]="","",MATCH(T_LEAVE[[#This Row],[LEAVE TYPE]],L_LEAVETYPES,0))</f>
        <v/>
      </c>
      <c r="J558">
        <f t="array" ref="J558">IFERROR(INDEX(T_LEAVE_TYPES[SYMBOL],T_LEAVE[[#This Row],[LEAVE TYPE SYS ID]]),"")</f>
        <v/>
      </c>
      <c r="K558">
        <f>IF(T_LEAVE[[#This Row],[EMPLOYEE]]="","",IF(T_LEAVE[[#This Row],[ERROR]]="",0,1))</f>
        <v/>
      </c>
      <c r="L558">
        <f t="array" ref="L5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59">
      <c r="A559" t="inlineStr">
        <is>
          <t>Karthika  R (1020012)</t>
        </is>
      </c>
      <c r="B559" t="inlineStr">
        <is>
          <t>Tuesday, 22 August 2023</t>
        </is>
      </c>
      <c r="C559" t="inlineStr">
        <is>
          <t>Tuesday, 22 August 2023</t>
        </is>
      </c>
      <c r="D559" t="inlineStr">
        <is>
          <t>Privilege</t>
        </is>
      </c>
      <c r="E559" t="n">
        <v>1</v>
      </c>
      <c r="F559" s="1" t="n"/>
      <c r="G559" s="1" t="n"/>
      <c r="H559">
        <f>IF(T_LEAVE[[#This Row],[EMPLOYEE]]="","",MATCH(T_LEAVE[[#This Row],[EMPLOYEE]],L_EMPLABELS,0))</f>
        <v/>
      </c>
      <c r="I559">
        <f>IF(T_LEAVE[[#This Row],[EMPLOYEE]]="","",MATCH(T_LEAVE[[#This Row],[LEAVE TYPE]],L_LEAVETYPES,0))</f>
        <v/>
      </c>
      <c r="J559">
        <f t="array" ref="J559">IFERROR(INDEX(T_LEAVE_TYPES[SYMBOL],T_LEAVE[[#This Row],[LEAVE TYPE SYS ID]]),"")</f>
        <v/>
      </c>
      <c r="K559">
        <f>IF(T_LEAVE[[#This Row],[EMPLOYEE]]="","",IF(T_LEAVE[[#This Row],[ERROR]]="",0,1))</f>
        <v/>
      </c>
      <c r="L559">
        <f t="array" ref="L5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0">
      <c r="A560" t="inlineStr">
        <is>
          <t>S Suneetha (1020246)</t>
        </is>
      </c>
      <c r="B560" t="inlineStr">
        <is>
          <t>Friday, 25 August 2023</t>
        </is>
      </c>
      <c r="C560" t="inlineStr">
        <is>
          <t>Friday, 25 August 2023</t>
        </is>
      </c>
      <c r="D560" t="inlineStr">
        <is>
          <t>Privilege</t>
        </is>
      </c>
      <c r="E560" t="n">
        <v>0.5</v>
      </c>
      <c r="F560" s="1" t="n"/>
      <c r="G560" s="1" t="n"/>
      <c r="H560">
        <f>IF(T_LEAVE[[#This Row],[EMPLOYEE]]="","",MATCH(T_LEAVE[[#This Row],[EMPLOYEE]],L_EMPLABELS,0))</f>
        <v/>
      </c>
      <c r="I560">
        <f>IF(T_LEAVE[[#This Row],[EMPLOYEE]]="","",MATCH(T_LEAVE[[#This Row],[LEAVE TYPE]],L_LEAVETYPES,0))</f>
        <v/>
      </c>
      <c r="J560">
        <f t="array" ref="J560">IFERROR(INDEX(T_LEAVE_TYPES[SYMBOL],T_LEAVE[[#This Row],[LEAVE TYPE SYS ID]]),"")</f>
        <v/>
      </c>
      <c r="K560">
        <f>IF(T_LEAVE[[#This Row],[EMPLOYEE]]="","",IF(T_LEAVE[[#This Row],[ERROR]]="",0,1))</f>
        <v/>
      </c>
      <c r="L560">
        <f t="array" ref="L5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1">
      <c r="A561" t="inlineStr">
        <is>
          <t>S Suneetha (1020246)</t>
        </is>
      </c>
      <c r="B561" t="inlineStr">
        <is>
          <t>Thursday, 17 August 2023</t>
        </is>
      </c>
      <c r="C561" t="inlineStr">
        <is>
          <t>Thursday, 17 August 2023</t>
        </is>
      </c>
      <c r="D561" t="inlineStr">
        <is>
          <t xml:space="preserve">Casual / Sick </t>
        </is>
      </c>
      <c r="E561" t="n">
        <v>1</v>
      </c>
      <c r="F561" s="1" t="n"/>
      <c r="G561" s="1" t="n"/>
      <c r="H561">
        <f>IF(T_LEAVE[[#This Row],[EMPLOYEE]]="","",MATCH(T_LEAVE[[#This Row],[EMPLOYEE]],L_EMPLABELS,0))</f>
        <v/>
      </c>
      <c r="I561">
        <f>IF(T_LEAVE[[#This Row],[EMPLOYEE]]="","",MATCH(T_LEAVE[[#This Row],[LEAVE TYPE]],L_LEAVETYPES,0))</f>
        <v/>
      </c>
      <c r="J561">
        <f t="array" ref="J561">IFERROR(INDEX(T_LEAVE_TYPES[SYMBOL],T_LEAVE[[#This Row],[LEAVE TYPE SYS ID]]),"")</f>
        <v/>
      </c>
      <c r="K561">
        <f>IF(T_LEAVE[[#This Row],[EMPLOYEE]]="","",IF(T_LEAVE[[#This Row],[ERROR]]="",0,1))</f>
        <v/>
      </c>
      <c r="L561">
        <f t="array" ref="L5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2">
      <c r="A562" t="inlineStr">
        <is>
          <t>Sushmitha  M (1027703)</t>
        </is>
      </c>
      <c r="B562" t="inlineStr">
        <is>
          <t>Monday, 07 August 2023</t>
        </is>
      </c>
      <c r="C562" t="inlineStr">
        <is>
          <t>Monday, 07 August 2023</t>
        </is>
      </c>
      <c r="D562" t="inlineStr">
        <is>
          <t xml:space="preserve">Casual / Sick </t>
        </is>
      </c>
      <c r="E562" t="n">
        <v>1</v>
      </c>
      <c r="F562" s="1" t="n"/>
      <c r="G562" s="1" t="n"/>
      <c r="H562">
        <f>IF(T_LEAVE[[#This Row],[EMPLOYEE]]="","",MATCH(T_LEAVE[[#This Row],[EMPLOYEE]],L_EMPLABELS,0))</f>
        <v/>
      </c>
      <c r="I562">
        <f>IF(T_LEAVE[[#This Row],[EMPLOYEE]]="","",MATCH(T_LEAVE[[#This Row],[LEAVE TYPE]],L_LEAVETYPES,0))</f>
        <v/>
      </c>
      <c r="J562">
        <f t="array" ref="J562">IFERROR(INDEX(T_LEAVE_TYPES[SYMBOL],T_LEAVE[[#This Row],[LEAVE TYPE SYS ID]]),"")</f>
        <v/>
      </c>
      <c r="K562">
        <f>IF(T_LEAVE[[#This Row],[EMPLOYEE]]="","",IF(T_LEAVE[[#This Row],[ERROR]]="",0,1))</f>
        <v/>
      </c>
      <c r="L562">
        <f t="array" ref="L5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3">
      <c r="A563" t="inlineStr">
        <is>
          <t>Chilakala  Srikanth Reddy (1027289)</t>
        </is>
      </c>
      <c r="B563" t="inlineStr">
        <is>
          <t>Thursday, 03 August 2023</t>
        </is>
      </c>
      <c r="C563" t="inlineStr">
        <is>
          <t>Thursday, 03 August 2023</t>
        </is>
      </c>
      <c r="D563" t="inlineStr">
        <is>
          <t xml:space="preserve">Casual / Sick </t>
        </is>
      </c>
      <c r="E563" t="n">
        <v>1</v>
      </c>
      <c r="F563" s="1" t="n"/>
      <c r="G563" s="1" t="n"/>
      <c r="H563">
        <f>IF(T_LEAVE[[#This Row],[EMPLOYEE]]="","",MATCH(T_LEAVE[[#This Row],[EMPLOYEE]],L_EMPLABELS,0))</f>
        <v/>
      </c>
      <c r="I563">
        <f>IF(T_LEAVE[[#This Row],[EMPLOYEE]]="","",MATCH(T_LEAVE[[#This Row],[LEAVE TYPE]],L_LEAVETYPES,0))</f>
        <v/>
      </c>
      <c r="J563">
        <f t="array" ref="J563">IFERROR(INDEX(T_LEAVE_TYPES[SYMBOL],T_LEAVE[[#This Row],[LEAVE TYPE SYS ID]]),"")</f>
        <v/>
      </c>
      <c r="K563">
        <f>IF(T_LEAVE[[#This Row],[EMPLOYEE]]="","",IF(T_LEAVE[[#This Row],[ERROR]]="",0,1))</f>
        <v/>
      </c>
      <c r="L563">
        <f t="array" ref="L5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4">
      <c r="A564" t="inlineStr">
        <is>
          <t>Suchismita  Mohanty (1022859)</t>
        </is>
      </c>
      <c r="B564" t="inlineStr">
        <is>
          <t>Wednesday, 02 August 2023</t>
        </is>
      </c>
      <c r="C564" t="inlineStr">
        <is>
          <t>Wednesday, 02 August 2023</t>
        </is>
      </c>
      <c r="D564" t="inlineStr">
        <is>
          <t>Privilege</t>
        </is>
      </c>
      <c r="E564" t="n">
        <v>1</v>
      </c>
      <c r="F564" s="1" t="n"/>
      <c r="G564" s="1" t="n"/>
      <c r="H564">
        <f>IF(T_LEAVE[[#This Row],[EMPLOYEE]]="","",MATCH(T_LEAVE[[#This Row],[EMPLOYEE]],L_EMPLABELS,0))</f>
        <v/>
      </c>
      <c r="I564">
        <f>IF(T_LEAVE[[#This Row],[EMPLOYEE]]="","",MATCH(T_LEAVE[[#This Row],[LEAVE TYPE]],L_LEAVETYPES,0))</f>
        <v/>
      </c>
      <c r="J564">
        <f t="array" ref="J564">IFERROR(INDEX(T_LEAVE_TYPES[SYMBOL],T_LEAVE[[#This Row],[LEAVE TYPE SYS ID]]),"")</f>
        <v/>
      </c>
      <c r="K564">
        <f>IF(T_LEAVE[[#This Row],[EMPLOYEE]]="","",IF(T_LEAVE[[#This Row],[ERROR]]="",0,1))</f>
        <v/>
      </c>
      <c r="L564">
        <f t="array" ref="L5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5">
      <c r="A565" t="inlineStr">
        <is>
          <t>Preetam  Patel (1024572)</t>
        </is>
      </c>
      <c r="B565" t="inlineStr">
        <is>
          <t>Wednesday, 02 August 2023</t>
        </is>
      </c>
      <c r="C565" t="inlineStr">
        <is>
          <t>Thursday, 03 August 2023</t>
        </is>
      </c>
      <c r="D565" t="inlineStr">
        <is>
          <t xml:space="preserve">Casual / Sick </t>
        </is>
      </c>
      <c r="E565" t="n">
        <v>2</v>
      </c>
      <c r="F565" s="1" t="n"/>
      <c r="G565" s="1" t="n"/>
      <c r="H565">
        <f>IF(T_LEAVE[[#This Row],[EMPLOYEE]]="","",MATCH(T_LEAVE[[#This Row],[EMPLOYEE]],L_EMPLABELS,0))</f>
        <v/>
      </c>
      <c r="I565">
        <f>IF(T_LEAVE[[#This Row],[EMPLOYEE]]="","",MATCH(T_LEAVE[[#This Row],[LEAVE TYPE]],L_LEAVETYPES,0))</f>
        <v/>
      </c>
      <c r="J565">
        <f t="array" ref="J565">IFERROR(INDEX(T_LEAVE_TYPES[SYMBOL],T_LEAVE[[#This Row],[LEAVE TYPE SYS ID]]),"")</f>
        <v/>
      </c>
      <c r="K565">
        <f>IF(T_LEAVE[[#This Row],[EMPLOYEE]]="","",IF(T_LEAVE[[#This Row],[ERROR]]="",0,1))</f>
        <v/>
      </c>
      <c r="L565">
        <f t="array" ref="L5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6">
      <c r="A566" t="inlineStr">
        <is>
          <t>Sushmitha  M (1027703)</t>
        </is>
      </c>
      <c r="B566" t="inlineStr">
        <is>
          <t>Thursday, 27 July 2023</t>
        </is>
      </c>
      <c r="C566" t="inlineStr">
        <is>
          <t>Thursday, 27 July 2023</t>
        </is>
      </c>
      <c r="D566" t="inlineStr">
        <is>
          <t xml:space="preserve">Casual / Sick </t>
        </is>
      </c>
      <c r="E566" t="n">
        <v>1</v>
      </c>
      <c r="F566" s="1" t="n"/>
      <c r="G566" s="1" t="n"/>
      <c r="H566">
        <f>IF(T_LEAVE[[#This Row],[EMPLOYEE]]="","",MATCH(T_LEAVE[[#This Row],[EMPLOYEE]],L_EMPLABELS,0))</f>
        <v/>
      </c>
      <c r="I566">
        <f>IF(T_LEAVE[[#This Row],[EMPLOYEE]]="","",MATCH(T_LEAVE[[#This Row],[LEAVE TYPE]],L_LEAVETYPES,0))</f>
        <v/>
      </c>
      <c r="J566">
        <f t="array" ref="J566">IFERROR(INDEX(T_LEAVE_TYPES[SYMBOL],T_LEAVE[[#This Row],[LEAVE TYPE SYS ID]]),"")</f>
        <v/>
      </c>
      <c r="K566">
        <f>IF(T_LEAVE[[#This Row],[EMPLOYEE]]="","",IF(T_LEAVE[[#This Row],[ERROR]]="",0,1))</f>
        <v/>
      </c>
      <c r="L566">
        <f t="array" ref="L5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7">
      <c r="A567" t="inlineStr">
        <is>
          <t>S Suneetha (1020246)</t>
        </is>
      </c>
      <c r="B567" t="inlineStr">
        <is>
          <t>Monday, 24 July 2023</t>
        </is>
      </c>
      <c r="C567" t="inlineStr">
        <is>
          <t>Monday, 24 July 2023</t>
        </is>
      </c>
      <c r="D567" t="inlineStr">
        <is>
          <t xml:space="preserve">Casual / Sick </t>
        </is>
      </c>
      <c r="E567" t="n">
        <v>1</v>
      </c>
      <c r="F567" s="1" t="n"/>
      <c r="G567" s="1" t="n"/>
      <c r="H567">
        <f>IF(T_LEAVE[[#This Row],[EMPLOYEE]]="","",MATCH(T_LEAVE[[#This Row],[EMPLOYEE]],L_EMPLABELS,0))</f>
        <v/>
      </c>
      <c r="I567">
        <f>IF(T_LEAVE[[#This Row],[EMPLOYEE]]="","",MATCH(T_LEAVE[[#This Row],[LEAVE TYPE]],L_LEAVETYPES,0))</f>
        <v/>
      </c>
      <c r="J567">
        <f t="array" ref="J567">IFERROR(INDEX(T_LEAVE_TYPES[SYMBOL],T_LEAVE[[#This Row],[LEAVE TYPE SYS ID]]),"")</f>
        <v/>
      </c>
      <c r="K567">
        <f>IF(T_LEAVE[[#This Row],[EMPLOYEE]]="","",IF(T_LEAVE[[#This Row],[ERROR]]="",0,1))</f>
        <v/>
      </c>
      <c r="L567">
        <f t="array" ref="L5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8">
      <c r="A568" t="inlineStr">
        <is>
          <t>Suchismita  Mohanty (1022859)</t>
        </is>
      </c>
      <c r="B568" t="inlineStr">
        <is>
          <t>Monday, 17 July 2023</t>
        </is>
      </c>
      <c r="C568" t="inlineStr">
        <is>
          <t>Monday, 17 July 2023</t>
        </is>
      </c>
      <c r="D568" t="inlineStr">
        <is>
          <t xml:space="preserve">Casual / Sick </t>
        </is>
      </c>
      <c r="E568" t="n">
        <v>1</v>
      </c>
      <c r="F568" s="1" t="n"/>
      <c r="G568" s="1" t="n"/>
      <c r="H568">
        <f>IF(T_LEAVE[[#This Row],[EMPLOYEE]]="","",MATCH(T_LEAVE[[#This Row],[EMPLOYEE]],L_EMPLABELS,0))</f>
        <v/>
      </c>
      <c r="I568">
        <f>IF(T_LEAVE[[#This Row],[EMPLOYEE]]="","",MATCH(T_LEAVE[[#This Row],[LEAVE TYPE]],L_LEAVETYPES,0))</f>
        <v/>
      </c>
      <c r="J568">
        <f t="array" ref="J568">IFERROR(INDEX(T_LEAVE_TYPES[SYMBOL],T_LEAVE[[#This Row],[LEAVE TYPE SYS ID]]),"")</f>
        <v/>
      </c>
      <c r="K568">
        <f>IF(T_LEAVE[[#This Row],[EMPLOYEE]]="","",IF(T_LEAVE[[#This Row],[ERROR]]="",0,1))</f>
        <v/>
      </c>
      <c r="L568">
        <f t="array" ref="L5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69">
      <c r="A569" t="inlineStr">
        <is>
          <t>S Suneetha (1020246)</t>
        </is>
      </c>
      <c r="B569" t="inlineStr">
        <is>
          <t>Monday, 17 July 2023</t>
        </is>
      </c>
      <c r="C569" t="inlineStr">
        <is>
          <t>Monday, 17 July 2023</t>
        </is>
      </c>
      <c r="D569" t="inlineStr">
        <is>
          <t>Privilege</t>
        </is>
      </c>
      <c r="E569" t="n">
        <v>1</v>
      </c>
      <c r="F569" s="1" t="n"/>
      <c r="G569" s="1" t="n"/>
      <c r="H569">
        <f>IF(T_LEAVE[[#This Row],[EMPLOYEE]]="","",MATCH(T_LEAVE[[#This Row],[EMPLOYEE]],L_EMPLABELS,0))</f>
        <v/>
      </c>
      <c r="I569">
        <f>IF(T_LEAVE[[#This Row],[EMPLOYEE]]="","",MATCH(T_LEAVE[[#This Row],[LEAVE TYPE]],L_LEAVETYPES,0))</f>
        <v/>
      </c>
      <c r="J569">
        <f t="array" ref="J569">IFERROR(INDEX(T_LEAVE_TYPES[SYMBOL],T_LEAVE[[#This Row],[LEAVE TYPE SYS ID]]),"")</f>
        <v/>
      </c>
      <c r="K569">
        <f>IF(T_LEAVE[[#This Row],[EMPLOYEE]]="","",IF(T_LEAVE[[#This Row],[ERROR]]="",0,1))</f>
        <v/>
      </c>
      <c r="L569">
        <f t="array" ref="L5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0">
      <c r="A570" t="inlineStr">
        <is>
          <t>Aishwarya  Ds (1024946)</t>
        </is>
      </c>
      <c r="B570" t="inlineStr">
        <is>
          <t>Thursday, 20 July 2023</t>
        </is>
      </c>
      <c r="C570" t="inlineStr">
        <is>
          <t>Friday, 21 July 2023</t>
        </is>
      </c>
      <c r="D570" t="inlineStr">
        <is>
          <t xml:space="preserve">Casual / Sick </t>
        </is>
      </c>
      <c r="E570" t="n">
        <v>2</v>
      </c>
      <c r="F570" s="1" t="n"/>
      <c r="G570" s="1" t="n"/>
      <c r="H570">
        <f>IF(T_LEAVE[[#This Row],[EMPLOYEE]]="","",MATCH(T_LEAVE[[#This Row],[EMPLOYEE]],L_EMPLABELS,0))</f>
        <v/>
      </c>
      <c r="I570">
        <f>IF(T_LEAVE[[#This Row],[EMPLOYEE]]="","",MATCH(T_LEAVE[[#This Row],[LEAVE TYPE]],L_LEAVETYPES,0))</f>
        <v/>
      </c>
      <c r="J570">
        <f t="array" ref="J570">IFERROR(INDEX(T_LEAVE_TYPES[SYMBOL],T_LEAVE[[#This Row],[LEAVE TYPE SYS ID]]),"")</f>
        <v/>
      </c>
      <c r="K570">
        <f>IF(T_LEAVE[[#This Row],[EMPLOYEE]]="","",IF(T_LEAVE[[#This Row],[ERROR]]="",0,1))</f>
        <v/>
      </c>
      <c r="L570">
        <f t="array" ref="L5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1">
      <c r="A571" t="inlineStr">
        <is>
          <t>Karthika  R (1020012)</t>
        </is>
      </c>
      <c r="B571" t="inlineStr">
        <is>
          <t>Monday, 03 July 2023</t>
        </is>
      </c>
      <c r="C571" t="inlineStr">
        <is>
          <t>Monday, 03 July 2023</t>
        </is>
      </c>
      <c r="D571" t="inlineStr">
        <is>
          <t>Privilege</t>
        </is>
      </c>
      <c r="E571" t="n">
        <v>1</v>
      </c>
      <c r="F571" s="1" t="n"/>
      <c r="G571" s="1" t="n"/>
      <c r="H571">
        <f>IF(T_LEAVE[[#This Row],[EMPLOYEE]]="","",MATCH(T_LEAVE[[#This Row],[EMPLOYEE]],L_EMPLABELS,0))</f>
        <v/>
      </c>
      <c r="I571">
        <f>IF(T_LEAVE[[#This Row],[EMPLOYEE]]="","",MATCH(T_LEAVE[[#This Row],[LEAVE TYPE]],L_LEAVETYPES,0))</f>
        <v/>
      </c>
      <c r="J571">
        <f t="array" ref="J571">IFERROR(INDEX(T_LEAVE_TYPES[SYMBOL],T_LEAVE[[#This Row],[LEAVE TYPE SYS ID]]),"")</f>
        <v/>
      </c>
      <c r="K571">
        <f>IF(T_LEAVE[[#This Row],[EMPLOYEE]]="","",IF(T_LEAVE[[#This Row],[ERROR]]="",0,1))</f>
        <v/>
      </c>
      <c r="L571">
        <f t="array" ref="L5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2">
      <c r="A572" t="inlineStr">
        <is>
          <t>Suchismita  Mohanty (1022859)</t>
        </is>
      </c>
      <c r="B572" t="inlineStr">
        <is>
          <t>Friday, 30 June 2023</t>
        </is>
      </c>
      <c r="C572" t="inlineStr">
        <is>
          <t>Friday, 30 June 2023</t>
        </is>
      </c>
      <c r="D572" t="inlineStr">
        <is>
          <t xml:space="preserve">Casual / Sick </t>
        </is>
      </c>
      <c r="E572" t="n">
        <v>1</v>
      </c>
      <c r="F572" s="1" t="n"/>
      <c r="G572" s="1" t="n"/>
      <c r="H572">
        <f>IF(T_LEAVE[[#This Row],[EMPLOYEE]]="","",MATCH(T_LEAVE[[#This Row],[EMPLOYEE]],L_EMPLABELS,0))</f>
        <v/>
      </c>
      <c r="I572">
        <f>IF(T_LEAVE[[#This Row],[EMPLOYEE]]="","",MATCH(T_LEAVE[[#This Row],[LEAVE TYPE]],L_LEAVETYPES,0))</f>
        <v/>
      </c>
      <c r="J572">
        <f t="array" ref="J572">IFERROR(INDEX(T_LEAVE_TYPES[SYMBOL],T_LEAVE[[#This Row],[LEAVE TYPE SYS ID]]),"")</f>
        <v/>
      </c>
      <c r="K572">
        <f>IF(T_LEAVE[[#This Row],[EMPLOYEE]]="","",IF(T_LEAVE[[#This Row],[ERROR]]="",0,1))</f>
        <v/>
      </c>
      <c r="L572">
        <f t="array" ref="L5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3">
      <c r="A573" t="inlineStr">
        <is>
          <t>Chitturi Sriramya (1028935)</t>
        </is>
      </c>
      <c r="B573" t="inlineStr">
        <is>
          <t>Tuesday, 27 June 2023</t>
        </is>
      </c>
      <c r="C573" t="inlineStr">
        <is>
          <t>Tuesday, 27 June 2023</t>
        </is>
      </c>
      <c r="D573" t="inlineStr">
        <is>
          <t>Privilege</t>
        </is>
      </c>
      <c r="E573" t="n">
        <v>1</v>
      </c>
      <c r="F573" s="1" t="n"/>
      <c r="G573" s="1" t="n"/>
      <c r="H573">
        <f>IF(T_LEAVE[[#This Row],[EMPLOYEE]]="","",MATCH(T_LEAVE[[#This Row],[EMPLOYEE]],L_EMPLABELS,0))</f>
        <v/>
      </c>
      <c r="I573">
        <f>IF(T_LEAVE[[#This Row],[EMPLOYEE]]="","",MATCH(T_LEAVE[[#This Row],[LEAVE TYPE]],L_LEAVETYPES,0))</f>
        <v/>
      </c>
      <c r="J573">
        <f t="array" ref="J573">IFERROR(INDEX(T_LEAVE_TYPES[SYMBOL],T_LEAVE[[#This Row],[LEAVE TYPE SYS ID]]),"")</f>
        <v/>
      </c>
      <c r="K573">
        <f>IF(T_LEAVE[[#This Row],[EMPLOYEE]]="","",IF(T_LEAVE[[#This Row],[ERROR]]="",0,1))</f>
        <v/>
      </c>
      <c r="L573">
        <f t="array" ref="L5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4">
      <c r="A574" t="inlineStr">
        <is>
          <t>Chitturi Sriramya (1028935)</t>
        </is>
      </c>
      <c r="B574" t="inlineStr">
        <is>
          <t>Thursday, 22 June 2023</t>
        </is>
      </c>
      <c r="C574" t="inlineStr">
        <is>
          <t>Thursday, 22 June 2023</t>
        </is>
      </c>
      <c r="D574" t="inlineStr">
        <is>
          <t>Privilege</t>
        </is>
      </c>
      <c r="E574" t="n">
        <v>1</v>
      </c>
      <c r="F574" s="1" t="n"/>
      <c r="G574" s="1" t="n"/>
      <c r="H574">
        <f>IF(T_LEAVE[[#This Row],[EMPLOYEE]]="","",MATCH(T_LEAVE[[#This Row],[EMPLOYEE]],L_EMPLABELS,0))</f>
        <v/>
      </c>
      <c r="I574">
        <f>IF(T_LEAVE[[#This Row],[EMPLOYEE]]="","",MATCH(T_LEAVE[[#This Row],[LEAVE TYPE]],L_LEAVETYPES,0))</f>
        <v/>
      </c>
      <c r="J574">
        <f t="array" ref="J574">IFERROR(INDEX(T_LEAVE_TYPES[SYMBOL],T_LEAVE[[#This Row],[LEAVE TYPE SYS ID]]),"")</f>
        <v/>
      </c>
      <c r="K574">
        <f>IF(T_LEAVE[[#This Row],[EMPLOYEE]]="","",IF(T_LEAVE[[#This Row],[ERROR]]="",0,1))</f>
        <v/>
      </c>
      <c r="L574">
        <f t="array" ref="L5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5">
      <c r="A575" t="inlineStr">
        <is>
          <t>Karthika  R (1020012)</t>
        </is>
      </c>
      <c r="B575" t="inlineStr">
        <is>
          <t>Friday, 23 June 2023</t>
        </is>
      </c>
      <c r="C575" t="inlineStr">
        <is>
          <t>Friday, 23 June 2023</t>
        </is>
      </c>
      <c r="D575" t="inlineStr">
        <is>
          <t>Privilege</t>
        </is>
      </c>
      <c r="E575" t="n">
        <v>1</v>
      </c>
      <c r="F575" s="1" t="n"/>
      <c r="G575" s="1" t="n"/>
      <c r="H575">
        <f>IF(T_LEAVE[[#This Row],[EMPLOYEE]]="","",MATCH(T_LEAVE[[#This Row],[EMPLOYEE]],L_EMPLABELS,0))</f>
        <v/>
      </c>
      <c r="I575">
        <f>IF(T_LEAVE[[#This Row],[EMPLOYEE]]="","",MATCH(T_LEAVE[[#This Row],[LEAVE TYPE]],L_LEAVETYPES,0))</f>
        <v/>
      </c>
      <c r="J575">
        <f t="array" ref="J575">IFERROR(INDEX(T_LEAVE_TYPES[SYMBOL],T_LEAVE[[#This Row],[LEAVE TYPE SYS ID]]),"")</f>
        <v/>
      </c>
      <c r="K575">
        <f>IF(T_LEAVE[[#This Row],[EMPLOYEE]]="","",IF(T_LEAVE[[#This Row],[ERROR]]="",0,1))</f>
        <v/>
      </c>
      <c r="L575">
        <f t="array" ref="L5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6">
      <c r="A576" t="inlineStr">
        <is>
          <t>Karthika  R (1020012)</t>
        </is>
      </c>
      <c r="B576" t="inlineStr">
        <is>
          <t>Tuesday, 13 June 2023</t>
        </is>
      </c>
      <c r="C576" t="inlineStr">
        <is>
          <t>Tuesday, 13 June 2023</t>
        </is>
      </c>
      <c r="D576" t="inlineStr">
        <is>
          <t xml:space="preserve">Casual / Sick </t>
        </is>
      </c>
      <c r="E576" t="n">
        <v>1</v>
      </c>
      <c r="F576" s="1" t="n"/>
      <c r="G576" s="1" t="n"/>
      <c r="H576">
        <f>IF(T_LEAVE[[#This Row],[EMPLOYEE]]="","",MATCH(T_LEAVE[[#This Row],[EMPLOYEE]],L_EMPLABELS,0))</f>
        <v/>
      </c>
      <c r="I576">
        <f>IF(T_LEAVE[[#This Row],[EMPLOYEE]]="","",MATCH(T_LEAVE[[#This Row],[LEAVE TYPE]],L_LEAVETYPES,0))</f>
        <v/>
      </c>
      <c r="J576">
        <f t="array" ref="J576">IFERROR(INDEX(T_LEAVE_TYPES[SYMBOL],T_LEAVE[[#This Row],[LEAVE TYPE SYS ID]]),"")</f>
        <v/>
      </c>
      <c r="K576">
        <f>IF(T_LEAVE[[#This Row],[EMPLOYEE]]="","",IF(T_LEAVE[[#This Row],[ERROR]]="",0,1))</f>
        <v/>
      </c>
      <c r="L576">
        <f t="array" ref="L5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7">
      <c r="A577" t="inlineStr">
        <is>
          <t>Suchismita  Mohanty (1022859)</t>
        </is>
      </c>
      <c r="B577" t="inlineStr">
        <is>
          <t>Wednesday, 07 June 2023</t>
        </is>
      </c>
      <c r="C577" t="inlineStr">
        <is>
          <t>Wednesday, 07 June 2023</t>
        </is>
      </c>
      <c r="D577" t="inlineStr">
        <is>
          <t>Privilege</t>
        </is>
      </c>
      <c r="E577" t="n">
        <v>1</v>
      </c>
      <c r="F577" s="1" t="n"/>
      <c r="G577" s="1" t="n"/>
      <c r="H577">
        <f>IF(T_LEAVE[[#This Row],[EMPLOYEE]]="","",MATCH(T_LEAVE[[#This Row],[EMPLOYEE]],L_EMPLABELS,0))</f>
        <v/>
      </c>
      <c r="I577">
        <f>IF(T_LEAVE[[#This Row],[EMPLOYEE]]="","",MATCH(T_LEAVE[[#This Row],[LEAVE TYPE]],L_LEAVETYPES,0))</f>
        <v/>
      </c>
      <c r="J577">
        <f t="array" ref="J577">IFERROR(INDEX(T_LEAVE_TYPES[SYMBOL],T_LEAVE[[#This Row],[LEAVE TYPE SYS ID]]),"")</f>
        <v/>
      </c>
      <c r="K577">
        <f>IF(T_LEAVE[[#This Row],[EMPLOYEE]]="","",IF(T_LEAVE[[#This Row],[ERROR]]="",0,1))</f>
        <v/>
      </c>
      <c r="L577">
        <f t="array" ref="L5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8">
      <c r="A578" t="inlineStr">
        <is>
          <t>Balam Jyothi (1022134)</t>
        </is>
      </c>
      <c r="B578" t="inlineStr">
        <is>
          <t>Wednesday, 03 May 2023</t>
        </is>
      </c>
      <c r="C578" t="inlineStr">
        <is>
          <t>Wednesday, 03 May 2023</t>
        </is>
      </c>
      <c r="D578" t="inlineStr">
        <is>
          <t xml:space="preserve">Casual / Sick </t>
        </is>
      </c>
      <c r="E578" t="n">
        <v>1</v>
      </c>
      <c r="F578" s="1" t="n"/>
      <c r="G578" s="1" t="n"/>
      <c r="H578">
        <f>IF(T_LEAVE[[#This Row],[EMPLOYEE]]="","",MATCH(T_LEAVE[[#This Row],[EMPLOYEE]],L_EMPLABELS,0))</f>
        <v/>
      </c>
      <c r="I578">
        <f>IF(T_LEAVE[[#This Row],[EMPLOYEE]]="","",MATCH(T_LEAVE[[#This Row],[LEAVE TYPE]],L_LEAVETYPES,0))</f>
        <v/>
      </c>
      <c r="J578">
        <f t="array" ref="J578">IFERROR(INDEX(T_LEAVE_TYPES[SYMBOL],T_LEAVE[[#This Row],[LEAVE TYPE SYS ID]]),"")</f>
        <v/>
      </c>
      <c r="K578">
        <f>IF(T_LEAVE[[#This Row],[EMPLOYEE]]="","",IF(T_LEAVE[[#This Row],[ERROR]]="",0,1))</f>
        <v/>
      </c>
      <c r="L578">
        <f t="array" ref="L5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79">
      <c r="A579" t="inlineStr">
        <is>
          <t>S Suneetha (1020246)</t>
        </is>
      </c>
      <c r="B579" t="inlineStr">
        <is>
          <t>Monday, 15 May 2023</t>
        </is>
      </c>
      <c r="C579" t="inlineStr">
        <is>
          <t>Friday, 19 May 2023</t>
        </is>
      </c>
      <c r="D579" t="inlineStr">
        <is>
          <t>Privilege</t>
        </is>
      </c>
      <c r="E579" t="n">
        <v>5</v>
      </c>
      <c r="F579" s="1" t="n"/>
      <c r="G579" s="1" t="n"/>
      <c r="H579">
        <f>IF(T_LEAVE[[#This Row],[EMPLOYEE]]="","",MATCH(T_LEAVE[[#This Row],[EMPLOYEE]],L_EMPLABELS,0))</f>
        <v/>
      </c>
      <c r="I579">
        <f>IF(T_LEAVE[[#This Row],[EMPLOYEE]]="","",MATCH(T_LEAVE[[#This Row],[LEAVE TYPE]],L_LEAVETYPES,0))</f>
        <v/>
      </c>
      <c r="J579">
        <f t="array" ref="J579">IFERROR(INDEX(T_LEAVE_TYPES[SYMBOL],T_LEAVE[[#This Row],[LEAVE TYPE SYS ID]]),"")</f>
        <v/>
      </c>
      <c r="K579">
        <f>IF(T_LEAVE[[#This Row],[EMPLOYEE]]="","",IF(T_LEAVE[[#This Row],[ERROR]]="",0,1))</f>
        <v/>
      </c>
      <c r="L579">
        <f t="array" ref="L5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0">
      <c r="A580" t="inlineStr">
        <is>
          <t>S Suneetha (1020246)</t>
        </is>
      </c>
      <c r="B580" t="inlineStr">
        <is>
          <t>Thursday, 11 May 2023</t>
        </is>
      </c>
      <c r="C580" t="inlineStr">
        <is>
          <t>Friday, 12 May 2023</t>
        </is>
      </c>
      <c r="D580" t="inlineStr">
        <is>
          <t xml:space="preserve">Casual / Sick </t>
        </is>
      </c>
      <c r="E580" t="n">
        <v>2</v>
      </c>
      <c r="F580" s="1" t="n"/>
      <c r="G580" s="1" t="n"/>
      <c r="H580">
        <f>IF(T_LEAVE[[#This Row],[EMPLOYEE]]="","",MATCH(T_LEAVE[[#This Row],[EMPLOYEE]],L_EMPLABELS,0))</f>
        <v/>
      </c>
      <c r="I580">
        <f>IF(T_LEAVE[[#This Row],[EMPLOYEE]]="","",MATCH(T_LEAVE[[#This Row],[LEAVE TYPE]],L_LEAVETYPES,0))</f>
        <v/>
      </c>
      <c r="J580">
        <f t="array" ref="J580">IFERROR(INDEX(T_LEAVE_TYPES[SYMBOL],T_LEAVE[[#This Row],[LEAVE TYPE SYS ID]]),"")</f>
        <v/>
      </c>
      <c r="K580">
        <f>IF(T_LEAVE[[#This Row],[EMPLOYEE]]="","",IF(T_LEAVE[[#This Row],[ERROR]]="",0,1))</f>
        <v/>
      </c>
      <c r="L580">
        <f t="array" ref="L5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1">
      <c r="A581" t="inlineStr">
        <is>
          <t>S Suneetha (1020246)</t>
        </is>
      </c>
      <c r="B581" t="inlineStr">
        <is>
          <t>Tuesday, 09 May 2023</t>
        </is>
      </c>
      <c r="C581" t="inlineStr">
        <is>
          <t>Tuesday, 09 May 2023</t>
        </is>
      </c>
      <c r="D581" t="inlineStr">
        <is>
          <t xml:space="preserve">Casual / Sick </t>
        </is>
      </c>
      <c r="E581" t="n">
        <v>1</v>
      </c>
      <c r="F581" s="1" t="n"/>
      <c r="G581" s="1" t="n"/>
      <c r="H581">
        <f>IF(T_LEAVE[[#This Row],[EMPLOYEE]]="","",MATCH(T_LEAVE[[#This Row],[EMPLOYEE]],L_EMPLABELS,0))</f>
        <v/>
      </c>
      <c r="I581">
        <f>IF(T_LEAVE[[#This Row],[EMPLOYEE]]="","",MATCH(T_LEAVE[[#This Row],[LEAVE TYPE]],L_LEAVETYPES,0))</f>
        <v/>
      </c>
      <c r="J581">
        <f t="array" ref="J581">IFERROR(INDEX(T_LEAVE_TYPES[SYMBOL],T_LEAVE[[#This Row],[LEAVE TYPE SYS ID]]),"")</f>
        <v/>
      </c>
      <c r="K581">
        <f>IF(T_LEAVE[[#This Row],[EMPLOYEE]]="","",IF(T_LEAVE[[#This Row],[ERROR]]="",0,1))</f>
        <v/>
      </c>
      <c r="L581">
        <f t="array" ref="L5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2">
      <c r="A582" t="inlineStr">
        <is>
          <t>Suchismita  Mohanty (1022859)</t>
        </is>
      </c>
      <c r="B582" t="inlineStr">
        <is>
          <t>Monday, 15 May 2023</t>
        </is>
      </c>
      <c r="C582" t="inlineStr">
        <is>
          <t>Monday, 15 May 2023</t>
        </is>
      </c>
      <c r="D582" t="inlineStr">
        <is>
          <t xml:space="preserve">Casual / Sick </t>
        </is>
      </c>
      <c r="E582" t="n">
        <v>1</v>
      </c>
      <c r="F582" s="1" t="n"/>
      <c r="G582" s="1" t="n"/>
      <c r="H582">
        <f>IF(T_LEAVE[[#This Row],[EMPLOYEE]]="","",MATCH(T_LEAVE[[#This Row],[EMPLOYEE]],L_EMPLABELS,0))</f>
        <v/>
      </c>
      <c r="I582">
        <f>IF(T_LEAVE[[#This Row],[EMPLOYEE]]="","",MATCH(T_LEAVE[[#This Row],[LEAVE TYPE]],L_LEAVETYPES,0))</f>
        <v/>
      </c>
      <c r="J582">
        <f t="array" ref="J582">IFERROR(INDEX(T_LEAVE_TYPES[SYMBOL],T_LEAVE[[#This Row],[LEAVE TYPE SYS ID]]),"")</f>
        <v/>
      </c>
      <c r="K582">
        <f>IF(T_LEAVE[[#This Row],[EMPLOYEE]]="","",IF(T_LEAVE[[#This Row],[ERROR]]="",0,1))</f>
        <v/>
      </c>
      <c r="L582">
        <f t="array" ref="L5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3">
      <c r="A583" t="inlineStr">
        <is>
          <t>Aishwarya  Ds (1024946)</t>
        </is>
      </c>
      <c r="B583" t="inlineStr">
        <is>
          <t>Thursday, 04 May 2023</t>
        </is>
      </c>
      <c r="C583" t="inlineStr">
        <is>
          <t>Thursday, 04 May 2023</t>
        </is>
      </c>
      <c r="D583" t="inlineStr">
        <is>
          <t xml:space="preserve">Casual / Sick </t>
        </is>
      </c>
      <c r="E583" t="n">
        <v>1</v>
      </c>
      <c r="F583" s="1" t="n"/>
      <c r="G583" s="1" t="n"/>
      <c r="H583">
        <f>IF(T_LEAVE[[#This Row],[EMPLOYEE]]="","",MATCH(T_LEAVE[[#This Row],[EMPLOYEE]],L_EMPLABELS,0))</f>
        <v/>
      </c>
      <c r="I583">
        <f>IF(T_LEAVE[[#This Row],[EMPLOYEE]]="","",MATCH(T_LEAVE[[#This Row],[LEAVE TYPE]],L_LEAVETYPES,0))</f>
        <v/>
      </c>
      <c r="J583">
        <f t="array" ref="J583">IFERROR(INDEX(T_LEAVE_TYPES[SYMBOL],T_LEAVE[[#This Row],[LEAVE TYPE SYS ID]]),"")</f>
        <v/>
      </c>
      <c r="K583">
        <f>IF(T_LEAVE[[#This Row],[EMPLOYEE]]="","",IF(T_LEAVE[[#This Row],[ERROR]]="",0,1))</f>
        <v/>
      </c>
      <c r="L583">
        <f t="array" ref="L5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4">
      <c r="A584" t="inlineStr">
        <is>
          <t>Sushmitha  M (1027703)</t>
        </is>
      </c>
      <c r="B584" t="inlineStr">
        <is>
          <t>Wednesday, 03 May 2023</t>
        </is>
      </c>
      <c r="C584" t="inlineStr">
        <is>
          <t>Wednesday, 03 May 2023</t>
        </is>
      </c>
      <c r="D584" t="inlineStr">
        <is>
          <t xml:space="preserve">Casual / Sick </t>
        </is>
      </c>
      <c r="E584" t="n">
        <v>1</v>
      </c>
      <c r="F584" s="1" t="n"/>
      <c r="G584" s="1" t="n"/>
      <c r="H584">
        <f>IF(T_LEAVE[[#This Row],[EMPLOYEE]]="","",MATCH(T_LEAVE[[#This Row],[EMPLOYEE]],L_EMPLABELS,0))</f>
        <v/>
      </c>
      <c r="I584">
        <f>IF(T_LEAVE[[#This Row],[EMPLOYEE]]="","",MATCH(T_LEAVE[[#This Row],[LEAVE TYPE]],L_LEAVETYPES,0))</f>
        <v/>
      </c>
      <c r="J584">
        <f t="array" ref="J584">IFERROR(INDEX(T_LEAVE_TYPES[SYMBOL],T_LEAVE[[#This Row],[LEAVE TYPE SYS ID]]),"")</f>
        <v/>
      </c>
      <c r="K584">
        <f>IF(T_LEAVE[[#This Row],[EMPLOYEE]]="","",IF(T_LEAVE[[#This Row],[ERROR]]="",0,1))</f>
        <v/>
      </c>
      <c r="L584">
        <f t="array" ref="L5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5">
      <c r="A585" t="inlineStr">
        <is>
          <t>S Suneetha (1020246)</t>
        </is>
      </c>
      <c r="B585" t="inlineStr">
        <is>
          <t>Friday, 28 April 2023</t>
        </is>
      </c>
      <c r="C585" t="inlineStr">
        <is>
          <t>Friday, 28 April 2023</t>
        </is>
      </c>
      <c r="D585" t="inlineStr">
        <is>
          <t>Privilege</t>
        </is>
      </c>
      <c r="E585" t="n">
        <v>1</v>
      </c>
      <c r="F585" s="1" t="n"/>
      <c r="G585" s="1" t="n"/>
      <c r="H585">
        <f>IF(T_LEAVE[[#This Row],[EMPLOYEE]]="","",MATCH(T_LEAVE[[#This Row],[EMPLOYEE]],L_EMPLABELS,0))</f>
        <v/>
      </c>
      <c r="I585">
        <f>IF(T_LEAVE[[#This Row],[EMPLOYEE]]="","",MATCH(T_LEAVE[[#This Row],[LEAVE TYPE]],L_LEAVETYPES,0))</f>
        <v/>
      </c>
      <c r="J585">
        <f t="array" ref="J585">IFERROR(INDEX(T_LEAVE_TYPES[SYMBOL],T_LEAVE[[#This Row],[LEAVE TYPE SYS ID]]),"")</f>
        <v/>
      </c>
      <c r="K585">
        <f>IF(T_LEAVE[[#This Row],[EMPLOYEE]]="","",IF(T_LEAVE[[#This Row],[ERROR]]="",0,1))</f>
        <v/>
      </c>
      <c r="L585">
        <f t="array" ref="L5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6">
      <c r="A586" t="inlineStr">
        <is>
          <t>Chitturi Sriramya (1028935)</t>
        </is>
      </c>
      <c r="B586" t="inlineStr">
        <is>
          <t>Thursday, 27 April 2023</t>
        </is>
      </c>
      <c r="C586" t="inlineStr">
        <is>
          <t>Friday, 28 April 2023</t>
        </is>
      </c>
      <c r="D586" t="inlineStr">
        <is>
          <t xml:space="preserve">Casual / Sick </t>
        </is>
      </c>
      <c r="E586" t="n">
        <v>2</v>
      </c>
      <c r="F586" s="1" t="n"/>
      <c r="G586" s="1" t="n"/>
      <c r="H586">
        <f>IF(T_LEAVE[[#This Row],[EMPLOYEE]]="","",MATCH(T_LEAVE[[#This Row],[EMPLOYEE]],L_EMPLABELS,0))</f>
        <v/>
      </c>
      <c r="I586">
        <f>IF(T_LEAVE[[#This Row],[EMPLOYEE]]="","",MATCH(T_LEAVE[[#This Row],[LEAVE TYPE]],L_LEAVETYPES,0))</f>
        <v/>
      </c>
      <c r="J586">
        <f t="array" ref="J586">IFERROR(INDEX(T_LEAVE_TYPES[SYMBOL],T_LEAVE[[#This Row],[LEAVE TYPE SYS ID]]),"")</f>
        <v/>
      </c>
      <c r="K586">
        <f>IF(T_LEAVE[[#This Row],[EMPLOYEE]]="","",IF(T_LEAVE[[#This Row],[ERROR]]="",0,1))</f>
        <v/>
      </c>
      <c r="L586">
        <f t="array" ref="L5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7">
      <c r="A587" t="inlineStr">
        <is>
          <t>Siddanna  (1027766)</t>
        </is>
      </c>
      <c r="B587" t="inlineStr">
        <is>
          <t>Friday, 14 April 2023</t>
        </is>
      </c>
      <c r="C587" t="inlineStr">
        <is>
          <t>Friday, 14 April 2023</t>
        </is>
      </c>
      <c r="D587" t="inlineStr">
        <is>
          <t xml:space="preserve">Casual / Sick </t>
        </is>
      </c>
      <c r="E587" t="n">
        <v>1</v>
      </c>
      <c r="F587" s="1" t="n"/>
      <c r="G587" s="1" t="n"/>
      <c r="H587">
        <f>IF(T_LEAVE[[#This Row],[EMPLOYEE]]="","",MATCH(T_LEAVE[[#This Row],[EMPLOYEE]],L_EMPLABELS,0))</f>
        <v/>
      </c>
      <c r="I587">
        <f>IF(T_LEAVE[[#This Row],[EMPLOYEE]]="","",MATCH(T_LEAVE[[#This Row],[LEAVE TYPE]],L_LEAVETYPES,0))</f>
        <v/>
      </c>
      <c r="J587">
        <f t="array" ref="J587">IFERROR(INDEX(T_LEAVE_TYPES[SYMBOL],T_LEAVE[[#This Row],[LEAVE TYPE SYS ID]]),"")</f>
        <v/>
      </c>
      <c r="K587">
        <f>IF(T_LEAVE[[#This Row],[EMPLOYEE]]="","",IF(T_LEAVE[[#This Row],[ERROR]]="",0,1))</f>
        <v/>
      </c>
      <c r="L587">
        <f t="array" ref="L5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8">
      <c r="A588" t="inlineStr">
        <is>
          <t>Karthika  R (1020012)</t>
        </is>
      </c>
      <c r="B588" t="inlineStr">
        <is>
          <t>Monday, 10 April 2023</t>
        </is>
      </c>
      <c r="C588" t="inlineStr">
        <is>
          <t>Monday, 10 April 2023</t>
        </is>
      </c>
      <c r="D588" t="inlineStr">
        <is>
          <t xml:space="preserve">Casual / Sick </t>
        </is>
      </c>
      <c r="E588" t="n">
        <v>1</v>
      </c>
      <c r="F588" s="1" t="n"/>
      <c r="G588" s="1" t="n"/>
      <c r="H588">
        <f>IF(T_LEAVE[[#This Row],[EMPLOYEE]]="","",MATCH(T_LEAVE[[#This Row],[EMPLOYEE]],L_EMPLABELS,0))</f>
        <v/>
      </c>
      <c r="I588">
        <f>IF(T_LEAVE[[#This Row],[EMPLOYEE]]="","",MATCH(T_LEAVE[[#This Row],[LEAVE TYPE]],L_LEAVETYPES,0))</f>
        <v/>
      </c>
      <c r="J588">
        <f t="array" ref="J588">IFERROR(INDEX(T_LEAVE_TYPES[SYMBOL],T_LEAVE[[#This Row],[LEAVE TYPE SYS ID]]),"")</f>
        <v/>
      </c>
      <c r="K588">
        <f>IF(T_LEAVE[[#This Row],[EMPLOYEE]]="","",IF(T_LEAVE[[#This Row],[ERROR]]="",0,1))</f>
        <v/>
      </c>
      <c r="L588">
        <f t="array" ref="L5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89">
      <c r="A589" t="inlineStr">
        <is>
          <t>S Suneetha (1020246)</t>
        </is>
      </c>
      <c r="B589" t="inlineStr">
        <is>
          <t>Monday, 10 April 2023</t>
        </is>
      </c>
      <c r="C589" t="inlineStr">
        <is>
          <t>Monday, 10 April 2023</t>
        </is>
      </c>
      <c r="D589" t="inlineStr">
        <is>
          <t>Privilege</t>
        </is>
      </c>
      <c r="E589" t="n">
        <v>1</v>
      </c>
      <c r="F589" s="1" t="n"/>
      <c r="G589" s="1" t="n"/>
      <c r="H589">
        <f>IF(T_LEAVE[[#This Row],[EMPLOYEE]]="","",MATCH(T_LEAVE[[#This Row],[EMPLOYEE]],L_EMPLABELS,0))</f>
        <v/>
      </c>
      <c r="I589">
        <f>IF(T_LEAVE[[#This Row],[EMPLOYEE]]="","",MATCH(T_LEAVE[[#This Row],[LEAVE TYPE]],L_LEAVETYPES,0))</f>
        <v/>
      </c>
      <c r="J589">
        <f t="array" ref="J589">IFERROR(INDEX(T_LEAVE_TYPES[SYMBOL],T_LEAVE[[#This Row],[LEAVE TYPE SYS ID]]),"")</f>
        <v/>
      </c>
      <c r="K589">
        <f>IF(T_LEAVE[[#This Row],[EMPLOYEE]]="","",IF(T_LEAVE[[#This Row],[ERROR]]="",0,1))</f>
        <v/>
      </c>
      <c r="L589">
        <f t="array" ref="L5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0">
      <c r="A590" t="inlineStr">
        <is>
          <t>Balam Jyothi (1022134)</t>
        </is>
      </c>
      <c r="B590" t="inlineStr">
        <is>
          <t>Tuesday, 04 April 2023</t>
        </is>
      </c>
      <c r="C590" t="inlineStr">
        <is>
          <t>Tuesday, 04 April 2023</t>
        </is>
      </c>
      <c r="D590" t="inlineStr">
        <is>
          <t xml:space="preserve">Casual / Sick </t>
        </is>
      </c>
      <c r="E590" t="n">
        <v>1</v>
      </c>
      <c r="F590" s="1" t="n"/>
      <c r="G590" s="1" t="n"/>
      <c r="H590">
        <f>IF(T_LEAVE[[#This Row],[EMPLOYEE]]="","",MATCH(T_LEAVE[[#This Row],[EMPLOYEE]],L_EMPLABELS,0))</f>
        <v/>
      </c>
      <c r="I590">
        <f>IF(T_LEAVE[[#This Row],[EMPLOYEE]]="","",MATCH(T_LEAVE[[#This Row],[LEAVE TYPE]],L_LEAVETYPES,0))</f>
        <v/>
      </c>
      <c r="J590">
        <f t="array" ref="J590">IFERROR(INDEX(T_LEAVE_TYPES[SYMBOL],T_LEAVE[[#This Row],[LEAVE TYPE SYS ID]]),"")</f>
        <v/>
      </c>
      <c r="K590">
        <f>IF(T_LEAVE[[#This Row],[EMPLOYEE]]="","",IF(T_LEAVE[[#This Row],[ERROR]]="",0,1))</f>
        <v/>
      </c>
      <c r="L590">
        <f t="array" ref="L5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1">
      <c r="A591" t="inlineStr">
        <is>
          <t>Balam Jyothi (1022134)</t>
        </is>
      </c>
      <c r="B591" t="inlineStr">
        <is>
          <t>Tuesday, 21 March 2023</t>
        </is>
      </c>
      <c r="C591" t="inlineStr">
        <is>
          <t>Tuesday, 21 March 2023</t>
        </is>
      </c>
      <c r="D591" t="inlineStr">
        <is>
          <t xml:space="preserve">Casual / Sick </t>
        </is>
      </c>
      <c r="E591" t="n">
        <v>1</v>
      </c>
      <c r="F591" s="1" t="n"/>
      <c r="G591" s="1" t="n"/>
      <c r="H591">
        <f>IF(T_LEAVE[[#This Row],[EMPLOYEE]]="","",MATCH(T_LEAVE[[#This Row],[EMPLOYEE]],L_EMPLABELS,0))</f>
        <v/>
      </c>
      <c r="I591">
        <f>IF(T_LEAVE[[#This Row],[EMPLOYEE]]="","",MATCH(T_LEAVE[[#This Row],[LEAVE TYPE]],L_LEAVETYPES,0))</f>
        <v/>
      </c>
      <c r="J591">
        <f t="array" ref="J591">IFERROR(INDEX(T_LEAVE_TYPES[SYMBOL],T_LEAVE[[#This Row],[LEAVE TYPE SYS ID]]),"")</f>
        <v/>
      </c>
      <c r="K591">
        <f>IF(T_LEAVE[[#This Row],[EMPLOYEE]]="","",IF(T_LEAVE[[#This Row],[ERROR]]="",0,1))</f>
        <v/>
      </c>
      <c r="L591">
        <f t="array" ref="L5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2">
      <c r="A592" t="inlineStr">
        <is>
          <t>Balam Jyothi (1022134)</t>
        </is>
      </c>
      <c r="B592" t="inlineStr">
        <is>
          <t>Monday, 03 April 2023</t>
        </is>
      </c>
      <c r="C592" t="inlineStr">
        <is>
          <t>Monday, 03 April 2023</t>
        </is>
      </c>
      <c r="D592" t="inlineStr">
        <is>
          <t xml:space="preserve">Casual / Sick </t>
        </is>
      </c>
      <c r="E592" t="n">
        <v>1</v>
      </c>
      <c r="F592" s="1" t="n"/>
      <c r="G592" s="1" t="n"/>
      <c r="H592">
        <f>IF(T_LEAVE[[#This Row],[EMPLOYEE]]="","",MATCH(T_LEAVE[[#This Row],[EMPLOYEE]],L_EMPLABELS,0))</f>
        <v/>
      </c>
      <c r="I592">
        <f>IF(T_LEAVE[[#This Row],[EMPLOYEE]]="","",MATCH(T_LEAVE[[#This Row],[LEAVE TYPE]],L_LEAVETYPES,0))</f>
        <v/>
      </c>
      <c r="J592">
        <f t="array" ref="J592">IFERROR(INDEX(T_LEAVE_TYPES[SYMBOL],T_LEAVE[[#This Row],[LEAVE TYPE SYS ID]]),"")</f>
        <v/>
      </c>
      <c r="K592">
        <f>IF(T_LEAVE[[#This Row],[EMPLOYEE]]="","",IF(T_LEAVE[[#This Row],[ERROR]]="",0,1))</f>
        <v/>
      </c>
      <c r="L592">
        <f t="array" ref="L5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3">
      <c r="A593" t="inlineStr">
        <is>
          <t>Balam Jyothi (1022134)</t>
        </is>
      </c>
      <c r="B593" t="inlineStr">
        <is>
          <t>Monday, 03 April 2023</t>
        </is>
      </c>
      <c r="C593" t="inlineStr">
        <is>
          <t>Monday, 03 April 2023</t>
        </is>
      </c>
      <c r="D593" t="inlineStr">
        <is>
          <t xml:space="preserve">Casual / Sick </t>
        </is>
      </c>
      <c r="E593" t="n">
        <v>1</v>
      </c>
      <c r="F593" s="1" t="n"/>
      <c r="G593" s="1" t="n"/>
      <c r="H593">
        <f>IF(T_LEAVE[[#This Row],[EMPLOYEE]]="","",MATCH(T_LEAVE[[#This Row],[EMPLOYEE]],L_EMPLABELS,0))</f>
        <v/>
      </c>
      <c r="I593">
        <f>IF(T_LEAVE[[#This Row],[EMPLOYEE]]="","",MATCH(T_LEAVE[[#This Row],[LEAVE TYPE]],L_LEAVETYPES,0))</f>
        <v/>
      </c>
      <c r="J593">
        <f t="array" ref="J593">IFERROR(INDEX(T_LEAVE_TYPES[SYMBOL],T_LEAVE[[#This Row],[LEAVE TYPE SYS ID]]),"")</f>
        <v/>
      </c>
      <c r="K593">
        <f>IF(T_LEAVE[[#This Row],[EMPLOYEE]]="","",IF(T_LEAVE[[#This Row],[ERROR]]="",0,1))</f>
        <v/>
      </c>
      <c r="L593">
        <f t="array" ref="L5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4">
      <c r="A594" t="inlineStr">
        <is>
          <t>Karthika  R (1020012)</t>
        </is>
      </c>
      <c r="B594" t="inlineStr">
        <is>
          <t>Wednesday, 05 April 2023</t>
        </is>
      </c>
      <c r="C594" t="inlineStr">
        <is>
          <t>Wednesday, 05 April 2023</t>
        </is>
      </c>
      <c r="D594" t="inlineStr">
        <is>
          <t xml:space="preserve">Casual / Sick </t>
        </is>
      </c>
      <c r="E594" t="n">
        <v>1</v>
      </c>
      <c r="F594" s="1" t="n"/>
      <c r="G594" s="1" t="n"/>
      <c r="H594">
        <f>IF(T_LEAVE[[#This Row],[EMPLOYEE]]="","",MATCH(T_LEAVE[[#This Row],[EMPLOYEE]],L_EMPLABELS,0))</f>
        <v/>
      </c>
      <c r="I594">
        <f>IF(T_LEAVE[[#This Row],[EMPLOYEE]]="","",MATCH(T_LEAVE[[#This Row],[LEAVE TYPE]],L_LEAVETYPES,0))</f>
        <v/>
      </c>
      <c r="J594">
        <f t="array" ref="J594">IFERROR(INDEX(T_LEAVE_TYPES[SYMBOL],T_LEAVE[[#This Row],[LEAVE TYPE SYS ID]]),"")</f>
        <v/>
      </c>
      <c r="K594">
        <f>IF(T_LEAVE[[#This Row],[EMPLOYEE]]="","",IF(T_LEAVE[[#This Row],[ERROR]]="",0,1))</f>
        <v/>
      </c>
      <c r="L594">
        <f t="array" ref="L5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5">
      <c r="A595" t="inlineStr">
        <is>
          <t>Suchismita  Mohanty (1022859)</t>
        </is>
      </c>
      <c r="B595" t="inlineStr">
        <is>
          <t>Thursday, 06 April 2023</t>
        </is>
      </c>
      <c r="C595" t="inlineStr">
        <is>
          <t>Thursday, 06 April 2023</t>
        </is>
      </c>
      <c r="D595" t="inlineStr">
        <is>
          <t xml:space="preserve">Casual / Sick </t>
        </is>
      </c>
      <c r="E595" t="n">
        <v>1</v>
      </c>
      <c r="F595" s="1" t="n"/>
      <c r="G595" s="1" t="n"/>
      <c r="H595">
        <f>IF(T_LEAVE[[#This Row],[EMPLOYEE]]="","",MATCH(T_LEAVE[[#This Row],[EMPLOYEE]],L_EMPLABELS,0))</f>
        <v/>
      </c>
      <c r="I595">
        <f>IF(T_LEAVE[[#This Row],[EMPLOYEE]]="","",MATCH(T_LEAVE[[#This Row],[LEAVE TYPE]],L_LEAVETYPES,0))</f>
        <v/>
      </c>
      <c r="J595">
        <f t="array" ref="J595">IFERROR(INDEX(T_LEAVE_TYPES[SYMBOL],T_LEAVE[[#This Row],[LEAVE TYPE SYS ID]]),"")</f>
        <v/>
      </c>
      <c r="K595">
        <f>IF(T_LEAVE[[#This Row],[EMPLOYEE]]="","",IF(T_LEAVE[[#This Row],[ERROR]]="",0,1))</f>
        <v/>
      </c>
      <c r="L595">
        <f t="array" ref="L5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6">
      <c r="A596" t="inlineStr">
        <is>
          <t>Aishwarya  Ds (1024946)</t>
        </is>
      </c>
      <c r="B596" t="inlineStr">
        <is>
          <t>Tuesday, 04 April 2023</t>
        </is>
      </c>
      <c r="C596" t="inlineStr">
        <is>
          <t>Tuesday, 04 April 2023</t>
        </is>
      </c>
      <c r="D596" t="inlineStr">
        <is>
          <t xml:space="preserve">Casual / Sick </t>
        </is>
      </c>
      <c r="E596" t="n">
        <v>1</v>
      </c>
      <c r="F596" s="1" t="n"/>
      <c r="G596" s="1" t="n"/>
      <c r="H596">
        <f>IF(T_LEAVE[[#This Row],[EMPLOYEE]]="","",MATCH(T_LEAVE[[#This Row],[EMPLOYEE]],L_EMPLABELS,0))</f>
        <v/>
      </c>
      <c r="I596">
        <f>IF(T_LEAVE[[#This Row],[EMPLOYEE]]="","",MATCH(T_LEAVE[[#This Row],[LEAVE TYPE]],L_LEAVETYPES,0))</f>
        <v/>
      </c>
      <c r="J596">
        <f t="array" ref="J596">IFERROR(INDEX(T_LEAVE_TYPES[SYMBOL],T_LEAVE[[#This Row],[LEAVE TYPE SYS ID]]),"")</f>
        <v/>
      </c>
      <c r="K596">
        <f>IF(T_LEAVE[[#This Row],[EMPLOYEE]]="","",IF(T_LEAVE[[#This Row],[ERROR]]="",0,1))</f>
        <v/>
      </c>
      <c r="L596">
        <f t="array" ref="L5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7">
      <c r="A597" t="inlineStr">
        <is>
          <t>S Suneetha (1020246)</t>
        </is>
      </c>
      <c r="B597" t="inlineStr">
        <is>
          <t>Wednesday, 29 March 2023</t>
        </is>
      </c>
      <c r="C597" t="inlineStr">
        <is>
          <t>Wednesday, 29 March 2023</t>
        </is>
      </c>
      <c r="D597" t="inlineStr">
        <is>
          <t>Privilege</t>
        </is>
      </c>
      <c r="E597" t="n">
        <v>1</v>
      </c>
      <c r="F597" s="1" t="n"/>
      <c r="G597" s="1" t="n"/>
      <c r="H597">
        <f>IF(T_LEAVE[[#This Row],[EMPLOYEE]]="","",MATCH(T_LEAVE[[#This Row],[EMPLOYEE]],L_EMPLABELS,0))</f>
        <v/>
      </c>
      <c r="I597">
        <f>IF(T_LEAVE[[#This Row],[EMPLOYEE]]="","",MATCH(T_LEAVE[[#This Row],[LEAVE TYPE]],L_LEAVETYPES,0))</f>
        <v/>
      </c>
      <c r="J597">
        <f t="array" ref="J597">IFERROR(INDEX(T_LEAVE_TYPES[SYMBOL],T_LEAVE[[#This Row],[LEAVE TYPE SYS ID]]),"")</f>
        <v/>
      </c>
      <c r="K597">
        <f>IF(T_LEAVE[[#This Row],[EMPLOYEE]]="","",IF(T_LEAVE[[#This Row],[ERROR]]="",0,1))</f>
        <v/>
      </c>
      <c r="L597">
        <f t="array" ref="L5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8">
      <c r="A598" t="inlineStr">
        <is>
          <t>Sushmitha  M (1027703)</t>
        </is>
      </c>
      <c r="B598" t="inlineStr">
        <is>
          <t>Wednesday, 22 March 2023</t>
        </is>
      </c>
      <c r="C598" t="inlineStr">
        <is>
          <t>Wednesday, 22 March 2023</t>
        </is>
      </c>
      <c r="D598" t="inlineStr">
        <is>
          <t>Privilege</t>
        </is>
      </c>
      <c r="E598" t="n">
        <v>1</v>
      </c>
      <c r="F598" s="1" t="n"/>
      <c r="G598" s="1" t="n"/>
      <c r="H598">
        <f>IF(T_LEAVE[[#This Row],[EMPLOYEE]]="","",MATCH(T_LEAVE[[#This Row],[EMPLOYEE]],L_EMPLABELS,0))</f>
        <v/>
      </c>
      <c r="I598">
        <f>IF(T_LEAVE[[#This Row],[EMPLOYEE]]="","",MATCH(T_LEAVE[[#This Row],[LEAVE TYPE]],L_LEAVETYPES,0))</f>
        <v/>
      </c>
      <c r="J598">
        <f t="array" ref="J598">IFERROR(INDEX(T_LEAVE_TYPES[SYMBOL],T_LEAVE[[#This Row],[LEAVE TYPE SYS ID]]),"")</f>
        <v/>
      </c>
      <c r="K598">
        <f>IF(T_LEAVE[[#This Row],[EMPLOYEE]]="","",IF(T_LEAVE[[#This Row],[ERROR]]="",0,1))</f>
        <v/>
      </c>
      <c r="L598">
        <f t="array" ref="L5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599">
      <c r="A599" t="inlineStr">
        <is>
          <t>Siddanna  (1027766)</t>
        </is>
      </c>
      <c r="B599" t="inlineStr">
        <is>
          <t>Monday, 20 March 2023</t>
        </is>
      </c>
      <c r="C599" t="inlineStr">
        <is>
          <t>Monday, 20 March 2023</t>
        </is>
      </c>
      <c r="D599" t="inlineStr">
        <is>
          <t xml:space="preserve">Casual / Sick </t>
        </is>
      </c>
      <c r="E599" t="n">
        <v>1</v>
      </c>
      <c r="F599" s="1" t="n"/>
      <c r="G599" s="1" t="n"/>
      <c r="H599">
        <f>IF(T_LEAVE[[#This Row],[EMPLOYEE]]="","",MATCH(T_LEAVE[[#This Row],[EMPLOYEE]],L_EMPLABELS,0))</f>
        <v/>
      </c>
      <c r="I599">
        <f>IF(T_LEAVE[[#This Row],[EMPLOYEE]]="","",MATCH(T_LEAVE[[#This Row],[LEAVE TYPE]],L_LEAVETYPES,0))</f>
        <v/>
      </c>
      <c r="J599">
        <f t="array" ref="J599">IFERROR(INDEX(T_LEAVE_TYPES[SYMBOL],T_LEAVE[[#This Row],[LEAVE TYPE SYS ID]]),"")</f>
        <v/>
      </c>
      <c r="K599">
        <f>IF(T_LEAVE[[#This Row],[EMPLOYEE]]="","",IF(T_LEAVE[[#This Row],[ERROR]]="",0,1))</f>
        <v/>
      </c>
      <c r="L599">
        <f t="array" ref="L5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0">
      <c r="A600" t="inlineStr">
        <is>
          <t>Preetam  Patel (1024572)</t>
        </is>
      </c>
      <c r="B600" t="inlineStr">
        <is>
          <t>Monday, 20 March 2023</t>
        </is>
      </c>
      <c r="C600" t="inlineStr">
        <is>
          <t>Monday, 20 March 2023</t>
        </is>
      </c>
      <c r="D600" t="inlineStr">
        <is>
          <t>Privilege</t>
        </is>
      </c>
      <c r="E600" t="n">
        <v>1</v>
      </c>
      <c r="F600" s="1" t="n"/>
      <c r="G600" s="1" t="n"/>
      <c r="H600">
        <f>IF(T_LEAVE[[#This Row],[EMPLOYEE]]="","",MATCH(T_LEAVE[[#This Row],[EMPLOYEE]],L_EMPLABELS,0))</f>
        <v/>
      </c>
      <c r="I600">
        <f>IF(T_LEAVE[[#This Row],[EMPLOYEE]]="","",MATCH(T_LEAVE[[#This Row],[LEAVE TYPE]],L_LEAVETYPES,0))</f>
        <v/>
      </c>
      <c r="J600">
        <f t="array" ref="J600">IFERROR(INDEX(T_LEAVE_TYPES[SYMBOL],T_LEAVE[[#This Row],[LEAVE TYPE SYS ID]]),"")</f>
        <v/>
      </c>
      <c r="K600">
        <f>IF(T_LEAVE[[#This Row],[EMPLOYEE]]="","",IF(T_LEAVE[[#This Row],[ERROR]]="",0,1))</f>
        <v/>
      </c>
      <c r="L600">
        <f t="array" ref="L6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1">
      <c r="A601" t="inlineStr">
        <is>
          <t>Aishwarya  Ds (1024946)</t>
        </is>
      </c>
      <c r="B601" t="inlineStr">
        <is>
          <t>Monday, 13 March 2023</t>
        </is>
      </c>
      <c r="C601" t="inlineStr">
        <is>
          <t>Monday, 13 March 2023</t>
        </is>
      </c>
      <c r="D601" t="inlineStr">
        <is>
          <t xml:space="preserve">Casual / Sick </t>
        </is>
      </c>
      <c r="E601" t="n">
        <v>1</v>
      </c>
      <c r="F601" s="1" t="n"/>
      <c r="G601" s="1" t="n"/>
      <c r="H601">
        <f>IF(T_LEAVE[[#This Row],[EMPLOYEE]]="","",MATCH(T_LEAVE[[#This Row],[EMPLOYEE]],L_EMPLABELS,0))</f>
        <v/>
      </c>
      <c r="I601">
        <f>IF(T_LEAVE[[#This Row],[EMPLOYEE]]="","",MATCH(T_LEAVE[[#This Row],[LEAVE TYPE]],L_LEAVETYPES,0))</f>
        <v/>
      </c>
      <c r="J601">
        <f t="array" ref="J601">IFERROR(INDEX(T_LEAVE_TYPES[SYMBOL],T_LEAVE[[#This Row],[LEAVE TYPE SYS ID]]),"")</f>
        <v/>
      </c>
      <c r="K601">
        <f>IF(T_LEAVE[[#This Row],[EMPLOYEE]]="","",IF(T_LEAVE[[#This Row],[ERROR]]="",0,1))</f>
        <v/>
      </c>
      <c r="L601">
        <f t="array" ref="L6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2">
      <c r="A602" t="inlineStr">
        <is>
          <t>Chitturi Sriramya (1028935)</t>
        </is>
      </c>
      <c r="B602" t="inlineStr">
        <is>
          <t>Monday, 13 March 2023</t>
        </is>
      </c>
      <c r="C602" t="inlineStr">
        <is>
          <t>Monday, 13 March 2023</t>
        </is>
      </c>
      <c r="D602" t="inlineStr">
        <is>
          <t>Privilege</t>
        </is>
      </c>
      <c r="E602" t="n">
        <v>1</v>
      </c>
      <c r="F602" s="1" t="n"/>
      <c r="G602" s="1" t="n"/>
      <c r="H602">
        <f>IF(T_LEAVE[[#This Row],[EMPLOYEE]]="","",MATCH(T_LEAVE[[#This Row],[EMPLOYEE]],L_EMPLABELS,0))</f>
        <v/>
      </c>
      <c r="I602">
        <f>IF(T_LEAVE[[#This Row],[EMPLOYEE]]="","",MATCH(T_LEAVE[[#This Row],[LEAVE TYPE]],L_LEAVETYPES,0))</f>
        <v/>
      </c>
      <c r="J602">
        <f t="array" ref="J602">IFERROR(INDEX(T_LEAVE_TYPES[SYMBOL],T_LEAVE[[#This Row],[LEAVE TYPE SYS ID]]),"")</f>
        <v/>
      </c>
      <c r="K602">
        <f>IF(T_LEAVE[[#This Row],[EMPLOYEE]]="","",IF(T_LEAVE[[#This Row],[ERROR]]="",0,1))</f>
        <v/>
      </c>
      <c r="L602">
        <f t="array" ref="L6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3">
      <c r="A603" t="inlineStr">
        <is>
          <t>Chitturi Sriramya (1028935)</t>
        </is>
      </c>
      <c r="B603" t="inlineStr">
        <is>
          <t>Wednesday, 08 March 2023</t>
        </is>
      </c>
      <c r="C603" t="inlineStr">
        <is>
          <t>Wednesday, 08 March 2023</t>
        </is>
      </c>
      <c r="D603" t="inlineStr">
        <is>
          <t>Privilege</t>
        </is>
      </c>
      <c r="E603" t="n">
        <v>1</v>
      </c>
      <c r="F603" s="1" t="n"/>
      <c r="G603" s="1" t="n"/>
      <c r="H603">
        <f>IF(T_LEAVE[[#This Row],[EMPLOYEE]]="","",MATCH(T_LEAVE[[#This Row],[EMPLOYEE]],L_EMPLABELS,0))</f>
        <v/>
      </c>
      <c r="I603">
        <f>IF(T_LEAVE[[#This Row],[EMPLOYEE]]="","",MATCH(T_LEAVE[[#This Row],[LEAVE TYPE]],L_LEAVETYPES,0))</f>
        <v/>
      </c>
      <c r="J603">
        <f t="array" ref="J603">IFERROR(INDEX(T_LEAVE_TYPES[SYMBOL],T_LEAVE[[#This Row],[LEAVE TYPE SYS ID]]),"")</f>
        <v/>
      </c>
      <c r="K603">
        <f>IF(T_LEAVE[[#This Row],[EMPLOYEE]]="","",IF(T_LEAVE[[#This Row],[ERROR]]="",0,1))</f>
        <v/>
      </c>
      <c r="L603">
        <f t="array" ref="L60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4">
      <c r="A604" t="inlineStr">
        <is>
          <t>Chitturi Sriramya (1028935)</t>
        </is>
      </c>
      <c r="B604" t="inlineStr">
        <is>
          <t>Friday, 27 January 2023</t>
        </is>
      </c>
      <c r="C604" t="inlineStr">
        <is>
          <t>Friday, 27 January 2023</t>
        </is>
      </c>
      <c r="D604" t="inlineStr">
        <is>
          <t>Privilege</t>
        </is>
      </c>
      <c r="E604" t="n">
        <v>1</v>
      </c>
      <c r="F604" s="1" t="n"/>
      <c r="G604" s="1" t="n"/>
      <c r="H604">
        <f>IF(T_LEAVE[[#This Row],[EMPLOYEE]]="","",MATCH(T_LEAVE[[#This Row],[EMPLOYEE]],L_EMPLABELS,0))</f>
        <v/>
      </c>
      <c r="I604">
        <f>IF(T_LEAVE[[#This Row],[EMPLOYEE]]="","",MATCH(T_LEAVE[[#This Row],[LEAVE TYPE]],L_LEAVETYPES,0))</f>
        <v/>
      </c>
      <c r="J604">
        <f t="array" ref="J604">IFERROR(INDEX(T_LEAVE_TYPES[SYMBOL],T_LEAVE[[#This Row],[LEAVE TYPE SYS ID]]),"")</f>
        <v/>
      </c>
      <c r="K604">
        <f>IF(T_LEAVE[[#This Row],[EMPLOYEE]]="","",IF(T_LEAVE[[#This Row],[ERROR]]="",0,1))</f>
        <v/>
      </c>
      <c r="L604">
        <f t="array" ref="L60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5">
      <c r="A605" t="inlineStr">
        <is>
          <t>Preetam  Patel (1024572)</t>
        </is>
      </c>
      <c r="B605" t="inlineStr">
        <is>
          <t>Tuesday, 07 March 2023</t>
        </is>
      </c>
      <c r="C605" t="inlineStr">
        <is>
          <t>Tuesday, 07 March 2023</t>
        </is>
      </c>
      <c r="D605" t="inlineStr">
        <is>
          <t xml:space="preserve">Casual / Sick </t>
        </is>
      </c>
      <c r="E605" t="n">
        <v>1</v>
      </c>
      <c r="F605" s="1" t="n"/>
      <c r="G605" s="1" t="n"/>
      <c r="H605">
        <f>IF(T_LEAVE[[#This Row],[EMPLOYEE]]="","",MATCH(T_LEAVE[[#This Row],[EMPLOYEE]],L_EMPLABELS,0))</f>
        <v/>
      </c>
      <c r="I605">
        <f>IF(T_LEAVE[[#This Row],[EMPLOYEE]]="","",MATCH(T_LEAVE[[#This Row],[LEAVE TYPE]],L_LEAVETYPES,0))</f>
        <v/>
      </c>
      <c r="J605">
        <f t="array" ref="J605">IFERROR(INDEX(T_LEAVE_TYPES[SYMBOL],T_LEAVE[[#This Row],[LEAVE TYPE SYS ID]]),"")</f>
        <v/>
      </c>
      <c r="K605">
        <f>IF(T_LEAVE[[#This Row],[EMPLOYEE]]="","",IF(T_LEAVE[[#This Row],[ERROR]]="",0,1))</f>
        <v/>
      </c>
      <c r="L605">
        <f t="array" ref="L60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6">
      <c r="A606" t="inlineStr">
        <is>
          <t>S Suneetha (1020246)</t>
        </is>
      </c>
      <c r="B606" t="inlineStr">
        <is>
          <t>Wednesday, 01 February 2023</t>
        </is>
      </c>
      <c r="C606" t="inlineStr">
        <is>
          <t>Wednesday, 01 February 2023</t>
        </is>
      </c>
      <c r="D606" t="inlineStr">
        <is>
          <t>Privilege</t>
        </is>
      </c>
      <c r="E606" t="n">
        <v>1</v>
      </c>
      <c r="F606" s="1" t="n"/>
      <c r="G606" s="1" t="n"/>
      <c r="H606">
        <f>IF(T_LEAVE[[#This Row],[EMPLOYEE]]="","",MATCH(T_LEAVE[[#This Row],[EMPLOYEE]],L_EMPLABELS,0))</f>
        <v/>
      </c>
      <c r="I606">
        <f>IF(T_LEAVE[[#This Row],[EMPLOYEE]]="","",MATCH(T_LEAVE[[#This Row],[LEAVE TYPE]],L_LEAVETYPES,0))</f>
        <v/>
      </c>
      <c r="J606">
        <f t="array" ref="J606">IFERROR(INDEX(T_LEAVE_TYPES[SYMBOL],T_LEAVE[[#This Row],[LEAVE TYPE SYS ID]]),"")</f>
        <v/>
      </c>
      <c r="K606">
        <f>IF(T_LEAVE[[#This Row],[EMPLOYEE]]="","",IF(T_LEAVE[[#This Row],[ERROR]]="",0,1))</f>
        <v/>
      </c>
      <c r="L606">
        <f t="array" ref="L60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7">
      <c r="A607" t="inlineStr">
        <is>
          <t>Suchismita  Mohanty (1022859)</t>
        </is>
      </c>
      <c r="B607" t="inlineStr">
        <is>
          <t>Monday, 06 March 2023</t>
        </is>
      </c>
      <c r="C607" t="inlineStr">
        <is>
          <t>Monday, 06 March 2023</t>
        </is>
      </c>
      <c r="D607" t="inlineStr">
        <is>
          <t xml:space="preserve">Casual / Sick </t>
        </is>
      </c>
      <c r="E607" t="n">
        <v>1</v>
      </c>
      <c r="F607" s="1" t="n"/>
      <c r="G607" s="1" t="n"/>
      <c r="H607">
        <f>IF(T_LEAVE[[#This Row],[EMPLOYEE]]="","",MATCH(T_LEAVE[[#This Row],[EMPLOYEE]],L_EMPLABELS,0))</f>
        <v/>
      </c>
      <c r="I607">
        <f>IF(T_LEAVE[[#This Row],[EMPLOYEE]]="","",MATCH(T_LEAVE[[#This Row],[LEAVE TYPE]],L_LEAVETYPES,0))</f>
        <v/>
      </c>
      <c r="J607">
        <f t="array" ref="J607">IFERROR(INDEX(T_LEAVE_TYPES[SYMBOL],T_LEAVE[[#This Row],[LEAVE TYPE SYS ID]]),"")</f>
        <v/>
      </c>
      <c r="K607">
        <f>IF(T_LEAVE[[#This Row],[EMPLOYEE]]="","",IF(T_LEAVE[[#This Row],[ERROR]]="",0,1))</f>
        <v/>
      </c>
      <c r="L607">
        <f t="array" ref="L60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8">
      <c r="A608" t="inlineStr">
        <is>
          <t>Preetam  Patel (1024572)</t>
        </is>
      </c>
      <c r="B608" t="inlineStr">
        <is>
          <t>Thursday, 23 February 2023</t>
        </is>
      </c>
      <c r="C608" t="inlineStr">
        <is>
          <t>Thursday, 23 February 2023</t>
        </is>
      </c>
      <c r="D608" t="inlineStr">
        <is>
          <t xml:space="preserve">Casual / Sick </t>
        </is>
      </c>
      <c r="E608" t="n">
        <v>1</v>
      </c>
      <c r="F608" s="1" t="n"/>
      <c r="G608" s="1" t="n"/>
      <c r="H608">
        <f>IF(T_LEAVE[[#This Row],[EMPLOYEE]]="","",MATCH(T_LEAVE[[#This Row],[EMPLOYEE]],L_EMPLABELS,0))</f>
        <v/>
      </c>
      <c r="I608">
        <f>IF(T_LEAVE[[#This Row],[EMPLOYEE]]="","",MATCH(T_LEAVE[[#This Row],[LEAVE TYPE]],L_LEAVETYPES,0))</f>
        <v/>
      </c>
      <c r="J608">
        <f t="array" ref="J608">IFERROR(INDEX(T_LEAVE_TYPES[SYMBOL],T_LEAVE[[#This Row],[LEAVE TYPE SYS ID]]),"")</f>
        <v/>
      </c>
      <c r="K608">
        <f>IF(T_LEAVE[[#This Row],[EMPLOYEE]]="","",IF(T_LEAVE[[#This Row],[ERROR]]="",0,1))</f>
        <v/>
      </c>
      <c r="L608">
        <f t="array" ref="L60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09">
      <c r="A609" t="inlineStr">
        <is>
          <t>Karthika  R (1020012)</t>
        </is>
      </c>
      <c r="B609" t="inlineStr">
        <is>
          <t>Friday, 24 February 2023</t>
        </is>
      </c>
      <c r="C609" t="inlineStr">
        <is>
          <t>Friday, 24 February 2023</t>
        </is>
      </c>
      <c r="D609" t="inlineStr">
        <is>
          <t xml:space="preserve">Casual / Sick </t>
        </is>
      </c>
      <c r="E609" t="n">
        <v>1</v>
      </c>
      <c r="F609" s="1" t="n"/>
      <c r="G609" s="1" t="n"/>
      <c r="H609">
        <f>IF(T_LEAVE[[#This Row],[EMPLOYEE]]="","",MATCH(T_LEAVE[[#This Row],[EMPLOYEE]],L_EMPLABELS,0))</f>
        <v/>
      </c>
      <c r="I609">
        <f>IF(T_LEAVE[[#This Row],[EMPLOYEE]]="","",MATCH(T_LEAVE[[#This Row],[LEAVE TYPE]],L_LEAVETYPES,0))</f>
        <v/>
      </c>
      <c r="J609">
        <f t="array" ref="J609">IFERROR(INDEX(T_LEAVE_TYPES[SYMBOL],T_LEAVE[[#This Row],[LEAVE TYPE SYS ID]]),"")</f>
        <v/>
      </c>
      <c r="K609">
        <f>IF(T_LEAVE[[#This Row],[EMPLOYEE]]="","",IF(T_LEAVE[[#This Row],[ERROR]]="",0,1))</f>
        <v/>
      </c>
      <c r="L609">
        <f t="array" ref="L60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0">
      <c r="A610" t="inlineStr">
        <is>
          <t>Chitturi Sriramya (1028935)</t>
        </is>
      </c>
      <c r="B610" t="inlineStr">
        <is>
          <t>Thursday, 16 February 2023</t>
        </is>
      </c>
      <c r="C610" t="inlineStr">
        <is>
          <t>Friday, 17 February 2023</t>
        </is>
      </c>
      <c r="D610" t="inlineStr">
        <is>
          <t xml:space="preserve">Casual / Sick </t>
        </is>
      </c>
      <c r="E610" t="n">
        <v>2</v>
      </c>
      <c r="F610" s="1" t="n"/>
      <c r="G610" s="1" t="n"/>
      <c r="H610">
        <f>IF(T_LEAVE[[#This Row],[EMPLOYEE]]="","",MATCH(T_LEAVE[[#This Row],[EMPLOYEE]],L_EMPLABELS,0))</f>
        <v/>
      </c>
      <c r="I610">
        <f>IF(T_LEAVE[[#This Row],[EMPLOYEE]]="","",MATCH(T_LEAVE[[#This Row],[LEAVE TYPE]],L_LEAVETYPES,0))</f>
        <v/>
      </c>
      <c r="J610">
        <f t="array" ref="J610">IFERROR(INDEX(T_LEAVE_TYPES[SYMBOL],T_LEAVE[[#This Row],[LEAVE TYPE SYS ID]]),"")</f>
        <v/>
      </c>
      <c r="K610">
        <f>IF(T_LEAVE[[#This Row],[EMPLOYEE]]="","",IF(T_LEAVE[[#This Row],[ERROR]]="",0,1))</f>
        <v/>
      </c>
      <c r="L610">
        <f t="array" ref="L6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1">
      <c r="A611" t="inlineStr">
        <is>
          <t>Sushmitha  M (1027703)</t>
        </is>
      </c>
      <c r="B611" t="inlineStr">
        <is>
          <t>Friday, 10 February 2023</t>
        </is>
      </c>
      <c r="C611" t="inlineStr">
        <is>
          <t>Friday, 10 February 2023</t>
        </is>
      </c>
      <c r="D611" t="inlineStr">
        <is>
          <t xml:space="preserve">Casual / Sick </t>
        </is>
      </c>
      <c r="E611" t="n">
        <v>1</v>
      </c>
      <c r="F611" s="1" t="n"/>
      <c r="G611" s="1" t="n"/>
      <c r="H611">
        <f>IF(T_LEAVE[[#This Row],[EMPLOYEE]]="","",MATCH(T_LEAVE[[#This Row],[EMPLOYEE]],L_EMPLABELS,0))</f>
        <v/>
      </c>
      <c r="I611">
        <f>IF(T_LEAVE[[#This Row],[EMPLOYEE]]="","",MATCH(T_LEAVE[[#This Row],[LEAVE TYPE]],L_LEAVETYPES,0))</f>
        <v/>
      </c>
      <c r="J611">
        <f t="array" ref="J611">IFERROR(INDEX(T_LEAVE_TYPES[SYMBOL],T_LEAVE[[#This Row],[LEAVE TYPE SYS ID]]),"")</f>
        <v/>
      </c>
      <c r="K611">
        <f>IF(T_LEAVE[[#This Row],[EMPLOYEE]]="","",IF(T_LEAVE[[#This Row],[ERROR]]="",0,1))</f>
        <v/>
      </c>
      <c r="L611">
        <f t="array" ref="L6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2">
      <c r="A612" t="inlineStr">
        <is>
          <t>S Suneetha (1020246)</t>
        </is>
      </c>
      <c r="B612" t="inlineStr">
        <is>
          <t>Wednesday, 08 February 2023</t>
        </is>
      </c>
      <c r="C612" t="inlineStr">
        <is>
          <t>Wednesday, 08 February 2023</t>
        </is>
      </c>
      <c r="D612" t="inlineStr">
        <is>
          <t>Privilege</t>
        </is>
      </c>
      <c r="E612" t="n">
        <v>1</v>
      </c>
      <c r="F612" s="1" t="n"/>
      <c r="G612" s="1" t="n"/>
      <c r="H612">
        <f>IF(T_LEAVE[[#This Row],[EMPLOYEE]]="","",MATCH(T_LEAVE[[#This Row],[EMPLOYEE]],L_EMPLABELS,0))</f>
        <v/>
      </c>
      <c r="I612">
        <f>IF(T_LEAVE[[#This Row],[EMPLOYEE]]="","",MATCH(T_LEAVE[[#This Row],[LEAVE TYPE]],L_LEAVETYPES,0))</f>
        <v/>
      </c>
      <c r="J612">
        <f t="array" ref="J612">IFERROR(INDEX(T_LEAVE_TYPES[SYMBOL],T_LEAVE[[#This Row],[LEAVE TYPE SYS ID]]),"")</f>
        <v/>
      </c>
      <c r="K612">
        <f>IF(T_LEAVE[[#This Row],[EMPLOYEE]]="","",IF(T_LEAVE[[#This Row],[ERROR]]="",0,1))</f>
        <v/>
      </c>
      <c r="L612">
        <f t="array" ref="L6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3">
      <c r="A613" t="inlineStr">
        <is>
          <t>Siddanna  (1027766)</t>
        </is>
      </c>
      <c r="B613" t="inlineStr">
        <is>
          <t>Wednesday, 18 January 2023</t>
        </is>
      </c>
      <c r="C613" t="inlineStr">
        <is>
          <t>Wednesday, 18 January 2023</t>
        </is>
      </c>
      <c r="D613" t="inlineStr">
        <is>
          <t xml:space="preserve">Casual / Sick </t>
        </is>
      </c>
      <c r="E613" t="n">
        <v>1</v>
      </c>
      <c r="F613" s="1" t="n"/>
      <c r="G613" s="1" t="n"/>
      <c r="H613">
        <f>IF(T_LEAVE[[#This Row],[EMPLOYEE]]="","",MATCH(T_LEAVE[[#This Row],[EMPLOYEE]],L_EMPLABELS,0))</f>
        <v/>
      </c>
      <c r="I613">
        <f>IF(T_LEAVE[[#This Row],[EMPLOYEE]]="","",MATCH(T_LEAVE[[#This Row],[LEAVE TYPE]],L_LEAVETYPES,0))</f>
        <v/>
      </c>
      <c r="J613">
        <f t="array" ref="J613">IFERROR(INDEX(T_LEAVE_TYPES[SYMBOL],T_LEAVE[[#This Row],[LEAVE TYPE SYS ID]]),"")</f>
        <v/>
      </c>
      <c r="K613">
        <f>IF(T_LEAVE[[#This Row],[EMPLOYEE]]="","",IF(T_LEAVE[[#This Row],[ERROR]]="",0,1))</f>
        <v/>
      </c>
      <c r="L613">
        <f t="array" ref="L6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4">
      <c r="A614" t="inlineStr">
        <is>
          <t>Aishwarya  Ds (1024946)</t>
        </is>
      </c>
      <c r="B614" t="inlineStr">
        <is>
          <t>Monday, 23 January 2023</t>
        </is>
      </c>
      <c r="C614" t="inlineStr">
        <is>
          <t>Monday, 23 January 2023</t>
        </is>
      </c>
      <c r="D614" t="inlineStr">
        <is>
          <t xml:space="preserve">Casual / Sick </t>
        </is>
      </c>
      <c r="E614" t="n">
        <v>1</v>
      </c>
      <c r="F614" s="1" t="n"/>
      <c r="G614" s="1" t="n"/>
      <c r="H614">
        <f>IF(T_LEAVE[[#This Row],[EMPLOYEE]]="","",MATCH(T_LEAVE[[#This Row],[EMPLOYEE]],L_EMPLABELS,0))</f>
        <v/>
      </c>
      <c r="I614">
        <f>IF(T_LEAVE[[#This Row],[EMPLOYEE]]="","",MATCH(T_LEAVE[[#This Row],[LEAVE TYPE]],L_LEAVETYPES,0))</f>
        <v/>
      </c>
      <c r="J614">
        <f t="array" ref="J614">IFERROR(INDEX(T_LEAVE_TYPES[SYMBOL],T_LEAVE[[#This Row],[LEAVE TYPE SYS ID]]),"")</f>
        <v/>
      </c>
      <c r="K614">
        <f>IF(T_LEAVE[[#This Row],[EMPLOYEE]]="","",IF(T_LEAVE[[#This Row],[ERROR]]="",0,1))</f>
        <v/>
      </c>
      <c r="L614">
        <f t="array" ref="L6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5">
      <c r="A615" t="inlineStr">
        <is>
          <t>Suchismita  Mohanty (1022859)</t>
        </is>
      </c>
      <c r="B615" t="inlineStr">
        <is>
          <t>Tuesday, 17 January 2023</t>
        </is>
      </c>
      <c r="C615" t="inlineStr">
        <is>
          <t>Tuesday, 17 January 2023</t>
        </is>
      </c>
      <c r="D615" t="inlineStr">
        <is>
          <t xml:space="preserve">Casual / Sick </t>
        </is>
      </c>
      <c r="E615" t="n">
        <v>1</v>
      </c>
      <c r="F615" s="1" t="n"/>
      <c r="G615" s="1" t="n"/>
      <c r="H615">
        <f>IF(T_LEAVE[[#This Row],[EMPLOYEE]]="","",MATCH(T_LEAVE[[#This Row],[EMPLOYEE]],L_EMPLABELS,0))</f>
        <v/>
      </c>
      <c r="I615">
        <f>IF(T_LEAVE[[#This Row],[EMPLOYEE]]="","",MATCH(T_LEAVE[[#This Row],[LEAVE TYPE]],L_LEAVETYPES,0))</f>
        <v/>
      </c>
      <c r="J615">
        <f t="array" ref="J615">IFERROR(INDEX(T_LEAVE_TYPES[SYMBOL],T_LEAVE[[#This Row],[LEAVE TYPE SYS ID]]),"")</f>
        <v/>
      </c>
      <c r="K615">
        <f>IF(T_LEAVE[[#This Row],[EMPLOYEE]]="","",IF(T_LEAVE[[#This Row],[ERROR]]="",0,1))</f>
        <v/>
      </c>
      <c r="L615">
        <f t="array" ref="L6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6">
      <c r="A616" t="inlineStr">
        <is>
          <t>Preetam  Patel (1024572)</t>
        </is>
      </c>
      <c r="B616" t="inlineStr">
        <is>
          <t>Wednesday, 18 January 2023</t>
        </is>
      </c>
      <c r="C616" t="inlineStr">
        <is>
          <t>Wednesday, 08 February 2023</t>
        </is>
      </c>
      <c r="D616" t="inlineStr">
        <is>
          <t>Privilege</t>
        </is>
      </c>
      <c r="E616" t="n">
        <v>15</v>
      </c>
      <c r="F616" s="1" t="n"/>
      <c r="G616" s="1" t="n"/>
      <c r="H616">
        <f>IF(T_LEAVE[[#This Row],[EMPLOYEE]]="","",MATCH(T_LEAVE[[#This Row],[EMPLOYEE]],L_EMPLABELS,0))</f>
        <v/>
      </c>
      <c r="I616">
        <f>IF(T_LEAVE[[#This Row],[EMPLOYEE]]="","",MATCH(T_LEAVE[[#This Row],[LEAVE TYPE]],L_LEAVETYPES,0))</f>
        <v/>
      </c>
      <c r="J616">
        <f t="array" ref="J616">IFERROR(INDEX(T_LEAVE_TYPES[SYMBOL],T_LEAVE[[#This Row],[LEAVE TYPE SYS ID]]),"")</f>
        <v/>
      </c>
      <c r="K616">
        <f>IF(T_LEAVE[[#This Row],[EMPLOYEE]]="","",IF(T_LEAVE[[#This Row],[ERROR]]="",0,1))</f>
        <v/>
      </c>
      <c r="L616">
        <f t="array" ref="L6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7">
      <c r="A617" t="inlineStr">
        <is>
          <t>S Suneetha (1020246)</t>
        </is>
      </c>
      <c r="B617" t="inlineStr">
        <is>
          <t>Friday, 13 January 2023</t>
        </is>
      </c>
      <c r="C617" t="inlineStr">
        <is>
          <t>Friday, 13 January 2023</t>
        </is>
      </c>
      <c r="D617" t="inlineStr">
        <is>
          <t xml:space="preserve">Casual / Sick </t>
        </is>
      </c>
      <c r="E617" t="n">
        <v>1</v>
      </c>
      <c r="F617" s="1" t="n"/>
      <c r="G617" s="1" t="n"/>
      <c r="H617">
        <f>IF(T_LEAVE[[#This Row],[EMPLOYEE]]="","",MATCH(T_LEAVE[[#This Row],[EMPLOYEE]],L_EMPLABELS,0))</f>
        <v/>
      </c>
      <c r="I617">
        <f>IF(T_LEAVE[[#This Row],[EMPLOYEE]]="","",MATCH(T_LEAVE[[#This Row],[LEAVE TYPE]],L_LEAVETYPES,0))</f>
        <v/>
      </c>
      <c r="J617">
        <f t="array" ref="J617">IFERROR(INDEX(T_LEAVE_TYPES[SYMBOL],T_LEAVE[[#This Row],[LEAVE TYPE SYS ID]]),"")</f>
        <v/>
      </c>
      <c r="K617">
        <f>IF(T_LEAVE[[#This Row],[EMPLOYEE]]="","",IF(T_LEAVE[[#This Row],[ERROR]]="",0,1))</f>
        <v/>
      </c>
      <c r="L617">
        <f t="array" ref="L6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8">
      <c r="A618" t="inlineStr">
        <is>
          <t>S Suneetha (1020246)</t>
        </is>
      </c>
      <c r="B618" t="inlineStr">
        <is>
          <t>Thursday, 01 December 2022</t>
        </is>
      </c>
      <c r="C618" t="inlineStr">
        <is>
          <t>Thursday, 01 December 2022</t>
        </is>
      </c>
      <c r="D618" t="inlineStr">
        <is>
          <t xml:space="preserve">Casual / Sick </t>
        </is>
      </c>
      <c r="E618" t="n">
        <v>1</v>
      </c>
      <c r="F618" s="1" t="n"/>
      <c r="G618" s="1" t="n"/>
      <c r="H618">
        <f>IF(T_LEAVE[[#This Row],[EMPLOYEE]]="","",MATCH(T_LEAVE[[#This Row],[EMPLOYEE]],L_EMPLABELS,0))</f>
        <v/>
      </c>
      <c r="I618">
        <f>IF(T_LEAVE[[#This Row],[EMPLOYEE]]="","",MATCH(T_LEAVE[[#This Row],[LEAVE TYPE]],L_LEAVETYPES,0))</f>
        <v/>
      </c>
      <c r="J618">
        <f t="array" ref="J618">IFERROR(INDEX(T_LEAVE_TYPES[SYMBOL],T_LEAVE[[#This Row],[LEAVE TYPE SYS ID]]),"")</f>
        <v/>
      </c>
      <c r="K618">
        <f>IF(T_LEAVE[[#This Row],[EMPLOYEE]]="","",IF(T_LEAVE[[#This Row],[ERROR]]="",0,1))</f>
        <v/>
      </c>
      <c r="L618">
        <f t="array" ref="L6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19">
      <c r="A619" t="inlineStr">
        <is>
          <t>S Suneetha (1020246)</t>
        </is>
      </c>
      <c r="B619" t="inlineStr">
        <is>
          <t>Monday, 21 November 2022</t>
        </is>
      </c>
      <c r="C619" t="inlineStr">
        <is>
          <t>Monday, 21 November 2022</t>
        </is>
      </c>
      <c r="D619" t="inlineStr">
        <is>
          <t xml:space="preserve">Casual / Sick </t>
        </is>
      </c>
      <c r="E619" t="n">
        <v>1</v>
      </c>
      <c r="F619" s="1" t="n"/>
      <c r="G619" s="1" t="n"/>
      <c r="H619">
        <f>IF(T_LEAVE[[#This Row],[EMPLOYEE]]="","",MATCH(T_LEAVE[[#This Row],[EMPLOYEE]],L_EMPLABELS,0))</f>
        <v/>
      </c>
      <c r="I619">
        <f>IF(T_LEAVE[[#This Row],[EMPLOYEE]]="","",MATCH(T_LEAVE[[#This Row],[LEAVE TYPE]],L_LEAVETYPES,0))</f>
        <v/>
      </c>
      <c r="J619">
        <f t="array" ref="J619">IFERROR(INDEX(T_LEAVE_TYPES[SYMBOL],T_LEAVE[[#This Row],[LEAVE TYPE SYS ID]]),"")</f>
        <v/>
      </c>
      <c r="K619">
        <f>IF(T_LEAVE[[#This Row],[EMPLOYEE]]="","",IF(T_LEAVE[[#This Row],[ERROR]]="",0,1))</f>
        <v/>
      </c>
      <c r="L619">
        <f t="array" ref="L6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0">
      <c r="A620" t="inlineStr">
        <is>
          <t>Aishwarya  Ds (1024946)</t>
        </is>
      </c>
      <c r="B620" t="inlineStr">
        <is>
          <t>Friday, 30 December 2022</t>
        </is>
      </c>
      <c r="C620" t="inlineStr">
        <is>
          <t>Friday, 30 December 2022</t>
        </is>
      </c>
      <c r="D620" t="inlineStr">
        <is>
          <t xml:space="preserve">Casual / Sick </t>
        </is>
      </c>
      <c r="E620" t="n">
        <v>1</v>
      </c>
      <c r="F620" s="1" t="n"/>
      <c r="G620" s="1" t="n"/>
      <c r="H620">
        <f>IF(T_LEAVE[[#This Row],[EMPLOYEE]]="","",MATCH(T_LEAVE[[#This Row],[EMPLOYEE]],L_EMPLABELS,0))</f>
        <v/>
      </c>
      <c r="I620">
        <f>IF(T_LEAVE[[#This Row],[EMPLOYEE]]="","",MATCH(T_LEAVE[[#This Row],[LEAVE TYPE]],L_LEAVETYPES,0))</f>
        <v/>
      </c>
      <c r="J620">
        <f t="array" ref="J620">IFERROR(INDEX(T_LEAVE_TYPES[SYMBOL],T_LEAVE[[#This Row],[LEAVE TYPE SYS ID]]),"")</f>
        <v/>
      </c>
      <c r="K620">
        <f>IF(T_LEAVE[[#This Row],[EMPLOYEE]]="","",IF(T_LEAVE[[#This Row],[ERROR]]="",0,1))</f>
        <v/>
      </c>
      <c r="L620">
        <f t="array" ref="L6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1">
      <c r="A621" t="inlineStr">
        <is>
          <t>Karthika  R (1020012)</t>
        </is>
      </c>
      <c r="B621" t="inlineStr">
        <is>
          <t>Friday, 30 December 2022</t>
        </is>
      </c>
      <c r="C621" t="inlineStr">
        <is>
          <t>Friday, 30 December 2022</t>
        </is>
      </c>
      <c r="D621" t="inlineStr">
        <is>
          <t xml:space="preserve">Casual / Sick </t>
        </is>
      </c>
      <c r="E621" t="n">
        <v>1</v>
      </c>
      <c r="F621" s="1" t="n"/>
      <c r="G621" s="1" t="n"/>
      <c r="H621">
        <f>IF(T_LEAVE[[#This Row],[EMPLOYEE]]="","",MATCH(T_LEAVE[[#This Row],[EMPLOYEE]],L_EMPLABELS,0))</f>
        <v/>
      </c>
      <c r="I621">
        <f>IF(T_LEAVE[[#This Row],[EMPLOYEE]]="","",MATCH(T_LEAVE[[#This Row],[LEAVE TYPE]],L_LEAVETYPES,0))</f>
        <v/>
      </c>
      <c r="J621">
        <f t="array" ref="J621">IFERROR(INDEX(T_LEAVE_TYPES[SYMBOL],T_LEAVE[[#This Row],[LEAVE TYPE SYS ID]]),"")</f>
        <v/>
      </c>
      <c r="K621">
        <f>IF(T_LEAVE[[#This Row],[EMPLOYEE]]="","",IF(T_LEAVE[[#This Row],[ERROR]]="",0,1))</f>
        <v/>
      </c>
      <c r="L621">
        <f t="array" ref="L6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2">
      <c r="A622" t="inlineStr">
        <is>
          <t>Siddanna  (1027766)</t>
        </is>
      </c>
      <c r="B622" t="inlineStr">
        <is>
          <t>Wednesday, 14 December 2022</t>
        </is>
      </c>
      <c r="C622" t="inlineStr">
        <is>
          <t>Wednesday, 14 December 2022</t>
        </is>
      </c>
      <c r="D622" t="inlineStr">
        <is>
          <t xml:space="preserve">Casual / Sick </t>
        </is>
      </c>
      <c r="E622" t="n">
        <v>1</v>
      </c>
      <c r="F622" s="1" t="n"/>
      <c r="G622" s="1" t="n"/>
      <c r="H622">
        <f>IF(T_LEAVE[[#This Row],[EMPLOYEE]]="","",MATCH(T_LEAVE[[#This Row],[EMPLOYEE]],L_EMPLABELS,0))</f>
        <v/>
      </c>
      <c r="I622">
        <f>IF(T_LEAVE[[#This Row],[EMPLOYEE]]="","",MATCH(T_LEAVE[[#This Row],[LEAVE TYPE]],L_LEAVETYPES,0))</f>
        <v/>
      </c>
      <c r="J622">
        <f t="array" ref="J622">IFERROR(INDEX(T_LEAVE_TYPES[SYMBOL],T_LEAVE[[#This Row],[LEAVE TYPE SYS ID]]),"")</f>
        <v/>
      </c>
      <c r="K622">
        <f>IF(T_LEAVE[[#This Row],[EMPLOYEE]]="","",IF(T_LEAVE[[#This Row],[ERROR]]="",0,1))</f>
        <v/>
      </c>
      <c r="L622">
        <f t="array" ref="L6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3">
      <c r="A623" t="inlineStr">
        <is>
          <t>Siddanna  (1027766)</t>
        </is>
      </c>
      <c r="B623" t="inlineStr">
        <is>
          <t>Thursday, 08 September 2022</t>
        </is>
      </c>
      <c r="C623" t="inlineStr">
        <is>
          <t>Thursday, 08 September 2022</t>
        </is>
      </c>
      <c r="D623" t="inlineStr">
        <is>
          <t xml:space="preserve">Casual / Sick </t>
        </is>
      </c>
      <c r="E623" t="n">
        <v>1</v>
      </c>
      <c r="F623" s="1" t="n"/>
      <c r="G623" s="1" t="n"/>
      <c r="H623">
        <f>IF(T_LEAVE[[#This Row],[EMPLOYEE]]="","",MATCH(T_LEAVE[[#This Row],[EMPLOYEE]],L_EMPLABELS,0))</f>
        <v/>
      </c>
      <c r="I623">
        <f>IF(T_LEAVE[[#This Row],[EMPLOYEE]]="","",MATCH(T_LEAVE[[#This Row],[LEAVE TYPE]],L_LEAVETYPES,0))</f>
        <v/>
      </c>
      <c r="J623">
        <f t="array" ref="J623">IFERROR(INDEX(T_LEAVE_TYPES[SYMBOL],T_LEAVE[[#This Row],[LEAVE TYPE SYS ID]]),"")</f>
        <v/>
      </c>
      <c r="K623">
        <f>IF(T_LEAVE[[#This Row],[EMPLOYEE]]="","",IF(T_LEAVE[[#This Row],[ERROR]]="",0,1))</f>
        <v/>
      </c>
      <c r="L623">
        <f t="array" ref="L6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4">
      <c r="A624" t="inlineStr">
        <is>
          <t>Preetam  Patel (1024572)</t>
        </is>
      </c>
      <c r="B624" t="inlineStr">
        <is>
          <t>Monday, 26 December 2022</t>
        </is>
      </c>
      <c r="C624" t="inlineStr">
        <is>
          <t>Tuesday, 27 December 2022</t>
        </is>
      </c>
      <c r="D624" t="inlineStr">
        <is>
          <t xml:space="preserve">Casual / Sick </t>
        </is>
      </c>
      <c r="E624" t="n">
        <v>2</v>
      </c>
      <c r="F624" s="1" t="n"/>
      <c r="G624" s="1" t="n"/>
      <c r="H624">
        <f>IF(T_LEAVE[[#This Row],[EMPLOYEE]]="","",MATCH(T_LEAVE[[#This Row],[EMPLOYEE]],L_EMPLABELS,0))</f>
        <v/>
      </c>
      <c r="I624">
        <f>IF(T_LEAVE[[#This Row],[EMPLOYEE]]="","",MATCH(T_LEAVE[[#This Row],[LEAVE TYPE]],L_LEAVETYPES,0))</f>
        <v/>
      </c>
      <c r="J624">
        <f t="array" ref="J624">IFERROR(INDEX(T_LEAVE_TYPES[SYMBOL],T_LEAVE[[#This Row],[LEAVE TYPE SYS ID]]),"")</f>
        <v/>
      </c>
      <c r="K624">
        <f>IF(T_LEAVE[[#This Row],[EMPLOYEE]]="","",IF(T_LEAVE[[#This Row],[ERROR]]="",0,1))</f>
        <v/>
      </c>
      <c r="L624">
        <f t="array" ref="L6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5">
      <c r="A625" t="inlineStr">
        <is>
          <t>Chitturi Sriramya (1028935)</t>
        </is>
      </c>
      <c r="B625" t="inlineStr">
        <is>
          <t>Monday, 26 December 2022</t>
        </is>
      </c>
      <c r="C625" t="inlineStr">
        <is>
          <t>Monday, 26 December 2022</t>
        </is>
      </c>
      <c r="D625" t="inlineStr">
        <is>
          <t>Privilege</t>
        </is>
      </c>
      <c r="E625" t="n">
        <v>1</v>
      </c>
      <c r="F625" s="1" t="n"/>
      <c r="G625" s="1" t="n"/>
      <c r="H625">
        <f>IF(T_LEAVE[[#This Row],[EMPLOYEE]]="","",MATCH(T_LEAVE[[#This Row],[EMPLOYEE]],L_EMPLABELS,0))</f>
        <v/>
      </c>
      <c r="I625">
        <f>IF(T_LEAVE[[#This Row],[EMPLOYEE]]="","",MATCH(T_LEAVE[[#This Row],[LEAVE TYPE]],L_LEAVETYPES,0))</f>
        <v/>
      </c>
      <c r="J625">
        <f t="array" ref="J625">IFERROR(INDEX(T_LEAVE_TYPES[SYMBOL],T_LEAVE[[#This Row],[LEAVE TYPE SYS ID]]),"")</f>
        <v/>
      </c>
      <c r="K625">
        <f>IF(T_LEAVE[[#This Row],[EMPLOYEE]]="","",IF(T_LEAVE[[#This Row],[ERROR]]="",0,1))</f>
        <v/>
      </c>
      <c r="L625">
        <f t="array" ref="L6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6">
      <c r="A626" t="inlineStr">
        <is>
          <t>Karthika  R (1020012)</t>
        </is>
      </c>
      <c r="B626" t="inlineStr">
        <is>
          <t>Monday, 19 December 2022</t>
        </is>
      </c>
      <c r="C626" t="inlineStr">
        <is>
          <t>Monday, 19 December 2022</t>
        </is>
      </c>
      <c r="D626" t="inlineStr">
        <is>
          <t xml:space="preserve">Casual / Sick </t>
        </is>
      </c>
      <c r="E626" t="n">
        <v>1</v>
      </c>
      <c r="F626" s="1" t="n"/>
      <c r="G626" s="1" t="n"/>
      <c r="H626">
        <f>IF(T_LEAVE[[#This Row],[EMPLOYEE]]="","",MATCH(T_LEAVE[[#This Row],[EMPLOYEE]],L_EMPLABELS,0))</f>
        <v/>
      </c>
      <c r="I626">
        <f>IF(T_LEAVE[[#This Row],[EMPLOYEE]]="","",MATCH(T_LEAVE[[#This Row],[LEAVE TYPE]],L_LEAVETYPES,0))</f>
        <v/>
      </c>
      <c r="J626">
        <f t="array" ref="J626">IFERROR(INDEX(T_LEAVE_TYPES[SYMBOL],T_LEAVE[[#This Row],[LEAVE TYPE SYS ID]]),"")</f>
        <v/>
      </c>
      <c r="K626">
        <f>IF(T_LEAVE[[#This Row],[EMPLOYEE]]="","",IF(T_LEAVE[[#This Row],[ERROR]]="",0,1))</f>
        <v/>
      </c>
      <c r="L626">
        <f t="array" ref="L6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7">
      <c r="A627" t="inlineStr">
        <is>
          <t>S Suneetha (1020246)</t>
        </is>
      </c>
      <c r="B627" t="inlineStr">
        <is>
          <t>Monday, 19 December 2022</t>
        </is>
      </c>
      <c r="C627" t="inlineStr">
        <is>
          <t>Friday, 23 December 2022</t>
        </is>
      </c>
      <c r="D627" t="inlineStr">
        <is>
          <t>Privilege</t>
        </is>
      </c>
      <c r="E627" t="n">
        <v>5</v>
      </c>
      <c r="F627" s="1" t="n"/>
      <c r="G627" s="1" t="n"/>
      <c r="H627">
        <f>IF(T_LEAVE[[#This Row],[EMPLOYEE]]="","",MATCH(T_LEAVE[[#This Row],[EMPLOYEE]],L_EMPLABELS,0))</f>
        <v/>
      </c>
      <c r="I627">
        <f>IF(T_LEAVE[[#This Row],[EMPLOYEE]]="","",MATCH(T_LEAVE[[#This Row],[LEAVE TYPE]],L_LEAVETYPES,0))</f>
        <v/>
      </c>
      <c r="J627">
        <f t="array" ref="J627">IFERROR(INDEX(T_LEAVE_TYPES[SYMBOL],T_LEAVE[[#This Row],[LEAVE TYPE SYS ID]]),"")</f>
        <v/>
      </c>
      <c r="K627">
        <f>IF(T_LEAVE[[#This Row],[EMPLOYEE]]="","",IF(T_LEAVE[[#This Row],[ERROR]]="",0,1))</f>
        <v/>
      </c>
      <c r="L627">
        <f t="array" ref="L6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8">
      <c r="A628" t="inlineStr">
        <is>
          <t>S Suneetha (1020246)</t>
        </is>
      </c>
      <c r="B628" t="inlineStr">
        <is>
          <t>Thursday, 15 December 2022</t>
        </is>
      </c>
      <c r="C628" t="inlineStr">
        <is>
          <t>Thursday, 15 December 2022</t>
        </is>
      </c>
      <c r="D628" t="inlineStr">
        <is>
          <t>Privilege</t>
        </is>
      </c>
      <c r="E628" t="n">
        <v>1</v>
      </c>
      <c r="F628" s="1" t="n"/>
      <c r="G628" s="1" t="n"/>
      <c r="H628">
        <f>IF(T_LEAVE[[#This Row],[EMPLOYEE]]="","",MATCH(T_LEAVE[[#This Row],[EMPLOYEE]],L_EMPLABELS,0))</f>
        <v/>
      </c>
      <c r="I628">
        <f>IF(T_LEAVE[[#This Row],[EMPLOYEE]]="","",MATCH(T_LEAVE[[#This Row],[LEAVE TYPE]],L_LEAVETYPES,0))</f>
        <v/>
      </c>
      <c r="J628">
        <f t="array" ref="J628">IFERROR(INDEX(T_LEAVE_TYPES[SYMBOL],T_LEAVE[[#This Row],[LEAVE TYPE SYS ID]]),"")</f>
        <v/>
      </c>
      <c r="K628">
        <f>IF(T_LEAVE[[#This Row],[EMPLOYEE]]="","",IF(T_LEAVE[[#This Row],[ERROR]]="",0,1))</f>
        <v/>
      </c>
      <c r="L628">
        <f t="array" ref="L6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29">
      <c r="A629" t="inlineStr">
        <is>
          <t>Aishwarya  Ds (1024946)</t>
        </is>
      </c>
      <c r="B629" t="inlineStr">
        <is>
          <t>Friday, 09 December 2022</t>
        </is>
      </c>
      <c r="C629" t="inlineStr">
        <is>
          <t>Friday, 09 December 2022</t>
        </is>
      </c>
      <c r="D629" t="inlineStr">
        <is>
          <t xml:space="preserve">Casual / Sick </t>
        </is>
      </c>
      <c r="E629" t="n">
        <v>1</v>
      </c>
      <c r="F629" s="1" t="n"/>
      <c r="G629" s="1" t="n"/>
      <c r="H629">
        <f>IF(T_LEAVE[[#This Row],[EMPLOYEE]]="","",MATCH(T_LEAVE[[#This Row],[EMPLOYEE]],L_EMPLABELS,0))</f>
        <v/>
      </c>
      <c r="I629">
        <f>IF(T_LEAVE[[#This Row],[EMPLOYEE]]="","",MATCH(T_LEAVE[[#This Row],[LEAVE TYPE]],L_LEAVETYPES,0))</f>
        <v/>
      </c>
      <c r="J629">
        <f t="array" ref="J629">IFERROR(INDEX(T_LEAVE_TYPES[SYMBOL],T_LEAVE[[#This Row],[LEAVE TYPE SYS ID]]),"")</f>
        <v/>
      </c>
      <c r="K629">
        <f>IF(T_LEAVE[[#This Row],[EMPLOYEE]]="","",IF(T_LEAVE[[#This Row],[ERROR]]="",0,1))</f>
        <v/>
      </c>
      <c r="L629">
        <f t="array" ref="L6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0">
      <c r="A630" t="inlineStr">
        <is>
          <t>Chilakala  Srikanth Reddy (1027289)</t>
        </is>
      </c>
      <c r="B630" t="inlineStr">
        <is>
          <t>Wednesday, 07 December 2022</t>
        </is>
      </c>
      <c r="C630" t="inlineStr">
        <is>
          <t>Wednesday, 07 December 2022</t>
        </is>
      </c>
      <c r="D630" t="inlineStr">
        <is>
          <t xml:space="preserve">Casual / Sick </t>
        </is>
      </c>
      <c r="E630" t="n">
        <v>1</v>
      </c>
      <c r="F630" s="1" t="n"/>
      <c r="G630" s="1" t="n"/>
      <c r="H630">
        <f>IF(T_LEAVE[[#This Row],[EMPLOYEE]]="","",MATCH(T_LEAVE[[#This Row],[EMPLOYEE]],L_EMPLABELS,0))</f>
        <v/>
      </c>
      <c r="I630">
        <f>IF(T_LEAVE[[#This Row],[EMPLOYEE]]="","",MATCH(T_LEAVE[[#This Row],[LEAVE TYPE]],L_LEAVETYPES,0))</f>
        <v/>
      </c>
      <c r="J630">
        <f t="array" ref="J630">IFERROR(INDEX(T_LEAVE_TYPES[SYMBOL],T_LEAVE[[#This Row],[LEAVE TYPE SYS ID]]),"")</f>
        <v/>
      </c>
      <c r="K630">
        <f>IF(T_LEAVE[[#This Row],[EMPLOYEE]]="","",IF(T_LEAVE[[#This Row],[ERROR]]="",0,1))</f>
        <v/>
      </c>
      <c r="L630">
        <f t="array" ref="L6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1">
      <c r="A631" t="inlineStr">
        <is>
          <t>Sushmitha  M (1027703)</t>
        </is>
      </c>
      <c r="B631" t="inlineStr">
        <is>
          <t>Monday, 12 December 2022</t>
        </is>
      </c>
      <c r="C631" t="inlineStr">
        <is>
          <t>Tuesday, 13 December 2022</t>
        </is>
      </c>
      <c r="D631" t="inlineStr">
        <is>
          <t xml:space="preserve">Casual / Sick </t>
        </is>
      </c>
      <c r="E631" t="n">
        <v>2</v>
      </c>
      <c r="F631" s="1" t="n"/>
      <c r="G631" s="1" t="n"/>
      <c r="H631">
        <f>IF(T_LEAVE[[#This Row],[EMPLOYEE]]="","",MATCH(T_LEAVE[[#This Row],[EMPLOYEE]],L_EMPLABELS,0))</f>
        <v/>
      </c>
      <c r="I631">
        <f>IF(T_LEAVE[[#This Row],[EMPLOYEE]]="","",MATCH(T_LEAVE[[#This Row],[LEAVE TYPE]],L_LEAVETYPES,0))</f>
        <v/>
      </c>
      <c r="J631">
        <f t="array" ref="J631">IFERROR(INDEX(T_LEAVE_TYPES[SYMBOL],T_LEAVE[[#This Row],[LEAVE TYPE SYS ID]]),"")</f>
        <v/>
      </c>
      <c r="K631">
        <f>IF(T_LEAVE[[#This Row],[EMPLOYEE]]="","",IF(T_LEAVE[[#This Row],[ERROR]]="",0,1))</f>
        <v/>
      </c>
      <c r="L631">
        <f t="array" ref="L6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2">
      <c r="A632" t="inlineStr">
        <is>
          <t>Suchismita  Mohanty (1022859)</t>
        </is>
      </c>
      <c r="B632" t="inlineStr">
        <is>
          <t>Wednesday, 07 December 2022</t>
        </is>
      </c>
      <c r="C632" t="inlineStr">
        <is>
          <t>Wednesday, 07 December 2022</t>
        </is>
      </c>
      <c r="D632" t="inlineStr">
        <is>
          <t>Privilege</t>
        </is>
      </c>
      <c r="E632" t="n">
        <v>1</v>
      </c>
      <c r="F632" s="1" t="n"/>
      <c r="G632" s="1" t="n"/>
      <c r="H632">
        <f>IF(T_LEAVE[[#This Row],[EMPLOYEE]]="","",MATCH(T_LEAVE[[#This Row],[EMPLOYEE]],L_EMPLABELS,0))</f>
        <v/>
      </c>
      <c r="I632">
        <f>IF(T_LEAVE[[#This Row],[EMPLOYEE]]="","",MATCH(T_LEAVE[[#This Row],[LEAVE TYPE]],L_LEAVETYPES,0))</f>
        <v/>
      </c>
      <c r="J632">
        <f t="array" ref="J632">IFERROR(INDEX(T_LEAVE_TYPES[SYMBOL],T_LEAVE[[#This Row],[LEAVE TYPE SYS ID]]),"")</f>
        <v/>
      </c>
      <c r="K632">
        <f>IF(T_LEAVE[[#This Row],[EMPLOYEE]]="","",IF(T_LEAVE[[#This Row],[ERROR]]="",0,1))</f>
        <v/>
      </c>
      <c r="L632">
        <f t="array" ref="L6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3">
      <c r="A633" t="inlineStr">
        <is>
          <t>Karthika  R (1020012)</t>
        </is>
      </c>
      <c r="B633" t="inlineStr">
        <is>
          <t>Wednesday, 07 December 2022</t>
        </is>
      </c>
      <c r="C633" t="inlineStr">
        <is>
          <t>Wednesday, 07 December 2022</t>
        </is>
      </c>
      <c r="D633" t="inlineStr">
        <is>
          <t xml:space="preserve">Casual / Sick </t>
        </is>
      </c>
      <c r="E633" t="n">
        <v>1</v>
      </c>
      <c r="F633" s="1" t="n"/>
      <c r="G633" s="1" t="n"/>
      <c r="H633">
        <f>IF(T_LEAVE[[#This Row],[EMPLOYEE]]="","",MATCH(T_LEAVE[[#This Row],[EMPLOYEE]],L_EMPLABELS,0))</f>
        <v/>
      </c>
      <c r="I633">
        <f>IF(T_LEAVE[[#This Row],[EMPLOYEE]]="","",MATCH(T_LEAVE[[#This Row],[LEAVE TYPE]],L_LEAVETYPES,0))</f>
        <v/>
      </c>
      <c r="J633">
        <f t="array" ref="J633">IFERROR(INDEX(T_LEAVE_TYPES[SYMBOL],T_LEAVE[[#This Row],[LEAVE TYPE SYS ID]]),"")</f>
        <v/>
      </c>
      <c r="K633">
        <f>IF(T_LEAVE[[#This Row],[EMPLOYEE]]="","",IF(T_LEAVE[[#This Row],[ERROR]]="",0,1))</f>
        <v/>
      </c>
      <c r="L633">
        <f t="array" ref="L6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4">
      <c r="A634" t="inlineStr">
        <is>
          <t>Karthika  R (1020012)</t>
        </is>
      </c>
      <c r="B634" t="inlineStr">
        <is>
          <t>Friday, 02 December 2022</t>
        </is>
      </c>
      <c r="C634" t="inlineStr">
        <is>
          <t>Friday, 02 December 2022</t>
        </is>
      </c>
      <c r="D634" t="inlineStr">
        <is>
          <t xml:space="preserve">Casual / Sick </t>
        </is>
      </c>
      <c r="E634" t="n">
        <v>1</v>
      </c>
      <c r="F634" s="1" t="n"/>
      <c r="G634" s="1" t="n"/>
      <c r="H634">
        <f>IF(T_LEAVE[[#This Row],[EMPLOYEE]]="","",MATCH(T_LEAVE[[#This Row],[EMPLOYEE]],L_EMPLABELS,0))</f>
        <v/>
      </c>
      <c r="I634">
        <f>IF(T_LEAVE[[#This Row],[EMPLOYEE]]="","",MATCH(T_LEAVE[[#This Row],[LEAVE TYPE]],L_LEAVETYPES,0))</f>
        <v/>
      </c>
      <c r="J634">
        <f t="array" ref="J634">IFERROR(INDEX(T_LEAVE_TYPES[SYMBOL],T_LEAVE[[#This Row],[LEAVE TYPE SYS ID]]),"")</f>
        <v/>
      </c>
      <c r="K634">
        <f>IF(T_LEAVE[[#This Row],[EMPLOYEE]]="","",IF(T_LEAVE[[#This Row],[ERROR]]="",0,1))</f>
        <v/>
      </c>
      <c r="L634">
        <f t="array" ref="L6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5">
      <c r="A635" t="inlineStr">
        <is>
          <t>Aishwarya  Ds (1024946)</t>
        </is>
      </c>
      <c r="B635" t="inlineStr">
        <is>
          <t>Monday, 28 November 2022</t>
        </is>
      </c>
      <c r="C635" t="inlineStr">
        <is>
          <t>Monday, 28 November 2022</t>
        </is>
      </c>
      <c r="D635" t="inlineStr">
        <is>
          <t xml:space="preserve">Casual / Sick </t>
        </is>
      </c>
      <c r="E635" t="n">
        <v>1</v>
      </c>
      <c r="F635" s="1" t="n"/>
      <c r="G635" s="1" t="n"/>
      <c r="H635">
        <f>IF(T_LEAVE[[#This Row],[EMPLOYEE]]="","",MATCH(T_LEAVE[[#This Row],[EMPLOYEE]],L_EMPLABELS,0))</f>
        <v/>
      </c>
      <c r="I635">
        <f>IF(T_LEAVE[[#This Row],[EMPLOYEE]]="","",MATCH(T_LEAVE[[#This Row],[LEAVE TYPE]],L_LEAVETYPES,0))</f>
        <v/>
      </c>
      <c r="J635">
        <f t="array" ref="J635">IFERROR(INDEX(T_LEAVE_TYPES[SYMBOL],T_LEAVE[[#This Row],[LEAVE TYPE SYS ID]]),"")</f>
        <v/>
      </c>
      <c r="K635">
        <f>IF(T_LEAVE[[#This Row],[EMPLOYEE]]="","",IF(T_LEAVE[[#This Row],[ERROR]]="",0,1))</f>
        <v/>
      </c>
      <c r="L635">
        <f t="array" ref="L6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6">
      <c r="A636" t="inlineStr">
        <is>
          <t>Balam Jyothi (1022134)</t>
        </is>
      </c>
      <c r="B636" t="inlineStr">
        <is>
          <t>Wednesday, 16 November 2022</t>
        </is>
      </c>
      <c r="C636" t="inlineStr">
        <is>
          <t>Wednesday, 16 November 2022</t>
        </is>
      </c>
      <c r="D636" t="inlineStr">
        <is>
          <t xml:space="preserve">Casual / Sick </t>
        </is>
      </c>
      <c r="E636" t="n">
        <v>1</v>
      </c>
      <c r="F636" s="1" t="n"/>
      <c r="G636" s="1" t="n"/>
      <c r="H636">
        <f>IF(T_LEAVE[[#This Row],[EMPLOYEE]]="","",MATCH(T_LEAVE[[#This Row],[EMPLOYEE]],L_EMPLABELS,0))</f>
        <v/>
      </c>
      <c r="I636">
        <f>IF(T_LEAVE[[#This Row],[EMPLOYEE]]="","",MATCH(T_LEAVE[[#This Row],[LEAVE TYPE]],L_LEAVETYPES,0))</f>
        <v/>
      </c>
      <c r="J636">
        <f t="array" ref="J636">IFERROR(INDEX(T_LEAVE_TYPES[SYMBOL],T_LEAVE[[#This Row],[LEAVE TYPE SYS ID]]),"")</f>
        <v/>
      </c>
      <c r="K636">
        <f>IF(T_LEAVE[[#This Row],[EMPLOYEE]]="","",IF(T_LEAVE[[#This Row],[ERROR]]="",0,1))</f>
        <v/>
      </c>
      <c r="L636">
        <f t="array" ref="L6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7">
      <c r="A637" t="inlineStr">
        <is>
          <t>Balam Jyothi (1022134)</t>
        </is>
      </c>
      <c r="B637" t="inlineStr">
        <is>
          <t>Wednesday, 02 November 2022</t>
        </is>
      </c>
      <c r="C637" t="inlineStr">
        <is>
          <t>Wednesday, 02 November 2022</t>
        </is>
      </c>
      <c r="D637" t="inlineStr">
        <is>
          <t xml:space="preserve">Casual / Sick </t>
        </is>
      </c>
      <c r="E637" t="n">
        <v>1</v>
      </c>
      <c r="F637" s="1" t="n"/>
      <c r="G637" s="1" t="n"/>
      <c r="H637">
        <f>IF(T_LEAVE[[#This Row],[EMPLOYEE]]="","",MATCH(T_LEAVE[[#This Row],[EMPLOYEE]],L_EMPLABELS,0))</f>
        <v/>
      </c>
      <c r="I637">
        <f>IF(T_LEAVE[[#This Row],[EMPLOYEE]]="","",MATCH(T_LEAVE[[#This Row],[LEAVE TYPE]],L_LEAVETYPES,0))</f>
        <v/>
      </c>
      <c r="J637">
        <f t="array" ref="J637">IFERROR(INDEX(T_LEAVE_TYPES[SYMBOL],T_LEAVE[[#This Row],[LEAVE TYPE SYS ID]]),"")</f>
        <v/>
      </c>
      <c r="K637">
        <f>IF(T_LEAVE[[#This Row],[EMPLOYEE]]="","",IF(T_LEAVE[[#This Row],[ERROR]]="",0,1))</f>
        <v/>
      </c>
      <c r="L637">
        <f t="array" ref="L6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8">
      <c r="A638" t="inlineStr">
        <is>
          <t>Sushmitha  M (1027703)</t>
        </is>
      </c>
      <c r="B638" t="inlineStr">
        <is>
          <t>Monday, 21 November 2022</t>
        </is>
      </c>
      <c r="C638" t="inlineStr">
        <is>
          <t>Monday, 21 November 2022</t>
        </is>
      </c>
      <c r="D638" t="inlineStr">
        <is>
          <t xml:space="preserve">Casual / Sick </t>
        </is>
      </c>
      <c r="E638" t="n">
        <v>1</v>
      </c>
      <c r="F638" s="1" t="n"/>
      <c r="G638" s="1" t="n"/>
      <c r="H638">
        <f>IF(T_LEAVE[[#This Row],[EMPLOYEE]]="","",MATCH(T_LEAVE[[#This Row],[EMPLOYEE]],L_EMPLABELS,0))</f>
        <v/>
      </c>
      <c r="I638">
        <f>IF(T_LEAVE[[#This Row],[EMPLOYEE]]="","",MATCH(T_LEAVE[[#This Row],[LEAVE TYPE]],L_LEAVETYPES,0))</f>
        <v/>
      </c>
      <c r="J638">
        <f t="array" ref="J638">IFERROR(INDEX(T_LEAVE_TYPES[SYMBOL],T_LEAVE[[#This Row],[LEAVE TYPE SYS ID]]),"")</f>
        <v/>
      </c>
      <c r="K638">
        <f>IF(T_LEAVE[[#This Row],[EMPLOYEE]]="","",IF(T_LEAVE[[#This Row],[ERROR]]="",0,1))</f>
        <v/>
      </c>
      <c r="L638">
        <f t="array" ref="L6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39">
      <c r="A639" t="inlineStr">
        <is>
          <t>Karthika  R (1020012)</t>
        </is>
      </c>
      <c r="B639" t="inlineStr">
        <is>
          <t>Thursday, 17 November 2022</t>
        </is>
      </c>
      <c r="C639" t="inlineStr">
        <is>
          <t>Thursday, 17 November 2022</t>
        </is>
      </c>
      <c r="D639" t="inlineStr">
        <is>
          <t xml:space="preserve">Casual / Sick </t>
        </is>
      </c>
      <c r="E639" t="n">
        <v>1</v>
      </c>
      <c r="F639" s="1" t="n"/>
      <c r="G639" s="1" t="n"/>
      <c r="H639">
        <f>IF(T_LEAVE[[#This Row],[EMPLOYEE]]="","",MATCH(T_LEAVE[[#This Row],[EMPLOYEE]],L_EMPLABELS,0))</f>
        <v/>
      </c>
      <c r="I639">
        <f>IF(T_LEAVE[[#This Row],[EMPLOYEE]]="","",MATCH(T_LEAVE[[#This Row],[LEAVE TYPE]],L_LEAVETYPES,0))</f>
        <v/>
      </c>
      <c r="J639">
        <f t="array" ref="J639">IFERROR(INDEX(T_LEAVE_TYPES[SYMBOL],T_LEAVE[[#This Row],[LEAVE TYPE SYS ID]]),"")</f>
        <v/>
      </c>
      <c r="K639">
        <f>IF(T_LEAVE[[#This Row],[EMPLOYEE]]="","",IF(T_LEAVE[[#This Row],[ERROR]]="",0,1))</f>
        <v/>
      </c>
      <c r="L639">
        <f t="array" ref="L6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0">
      <c r="A640" t="inlineStr">
        <is>
          <t>S Suneetha (1020246)</t>
        </is>
      </c>
      <c r="B640" t="inlineStr">
        <is>
          <t>Thursday, 03 November 2022</t>
        </is>
      </c>
      <c r="C640" t="inlineStr">
        <is>
          <t>Friday, 04 November 2022</t>
        </is>
      </c>
      <c r="D640" t="inlineStr">
        <is>
          <t xml:space="preserve">Casual / Sick </t>
        </is>
      </c>
      <c r="E640" t="n">
        <v>2</v>
      </c>
      <c r="F640" s="1" t="n"/>
      <c r="G640" s="1" t="n"/>
      <c r="H640">
        <f>IF(T_LEAVE[[#This Row],[EMPLOYEE]]="","",MATCH(T_LEAVE[[#This Row],[EMPLOYEE]],L_EMPLABELS,0))</f>
        <v/>
      </c>
      <c r="I640">
        <f>IF(T_LEAVE[[#This Row],[EMPLOYEE]]="","",MATCH(T_LEAVE[[#This Row],[LEAVE TYPE]],L_LEAVETYPES,0))</f>
        <v/>
      </c>
      <c r="J640">
        <f t="array" ref="J640">IFERROR(INDEX(T_LEAVE_TYPES[SYMBOL],T_LEAVE[[#This Row],[LEAVE TYPE SYS ID]]),"")</f>
        <v/>
      </c>
      <c r="K640">
        <f>IF(T_LEAVE[[#This Row],[EMPLOYEE]]="","",IF(T_LEAVE[[#This Row],[ERROR]]="",0,1))</f>
        <v/>
      </c>
      <c r="L640">
        <f t="array" ref="L6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1">
      <c r="A641" t="inlineStr">
        <is>
          <t>Chitturi Sriramya (1028935)</t>
        </is>
      </c>
      <c r="B641" t="inlineStr">
        <is>
          <t>Wednesday, 02 November 2022</t>
        </is>
      </c>
      <c r="C641" t="inlineStr">
        <is>
          <t>Wednesday, 02 November 2022</t>
        </is>
      </c>
      <c r="D641" t="inlineStr">
        <is>
          <t xml:space="preserve">Casual / Sick </t>
        </is>
      </c>
      <c r="E641" t="n">
        <v>1</v>
      </c>
      <c r="F641" s="1" t="n"/>
      <c r="G641" s="1" t="n"/>
      <c r="H641">
        <f>IF(T_LEAVE[[#This Row],[EMPLOYEE]]="","",MATCH(T_LEAVE[[#This Row],[EMPLOYEE]],L_EMPLABELS,0))</f>
        <v/>
      </c>
      <c r="I641">
        <f>IF(T_LEAVE[[#This Row],[EMPLOYEE]]="","",MATCH(T_LEAVE[[#This Row],[LEAVE TYPE]],L_LEAVETYPES,0))</f>
        <v/>
      </c>
      <c r="J641">
        <f t="array" ref="J641">IFERROR(INDEX(T_LEAVE_TYPES[SYMBOL],T_LEAVE[[#This Row],[LEAVE TYPE SYS ID]]),"")</f>
        <v/>
      </c>
      <c r="K641">
        <f>IF(T_LEAVE[[#This Row],[EMPLOYEE]]="","",IF(T_LEAVE[[#This Row],[ERROR]]="",0,1))</f>
        <v/>
      </c>
      <c r="L641">
        <f t="array" ref="L6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2">
      <c r="A642" t="inlineStr">
        <is>
          <t>Suchismita  Mohanty (1022859)</t>
        </is>
      </c>
      <c r="B642" t="inlineStr">
        <is>
          <t>Wednesday, 02 November 2022</t>
        </is>
      </c>
      <c r="C642" t="inlineStr">
        <is>
          <t>Wednesday, 02 November 2022</t>
        </is>
      </c>
      <c r="D642" t="inlineStr">
        <is>
          <t>Privilege</t>
        </is>
      </c>
      <c r="E642" t="n">
        <v>1</v>
      </c>
      <c r="F642" s="1" t="n"/>
      <c r="G642" s="1" t="n"/>
      <c r="H642">
        <f>IF(T_LEAVE[[#This Row],[EMPLOYEE]]="","",MATCH(T_LEAVE[[#This Row],[EMPLOYEE]],L_EMPLABELS,0))</f>
        <v/>
      </c>
      <c r="I642">
        <f>IF(T_LEAVE[[#This Row],[EMPLOYEE]]="","",MATCH(T_LEAVE[[#This Row],[LEAVE TYPE]],L_LEAVETYPES,0))</f>
        <v/>
      </c>
      <c r="J642">
        <f t="array" ref="J642">IFERROR(INDEX(T_LEAVE_TYPES[SYMBOL],T_LEAVE[[#This Row],[LEAVE TYPE SYS ID]]),"")</f>
        <v/>
      </c>
      <c r="K642">
        <f>IF(T_LEAVE[[#This Row],[EMPLOYEE]]="","",IF(T_LEAVE[[#This Row],[ERROR]]="",0,1))</f>
        <v/>
      </c>
      <c r="L642">
        <f t="array" ref="L6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3">
      <c r="A643" t="inlineStr">
        <is>
          <t>S Suneetha (1020246)</t>
        </is>
      </c>
      <c r="B643" t="inlineStr">
        <is>
          <t>Tuesday, 25 October 2022</t>
        </is>
      </c>
      <c r="C643" t="inlineStr">
        <is>
          <t>Wednesday, 26 October 2022</t>
        </is>
      </c>
      <c r="D643" t="inlineStr">
        <is>
          <t>Privilege</t>
        </is>
      </c>
      <c r="E643" t="n">
        <v>2</v>
      </c>
      <c r="F643" s="1" t="n"/>
      <c r="G643" s="1" t="n"/>
      <c r="H643">
        <f>IF(T_LEAVE[[#This Row],[EMPLOYEE]]="","",MATCH(T_LEAVE[[#This Row],[EMPLOYEE]],L_EMPLABELS,0))</f>
        <v/>
      </c>
      <c r="I643">
        <f>IF(T_LEAVE[[#This Row],[EMPLOYEE]]="","",MATCH(T_LEAVE[[#This Row],[LEAVE TYPE]],L_LEAVETYPES,0))</f>
        <v/>
      </c>
      <c r="J643">
        <f t="array" ref="J643">IFERROR(INDEX(T_LEAVE_TYPES[SYMBOL],T_LEAVE[[#This Row],[LEAVE TYPE SYS ID]]),"")</f>
        <v/>
      </c>
      <c r="K643">
        <f>IF(T_LEAVE[[#This Row],[EMPLOYEE]]="","",IF(T_LEAVE[[#This Row],[ERROR]]="",0,1))</f>
        <v/>
      </c>
      <c r="L643">
        <f t="array" ref="L6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4">
      <c r="A644" t="inlineStr">
        <is>
          <t>Karthika  R (1020012)</t>
        </is>
      </c>
      <c r="B644" t="inlineStr">
        <is>
          <t>Thursday, 27 October 2022</t>
        </is>
      </c>
      <c r="C644" t="inlineStr">
        <is>
          <t>Thursday, 27 October 2022</t>
        </is>
      </c>
      <c r="D644" t="inlineStr">
        <is>
          <t xml:space="preserve">Casual / Sick </t>
        </is>
      </c>
      <c r="E644" t="n">
        <v>1</v>
      </c>
      <c r="F644" s="1" t="n"/>
      <c r="G644" s="1" t="n"/>
      <c r="H644">
        <f>IF(T_LEAVE[[#This Row],[EMPLOYEE]]="","",MATCH(T_LEAVE[[#This Row],[EMPLOYEE]],L_EMPLABELS,0))</f>
        <v/>
      </c>
      <c r="I644">
        <f>IF(T_LEAVE[[#This Row],[EMPLOYEE]]="","",MATCH(T_LEAVE[[#This Row],[LEAVE TYPE]],L_LEAVETYPES,0))</f>
        <v/>
      </c>
      <c r="J644">
        <f t="array" ref="J644">IFERROR(INDEX(T_LEAVE_TYPES[SYMBOL],T_LEAVE[[#This Row],[LEAVE TYPE SYS ID]]),"")</f>
        <v/>
      </c>
      <c r="K644">
        <f>IF(T_LEAVE[[#This Row],[EMPLOYEE]]="","",IF(T_LEAVE[[#This Row],[ERROR]]="",0,1))</f>
        <v/>
      </c>
      <c r="L644">
        <f t="array" ref="L6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5">
      <c r="A645" t="inlineStr">
        <is>
          <t>Aishwarya  Ds (1024946)</t>
        </is>
      </c>
      <c r="B645" t="inlineStr">
        <is>
          <t>Thursday, 27 October 2022</t>
        </is>
      </c>
      <c r="C645" t="inlineStr">
        <is>
          <t>Thursday, 27 October 2022</t>
        </is>
      </c>
      <c r="D645" t="inlineStr">
        <is>
          <t xml:space="preserve">Casual / Sick </t>
        </is>
      </c>
      <c r="E645" t="n">
        <v>1</v>
      </c>
      <c r="F645" s="1" t="n"/>
      <c r="G645" s="1" t="n"/>
      <c r="H645">
        <f>IF(T_LEAVE[[#This Row],[EMPLOYEE]]="","",MATCH(T_LEAVE[[#This Row],[EMPLOYEE]],L_EMPLABELS,0))</f>
        <v/>
      </c>
      <c r="I645">
        <f>IF(T_LEAVE[[#This Row],[EMPLOYEE]]="","",MATCH(T_LEAVE[[#This Row],[LEAVE TYPE]],L_LEAVETYPES,0))</f>
        <v/>
      </c>
      <c r="J645">
        <f t="array" ref="J645">IFERROR(INDEX(T_LEAVE_TYPES[SYMBOL],T_LEAVE[[#This Row],[LEAVE TYPE SYS ID]]),"")</f>
        <v/>
      </c>
      <c r="K645">
        <f>IF(T_LEAVE[[#This Row],[EMPLOYEE]]="","",IF(T_LEAVE[[#This Row],[ERROR]]="",0,1))</f>
        <v/>
      </c>
      <c r="L645">
        <f t="array" ref="L6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6">
      <c r="A646" t="inlineStr">
        <is>
          <t>Suchismita  Mohanty (1022859)</t>
        </is>
      </c>
      <c r="B646" t="inlineStr">
        <is>
          <t>Wednesday, 12 October 2022</t>
        </is>
      </c>
      <c r="C646" t="inlineStr">
        <is>
          <t>Wednesday, 12 October 2022</t>
        </is>
      </c>
      <c r="D646" t="inlineStr">
        <is>
          <t xml:space="preserve">Casual / Sick </t>
        </is>
      </c>
      <c r="E646" t="n">
        <v>1</v>
      </c>
      <c r="F646" s="1" t="n"/>
      <c r="G646" s="1" t="n"/>
      <c r="H646">
        <f>IF(T_LEAVE[[#This Row],[EMPLOYEE]]="","",MATCH(T_LEAVE[[#This Row],[EMPLOYEE]],L_EMPLABELS,0))</f>
        <v/>
      </c>
      <c r="I646">
        <f>IF(T_LEAVE[[#This Row],[EMPLOYEE]]="","",MATCH(T_LEAVE[[#This Row],[LEAVE TYPE]],L_LEAVETYPES,0))</f>
        <v/>
      </c>
      <c r="J646">
        <f t="array" ref="J646">IFERROR(INDEX(T_LEAVE_TYPES[SYMBOL],T_LEAVE[[#This Row],[LEAVE TYPE SYS ID]]),"")</f>
        <v/>
      </c>
      <c r="K646">
        <f>IF(T_LEAVE[[#This Row],[EMPLOYEE]]="","",IF(T_LEAVE[[#This Row],[ERROR]]="",0,1))</f>
        <v/>
      </c>
      <c r="L646">
        <f t="array" ref="L6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7">
      <c r="A647" t="inlineStr">
        <is>
          <t>S Suneetha (1020246)</t>
        </is>
      </c>
      <c r="B647" t="inlineStr">
        <is>
          <t>Monday, 10 October 2022</t>
        </is>
      </c>
      <c r="C647" t="inlineStr">
        <is>
          <t>Tuesday, 11 October 2022</t>
        </is>
      </c>
      <c r="D647" t="inlineStr">
        <is>
          <t xml:space="preserve">Casual / Sick </t>
        </is>
      </c>
      <c r="E647" t="n">
        <v>2</v>
      </c>
      <c r="F647" s="1" t="n"/>
      <c r="G647" s="1" t="n"/>
      <c r="H647">
        <f>IF(T_LEAVE[[#This Row],[EMPLOYEE]]="","",MATCH(T_LEAVE[[#This Row],[EMPLOYEE]],L_EMPLABELS,0))</f>
        <v/>
      </c>
      <c r="I647">
        <f>IF(T_LEAVE[[#This Row],[EMPLOYEE]]="","",MATCH(T_LEAVE[[#This Row],[LEAVE TYPE]],L_LEAVETYPES,0))</f>
        <v/>
      </c>
      <c r="J647">
        <f t="array" ref="J647">IFERROR(INDEX(T_LEAVE_TYPES[SYMBOL],T_LEAVE[[#This Row],[LEAVE TYPE SYS ID]]),"")</f>
        <v/>
      </c>
      <c r="K647">
        <f>IF(T_LEAVE[[#This Row],[EMPLOYEE]]="","",IF(T_LEAVE[[#This Row],[ERROR]]="",0,1))</f>
        <v/>
      </c>
      <c r="L647">
        <f t="array" ref="L6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8">
      <c r="A648" t="inlineStr">
        <is>
          <t>Chitturi Sriramya (1028935)</t>
        </is>
      </c>
      <c r="B648" t="inlineStr">
        <is>
          <t>Wednesday, 12 October 2022</t>
        </is>
      </c>
      <c r="C648" t="inlineStr">
        <is>
          <t>Wednesday, 12 October 2022</t>
        </is>
      </c>
      <c r="D648" t="inlineStr">
        <is>
          <t xml:space="preserve">Casual / Sick </t>
        </is>
      </c>
      <c r="E648" t="n">
        <v>1</v>
      </c>
      <c r="F648" s="1" t="n"/>
      <c r="G648" s="1" t="n"/>
      <c r="H648">
        <f>IF(T_LEAVE[[#This Row],[EMPLOYEE]]="","",MATCH(T_LEAVE[[#This Row],[EMPLOYEE]],L_EMPLABELS,0))</f>
        <v/>
      </c>
      <c r="I648">
        <f>IF(T_LEAVE[[#This Row],[EMPLOYEE]]="","",MATCH(T_LEAVE[[#This Row],[LEAVE TYPE]],L_LEAVETYPES,0))</f>
        <v/>
      </c>
      <c r="J648">
        <f t="array" ref="J648">IFERROR(INDEX(T_LEAVE_TYPES[SYMBOL],T_LEAVE[[#This Row],[LEAVE TYPE SYS ID]]),"")</f>
        <v/>
      </c>
      <c r="K648">
        <f>IF(T_LEAVE[[#This Row],[EMPLOYEE]]="","",IF(T_LEAVE[[#This Row],[ERROR]]="",0,1))</f>
        <v/>
      </c>
      <c r="L648">
        <f t="array" ref="L6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49">
      <c r="A649" t="inlineStr">
        <is>
          <t>Suchismita  Mohanty (1022859)</t>
        </is>
      </c>
      <c r="B649" t="inlineStr">
        <is>
          <t>Friday, 07 October 2022</t>
        </is>
      </c>
      <c r="C649" t="inlineStr">
        <is>
          <t>Friday, 07 October 2022</t>
        </is>
      </c>
      <c r="D649" t="inlineStr">
        <is>
          <t xml:space="preserve">Casual / Sick </t>
        </is>
      </c>
      <c r="E649" t="n">
        <v>1</v>
      </c>
      <c r="F649" s="1" t="n"/>
      <c r="G649" s="1" t="n"/>
      <c r="H649">
        <f>IF(T_LEAVE[[#This Row],[EMPLOYEE]]="","",MATCH(T_LEAVE[[#This Row],[EMPLOYEE]],L_EMPLABELS,0))</f>
        <v/>
      </c>
      <c r="I649">
        <f>IF(T_LEAVE[[#This Row],[EMPLOYEE]]="","",MATCH(T_LEAVE[[#This Row],[LEAVE TYPE]],L_LEAVETYPES,0))</f>
        <v/>
      </c>
      <c r="J649">
        <f t="array" ref="J649">IFERROR(INDEX(T_LEAVE_TYPES[SYMBOL],T_LEAVE[[#This Row],[LEAVE TYPE SYS ID]]),"")</f>
        <v/>
      </c>
      <c r="K649">
        <f>IF(T_LEAVE[[#This Row],[EMPLOYEE]]="","",IF(T_LEAVE[[#This Row],[ERROR]]="",0,1))</f>
        <v/>
      </c>
      <c r="L649">
        <f t="array" ref="L6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0">
      <c r="A650" t="inlineStr">
        <is>
          <t>Sushmitha  M (1027703)</t>
        </is>
      </c>
      <c r="B650" t="inlineStr">
        <is>
          <t>Monday, 03 October 2022</t>
        </is>
      </c>
      <c r="C650" t="inlineStr">
        <is>
          <t>Monday, 03 October 2022</t>
        </is>
      </c>
      <c r="D650" t="inlineStr">
        <is>
          <t>Privilege</t>
        </is>
      </c>
      <c r="E650" t="n">
        <v>1</v>
      </c>
      <c r="F650" s="1" t="n"/>
      <c r="G650" s="1" t="n"/>
      <c r="H650">
        <f>IF(T_LEAVE[[#This Row],[EMPLOYEE]]="","",MATCH(T_LEAVE[[#This Row],[EMPLOYEE]],L_EMPLABELS,0))</f>
        <v/>
      </c>
      <c r="I650">
        <f>IF(T_LEAVE[[#This Row],[EMPLOYEE]]="","",MATCH(T_LEAVE[[#This Row],[LEAVE TYPE]],L_LEAVETYPES,0))</f>
        <v/>
      </c>
      <c r="J650">
        <f t="array" ref="J650">IFERROR(INDEX(T_LEAVE_TYPES[SYMBOL],T_LEAVE[[#This Row],[LEAVE TYPE SYS ID]]),"")</f>
        <v/>
      </c>
      <c r="K650">
        <f>IF(T_LEAVE[[#This Row],[EMPLOYEE]]="","",IF(T_LEAVE[[#This Row],[ERROR]]="",0,1))</f>
        <v/>
      </c>
      <c r="L650">
        <f t="array" ref="L6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1">
      <c r="A651" t="inlineStr">
        <is>
          <t>Karthika  R (1020012)</t>
        </is>
      </c>
      <c r="B651" t="inlineStr">
        <is>
          <t>Wednesday, 28 September 2022</t>
        </is>
      </c>
      <c r="C651" t="inlineStr">
        <is>
          <t>Wednesday, 28 September 2022</t>
        </is>
      </c>
      <c r="D651" t="inlineStr">
        <is>
          <t xml:space="preserve">Casual / Sick </t>
        </is>
      </c>
      <c r="E651" t="n">
        <v>1</v>
      </c>
      <c r="F651" s="1" t="n"/>
      <c r="G651" s="1" t="n"/>
      <c r="H651">
        <f>IF(T_LEAVE[[#This Row],[EMPLOYEE]]="","",MATCH(T_LEAVE[[#This Row],[EMPLOYEE]],L_EMPLABELS,0))</f>
        <v/>
      </c>
      <c r="I651">
        <f>IF(T_LEAVE[[#This Row],[EMPLOYEE]]="","",MATCH(T_LEAVE[[#This Row],[LEAVE TYPE]],L_LEAVETYPES,0))</f>
        <v/>
      </c>
      <c r="J651">
        <f t="array" ref="J651">IFERROR(INDEX(T_LEAVE_TYPES[SYMBOL],T_LEAVE[[#This Row],[LEAVE TYPE SYS ID]]),"")</f>
        <v/>
      </c>
      <c r="K651">
        <f>IF(T_LEAVE[[#This Row],[EMPLOYEE]]="","",IF(T_LEAVE[[#This Row],[ERROR]]="",0,1))</f>
        <v/>
      </c>
      <c r="L651">
        <f t="array" ref="L6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2">
      <c r="A652" t="inlineStr">
        <is>
          <t>Balam Jyothi (1022134)</t>
        </is>
      </c>
      <c r="B652" t="inlineStr">
        <is>
          <t>Tuesday, 23 August 2022</t>
        </is>
      </c>
      <c r="C652" t="inlineStr">
        <is>
          <t>Tuesday, 23 August 2022</t>
        </is>
      </c>
      <c r="D652" t="inlineStr">
        <is>
          <t xml:space="preserve">Casual / Sick </t>
        </is>
      </c>
      <c r="E652" t="n">
        <v>1</v>
      </c>
      <c r="F652" s="1" t="n"/>
      <c r="G652" s="1" t="n"/>
      <c r="H652">
        <f>IF(T_LEAVE[[#This Row],[EMPLOYEE]]="","",MATCH(T_LEAVE[[#This Row],[EMPLOYEE]],L_EMPLABELS,0))</f>
        <v/>
      </c>
      <c r="I652">
        <f>IF(T_LEAVE[[#This Row],[EMPLOYEE]]="","",MATCH(T_LEAVE[[#This Row],[LEAVE TYPE]],L_LEAVETYPES,0))</f>
        <v/>
      </c>
      <c r="J652">
        <f t="array" ref="J652">IFERROR(INDEX(T_LEAVE_TYPES[SYMBOL],T_LEAVE[[#This Row],[LEAVE TYPE SYS ID]]),"")</f>
        <v/>
      </c>
      <c r="K652">
        <f>IF(T_LEAVE[[#This Row],[EMPLOYEE]]="","",IF(T_LEAVE[[#This Row],[ERROR]]="",0,1))</f>
        <v/>
      </c>
      <c r="L652">
        <f t="array" ref="L6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3">
      <c r="A653" t="inlineStr">
        <is>
          <t>Balam Jyothi (1022134)</t>
        </is>
      </c>
      <c r="B653" t="inlineStr">
        <is>
          <t>Monday, 19 September 2022</t>
        </is>
      </c>
      <c r="C653" t="inlineStr">
        <is>
          <t>Monday, 19 September 2022</t>
        </is>
      </c>
      <c r="D653" t="inlineStr">
        <is>
          <t xml:space="preserve">Casual / Sick </t>
        </is>
      </c>
      <c r="E653" t="n">
        <v>1</v>
      </c>
      <c r="F653" s="1" t="n"/>
      <c r="G653" s="1" t="n"/>
      <c r="H653">
        <f>IF(T_LEAVE[[#This Row],[EMPLOYEE]]="","",MATCH(T_LEAVE[[#This Row],[EMPLOYEE]],L_EMPLABELS,0))</f>
        <v/>
      </c>
      <c r="I653">
        <f>IF(T_LEAVE[[#This Row],[EMPLOYEE]]="","",MATCH(T_LEAVE[[#This Row],[LEAVE TYPE]],L_LEAVETYPES,0))</f>
        <v/>
      </c>
      <c r="J653">
        <f t="array" ref="J653">IFERROR(INDEX(T_LEAVE_TYPES[SYMBOL],T_LEAVE[[#This Row],[LEAVE TYPE SYS ID]]),"")</f>
        <v/>
      </c>
      <c r="K653">
        <f>IF(T_LEAVE[[#This Row],[EMPLOYEE]]="","",IF(T_LEAVE[[#This Row],[ERROR]]="",0,1))</f>
        <v/>
      </c>
      <c r="L653">
        <f t="array" ref="L6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4">
      <c r="A654" t="inlineStr">
        <is>
          <t>Balam Jyothi (1022134)</t>
        </is>
      </c>
      <c r="B654" t="inlineStr">
        <is>
          <t>Wednesday, 07 September 2022</t>
        </is>
      </c>
      <c r="C654" t="inlineStr">
        <is>
          <t>Wednesday, 07 September 2022</t>
        </is>
      </c>
      <c r="D654" t="inlineStr">
        <is>
          <t xml:space="preserve">Casual / Sick </t>
        </is>
      </c>
      <c r="E654" t="n">
        <v>1</v>
      </c>
      <c r="F654" s="1" t="n"/>
      <c r="G654" s="1" t="n"/>
      <c r="H654">
        <f>IF(T_LEAVE[[#This Row],[EMPLOYEE]]="","",MATCH(T_LEAVE[[#This Row],[EMPLOYEE]],L_EMPLABELS,0))</f>
        <v/>
      </c>
      <c r="I654">
        <f>IF(T_LEAVE[[#This Row],[EMPLOYEE]]="","",MATCH(T_LEAVE[[#This Row],[LEAVE TYPE]],L_LEAVETYPES,0))</f>
        <v/>
      </c>
      <c r="J654">
        <f t="array" ref="J654">IFERROR(INDEX(T_LEAVE_TYPES[SYMBOL],T_LEAVE[[#This Row],[LEAVE TYPE SYS ID]]),"")</f>
        <v/>
      </c>
      <c r="K654">
        <f>IF(T_LEAVE[[#This Row],[EMPLOYEE]]="","",IF(T_LEAVE[[#This Row],[ERROR]]="",0,1))</f>
        <v/>
      </c>
      <c r="L654">
        <f t="array" ref="L6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5">
      <c r="A655" t="inlineStr">
        <is>
          <t>S Suneetha (1020246)</t>
        </is>
      </c>
      <c r="B655" t="inlineStr">
        <is>
          <t>Monday, 19 September 2022</t>
        </is>
      </c>
      <c r="C655" t="inlineStr">
        <is>
          <t>Monday, 19 September 2022</t>
        </is>
      </c>
      <c r="D655" t="inlineStr">
        <is>
          <t>Privilege</t>
        </is>
      </c>
      <c r="E655" t="n">
        <v>1</v>
      </c>
      <c r="F655" s="1" t="n"/>
      <c r="G655" s="1" t="n"/>
      <c r="H655">
        <f>IF(T_LEAVE[[#This Row],[EMPLOYEE]]="","",MATCH(T_LEAVE[[#This Row],[EMPLOYEE]],L_EMPLABELS,0))</f>
        <v/>
      </c>
      <c r="I655">
        <f>IF(T_LEAVE[[#This Row],[EMPLOYEE]]="","",MATCH(T_LEAVE[[#This Row],[LEAVE TYPE]],L_LEAVETYPES,0))</f>
        <v/>
      </c>
      <c r="J655">
        <f t="array" ref="J655">IFERROR(INDEX(T_LEAVE_TYPES[SYMBOL],T_LEAVE[[#This Row],[LEAVE TYPE SYS ID]]),"")</f>
        <v/>
      </c>
      <c r="K655">
        <f>IF(T_LEAVE[[#This Row],[EMPLOYEE]]="","",IF(T_LEAVE[[#This Row],[ERROR]]="",0,1))</f>
        <v/>
      </c>
      <c r="L655">
        <f t="array" ref="L6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6">
      <c r="A656" t="inlineStr">
        <is>
          <t>Suchismita  Mohanty (1022859)</t>
        </is>
      </c>
      <c r="B656" t="inlineStr">
        <is>
          <t>Monday, 05 September 2022</t>
        </is>
      </c>
      <c r="C656" t="inlineStr">
        <is>
          <t>Monday, 05 September 2022</t>
        </is>
      </c>
      <c r="D656" t="inlineStr">
        <is>
          <t>Privilege</t>
        </is>
      </c>
      <c r="E656" t="n">
        <v>1</v>
      </c>
      <c r="F656" s="1" t="n"/>
      <c r="G656" s="1" t="n"/>
      <c r="H656">
        <f>IF(T_LEAVE[[#This Row],[EMPLOYEE]]="","",MATCH(T_LEAVE[[#This Row],[EMPLOYEE]],L_EMPLABELS,0))</f>
        <v/>
      </c>
      <c r="I656">
        <f>IF(T_LEAVE[[#This Row],[EMPLOYEE]]="","",MATCH(T_LEAVE[[#This Row],[LEAVE TYPE]],L_LEAVETYPES,0))</f>
        <v/>
      </c>
      <c r="J656">
        <f t="array" ref="J656">IFERROR(INDEX(T_LEAVE_TYPES[SYMBOL],T_LEAVE[[#This Row],[LEAVE TYPE SYS ID]]),"")</f>
        <v/>
      </c>
      <c r="K656">
        <f>IF(T_LEAVE[[#This Row],[EMPLOYEE]]="","",IF(T_LEAVE[[#This Row],[ERROR]]="",0,1))</f>
        <v/>
      </c>
      <c r="L656">
        <f t="array" ref="L6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7">
      <c r="A657" t="inlineStr">
        <is>
          <t>Siddanna  (1027766)</t>
        </is>
      </c>
      <c r="B657" t="inlineStr">
        <is>
          <t>Wednesday, 17 August 2022</t>
        </is>
      </c>
      <c r="C657" t="inlineStr">
        <is>
          <t>Wednesday, 17 August 2022</t>
        </is>
      </c>
      <c r="D657" t="inlineStr">
        <is>
          <t xml:space="preserve">Casual / Sick </t>
        </is>
      </c>
      <c r="E657" t="n">
        <v>1</v>
      </c>
      <c r="F657" s="1" t="n"/>
      <c r="G657" s="1" t="n"/>
      <c r="H657">
        <f>IF(T_LEAVE[[#This Row],[EMPLOYEE]]="","",MATCH(T_LEAVE[[#This Row],[EMPLOYEE]],L_EMPLABELS,0))</f>
        <v/>
      </c>
      <c r="I657">
        <f>IF(T_LEAVE[[#This Row],[EMPLOYEE]]="","",MATCH(T_LEAVE[[#This Row],[LEAVE TYPE]],L_LEAVETYPES,0))</f>
        <v/>
      </c>
      <c r="J657">
        <f t="array" ref="J657">IFERROR(INDEX(T_LEAVE_TYPES[SYMBOL],T_LEAVE[[#This Row],[LEAVE TYPE SYS ID]]),"")</f>
        <v/>
      </c>
      <c r="K657">
        <f>IF(T_LEAVE[[#This Row],[EMPLOYEE]]="","",IF(T_LEAVE[[#This Row],[ERROR]]="",0,1))</f>
        <v/>
      </c>
      <c r="L657">
        <f t="array" ref="L6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8">
      <c r="A658" t="inlineStr">
        <is>
          <t>Suchismita  Mohanty (1022859)</t>
        </is>
      </c>
      <c r="B658" t="inlineStr">
        <is>
          <t>Friday, 12 August 2022</t>
        </is>
      </c>
      <c r="C658" t="inlineStr">
        <is>
          <t>Friday, 12 August 2022</t>
        </is>
      </c>
      <c r="D658" t="inlineStr">
        <is>
          <t>Privilege</t>
        </is>
      </c>
      <c r="E658" t="n">
        <v>1</v>
      </c>
      <c r="F658" s="1" t="n"/>
      <c r="G658" s="1" t="n"/>
      <c r="H658">
        <f>IF(T_LEAVE[[#This Row],[EMPLOYEE]]="","",MATCH(T_LEAVE[[#This Row],[EMPLOYEE]],L_EMPLABELS,0))</f>
        <v/>
      </c>
      <c r="I658">
        <f>IF(T_LEAVE[[#This Row],[EMPLOYEE]]="","",MATCH(T_LEAVE[[#This Row],[LEAVE TYPE]],L_LEAVETYPES,0))</f>
        <v/>
      </c>
      <c r="J658">
        <f t="array" ref="J658">IFERROR(INDEX(T_LEAVE_TYPES[SYMBOL],T_LEAVE[[#This Row],[LEAVE TYPE SYS ID]]),"")</f>
        <v/>
      </c>
      <c r="K658">
        <f>IF(T_LEAVE[[#This Row],[EMPLOYEE]]="","",IF(T_LEAVE[[#This Row],[ERROR]]="",0,1))</f>
        <v/>
      </c>
      <c r="L658">
        <f t="array" ref="L6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59">
      <c r="A659" t="inlineStr">
        <is>
          <t>Preetam  Patel (1024572)</t>
        </is>
      </c>
      <c r="B659" t="inlineStr">
        <is>
          <t>Friday, 12 August 2022</t>
        </is>
      </c>
      <c r="C659" t="inlineStr">
        <is>
          <t>Friday, 12 August 2022</t>
        </is>
      </c>
      <c r="D659" t="inlineStr">
        <is>
          <t xml:space="preserve">Casual / Sick </t>
        </is>
      </c>
      <c r="E659" t="n">
        <v>1</v>
      </c>
      <c r="F659" s="1" t="n"/>
      <c r="G659" s="1" t="n"/>
      <c r="H659">
        <f>IF(T_LEAVE[[#This Row],[EMPLOYEE]]="","",MATCH(T_LEAVE[[#This Row],[EMPLOYEE]],L_EMPLABELS,0))</f>
        <v/>
      </c>
      <c r="I659">
        <f>IF(T_LEAVE[[#This Row],[EMPLOYEE]]="","",MATCH(T_LEAVE[[#This Row],[LEAVE TYPE]],L_LEAVETYPES,0))</f>
        <v/>
      </c>
      <c r="J659">
        <f t="array" ref="J659">IFERROR(INDEX(T_LEAVE_TYPES[SYMBOL],T_LEAVE[[#This Row],[LEAVE TYPE SYS ID]]),"")</f>
        <v/>
      </c>
      <c r="K659">
        <f>IF(T_LEAVE[[#This Row],[EMPLOYEE]]="","",IF(T_LEAVE[[#This Row],[ERROR]]="",0,1))</f>
        <v/>
      </c>
      <c r="L659">
        <f t="array" ref="L6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0">
      <c r="A660" t="inlineStr">
        <is>
          <t>Chitturi Sriramya (1028935)</t>
        </is>
      </c>
      <c r="B660" t="inlineStr">
        <is>
          <t>Thursday, 11 August 2022</t>
        </is>
      </c>
      <c r="C660" t="inlineStr">
        <is>
          <t>Friday, 12 August 2022</t>
        </is>
      </c>
      <c r="D660" t="inlineStr">
        <is>
          <t xml:space="preserve">Casual / Sick </t>
        </is>
      </c>
      <c r="E660" t="n">
        <v>2</v>
      </c>
      <c r="F660" s="1" t="n"/>
      <c r="G660" s="1" t="n"/>
      <c r="H660">
        <f>IF(T_LEAVE[[#This Row],[EMPLOYEE]]="","",MATCH(T_LEAVE[[#This Row],[EMPLOYEE]],L_EMPLABELS,0))</f>
        <v/>
      </c>
      <c r="I660">
        <f>IF(T_LEAVE[[#This Row],[EMPLOYEE]]="","",MATCH(T_LEAVE[[#This Row],[LEAVE TYPE]],L_LEAVETYPES,0))</f>
        <v/>
      </c>
      <c r="J660">
        <f t="array" ref="J660">IFERROR(INDEX(T_LEAVE_TYPES[SYMBOL],T_LEAVE[[#This Row],[LEAVE TYPE SYS ID]]),"")</f>
        <v/>
      </c>
      <c r="K660">
        <f>IF(T_LEAVE[[#This Row],[EMPLOYEE]]="","",IF(T_LEAVE[[#This Row],[ERROR]]="",0,1))</f>
        <v/>
      </c>
      <c r="L660">
        <f t="array" ref="L6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1">
      <c r="A661" t="inlineStr">
        <is>
          <t>Karthika  R (1020012)</t>
        </is>
      </c>
      <c r="B661" t="inlineStr">
        <is>
          <t>Thursday, 04 August 2022</t>
        </is>
      </c>
      <c r="C661" t="inlineStr">
        <is>
          <t>Thursday, 04 August 2022</t>
        </is>
      </c>
      <c r="D661" t="inlineStr">
        <is>
          <t>Privilege</t>
        </is>
      </c>
      <c r="E661" t="n">
        <v>1</v>
      </c>
      <c r="F661" s="1" t="n"/>
      <c r="G661" s="1" t="n"/>
      <c r="H661">
        <f>IF(T_LEAVE[[#This Row],[EMPLOYEE]]="","",MATCH(T_LEAVE[[#This Row],[EMPLOYEE]],L_EMPLABELS,0))</f>
        <v/>
      </c>
      <c r="I661">
        <f>IF(T_LEAVE[[#This Row],[EMPLOYEE]]="","",MATCH(T_LEAVE[[#This Row],[LEAVE TYPE]],L_LEAVETYPES,0))</f>
        <v/>
      </c>
      <c r="J661">
        <f t="array" ref="J661">IFERROR(INDEX(T_LEAVE_TYPES[SYMBOL],T_LEAVE[[#This Row],[LEAVE TYPE SYS ID]]),"")</f>
        <v/>
      </c>
      <c r="K661">
        <f>IF(T_LEAVE[[#This Row],[EMPLOYEE]]="","",IF(T_LEAVE[[#This Row],[ERROR]]="",0,1))</f>
        <v/>
      </c>
      <c r="L661">
        <f t="array" ref="L6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2">
      <c r="A662" t="inlineStr">
        <is>
          <t>Chilakala  Srikanth Reddy (1027289)</t>
        </is>
      </c>
      <c r="B662" t="inlineStr">
        <is>
          <t>Wednesday, 27 July 2022</t>
        </is>
      </c>
      <c r="C662" t="inlineStr">
        <is>
          <t>Wednesday, 27 July 2022</t>
        </is>
      </c>
      <c r="D662" t="inlineStr">
        <is>
          <t xml:space="preserve">Casual / Sick </t>
        </is>
      </c>
      <c r="E662" t="n">
        <v>1</v>
      </c>
      <c r="F662" s="1" t="n"/>
      <c r="G662" s="1" t="n"/>
      <c r="H662">
        <f>IF(T_LEAVE[[#This Row],[EMPLOYEE]]="","",MATCH(T_LEAVE[[#This Row],[EMPLOYEE]],L_EMPLABELS,0))</f>
        <v/>
      </c>
      <c r="I662">
        <f>IF(T_LEAVE[[#This Row],[EMPLOYEE]]="","",MATCH(T_LEAVE[[#This Row],[LEAVE TYPE]],L_LEAVETYPES,0))</f>
        <v/>
      </c>
      <c r="J662">
        <f t="array" ref="J662">IFERROR(INDEX(T_LEAVE_TYPES[SYMBOL],T_LEAVE[[#This Row],[LEAVE TYPE SYS ID]]),"")</f>
        <v/>
      </c>
      <c r="K662">
        <f>IF(T_LEAVE[[#This Row],[EMPLOYEE]]="","",IF(T_LEAVE[[#This Row],[ERROR]]="",0,1))</f>
        <v/>
      </c>
      <c r="L662">
        <f t="array" ref="L6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3">
      <c r="A663" t="inlineStr">
        <is>
          <t>Suchismita  Mohanty (1022859)</t>
        </is>
      </c>
      <c r="B663" t="inlineStr">
        <is>
          <t>Friday, 08 July 2022</t>
        </is>
      </c>
      <c r="C663" t="inlineStr">
        <is>
          <t>Monday, 11 July 2022</t>
        </is>
      </c>
      <c r="D663" t="inlineStr">
        <is>
          <t xml:space="preserve">Casual / Sick </t>
        </is>
      </c>
      <c r="E663" t="n">
        <v>2</v>
      </c>
      <c r="F663" s="1" t="n"/>
      <c r="G663" s="1" t="n"/>
      <c r="H663">
        <f>IF(T_LEAVE[[#This Row],[EMPLOYEE]]="","",MATCH(T_LEAVE[[#This Row],[EMPLOYEE]],L_EMPLABELS,0))</f>
        <v/>
      </c>
      <c r="I663">
        <f>IF(T_LEAVE[[#This Row],[EMPLOYEE]]="","",MATCH(T_LEAVE[[#This Row],[LEAVE TYPE]],L_LEAVETYPES,0))</f>
        <v/>
      </c>
      <c r="J663">
        <f t="array" ref="J663">IFERROR(INDEX(T_LEAVE_TYPES[SYMBOL],T_LEAVE[[#This Row],[LEAVE TYPE SYS ID]]),"")</f>
        <v/>
      </c>
      <c r="K663">
        <f>IF(T_LEAVE[[#This Row],[EMPLOYEE]]="","",IF(T_LEAVE[[#This Row],[ERROR]]="",0,1))</f>
        <v/>
      </c>
      <c r="L663">
        <f t="array" ref="L6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4">
      <c r="A664" t="inlineStr">
        <is>
          <t>Preetam  Patel (1024572)</t>
        </is>
      </c>
      <c r="B664" t="inlineStr">
        <is>
          <t>Friday, 08 July 2022</t>
        </is>
      </c>
      <c r="C664" t="inlineStr">
        <is>
          <t>Friday, 08 July 2022</t>
        </is>
      </c>
      <c r="D664" t="inlineStr">
        <is>
          <t xml:space="preserve">Casual / Sick </t>
        </is>
      </c>
      <c r="E664" t="n">
        <v>1</v>
      </c>
      <c r="F664" s="1" t="n"/>
      <c r="G664" s="1" t="n"/>
      <c r="H664">
        <f>IF(T_LEAVE[[#This Row],[EMPLOYEE]]="","",MATCH(T_LEAVE[[#This Row],[EMPLOYEE]],L_EMPLABELS,0))</f>
        <v/>
      </c>
      <c r="I664">
        <f>IF(T_LEAVE[[#This Row],[EMPLOYEE]]="","",MATCH(T_LEAVE[[#This Row],[LEAVE TYPE]],L_LEAVETYPES,0))</f>
        <v/>
      </c>
      <c r="J664">
        <f t="array" ref="J664">IFERROR(INDEX(T_LEAVE_TYPES[SYMBOL],T_LEAVE[[#This Row],[LEAVE TYPE SYS ID]]),"")</f>
        <v/>
      </c>
      <c r="K664">
        <f>IF(T_LEAVE[[#This Row],[EMPLOYEE]]="","",IF(T_LEAVE[[#This Row],[ERROR]]="",0,1))</f>
        <v/>
      </c>
      <c r="L664">
        <f t="array" ref="L6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5">
      <c r="A665" t="inlineStr">
        <is>
          <t>Aishwarya  Ds (1024946)</t>
        </is>
      </c>
      <c r="B665" t="inlineStr">
        <is>
          <t>Thursday, 23 June 2022</t>
        </is>
      </c>
      <c r="C665" t="inlineStr">
        <is>
          <t>Friday, 24 June 2022</t>
        </is>
      </c>
      <c r="D665" t="inlineStr">
        <is>
          <t xml:space="preserve">Casual / Sick </t>
        </is>
      </c>
      <c r="E665" t="n">
        <v>2</v>
      </c>
      <c r="F665" s="1" t="n"/>
      <c r="G665" s="1" t="n"/>
      <c r="H665">
        <f>IF(T_LEAVE[[#This Row],[EMPLOYEE]]="","",MATCH(T_LEAVE[[#This Row],[EMPLOYEE]],L_EMPLABELS,0))</f>
        <v/>
      </c>
      <c r="I665">
        <f>IF(T_LEAVE[[#This Row],[EMPLOYEE]]="","",MATCH(T_LEAVE[[#This Row],[LEAVE TYPE]],L_LEAVETYPES,0))</f>
        <v/>
      </c>
      <c r="J665">
        <f t="array" ref="J665">IFERROR(INDEX(T_LEAVE_TYPES[SYMBOL],T_LEAVE[[#This Row],[LEAVE TYPE SYS ID]]),"")</f>
        <v/>
      </c>
      <c r="K665">
        <f>IF(T_LEAVE[[#This Row],[EMPLOYEE]]="","",IF(T_LEAVE[[#This Row],[ERROR]]="",0,1))</f>
        <v/>
      </c>
      <c r="L665">
        <f t="array" ref="L6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6">
      <c r="A666" t="inlineStr">
        <is>
          <t>Chitturi Sriramya (1028935)</t>
        </is>
      </c>
      <c r="B666" t="inlineStr">
        <is>
          <t>Wednesday, 22 June 2022</t>
        </is>
      </c>
      <c r="C666" t="inlineStr">
        <is>
          <t>Wednesday, 22 June 2022</t>
        </is>
      </c>
      <c r="D666" t="inlineStr">
        <is>
          <t xml:space="preserve">Casual / Sick </t>
        </is>
      </c>
      <c r="E666" t="n">
        <v>1</v>
      </c>
      <c r="F666" s="1" t="n"/>
      <c r="G666" s="1" t="n"/>
      <c r="H666">
        <f>IF(T_LEAVE[[#This Row],[EMPLOYEE]]="","",MATCH(T_LEAVE[[#This Row],[EMPLOYEE]],L_EMPLABELS,0))</f>
        <v/>
      </c>
      <c r="I666">
        <f>IF(T_LEAVE[[#This Row],[EMPLOYEE]]="","",MATCH(T_LEAVE[[#This Row],[LEAVE TYPE]],L_LEAVETYPES,0))</f>
        <v/>
      </c>
      <c r="J666">
        <f t="array" ref="J666">IFERROR(INDEX(T_LEAVE_TYPES[SYMBOL],T_LEAVE[[#This Row],[LEAVE TYPE SYS ID]]),"")</f>
        <v/>
      </c>
      <c r="K666">
        <f>IF(T_LEAVE[[#This Row],[EMPLOYEE]]="","",IF(T_LEAVE[[#This Row],[ERROR]]="",0,1))</f>
        <v/>
      </c>
      <c r="L666">
        <f t="array" ref="L6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7">
      <c r="A667" t="inlineStr">
        <is>
          <t>Preetam  Patel (1024572)</t>
        </is>
      </c>
      <c r="B667" t="inlineStr">
        <is>
          <t>Friday, 17 June 2022</t>
        </is>
      </c>
      <c r="C667" t="inlineStr">
        <is>
          <t>Friday, 17 June 2022</t>
        </is>
      </c>
      <c r="D667" t="inlineStr">
        <is>
          <t xml:space="preserve">Casual / Sick </t>
        </is>
      </c>
      <c r="E667" t="n">
        <v>1</v>
      </c>
      <c r="F667" s="1" t="n"/>
      <c r="G667" s="1" t="n"/>
      <c r="H667">
        <f>IF(T_LEAVE[[#This Row],[EMPLOYEE]]="","",MATCH(T_LEAVE[[#This Row],[EMPLOYEE]],L_EMPLABELS,0))</f>
        <v/>
      </c>
      <c r="I667">
        <f>IF(T_LEAVE[[#This Row],[EMPLOYEE]]="","",MATCH(T_LEAVE[[#This Row],[LEAVE TYPE]],L_LEAVETYPES,0))</f>
        <v/>
      </c>
      <c r="J667">
        <f t="array" ref="J667">IFERROR(INDEX(T_LEAVE_TYPES[SYMBOL],T_LEAVE[[#This Row],[LEAVE TYPE SYS ID]]),"")</f>
        <v/>
      </c>
      <c r="K667">
        <f>IF(T_LEAVE[[#This Row],[EMPLOYEE]]="","",IF(T_LEAVE[[#This Row],[ERROR]]="",0,1))</f>
        <v/>
      </c>
      <c r="L667">
        <f t="array" ref="L6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8">
      <c r="A668" t="inlineStr">
        <is>
          <t>Karthika  R (1020012)</t>
        </is>
      </c>
      <c r="B668" t="inlineStr">
        <is>
          <t>Monday, 06 June 2022</t>
        </is>
      </c>
      <c r="C668" t="inlineStr">
        <is>
          <t>Monday, 06 June 2022</t>
        </is>
      </c>
      <c r="D668" t="inlineStr">
        <is>
          <t xml:space="preserve">Casual / Sick </t>
        </is>
      </c>
      <c r="E668" t="n">
        <v>1</v>
      </c>
      <c r="F668" s="1" t="n"/>
      <c r="G668" s="1" t="n"/>
      <c r="H668">
        <f>IF(T_LEAVE[[#This Row],[EMPLOYEE]]="","",MATCH(T_LEAVE[[#This Row],[EMPLOYEE]],L_EMPLABELS,0))</f>
        <v/>
      </c>
      <c r="I668">
        <f>IF(T_LEAVE[[#This Row],[EMPLOYEE]]="","",MATCH(T_LEAVE[[#This Row],[LEAVE TYPE]],L_LEAVETYPES,0))</f>
        <v/>
      </c>
      <c r="J668">
        <f t="array" ref="J668">IFERROR(INDEX(T_LEAVE_TYPES[SYMBOL],T_LEAVE[[#This Row],[LEAVE TYPE SYS ID]]),"")</f>
        <v/>
      </c>
      <c r="K668">
        <f>IF(T_LEAVE[[#This Row],[EMPLOYEE]]="","",IF(T_LEAVE[[#This Row],[ERROR]]="",0,1))</f>
        <v/>
      </c>
      <c r="L668">
        <f t="array" ref="L6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69">
      <c r="A669" t="inlineStr">
        <is>
          <t>Suchismita  Mohanty (1022859)</t>
        </is>
      </c>
      <c r="B669" t="inlineStr">
        <is>
          <t>Thursday, 02 June 2022</t>
        </is>
      </c>
      <c r="C669" t="inlineStr">
        <is>
          <t>Friday, 03 June 2022</t>
        </is>
      </c>
      <c r="D669" t="inlineStr">
        <is>
          <t xml:space="preserve">Casual / Sick </t>
        </is>
      </c>
      <c r="E669" t="n">
        <v>2</v>
      </c>
      <c r="F669" s="1" t="n"/>
      <c r="G669" s="1" t="n"/>
      <c r="H669">
        <f>IF(T_LEAVE[[#This Row],[EMPLOYEE]]="","",MATCH(T_LEAVE[[#This Row],[EMPLOYEE]],L_EMPLABELS,0))</f>
        <v/>
      </c>
      <c r="I669">
        <f>IF(T_LEAVE[[#This Row],[EMPLOYEE]]="","",MATCH(T_LEAVE[[#This Row],[LEAVE TYPE]],L_LEAVETYPES,0))</f>
        <v/>
      </c>
      <c r="J669">
        <f t="array" ref="J669">IFERROR(INDEX(T_LEAVE_TYPES[SYMBOL],T_LEAVE[[#This Row],[LEAVE TYPE SYS ID]]),"")</f>
        <v/>
      </c>
      <c r="K669">
        <f>IF(T_LEAVE[[#This Row],[EMPLOYEE]]="","",IF(T_LEAVE[[#This Row],[ERROR]]="",0,1))</f>
        <v/>
      </c>
      <c r="L669">
        <f t="array" ref="L6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0">
      <c r="A670" t="inlineStr">
        <is>
          <t>Siddanna  (1027766)</t>
        </is>
      </c>
      <c r="B670" t="inlineStr">
        <is>
          <t>Wednesday, 25 May 2022</t>
        </is>
      </c>
      <c r="C670" t="inlineStr">
        <is>
          <t>Wednesday, 25 May 2022</t>
        </is>
      </c>
      <c r="D670" t="inlineStr">
        <is>
          <t xml:space="preserve">Casual / Sick </t>
        </is>
      </c>
      <c r="E670" t="n">
        <v>1</v>
      </c>
      <c r="F670" s="1" t="n"/>
      <c r="G670" s="1" t="n"/>
      <c r="H670">
        <f>IF(T_LEAVE[[#This Row],[EMPLOYEE]]="","",MATCH(T_LEAVE[[#This Row],[EMPLOYEE]],L_EMPLABELS,0))</f>
        <v/>
      </c>
      <c r="I670">
        <f>IF(T_LEAVE[[#This Row],[EMPLOYEE]]="","",MATCH(T_LEAVE[[#This Row],[LEAVE TYPE]],L_LEAVETYPES,0))</f>
        <v/>
      </c>
      <c r="J670">
        <f t="array" ref="J670">IFERROR(INDEX(T_LEAVE_TYPES[SYMBOL],T_LEAVE[[#This Row],[LEAVE TYPE SYS ID]]),"")</f>
        <v/>
      </c>
      <c r="K670">
        <f>IF(T_LEAVE[[#This Row],[EMPLOYEE]]="","",IF(T_LEAVE[[#This Row],[ERROR]]="",0,1))</f>
        <v/>
      </c>
      <c r="L670">
        <f t="array" ref="L6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1">
      <c r="A671" t="inlineStr">
        <is>
          <t>S Suneetha (1020246)</t>
        </is>
      </c>
      <c r="B671" t="inlineStr">
        <is>
          <t>Tuesday, 01 February 2022</t>
        </is>
      </c>
      <c r="C671" t="inlineStr">
        <is>
          <t>Monday, 01 August 2022</t>
        </is>
      </c>
      <c r="D671" t="inlineStr">
        <is>
          <t>Maternity</t>
        </is>
      </c>
      <c r="E671" t="n">
        <v>182</v>
      </c>
      <c r="F671" s="1" t="n"/>
      <c r="G671" s="1" t="n"/>
      <c r="H671">
        <f>IF(T_LEAVE[[#This Row],[EMPLOYEE]]="","",MATCH(T_LEAVE[[#This Row],[EMPLOYEE]],L_EMPLABELS,0))</f>
        <v/>
      </c>
      <c r="I671">
        <f>IF(T_LEAVE[[#This Row],[EMPLOYEE]]="","",MATCH(T_LEAVE[[#This Row],[LEAVE TYPE]],L_LEAVETYPES,0))</f>
        <v/>
      </c>
      <c r="J671">
        <f t="array" ref="J671">IFERROR(INDEX(T_LEAVE_TYPES[SYMBOL],T_LEAVE[[#This Row],[LEAVE TYPE SYS ID]]),"")</f>
        <v/>
      </c>
      <c r="K671">
        <f>IF(T_LEAVE[[#This Row],[EMPLOYEE]]="","",IF(T_LEAVE[[#This Row],[ERROR]]="",0,1))</f>
        <v/>
      </c>
      <c r="L671">
        <f t="array" ref="L6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2">
      <c r="A672" t="inlineStr">
        <is>
          <t>Karthika  R (1020012)</t>
        </is>
      </c>
      <c r="B672" t="inlineStr">
        <is>
          <t>Friday, 08 April 2022</t>
        </is>
      </c>
      <c r="C672" t="inlineStr">
        <is>
          <t>Friday, 08 April 2022</t>
        </is>
      </c>
      <c r="D672" t="inlineStr">
        <is>
          <t>Privilege</t>
        </is>
      </c>
      <c r="E672" t="n">
        <v>1</v>
      </c>
      <c r="F672" s="1" t="n"/>
      <c r="G672" s="1" t="n"/>
      <c r="H672">
        <f>IF(T_LEAVE[[#This Row],[EMPLOYEE]]="","",MATCH(T_LEAVE[[#This Row],[EMPLOYEE]],L_EMPLABELS,0))</f>
        <v/>
      </c>
      <c r="I672">
        <f>IF(T_LEAVE[[#This Row],[EMPLOYEE]]="","",MATCH(T_LEAVE[[#This Row],[LEAVE TYPE]],L_LEAVETYPES,0))</f>
        <v/>
      </c>
      <c r="J672">
        <f t="array" ref="J672">IFERROR(INDEX(T_LEAVE_TYPES[SYMBOL],T_LEAVE[[#This Row],[LEAVE TYPE SYS ID]]),"")</f>
        <v/>
      </c>
      <c r="K672">
        <f>IF(T_LEAVE[[#This Row],[EMPLOYEE]]="","",IF(T_LEAVE[[#This Row],[ERROR]]="",0,1))</f>
        <v/>
      </c>
      <c r="L672">
        <f t="array" ref="L6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3">
      <c r="A673" t="inlineStr">
        <is>
          <t>Sushmitha  M (1027703)</t>
        </is>
      </c>
      <c r="B673" t="inlineStr">
        <is>
          <t>Friday, 22 April 2022</t>
        </is>
      </c>
      <c r="C673" t="inlineStr">
        <is>
          <t>Friday, 22 April 2022</t>
        </is>
      </c>
      <c r="D673" t="inlineStr">
        <is>
          <t xml:space="preserve">Casual / Sick </t>
        </is>
      </c>
      <c r="E673" t="n">
        <v>1</v>
      </c>
      <c r="F673" s="1" t="n"/>
      <c r="G673" s="1" t="n"/>
      <c r="H673">
        <f>IF(T_LEAVE[[#This Row],[EMPLOYEE]]="","",MATCH(T_LEAVE[[#This Row],[EMPLOYEE]],L_EMPLABELS,0))</f>
        <v/>
      </c>
      <c r="I673">
        <f>IF(T_LEAVE[[#This Row],[EMPLOYEE]]="","",MATCH(T_LEAVE[[#This Row],[LEAVE TYPE]],L_LEAVETYPES,0))</f>
        <v/>
      </c>
      <c r="J673">
        <f t="array" ref="J673">IFERROR(INDEX(T_LEAVE_TYPES[SYMBOL],T_LEAVE[[#This Row],[LEAVE TYPE SYS ID]]),"")</f>
        <v/>
      </c>
      <c r="K673">
        <f>IF(T_LEAVE[[#This Row],[EMPLOYEE]]="","",IF(T_LEAVE[[#This Row],[ERROR]]="",0,1))</f>
        <v/>
      </c>
      <c r="L673">
        <f t="array" ref="L6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4">
      <c r="A674" t="inlineStr">
        <is>
          <t>Siddanna  (1027766)</t>
        </is>
      </c>
      <c r="B674" t="inlineStr">
        <is>
          <t>Thursday, 21 April 2022</t>
        </is>
      </c>
      <c r="C674" t="inlineStr">
        <is>
          <t>Thursday, 21 April 2022</t>
        </is>
      </c>
      <c r="D674" t="inlineStr">
        <is>
          <t xml:space="preserve">Casual / Sick </t>
        </is>
      </c>
      <c r="E674" t="n">
        <v>1</v>
      </c>
      <c r="F674" s="1" t="n"/>
      <c r="G674" s="1" t="n"/>
      <c r="H674">
        <f>IF(T_LEAVE[[#This Row],[EMPLOYEE]]="","",MATCH(T_LEAVE[[#This Row],[EMPLOYEE]],L_EMPLABELS,0))</f>
        <v/>
      </c>
      <c r="I674">
        <f>IF(T_LEAVE[[#This Row],[EMPLOYEE]]="","",MATCH(T_LEAVE[[#This Row],[LEAVE TYPE]],L_LEAVETYPES,0))</f>
        <v/>
      </c>
      <c r="J674">
        <f t="array" ref="J674">IFERROR(INDEX(T_LEAVE_TYPES[SYMBOL],T_LEAVE[[#This Row],[LEAVE TYPE SYS ID]]),"")</f>
        <v/>
      </c>
      <c r="K674">
        <f>IF(T_LEAVE[[#This Row],[EMPLOYEE]]="","",IF(T_LEAVE[[#This Row],[ERROR]]="",0,1))</f>
        <v/>
      </c>
      <c r="L674">
        <f t="array" ref="L6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5">
      <c r="A675" t="inlineStr">
        <is>
          <t>Suchismita  Mohanty (1022859)</t>
        </is>
      </c>
      <c r="B675" t="inlineStr">
        <is>
          <t>Monday, 04 April 2022</t>
        </is>
      </c>
      <c r="C675" t="inlineStr">
        <is>
          <t>Monday, 04 April 2022</t>
        </is>
      </c>
      <c r="D675" t="inlineStr">
        <is>
          <t xml:space="preserve">Casual / Sick </t>
        </is>
      </c>
      <c r="E675" t="n">
        <v>1</v>
      </c>
      <c r="F675" s="1" t="n"/>
      <c r="G675" s="1" t="n"/>
      <c r="H675">
        <f>IF(T_LEAVE[[#This Row],[EMPLOYEE]]="","",MATCH(T_LEAVE[[#This Row],[EMPLOYEE]],L_EMPLABELS,0))</f>
        <v/>
      </c>
      <c r="I675">
        <f>IF(T_LEAVE[[#This Row],[EMPLOYEE]]="","",MATCH(T_LEAVE[[#This Row],[LEAVE TYPE]],L_LEAVETYPES,0))</f>
        <v/>
      </c>
      <c r="J675">
        <f t="array" ref="J675">IFERROR(INDEX(T_LEAVE_TYPES[SYMBOL],T_LEAVE[[#This Row],[LEAVE TYPE SYS ID]]),"")</f>
        <v/>
      </c>
      <c r="K675">
        <f>IF(T_LEAVE[[#This Row],[EMPLOYEE]]="","",IF(T_LEAVE[[#This Row],[ERROR]]="",0,1))</f>
        <v/>
      </c>
      <c r="L675">
        <f t="array" ref="L6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6">
      <c r="A676" t="inlineStr">
        <is>
          <t>Suchismita  Mohanty (1022859)</t>
        </is>
      </c>
      <c r="B676" t="inlineStr">
        <is>
          <t>Friday, 04 March 2022</t>
        </is>
      </c>
      <c r="C676" t="inlineStr">
        <is>
          <t>Friday, 04 March 2022</t>
        </is>
      </c>
      <c r="D676" t="inlineStr">
        <is>
          <t>Privilege</t>
        </is>
      </c>
      <c r="E676" t="n">
        <v>1</v>
      </c>
      <c r="F676" s="1" t="n"/>
      <c r="G676" s="1" t="n"/>
      <c r="H676">
        <f>IF(T_LEAVE[[#This Row],[EMPLOYEE]]="","",MATCH(T_LEAVE[[#This Row],[EMPLOYEE]],L_EMPLABELS,0))</f>
        <v/>
      </c>
      <c r="I676">
        <f>IF(T_LEAVE[[#This Row],[EMPLOYEE]]="","",MATCH(T_LEAVE[[#This Row],[LEAVE TYPE]],L_LEAVETYPES,0))</f>
        <v/>
      </c>
      <c r="J676">
        <f t="array" ref="J676">IFERROR(INDEX(T_LEAVE_TYPES[SYMBOL],T_LEAVE[[#This Row],[LEAVE TYPE SYS ID]]),"")</f>
        <v/>
      </c>
      <c r="K676">
        <f>IF(T_LEAVE[[#This Row],[EMPLOYEE]]="","",IF(T_LEAVE[[#This Row],[ERROR]]="",0,1))</f>
        <v/>
      </c>
      <c r="L676">
        <f t="array" ref="L6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7">
      <c r="A677" t="inlineStr">
        <is>
          <t>Preetam  Patel (1024572)</t>
        </is>
      </c>
      <c r="B677" t="inlineStr">
        <is>
          <t>Monday, 04 April 2022</t>
        </is>
      </c>
      <c r="C677" t="inlineStr">
        <is>
          <t>Monday, 04 April 2022</t>
        </is>
      </c>
      <c r="D677" t="inlineStr">
        <is>
          <t xml:space="preserve">Casual / Sick </t>
        </is>
      </c>
      <c r="E677" t="n">
        <v>1</v>
      </c>
      <c r="F677" s="1" t="n"/>
      <c r="G677" s="1" t="n"/>
      <c r="H677">
        <f>IF(T_LEAVE[[#This Row],[EMPLOYEE]]="","",MATCH(T_LEAVE[[#This Row],[EMPLOYEE]],L_EMPLABELS,0))</f>
        <v/>
      </c>
      <c r="I677">
        <f>IF(T_LEAVE[[#This Row],[EMPLOYEE]]="","",MATCH(T_LEAVE[[#This Row],[LEAVE TYPE]],L_LEAVETYPES,0))</f>
        <v/>
      </c>
      <c r="J677">
        <f t="array" ref="J677">IFERROR(INDEX(T_LEAVE_TYPES[SYMBOL],T_LEAVE[[#This Row],[LEAVE TYPE SYS ID]]),"")</f>
        <v/>
      </c>
      <c r="K677">
        <f>IF(T_LEAVE[[#This Row],[EMPLOYEE]]="","",IF(T_LEAVE[[#This Row],[ERROR]]="",0,1))</f>
        <v/>
      </c>
      <c r="L677">
        <f t="array" ref="L6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8">
      <c r="A678" t="inlineStr">
        <is>
          <t>Aishwarya  Ds (1024946)</t>
        </is>
      </c>
      <c r="B678" t="inlineStr">
        <is>
          <t>Friday, 25 March 2022</t>
        </is>
      </c>
      <c r="C678" t="inlineStr">
        <is>
          <t>Friday, 25 March 2022</t>
        </is>
      </c>
      <c r="D678" t="inlineStr">
        <is>
          <t>Privilege</t>
        </is>
      </c>
      <c r="E678" t="n">
        <v>1</v>
      </c>
      <c r="F678" s="1" t="n"/>
      <c r="G678" s="1" t="n"/>
      <c r="H678">
        <f>IF(T_LEAVE[[#This Row],[EMPLOYEE]]="","",MATCH(T_LEAVE[[#This Row],[EMPLOYEE]],L_EMPLABELS,0))</f>
        <v/>
      </c>
      <c r="I678">
        <f>IF(T_LEAVE[[#This Row],[EMPLOYEE]]="","",MATCH(T_LEAVE[[#This Row],[LEAVE TYPE]],L_LEAVETYPES,0))</f>
        <v/>
      </c>
      <c r="J678">
        <f t="array" ref="J678">IFERROR(INDEX(T_LEAVE_TYPES[SYMBOL],T_LEAVE[[#This Row],[LEAVE TYPE SYS ID]]),"")</f>
        <v/>
      </c>
      <c r="K678">
        <f>IF(T_LEAVE[[#This Row],[EMPLOYEE]]="","",IF(T_LEAVE[[#This Row],[ERROR]]="",0,1))</f>
        <v/>
      </c>
      <c r="L678">
        <f t="array" ref="L6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79">
      <c r="A679" t="inlineStr">
        <is>
          <t>Preetam  Patel (1024572)</t>
        </is>
      </c>
      <c r="B679" t="inlineStr">
        <is>
          <t>Friday, 18 March 2022</t>
        </is>
      </c>
      <c r="C679" t="inlineStr">
        <is>
          <t>Friday, 18 March 2022</t>
        </is>
      </c>
      <c r="D679" t="inlineStr">
        <is>
          <t xml:space="preserve">Casual / Sick </t>
        </is>
      </c>
      <c r="E679" t="n">
        <v>1</v>
      </c>
      <c r="F679" s="1" t="n"/>
      <c r="G679" s="1" t="n"/>
      <c r="H679">
        <f>IF(T_LEAVE[[#This Row],[EMPLOYEE]]="","",MATCH(T_LEAVE[[#This Row],[EMPLOYEE]],L_EMPLABELS,0))</f>
        <v/>
      </c>
      <c r="I679">
        <f>IF(T_LEAVE[[#This Row],[EMPLOYEE]]="","",MATCH(T_LEAVE[[#This Row],[LEAVE TYPE]],L_LEAVETYPES,0))</f>
        <v/>
      </c>
      <c r="J679">
        <f t="array" ref="J679">IFERROR(INDEX(T_LEAVE_TYPES[SYMBOL],T_LEAVE[[#This Row],[LEAVE TYPE SYS ID]]),"")</f>
        <v/>
      </c>
      <c r="K679">
        <f>IF(T_LEAVE[[#This Row],[EMPLOYEE]]="","",IF(T_LEAVE[[#This Row],[ERROR]]="",0,1))</f>
        <v/>
      </c>
      <c r="L679">
        <f t="array" ref="L6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0">
      <c r="A680" t="inlineStr">
        <is>
          <t>Suchismita  Mohanty (1022859)</t>
        </is>
      </c>
      <c r="B680" t="inlineStr">
        <is>
          <t>Wednesday, 09 February 2022</t>
        </is>
      </c>
      <c r="C680" t="inlineStr">
        <is>
          <t>Friday, 11 February 2022</t>
        </is>
      </c>
      <c r="D680" t="inlineStr">
        <is>
          <t>Privilege</t>
        </is>
      </c>
      <c r="E680" t="n">
        <v>3</v>
      </c>
      <c r="F680" s="1" t="n"/>
      <c r="G680" s="1" t="n"/>
      <c r="H680">
        <f>IF(T_LEAVE[[#This Row],[EMPLOYEE]]="","",MATCH(T_LEAVE[[#This Row],[EMPLOYEE]],L_EMPLABELS,0))</f>
        <v/>
      </c>
      <c r="I680">
        <f>IF(T_LEAVE[[#This Row],[EMPLOYEE]]="","",MATCH(T_LEAVE[[#This Row],[LEAVE TYPE]],L_LEAVETYPES,0))</f>
        <v/>
      </c>
      <c r="J680">
        <f t="array" ref="J680">IFERROR(INDEX(T_LEAVE_TYPES[SYMBOL],T_LEAVE[[#This Row],[LEAVE TYPE SYS ID]]),"")</f>
        <v/>
      </c>
      <c r="K680">
        <f>IF(T_LEAVE[[#This Row],[EMPLOYEE]]="","",IF(T_LEAVE[[#This Row],[ERROR]]="",0,1))</f>
        <v/>
      </c>
      <c r="L680">
        <f t="array" ref="L6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1">
      <c r="A681" t="inlineStr">
        <is>
          <t>Karthika  R (1020012)</t>
        </is>
      </c>
      <c r="B681" t="inlineStr">
        <is>
          <t>Wednesday, 12 January 2022</t>
        </is>
      </c>
      <c r="C681" t="inlineStr">
        <is>
          <t>Thursday, 13 January 2022</t>
        </is>
      </c>
      <c r="D681" t="inlineStr">
        <is>
          <t>Privilege</t>
        </is>
      </c>
      <c r="E681" t="n">
        <v>2</v>
      </c>
      <c r="F681" s="1" t="n"/>
      <c r="G681" s="1" t="n"/>
      <c r="H681">
        <f>IF(T_LEAVE[[#This Row],[EMPLOYEE]]="","",MATCH(T_LEAVE[[#This Row],[EMPLOYEE]],L_EMPLABELS,0))</f>
        <v/>
      </c>
      <c r="I681">
        <f>IF(T_LEAVE[[#This Row],[EMPLOYEE]]="","",MATCH(T_LEAVE[[#This Row],[LEAVE TYPE]],L_LEAVETYPES,0))</f>
        <v/>
      </c>
      <c r="J681">
        <f t="array" ref="J681">IFERROR(INDEX(T_LEAVE_TYPES[SYMBOL],T_LEAVE[[#This Row],[LEAVE TYPE SYS ID]]),"")</f>
        <v/>
      </c>
      <c r="K681">
        <f>IF(T_LEAVE[[#This Row],[EMPLOYEE]]="","",IF(T_LEAVE[[#This Row],[ERROR]]="",0,1))</f>
        <v/>
      </c>
      <c r="L681">
        <f t="array" ref="L6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2">
      <c r="A682" t="inlineStr">
        <is>
          <t>Aishwarya  Ds (1024946)</t>
        </is>
      </c>
      <c r="B682" t="inlineStr">
        <is>
          <t>Friday, 11 February 2022</t>
        </is>
      </c>
      <c r="C682" t="inlineStr">
        <is>
          <t>Friday, 11 February 2022</t>
        </is>
      </c>
      <c r="D682" t="inlineStr">
        <is>
          <t>Privilege</t>
        </is>
      </c>
      <c r="E682" t="n">
        <v>1</v>
      </c>
      <c r="F682" s="1" t="n"/>
      <c r="G682" s="1" t="n"/>
      <c r="H682">
        <f>IF(T_LEAVE[[#This Row],[EMPLOYEE]]="","",MATCH(T_LEAVE[[#This Row],[EMPLOYEE]],L_EMPLABELS,0))</f>
        <v/>
      </c>
      <c r="I682">
        <f>IF(T_LEAVE[[#This Row],[EMPLOYEE]]="","",MATCH(T_LEAVE[[#This Row],[LEAVE TYPE]],L_LEAVETYPES,0))</f>
        <v/>
      </c>
      <c r="J682">
        <f t="array" ref="J682">IFERROR(INDEX(T_LEAVE_TYPES[SYMBOL],T_LEAVE[[#This Row],[LEAVE TYPE SYS ID]]),"")</f>
        <v/>
      </c>
      <c r="K682">
        <f>IF(T_LEAVE[[#This Row],[EMPLOYEE]]="","",IF(T_LEAVE[[#This Row],[ERROR]]="",0,1))</f>
        <v/>
      </c>
      <c r="L682">
        <f t="array" ref="L6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3">
      <c r="A683" t="inlineStr">
        <is>
          <t>Suchismita  Mohanty (1022859)</t>
        </is>
      </c>
      <c r="B683" t="inlineStr">
        <is>
          <t>Monday, 07 February 2022</t>
        </is>
      </c>
      <c r="C683" t="inlineStr">
        <is>
          <t>Monday, 07 February 2022</t>
        </is>
      </c>
      <c r="D683" t="inlineStr">
        <is>
          <t xml:space="preserve">Casual / Sick </t>
        </is>
      </c>
      <c r="E683" t="n">
        <v>1</v>
      </c>
      <c r="F683" s="1" t="n"/>
      <c r="G683" s="1" t="n"/>
      <c r="H683">
        <f>IF(T_LEAVE[[#This Row],[EMPLOYEE]]="","",MATCH(T_LEAVE[[#This Row],[EMPLOYEE]],L_EMPLABELS,0))</f>
        <v/>
      </c>
      <c r="I683">
        <f>IF(T_LEAVE[[#This Row],[EMPLOYEE]]="","",MATCH(T_LEAVE[[#This Row],[LEAVE TYPE]],L_LEAVETYPES,0))</f>
        <v/>
      </c>
      <c r="J683">
        <f t="array" ref="J683">IFERROR(INDEX(T_LEAVE_TYPES[SYMBOL],T_LEAVE[[#This Row],[LEAVE TYPE SYS ID]]),"")</f>
        <v/>
      </c>
      <c r="K683">
        <f>IF(T_LEAVE[[#This Row],[EMPLOYEE]]="","",IF(T_LEAVE[[#This Row],[ERROR]]="",0,1))</f>
        <v/>
      </c>
      <c r="L683">
        <f t="array" ref="L6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4">
      <c r="A684" t="inlineStr">
        <is>
          <t>Suchismita  Mohanty (1022859)</t>
        </is>
      </c>
      <c r="B684" t="inlineStr">
        <is>
          <t>Friday, 04 February 2022</t>
        </is>
      </c>
      <c r="C684" t="inlineStr">
        <is>
          <t>Friday, 04 February 2022</t>
        </is>
      </c>
      <c r="D684" t="inlineStr">
        <is>
          <t>Privilege</t>
        </is>
      </c>
      <c r="E684" t="n">
        <v>1</v>
      </c>
      <c r="F684" s="1" t="n"/>
      <c r="G684" s="1" t="n"/>
      <c r="H684">
        <f>IF(T_LEAVE[[#This Row],[EMPLOYEE]]="","",MATCH(T_LEAVE[[#This Row],[EMPLOYEE]],L_EMPLABELS,0))</f>
        <v/>
      </c>
      <c r="I684">
        <f>IF(T_LEAVE[[#This Row],[EMPLOYEE]]="","",MATCH(T_LEAVE[[#This Row],[LEAVE TYPE]],L_LEAVETYPES,0))</f>
        <v/>
      </c>
      <c r="J684">
        <f t="array" ref="J684">IFERROR(INDEX(T_LEAVE_TYPES[SYMBOL],T_LEAVE[[#This Row],[LEAVE TYPE SYS ID]]),"")</f>
        <v/>
      </c>
      <c r="K684">
        <f>IF(T_LEAVE[[#This Row],[EMPLOYEE]]="","",IF(T_LEAVE[[#This Row],[ERROR]]="",0,1))</f>
        <v/>
      </c>
      <c r="L684">
        <f t="array" ref="L6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5">
      <c r="A685" t="inlineStr">
        <is>
          <t>Sushmitha  M (1027703)</t>
        </is>
      </c>
      <c r="B685" t="inlineStr">
        <is>
          <t>Thursday, 10 February 2022</t>
        </is>
      </c>
      <c r="C685" t="inlineStr">
        <is>
          <t>Thursday, 10 February 2022</t>
        </is>
      </c>
      <c r="D685" t="inlineStr">
        <is>
          <t xml:space="preserve">Casual / Sick </t>
        </is>
      </c>
      <c r="E685" t="n">
        <v>1</v>
      </c>
      <c r="F685" s="1" t="n"/>
      <c r="G685" s="1" t="n"/>
      <c r="H685">
        <f>IF(T_LEAVE[[#This Row],[EMPLOYEE]]="","",MATCH(T_LEAVE[[#This Row],[EMPLOYEE]],L_EMPLABELS,0))</f>
        <v/>
      </c>
      <c r="I685">
        <f>IF(T_LEAVE[[#This Row],[EMPLOYEE]]="","",MATCH(T_LEAVE[[#This Row],[LEAVE TYPE]],L_LEAVETYPES,0))</f>
        <v/>
      </c>
      <c r="J685">
        <f t="array" ref="J685">IFERROR(INDEX(T_LEAVE_TYPES[SYMBOL],T_LEAVE[[#This Row],[LEAVE TYPE SYS ID]]),"")</f>
        <v/>
      </c>
      <c r="K685">
        <f>IF(T_LEAVE[[#This Row],[EMPLOYEE]]="","",IF(T_LEAVE[[#This Row],[ERROR]]="",0,1))</f>
        <v/>
      </c>
      <c r="L685">
        <f t="array" ref="L6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6">
      <c r="A686" t="inlineStr">
        <is>
          <t>S Suneetha (1020246)</t>
        </is>
      </c>
      <c r="B686" t="inlineStr">
        <is>
          <t>Monday, 03 January 2022</t>
        </is>
      </c>
      <c r="C686" t="inlineStr">
        <is>
          <t>Friday, 07 January 2022</t>
        </is>
      </c>
      <c r="D686" t="inlineStr">
        <is>
          <t>Privilege</t>
        </is>
      </c>
      <c r="E686" t="n">
        <v>5</v>
      </c>
      <c r="F686" s="1" t="n"/>
      <c r="G686" s="1" t="n"/>
      <c r="H686">
        <f>IF(T_LEAVE[[#This Row],[EMPLOYEE]]="","",MATCH(T_LEAVE[[#This Row],[EMPLOYEE]],L_EMPLABELS,0))</f>
        <v/>
      </c>
      <c r="I686">
        <f>IF(T_LEAVE[[#This Row],[EMPLOYEE]]="","",MATCH(T_LEAVE[[#This Row],[LEAVE TYPE]],L_LEAVETYPES,0))</f>
        <v/>
      </c>
      <c r="J686">
        <f t="array" ref="J686">IFERROR(INDEX(T_LEAVE_TYPES[SYMBOL],T_LEAVE[[#This Row],[LEAVE TYPE SYS ID]]),"")</f>
        <v/>
      </c>
      <c r="K686">
        <f>IF(T_LEAVE[[#This Row],[EMPLOYEE]]="","",IF(T_LEAVE[[#This Row],[ERROR]]="",0,1))</f>
        <v/>
      </c>
      <c r="L686">
        <f t="array" ref="L6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7">
      <c r="A687" t="inlineStr">
        <is>
          <t>Preetam  Patel (1024572)</t>
        </is>
      </c>
      <c r="B687" t="inlineStr">
        <is>
          <t>Friday, 31 December 2021</t>
        </is>
      </c>
      <c r="C687" t="inlineStr">
        <is>
          <t>Friday, 31 December 2021</t>
        </is>
      </c>
      <c r="D687" t="inlineStr">
        <is>
          <t xml:space="preserve">Casual / Sick </t>
        </is>
      </c>
      <c r="E687" t="n">
        <v>1</v>
      </c>
      <c r="F687" s="1" t="n"/>
      <c r="G687" s="1" t="n"/>
      <c r="H687">
        <f>IF(T_LEAVE[[#This Row],[EMPLOYEE]]="","",MATCH(T_LEAVE[[#This Row],[EMPLOYEE]],L_EMPLABELS,0))</f>
        <v/>
      </c>
      <c r="I687">
        <f>IF(T_LEAVE[[#This Row],[EMPLOYEE]]="","",MATCH(T_LEAVE[[#This Row],[LEAVE TYPE]],L_LEAVETYPES,0))</f>
        <v/>
      </c>
      <c r="J687">
        <f t="array" ref="J687">IFERROR(INDEX(T_LEAVE_TYPES[SYMBOL],T_LEAVE[[#This Row],[LEAVE TYPE SYS ID]]),"")</f>
        <v/>
      </c>
      <c r="K687">
        <f>IF(T_LEAVE[[#This Row],[EMPLOYEE]]="","",IF(T_LEAVE[[#This Row],[ERROR]]="",0,1))</f>
        <v/>
      </c>
      <c r="L687">
        <f t="array" ref="L6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8">
      <c r="A688" t="inlineStr">
        <is>
          <t>Karthika  R (1020012)</t>
        </is>
      </c>
      <c r="B688" t="inlineStr">
        <is>
          <t>Wednesday, 29 December 2021</t>
        </is>
      </c>
      <c r="C688" t="inlineStr">
        <is>
          <t>Wednesday, 29 December 2021</t>
        </is>
      </c>
      <c r="D688" t="inlineStr">
        <is>
          <t>Privilege</t>
        </is>
      </c>
      <c r="E688" t="n">
        <v>1</v>
      </c>
      <c r="F688" s="1" t="n"/>
      <c r="G688" s="1" t="n"/>
      <c r="H688">
        <f>IF(T_LEAVE[[#This Row],[EMPLOYEE]]="","",MATCH(T_LEAVE[[#This Row],[EMPLOYEE]],L_EMPLABELS,0))</f>
        <v/>
      </c>
      <c r="I688">
        <f>IF(T_LEAVE[[#This Row],[EMPLOYEE]]="","",MATCH(T_LEAVE[[#This Row],[LEAVE TYPE]],L_LEAVETYPES,0))</f>
        <v/>
      </c>
      <c r="J688">
        <f t="array" ref="J688">IFERROR(INDEX(T_LEAVE_TYPES[SYMBOL],T_LEAVE[[#This Row],[LEAVE TYPE SYS ID]]),"")</f>
        <v/>
      </c>
      <c r="K688">
        <f>IF(T_LEAVE[[#This Row],[EMPLOYEE]]="","",IF(T_LEAVE[[#This Row],[ERROR]]="",0,1))</f>
        <v/>
      </c>
      <c r="L688">
        <f t="array" ref="L6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89">
      <c r="A689" t="inlineStr">
        <is>
          <t>Preetam  Patel (1024572)</t>
        </is>
      </c>
      <c r="B689" t="inlineStr">
        <is>
          <t>Thursday, 30 December 2021</t>
        </is>
      </c>
      <c r="C689" t="inlineStr">
        <is>
          <t>Thursday, 30 December 2021</t>
        </is>
      </c>
      <c r="D689" t="inlineStr">
        <is>
          <t xml:space="preserve">Casual / Sick </t>
        </is>
      </c>
      <c r="E689" t="n">
        <v>1</v>
      </c>
      <c r="F689" s="1" t="n"/>
      <c r="G689" s="1" t="n"/>
      <c r="H689">
        <f>IF(T_LEAVE[[#This Row],[EMPLOYEE]]="","",MATCH(T_LEAVE[[#This Row],[EMPLOYEE]],L_EMPLABELS,0))</f>
        <v/>
      </c>
      <c r="I689">
        <f>IF(T_LEAVE[[#This Row],[EMPLOYEE]]="","",MATCH(T_LEAVE[[#This Row],[LEAVE TYPE]],L_LEAVETYPES,0))</f>
        <v/>
      </c>
      <c r="J689">
        <f t="array" ref="J689">IFERROR(INDEX(T_LEAVE_TYPES[SYMBOL],T_LEAVE[[#This Row],[LEAVE TYPE SYS ID]]),"")</f>
        <v/>
      </c>
      <c r="K689">
        <f>IF(T_LEAVE[[#This Row],[EMPLOYEE]]="","",IF(T_LEAVE[[#This Row],[ERROR]]="",0,1))</f>
        <v/>
      </c>
      <c r="L689">
        <f t="array" ref="L6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0">
      <c r="A690" t="inlineStr">
        <is>
          <t>Suchismita  Mohanty (1022859)</t>
        </is>
      </c>
      <c r="B690" t="inlineStr">
        <is>
          <t>Tuesday, 30 November 2021</t>
        </is>
      </c>
      <c r="C690" t="inlineStr">
        <is>
          <t>Tuesday, 30 November 2021</t>
        </is>
      </c>
      <c r="D690" t="inlineStr">
        <is>
          <t xml:space="preserve">Casual / Sick </t>
        </is>
      </c>
      <c r="E690" t="n">
        <v>1</v>
      </c>
      <c r="F690" s="1" t="n"/>
      <c r="G690" s="1" t="n"/>
      <c r="H690">
        <f>IF(T_LEAVE[[#This Row],[EMPLOYEE]]="","",MATCH(T_LEAVE[[#This Row],[EMPLOYEE]],L_EMPLABELS,0))</f>
        <v/>
      </c>
      <c r="I690">
        <f>IF(T_LEAVE[[#This Row],[EMPLOYEE]]="","",MATCH(T_LEAVE[[#This Row],[LEAVE TYPE]],L_LEAVETYPES,0))</f>
        <v/>
      </c>
      <c r="J690">
        <f t="array" ref="J690">IFERROR(INDEX(T_LEAVE_TYPES[SYMBOL],T_LEAVE[[#This Row],[LEAVE TYPE SYS ID]]),"")</f>
        <v/>
      </c>
      <c r="K690">
        <f>IF(T_LEAVE[[#This Row],[EMPLOYEE]]="","",IF(T_LEAVE[[#This Row],[ERROR]]="",0,1))</f>
        <v/>
      </c>
      <c r="L690">
        <f t="array" ref="L6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1">
      <c r="A691" t="inlineStr">
        <is>
          <t>Aishwarya  Ds (1024946)</t>
        </is>
      </c>
      <c r="B691" t="inlineStr">
        <is>
          <t>Thursday, 30 December 2021</t>
        </is>
      </c>
      <c r="C691" t="inlineStr">
        <is>
          <t>Friday, 31 December 2021</t>
        </is>
      </c>
      <c r="D691" t="inlineStr">
        <is>
          <t xml:space="preserve">Casual / Sick </t>
        </is>
      </c>
      <c r="E691" t="n">
        <v>2</v>
      </c>
      <c r="F691" s="1" t="n"/>
      <c r="G691" s="1" t="n"/>
      <c r="H691">
        <f>IF(T_LEAVE[[#This Row],[EMPLOYEE]]="","",MATCH(T_LEAVE[[#This Row],[EMPLOYEE]],L_EMPLABELS,0))</f>
        <v/>
      </c>
      <c r="I691">
        <f>IF(T_LEAVE[[#This Row],[EMPLOYEE]]="","",MATCH(T_LEAVE[[#This Row],[LEAVE TYPE]],L_LEAVETYPES,0))</f>
        <v/>
      </c>
      <c r="J691">
        <f t="array" ref="J691">IFERROR(INDEX(T_LEAVE_TYPES[SYMBOL],T_LEAVE[[#This Row],[LEAVE TYPE SYS ID]]),"")</f>
        <v/>
      </c>
      <c r="K691">
        <f>IF(T_LEAVE[[#This Row],[EMPLOYEE]]="","",IF(T_LEAVE[[#This Row],[ERROR]]="",0,1))</f>
        <v/>
      </c>
      <c r="L691">
        <f t="array" ref="L6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2">
      <c r="A692" t="inlineStr">
        <is>
          <t>Suchismita  Mohanty (1022859)</t>
        </is>
      </c>
      <c r="B692" t="inlineStr">
        <is>
          <t>Tuesday, 28 December 2021</t>
        </is>
      </c>
      <c r="C692" t="inlineStr">
        <is>
          <t>Tuesday, 28 December 2021</t>
        </is>
      </c>
      <c r="D692" t="inlineStr">
        <is>
          <t xml:space="preserve">Casual / Sick </t>
        </is>
      </c>
      <c r="E692" t="n">
        <v>1</v>
      </c>
      <c r="F692" s="1" t="n"/>
      <c r="G692" s="1" t="n"/>
      <c r="H692">
        <f>IF(T_LEAVE[[#This Row],[EMPLOYEE]]="","",MATCH(T_LEAVE[[#This Row],[EMPLOYEE]],L_EMPLABELS,0))</f>
        <v/>
      </c>
      <c r="I692">
        <f>IF(T_LEAVE[[#This Row],[EMPLOYEE]]="","",MATCH(T_LEAVE[[#This Row],[LEAVE TYPE]],L_LEAVETYPES,0))</f>
        <v/>
      </c>
      <c r="J692">
        <f t="array" ref="J692">IFERROR(INDEX(T_LEAVE_TYPES[SYMBOL],T_LEAVE[[#This Row],[LEAVE TYPE SYS ID]]),"")</f>
        <v/>
      </c>
      <c r="K692">
        <f>IF(T_LEAVE[[#This Row],[EMPLOYEE]]="","",IF(T_LEAVE[[#This Row],[ERROR]]="",0,1))</f>
        <v/>
      </c>
      <c r="L692">
        <f t="array" ref="L6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3">
      <c r="A693" t="inlineStr">
        <is>
          <t>Karthika  R (1020012)</t>
        </is>
      </c>
      <c r="B693" t="inlineStr">
        <is>
          <t>Thursday, 30 December 2021</t>
        </is>
      </c>
      <c r="C693" t="inlineStr">
        <is>
          <t>Friday, 31 December 2021</t>
        </is>
      </c>
      <c r="D693" t="inlineStr">
        <is>
          <t xml:space="preserve">Casual / Sick </t>
        </is>
      </c>
      <c r="E693" t="n">
        <v>2</v>
      </c>
      <c r="F693" s="1" t="n"/>
      <c r="G693" s="1" t="n"/>
      <c r="H693">
        <f>IF(T_LEAVE[[#This Row],[EMPLOYEE]]="","",MATCH(T_LEAVE[[#This Row],[EMPLOYEE]],L_EMPLABELS,0))</f>
        <v/>
      </c>
      <c r="I693">
        <f>IF(T_LEAVE[[#This Row],[EMPLOYEE]]="","",MATCH(T_LEAVE[[#This Row],[LEAVE TYPE]],L_LEAVETYPES,0))</f>
        <v/>
      </c>
      <c r="J693">
        <f t="array" ref="J693">IFERROR(INDEX(T_LEAVE_TYPES[SYMBOL],T_LEAVE[[#This Row],[LEAVE TYPE SYS ID]]),"")</f>
        <v/>
      </c>
      <c r="K693">
        <f>IF(T_LEAVE[[#This Row],[EMPLOYEE]]="","",IF(T_LEAVE[[#This Row],[ERROR]]="",0,1))</f>
        <v/>
      </c>
      <c r="L693">
        <f t="array" ref="L6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4">
      <c r="A694" t="inlineStr">
        <is>
          <t>Suchismita  Mohanty (1022859)</t>
        </is>
      </c>
      <c r="B694" t="inlineStr">
        <is>
          <t>Friday, 24 December 2021</t>
        </is>
      </c>
      <c r="C694" t="inlineStr">
        <is>
          <t>Friday, 24 December 2021</t>
        </is>
      </c>
      <c r="D694" t="inlineStr">
        <is>
          <t xml:space="preserve">Casual / Sick </t>
        </is>
      </c>
      <c r="E694" t="n">
        <v>1</v>
      </c>
      <c r="F694" s="1" t="n"/>
      <c r="G694" s="1" t="n"/>
      <c r="H694">
        <f>IF(T_LEAVE[[#This Row],[EMPLOYEE]]="","",MATCH(T_LEAVE[[#This Row],[EMPLOYEE]],L_EMPLABELS,0))</f>
        <v/>
      </c>
      <c r="I694">
        <f>IF(T_LEAVE[[#This Row],[EMPLOYEE]]="","",MATCH(T_LEAVE[[#This Row],[LEAVE TYPE]],L_LEAVETYPES,0))</f>
        <v/>
      </c>
      <c r="J694">
        <f t="array" ref="J694">IFERROR(INDEX(T_LEAVE_TYPES[SYMBOL],T_LEAVE[[#This Row],[LEAVE TYPE SYS ID]]),"")</f>
        <v/>
      </c>
      <c r="K694">
        <f>IF(T_LEAVE[[#This Row],[EMPLOYEE]]="","",IF(T_LEAVE[[#This Row],[ERROR]]="",0,1))</f>
        <v/>
      </c>
      <c r="L694">
        <f t="array" ref="L6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5">
      <c r="A695" t="inlineStr">
        <is>
          <t>Karthika  R (1020012)</t>
        </is>
      </c>
      <c r="B695" t="inlineStr">
        <is>
          <t>Friday, 10 December 2021</t>
        </is>
      </c>
      <c r="C695" t="inlineStr">
        <is>
          <t>Friday, 10 December 2021</t>
        </is>
      </c>
      <c r="D695" t="inlineStr">
        <is>
          <t xml:space="preserve">Casual / Sick </t>
        </is>
      </c>
      <c r="E695" t="n">
        <v>1</v>
      </c>
      <c r="F695" s="1" t="n"/>
      <c r="G695" s="1" t="n"/>
      <c r="H695">
        <f>IF(T_LEAVE[[#This Row],[EMPLOYEE]]="","",MATCH(T_LEAVE[[#This Row],[EMPLOYEE]],L_EMPLABELS,0))</f>
        <v/>
      </c>
      <c r="I695">
        <f>IF(T_LEAVE[[#This Row],[EMPLOYEE]]="","",MATCH(T_LEAVE[[#This Row],[LEAVE TYPE]],L_LEAVETYPES,0))</f>
        <v/>
      </c>
      <c r="J695">
        <f t="array" ref="J695">IFERROR(INDEX(T_LEAVE_TYPES[SYMBOL],T_LEAVE[[#This Row],[LEAVE TYPE SYS ID]]),"")</f>
        <v/>
      </c>
      <c r="K695">
        <f>IF(T_LEAVE[[#This Row],[EMPLOYEE]]="","",IF(T_LEAVE[[#This Row],[ERROR]]="",0,1))</f>
        <v/>
      </c>
      <c r="L695">
        <f t="array" ref="L6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6">
      <c r="A696" t="inlineStr">
        <is>
          <t>Karthika  R (1020012)</t>
        </is>
      </c>
      <c r="B696" t="inlineStr">
        <is>
          <t>Wednesday, 22 December 2021</t>
        </is>
      </c>
      <c r="C696" t="inlineStr">
        <is>
          <t>Wednesday, 22 December 2021</t>
        </is>
      </c>
      <c r="D696" t="inlineStr">
        <is>
          <t xml:space="preserve">Casual / Sick </t>
        </is>
      </c>
      <c r="E696" t="n">
        <v>1</v>
      </c>
      <c r="F696" s="1" t="n"/>
      <c r="G696" s="1" t="n"/>
      <c r="H696">
        <f>IF(T_LEAVE[[#This Row],[EMPLOYEE]]="","",MATCH(T_LEAVE[[#This Row],[EMPLOYEE]],L_EMPLABELS,0))</f>
        <v/>
      </c>
      <c r="I696">
        <f>IF(T_LEAVE[[#This Row],[EMPLOYEE]]="","",MATCH(T_LEAVE[[#This Row],[LEAVE TYPE]],L_LEAVETYPES,0))</f>
        <v/>
      </c>
      <c r="J696">
        <f t="array" ref="J696">IFERROR(INDEX(T_LEAVE_TYPES[SYMBOL],T_LEAVE[[#This Row],[LEAVE TYPE SYS ID]]),"")</f>
        <v/>
      </c>
      <c r="K696">
        <f>IF(T_LEAVE[[#This Row],[EMPLOYEE]]="","",IF(T_LEAVE[[#This Row],[ERROR]]="",0,1))</f>
        <v/>
      </c>
      <c r="L696">
        <f t="array" ref="L6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7">
      <c r="A697" t="inlineStr">
        <is>
          <t>Suchismita  Mohanty (1022859)</t>
        </is>
      </c>
      <c r="B697" t="inlineStr">
        <is>
          <t>Tuesday, 30 November 2021</t>
        </is>
      </c>
      <c r="C697" t="inlineStr">
        <is>
          <t>Tuesday, 30 November 2021</t>
        </is>
      </c>
      <c r="D697" t="inlineStr">
        <is>
          <t xml:space="preserve">Casual / Sick </t>
        </is>
      </c>
      <c r="E697" t="n">
        <v>1</v>
      </c>
      <c r="F697" s="1" t="n"/>
      <c r="G697" s="1" t="n"/>
      <c r="H697">
        <f>IF(T_LEAVE[[#This Row],[EMPLOYEE]]="","",MATCH(T_LEAVE[[#This Row],[EMPLOYEE]],L_EMPLABELS,0))</f>
        <v/>
      </c>
      <c r="I697">
        <f>IF(T_LEAVE[[#This Row],[EMPLOYEE]]="","",MATCH(T_LEAVE[[#This Row],[LEAVE TYPE]],L_LEAVETYPES,0))</f>
        <v/>
      </c>
      <c r="J697">
        <f t="array" ref="J697">IFERROR(INDEX(T_LEAVE_TYPES[SYMBOL],T_LEAVE[[#This Row],[LEAVE TYPE SYS ID]]),"")</f>
        <v/>
      </c>
      <c r="K697">
        <f>IF(T_LEAVE[[#This Row],[EMPLOYEE]]="","",IF(T_LEAVE[[#This Row],[ERROR]]="",0,1))</f>
        <v/>
      </c>
      <c r="L697">
        <f t="array" ref="L6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8">
      <c r="A698" t="inlineStr">
        <is>
          <t>Suchismita  Mohanty (1022859)</t>
        </is>
      </c>
      <c r="B698" t="inlineStr">
        <is>
          <t>Tuesday, 30 November 2021</t>
        </is>
      </c>
      <c r="C698" t="inlineStr">
        <is>
          <t>Tuesday, 30 November 2021</t>
        </is>
      </c>
      <c r="D698" t="inlineStr">
        <is>
          <t xml:space="preserve">Casual / Sick </t>
        </is>
      </c>
      <c r="E698" t="n">
        <v>1</v>
      </c>
      <c r="F698" s="1" t="n"/>
      <c r="G698" s="1" t="n"/>
      <c r="H698">
        <f>IF(T_LEAVE[[#This Row],[EMPLOYEE]]="","",MATCH(T_LEAVE[[#This Row],[EMPLOYEE]],L_EMPLABELS,0))</f>
        <v/>
      </c>
      <c r="I698">
        <f>IF(T_LEAVE[[#This Row],[EMPLOYEE]]="","",MATCH(T_LEAVE[[#This Row],[LEAVE TYPE]],L_LEAVETYPES,0))</f>
        <v/>
      </c>
      <c r="J698">
        <f t="array" ref="J698">IFERROR(INDEX(T_LEAVE_TYPES[SYMBOL],T_LEAVE[[#This Row],[LEAVE TYPE SYS ID]]),"")</f>
        <v/>
      </c>
      <c r="K698">
        <f>IF(T_LEAVE[[#This Row],[EMPLOYEE]]="","",IF(T_LEAVE[[#This Row],[ERROR]]="",0,1))</f>
        <v/>
      </c>
      <c r="L698">
        <f t="array" ref="L6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699">
      <c r="A699" t="inlineStr">
        <is>
          <t>Preetam  Patel (1024572)</t>
        </is>
      </c>
      <c r="B699" t="inlineStr">
        <is>
          <t>Tuesday, 30 November 2021</t>
        </is>
      </c>
      <c r="C699" t="inlineStr">
        <is>
          <t>Tuesday, 30 November 2021</t>
        </is>
      </c>
      <c r="D699" t="inlineStr">
        <is>
          <t xml:space="preserve">Casual / Sick </t>
        </is>
      </c>
      <c r="E699" t="n">
        <v>1</v>
      </c>
      <c r="F699" s="1" t="n"/>
      <c r="G699" s="1" t="n"/>
      <c r="H699">
        <f>IF(T_LEAVE[[#This Row],[EMPLOYEE]]="","",MATCH(T_LEAVE[[#This Row],[EMPLOYEE]],L_EMPLABELS,0))</f>
        <v/>
      </c>
      <c r="I699">
        <f>IF(T_LEAVE[[#This Row],[EMPLOYEE]]="","",MATCH(T_LEAVE[[#This Row],[LEAVE TYPE]],L_LEAVETYPES,0))</f>
        <v/>
      </c>
      <c r="J699">
        <f t="array" ref="J699">IFERROR(INDEX(T_LEAVE_TYPES[SYMBOL],T_LEAVE[[#This Row],[LEAVE TYPE SYS ID]]),"")</f>
        <v/>
      </c>
      <c r="K699">
        <f>IF(T_LEAVE[[#This Row],[EMPLOYEE]]="","",IF(T_LEAVE[[#This Row],[ERROR]]="",0,1))</f>
        <v/>
      </c>
      <c r="L699">
        <f t="array" ref="L6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0">
      <c r="A700" t="inlineStr">
        <is>
          <t>Karthika  R (1020012)</t>
        </is>
      </c>
      <c r="B700" t="inlineStr">
        <is>
          <t>Wednesday, 24 November 2021</t>
        </is>
      </c>
      <c r="C700" t="inlineStr">
        <is>
          <t>Wednesday, 24 November 2021</t>
        </is>
      </c>
      <c r="D700" t="inlineStr">
        <is>
          <t xml:space="preserve">Casual / Sick </t>
        </is>
      </c>
      <c r="E700" t="n">
        <v>1</v>
      </c>
      <c r="F700" s="1" t="n"/>
      <c r="G700" s="1" t="n"/>
      <c r="H700">
        <f>IF(T_LEAVE[[#This Row],[EMPLOYEE]]="","",MATCH(T_LEAVE[[#This Row],[EMPLOYEE]],L_EMPLABELS,0))</f>
        <v/>
      </c>
      <c r="I700">
        <f>IF(T_LEAVE[[#This Row],[EMPLOYEE]]="","",MATCH(T_LEAVE[[#This Row],[LEAVE TYPE]],L_LEAVETYPES,0))</f>
        <v/>
      </c>
      <c r="J700">
        <f t="array" ref="J700">IFERROR(INDEX(T_LEAVE_TYPES[SYMBOL],T_LEAVE[[#This Row],[LEAVE TYPE SYS ID]]),"")</f>
        <v/>
      </c>
      <c r="K700">
        <f>IF(T_LEAVE[[#This Row],[EMPLOYEE]]="","",IF(T_LEAVE[[#This Row],[ERROR]]="",0,1))</f>
        <v/>
      </c>
      <c r="L700">
        <f t="array" ref="L7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1">
      <c r="A701" t="inlineStr">
        <is>
          <t>Aishwarya  Ds (1024946)</t>
        </is>
      </c>
      <c r="B701" t="inlineStr">
        <is>
          <t>Wednesday, 01 December 2021</t>
        </is>
      </c>
      <c r="C701" t="inlineStr">
        <is>
          <t>Thursday, 02 December 2021</t>
        </is>
      </c>
      <c r="D701" t="inlineStr">
        <is>
          <t xml:space="preserve">Casual / Sick </t>
        </is>
      </c>
      <c r="E701" t="n">
        <v>2</v>
      </c>
      <c r="F701" s="1" t="n"/>
      <c r="G701" s="1" t="n"/>
      <c r="H701">
        <f>IF(T_LEAVE[[#This Row],[EMPLOYEE]]="","",MATCH(T_LEAVE[[#This Row],[EMPLOYEE]],L_EMPLABELS,0))</f>
        <v/>
      </c>
      <c r="I701">
        <f>IF(T_LEAVE[[#This Row],[EMPLOYEE]]="","",MATCH(T_LEAVE[[#This Row],[LEAVE TYPE]],L_LEAVETYPES,0))</f>
        <v/>
      </c>
      <c r="J701">
        <f t="array" ref="J701">IFERROR(INDEX(T_LEAVE_TYPES[SYMBOL],T_LEAVE[[#This Row],[LEAVE TYPE SYS ID]]),"")</f>
        <v/>
      </c>
      <c r="K701">
        <f>IF(T_LEAVE[[#This Row],[EMPLOYEE]]="","",IF(T_LEAVE[[#This Row],[ERROR]]="",0,1))</f>
        <v/>
      </c>
      <c r="L701">
        <f t="array" ref="L7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2">
      <c r="A702" t="inlineStr">
        <is>
          <t>Preetam  Patel (1024572)</t>
        </is>
      </c>
      <c r="B702" t="inlineStr">
        <is>
          <t>Friday, 12 November 2021</t>
        </is>
      </c>
      <c r="C702" t="inlineStr">
        <is>
          <t>Friday, 12 November 2021</t>
        </is>
      </c>
      <c r="D702" t="inlineStr">
        <is>
          <t xml:space="preserve">Casual / Sick </t>
        </is>
      </c>
      <c r="E702" t="n">
        <v>1</v>
      </c>
      <c r="F702" s="1" t="n"/>
      <c r="G702" s="1" t="n"/>
      <c r="H702">
        <f>IF(T_LEAVE[[#This Row],[EMPLOYEE]]="","",MATCH(T_LEAVE[[#This Row],[EMPLOYEE]],L_EMPLABELS,0))</f>
        <v/>
      </c>
      <c r="I702">
        <f>IF(T_LEAVE[[#This Row],[EMPLOYEE]]="","",MATCH(T_LEAVE[[#This Row],[LEAVE TYPE]],L_LEAVETYPES,0))</f>
        <v/>
      </c>
      <c r="J702">
        <f t="array" ref="J702">IFERROR(INDEX(T_LEAVE_TYPES[SYMBOL],T_LEAVE[[#This Row],[LEAVE TYPE SYS ID]]),"")</f>
        <v/>
      </c>
      <c r="K702">
        <f>IF(T_LEAVE[[#This Row],[EMPLOYEE]]="","",IF(T_LEAVE[[#This Row],[ERROR]]="",0,1))</f>
        <v/>
      </c>
      <c r="L702">
        <f t="array" ref="L7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3">
      <c r="A703" t="inlineStr">
        <is>
          <t>S Suneetha (1020246)</t>
        </is>
      </c>
      <c r="B703" t="inlineStr">
        <is>
          <t>Friday, 05 November 2021</t>
        </is>
      </c>
      <c r="C703" t="inlineStr">
        <is>
          <t>Friday, 05 November 2021</t>
        </is>
      </c>
      <c r="D703" t="inlineStr">
        <is>
          <t xml:space="preserve">Casual / Sick </t>
        </is>
      </c>
      <c r="E703" t="n">
        <v>1</v>
      </c>
      <c r="F703" s="1" t="n"/>
      <c r="G703" s="1" t="n"/>
      <c r="H703">
        <f>IF(T_LEAVE[[#This Row],[EMPLOYEE]]="","",MATCH(T_LEAVE[[#This Row],[EMPLOYEE]],L_EMPLABELS,0))</f>
        <v/>
      </c>
      <c r="I703">
        <f>IF(T_LEAVE[[#This Row],[EMPLOYEE]]="","",MATCH(T_LEAVE[[#This Row],[LEAVE TYPE]],L_LEAVETYPES,0))</f>
        <v/>
      </c>
      <c r="J703">
        <f t="array" ref="J703">IFERROR(INDEX(T_LEAVE_TYPES[SYMBOL],T_LEAVE[[#This Row],[LEAVE TYPE SYS ID]]),"")</f>
        <v/>
      </c>
      <c r="K703">
        <f>IF(T_LEAVE[[#This Row],[EMPLOYEE]]="","",IF(T_LEAVE[[#This Row],[ERROR]]="",0,1))</f>
        <v/>
      </c>
      <c r="L703">
        <f t="array" ref="L70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4">
      <c r="A704" t="inlineStr">
        <is>
          <t>Preetam  Patel (1024572)</t>
        </is>
      </c>
      <c r="B704" t="inlineStr">
        <is>
          <t>Friday, 05 November 2021</t>
        </is>
      </c>
      <c r="C704" t="inlineStr">
        <is>
          <t>Friday, 05 November 2021</t>
        </is>
      </c>
      <c r="D704" t="inlineStr">
        <is>
          <t xml:space="preserve">Casual / Sick </t>
        </is>
      </c>
      <c r="E704" t="n">
        <v>1</v>
      </c>
      <c r="F704" s="1" t="n"/>
      <c r="G704" s="1" t="n"/>
      <c r="H704">
        <f>IF(T_LEAVE[[#This Row],[EMPLOYEE]]="","",MATCH(T_LEAVE[[#This Row],[EMPLOYEE]],L_EMPLABELS,0))</f>
        <v/>
      </c>
      <c r="I704">
        <f>IF(T_LEAVE[[#This Row],[EMPLOYEE]]="","",MATCH(T_LEAVE[[#This Row],[LEAVE TYPE]],L_LEAVETYPES,0))</f>
        <v/>
      </c>
      <c r="J704">
        <f t="array" ref="J704">IFERROR(INDEX(T_LEAVE_TYPES[SYMBOL],T_LEAVE[[#This Row],[LEAVE TYPE SYS ID]]),"")</f>
        <v/>
      </c>
      <c r="K704">
        <f>IF(T_LEAVE[[#This Row],[EMPLOYEE]]="","",IF(T_LEAVE[[#This Row],[ERROR]]="",0,1))</f>
        <v/>
      </c>
      <c r="L704">
        <f t="array" ref="L70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5">
      <c r="A705" t="inlineStr">
        <is>
          <t>Aishwarya  Ds (1024946)</t>
        </is>
      </c>
      <c r="B705" t="inlineStr">
        <is>
          <t>Wednesday, 22 September 2021</t>
        </is>
      </c>
      <c r="C705" t="inlineStr">
        <is>
          <t>Wednesday, 22 September 2021</t>
        </is>
      </c>
      <c r="D705" t="inlineStr">
        <is>
          <t xml:space="preserve">Casual / Sick </t>
        </is>
      </c>
      <c r="E705" t="n">
        <v>1</v>
      </c>
      <c r="F705" s="1" t="n"/>
      <c r="G705" s="1" t="n"/>
      <c r="H705">
        <f>IF(T_LEAVE[[#This Row],[EMPLOYEE]]="","",MATCH(T_LEAVE[[#This Row],[EMPLOYEE]],L_EMPLABELS,0))</f>
        <v/>
      </c>
      <c r="I705">
        <f>IF(T_LEAVE[[#This Row],[EMPLOYEE]]="","",MATCH(T_LEAVE[[#This Row],[LEAVE TYPE]],L_LEAVETYPES,0))</f>
        <v/>
      </c>
      <c r="J705">
        <f t="array" ref="J705">IFERROR(INDEX(T_LEAVE_TYPES[SYMBOL],T_LEAVE[[#This Row],[LEAVE TYPE SYS ID]]),"")</f>
        <v/>
      </c>
      <c r="K705">
        <f>IF(T_LEAVE[[#This Row],[EMPLOYEE]]="","",IF(T_LEAVE[[#This Row],[ERROR]]="",0,1))</f>
        <v/>
      </c>
      <c r="L705">
        <f t="array" ref="L70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6">
      <c r="A706" t="inlineStr">
        <is>
          <t>S Suneetha (1020246)</t>
        </is>
      </c>
      <c r="B706" t="inlineStr">
        <is>
          <t>Tuesday, 28 September 2021</t>
        </is>
      </c>
      <c r="C706" t="inlineStr">
        <is>
          <t>Tuesday, 28 September 2021</t>
        </is>
      </c>
      <c r="D706" t="inlineStr">
        <is>
          <t>Privilege</t>
        </is>
      </c>
      <c r="E706" t="n">
        <v>1</v>
      </c>
      <c r="F706" s="1" t="n"/>
      <c r="G706" s="1" t="n"/>
      <c r="H706">
        <f>IF(T_LEAVE[[#This Row],[EMPLOYEE]]="","",MATCH(T_LEAVE[[#This Row],[EMPLOYEE]],L_EMPLABELS,0))</f>
        <v/>
      </c>
      <c r="I706">
        <f>IF(T_LEAVE[[#This Row],[EMPLOYEE]]="","",MATCH(T_LEAVE[[#This Row],[LEAVE TYPE]],L_LEAVETYPES,0))</f>
        <v/>
      </c>
      <c r="J706">
        <f t="array" ref="J706">IFERROR(INDEX(T_LEAVE_TYPES[SYMBOL],T_LEAVE[[#This Row],[LEAVE TYPE SYS ID]]),"")</f>
        <v/>
      </c>
      <c r="K706">
        <f>IF(T_LEAVE[[#This Row],[EMPLOYEE]]="","",IF(T_LEAVE[[#This Row],[ERROR]]="",0,1))</f>
        <v/>
      </c>
      <c r="L706">
        <f t="array" ref="L70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7">
      <c r="A707" t="inlineStr">
        <is>
          <t>Suchismita  Mohanty (1022859)</t>
        </is>
      </c>
      <c r="B707" t="inlineStr">
        <is>
          <t>Wednesday, 15 September 2021</t>
        </is>
      </c>
      <c r="C707" t="inlineStr">
        <is>
          <t>Wednesday, 15 September 2021</t>
        </is>
      </c>
      <c r="D707" t="inlineStr">
        <is>
          <t xml:space="preserve">Casual / Sick </t>
        </is>
      </c>
      <c r="E707" t="n">
        <v>1</v>
      </c>
      <c r="F707" s="1" t="n"/>
      <c r="G707" s="1" t="n"/>
      <c r="H707">
        <f>IF(T_LEAVE[[#This Row],[EMPLOYEE]]="","",MATCH(T_LEAVE[[#This Row],[EMPLOYEE]],L_EMPLABELS,0))</f>
        <v/>
      </c>
      <c r="I707">
        <f>IF(T_LEAVE[[#This Row],[EMPLOYEE]]="","",MATCH(T_LEAVE[[#This Row],[LEAVE TYPE]],L_LEAVETYPES,0))</f>
        <v/>
      </c>
      <c r="J707">
        <f t="array" ref="J707">IFERROR(INDEX(T_LEAVE_TYPES[SYMBOL],T_LEAVE[[#This Row],[LEAVE TYPE SYS ID]]),"")</f>
        <v/>
      </c>
      <c r="K707">
        <f>IF(T_LEAVE[[#This Row],[EMPLOYEE]]="","",IF(T_LEAVE[[#This Row],[ERROR]]="",0,1))</f>
        <v/>
      </c>
      <c r="L707">
        <f t="array" ref="L70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8">
      <c r="A708" t="inlineStr">
        <is>
          <t>Karthika  R (1020012)</t>
        </is>
      </c>
      <c r="B708" t="inlineStr">
        <is>
          <t>Friday, 03 September 2021</t>
        </is>
      </c>
      <c r="C708" t="inlineStr">
        <is>
          <t>Friday, 03 September 2021</t>
        </is>
      </c>
      <c r="D708" t="inlineStr">
        <is>
          <t>Privilege</t>
        </is>
      </c>
      <c r="E708" t="n">
        <v>1</v>
      </c>
      <c r="F708" s="1" t="n"/>
      <c r="G708" s="1" t="n"/>
      <c r="H708">
        <f>IF(T_LEAVE[[#This Row],[EMPLOYEE]]="","",MATCH(T_LEAVE[[#This Row],[EMPLOYEE]],L_EMPLABELS,0))</f>
        <v/>
      </c>
      <c r="I708">
        <f>IF(T_LEAVE[[#This Row],[EMPLOYEE]]="","",MATCH(T_LEAVE[[#This Row],[LEAVE TYPE]],L_LEAVETYPES,0))</f>
        <v/>
      </c>
      <c r="J708">
        <f t="array" ref="J708">IFERROR(INDEX(T_LEAVE_TYPES[SYMBOL],T_LEAVE[[#This Row],[LEAVE TYPE SYS ID]]),"")</f>
        <v/>
      </c>
      <c r="K708">
        <f>IF(T_LEAVE[[#This Row],[EMPLOYEE]]="","",IF(T_LEAVE[[#This Row],[ERROR]]="",0,1))</f>
        <v/>
      </c>
      <c r="L708">
        <f t="array" ref="L70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09">
      <c r="A709" t="inlineStr">
        <is>
          <t>S Suneetha (1020246)</t>
        </is>
      </c>
      <c r="B709" t="inlineStr">
        <is>
          <t>Monday, 30 August 2021</t>
        </is>
      </c>
      <c r="C709" t="inlineStr">
        <is>
          <t>Monday, 30 August 2021</t>
        </is>
      </c>
      <c r="D709" t="inlineStr">
        <is>
          <t xml:space="preserve">Casual / Sick </t>
        </is>
      </c>
      <c r="E709" t="n">
        <v>1</v>
      </c>
      <c r="F709" s="1" t="n"/>
      <c r="G709" s="1" t="n"/>
      <c r="H709">
        <f>IF(T_LEAVE[[#This Row],[EMPLOYEE]]="","",MATCH(T_LEAVE[[#This Row],[EMPLOYEE]],L_EMPLABELS,0))</f>
        <v/>
      </c>
      <c r="I709">
        <f>IF(T_LEAVE[[#This Row],[EMPLOYEE]]="","",MATCH(T_LEAVE[[#This Row],[LEAVE TYPE]],L_LEAVETYPES,0))</f>
        <v/>
      </c>
      <c r="J709">
        <f t="array" ref="J709">IFERROR(INDEX(T_LEAVE_TYPES[SYMBOL],T_LEAVE[[#This Row],[LEAVE TYPE SYS ID]]),"")</f>
        <v/>
      </c>
      <c r="K709">
        <f>IF(T_LEAVE[[#This Row],[EMPLOYEE]]="","",IF(T_LEAVE[[#This Row],[ERROR]]="",0,1))</f>
        <v/>
      </c>
      <c r="L709">
        <f t="array" ref="L70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0">
      <c r="A710" t="inlineStr">
        <is>
          <t>S Suneetha (1020246)</t>
        </is>
      </c>
      <c r="B710" t="inlineStr">
        <is>
          <t>Wednesday, 11 August 2021</t>
        </is>
      </c>
      <c r="C710" t="inlineStr">
        <is>
          <t>Wednesday, 11 August 2021</t>
        </is>
      </c>
      <c r="D710" t="inlineStr">
        <is>
          <t xml:space="preserve">Casual / Sick </t>
        </is>
      </c>
      <c r="E710" t="n">
        <v>1</v>
      </c>
      <c r="F710" s="1" t="n"/>
      <c r="G710" s="1" t="n"/>
      <c r="H710">
        <f>IF(T_LEAVE[[#This Row],[EMPLOYEE]]="","",MATCH(T_LEAVE[[#This Row],[EMPLOYEE]],L_EMPLABELS,0))</f>
        <v/>
      </c>
      <c r="I710">
        <f>IF(T_LEAVE[[#This Row],[EMPLOYEE]]="","",MATCH(T_LEAVE[[#This Row],[LEAVE TYPE]],L_LEAVETYPES,0))</f>
        <v/>
      </c>
      <c r="J710">
        <f t="array" ref="J710">IFERROR(INDEX(T_LEAVE_TYPES[SYMBOL],T_LEAVE[[#This Row],[LEAVE TYPE SYS ID]]),"")</f>
        <v/>
      </c>
      <c r="K710">
        <f>IF(T_LEAVE[[#This Row],[EMPLOYEE]]="","",IF(T_LEAVE[[#This Row],[ERROR]]="",0,1))</f>
        <v/>
      </c>
      <c r="L710">
        <f t="array" ref="L71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1">
      <c r="A711" t="inlineStr">
        <is>
          <t>Suchismita  Mohanty (1022859)</t>
        </is>
      </c>
      <c r="B711" t="inlineStr">
        <is>
          <t>Wednesday, 04 August 2021</t>
        </is>
      </c>
      <c r="C711" t="inlineStr">
        <is>
          <t>Wednesday, 04 August 2021</t>
        </is>
      </c>
      <c r="D711" t="inlineStr">
        <is>
          <t xml:space="preserve">Casual / Sick </t>
        </is>
      </c>
      <c r="E711" t="n">
        <v>1</v>
      </c>
      <c r="F711" s="1" t="n"/>
      <c r="G711" s="1" t="n"/>
      <c r="H711">
        <f>IF(T_LEAVE[[#This Row],[EMPLOYEE]]="","",MATCH(T_LEAVE[[#This Row],[EMPLOYEE]],L_EMPLABELS,0))</f>
        <v/>
      </c>
      <c r="I711">
        <f>IF(T_LEAVE[[#This Row],[EMPLOYEE]]="","",MATCH(T_LEAVE[[#This Row],[LEAVE TYPE]],L_LEAVETYPES,0))</f>
        <v/>
      </c>
      <c r="J711">
        <f t="array" ref="J711">IFERROR(INDEX(T_LEAVE_TYPES[SYMBOL],T_LEAVE[[#This Row],[LEAVE TYPE SYS ID]]),"")</f>
        <v/>
      </c>
      <c r="K711">
        <f>IF(T_LEAVE[[#This Row],[EMPLOYEE]]="","",IF(T_LEAVE[[#This Row],[ERROR]]="",0,1))</f>
        <v/>
      </c>
      <c r="L711">
        <f t="array" ref="L71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2">
      <c r="A712" t="inlineStr">
        <is>
          <t>Aishwarya  Ds (1024946)</t>
        </is>
      </c>
      <c r="B712" t="inlineStr">
        <is>
          <t>Friday, 06 August 2021</t>
        </is>
      </c>
      <c r="C712" t="inlineStr">
        <is>
          <t>Friday, 06 August 2021</t>
        </is>
      </c>
      <c r="D712" t="inlineStr">
        <is>
          <t xml:space="preserve">Casual / Sick </t>
        </is>
      </c>
      <c r="E712" t="n">
        <v>1</v>
      </c>
      <c r="F712" s="1" t="n"/>
      <c r="G712" s="1" t="n"/>
      <c r="H712">
        <f>IF(T_LEAVE[[#This Row],[EMPLOYEE]]="","",MATCH(T_LEAVE[[#This Row],[EMPLOYEE]],L_EMPLABELS,0))</f>
        <v/>
      </c>
      <c r="I712">
        <f>IF(T_LEAVE[[#This Row],[EMPLOYEE]]="","",MATCH(T_LEAVE[[#This Row],[LEAVE TYPE]],L_LEAVETYPES,0))</f>
        <v/>
      </c>
      <c r="J712">
        <f t="array" ref="J712">IFERROR(INDEX(T_LEAVE_TYPES[SYMBOL],T_LEAVE[[#This Row],[LEAVE TYPE SYS ID]]),"")</f>
        <v/>
      </c>
      <c r="K712">
        <f>IF(T_LEAVE[[#This Row],[EMPLOYEE]]="","",IF(T_LEAVE[[#This Row],[ERROR]]="",0,1))</f>
        <v/>
      </c>
      <c r="L712">
        <f t="array" ref="L71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3">
      <c r="A713" t="inlineStr">
        <is>
          <t>Karthika  R (1020012)</t>
        </is>
      </c>
      <c r="B713" t="inlineStr">
        <is>
          <t>Monday, 14 June 2021</t>
        </is>
      </c>
      <c r="C713" t="inlineStr">
        <is>
          <t>Monday, 14 June 2021</t>
        </is>
      </c>
      <c r="D713" t="inlineStr">
        <is>
          <t xml:space="preserve">Casual / Sick </t>
        </is>
      </c>
      <c r="E713" t="n">
        <v>1</v>
      </c>
      <c r="F713" s="1" t="n"/>
      <c r="G713" s="1" t="n"/>
      <c r="H713">
        <f>IF(T_LEAVE[[#This Row],[EMPLOYEE]]="","",MATCH(T_LEAVE[[#This Row],[EMPLOYEE]],L_EMPLABELS,0))</f>
        <v/>
      </c>
      <c r="I713">
        <f>IF(T_LEAVE[[#This Row],[EMPLOYEE]]="","",MATCH(T_LEAVE[[#This Row],[LEAVE TYPE]],L_LEAVETYPES,0))</f>
        <v/>
      </c>
      <c r="J713">
        <f t="array" ref="J713">IFERROR(INDEX(T_LEAVE_TYPES[SYMBOL],T_LEAVE[[#This Row],[LEAVE TYPE SYS ID]]),"")</f>
        <v/>
      </c>
      <c r="K713">
        <f>IF(T_LEAVE[[#This Row],[EMPLOYEE]]="","",IF(T_LEAVE[[#This Row],[ERROR]]="",0,1))</f>
        <v/>
      </c>
      <c r="L713">
        <f t="array" ref="L71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4">
      <c r="A714" t="inlineStr">
        <is>
          <t>Karthika  R (1020012)</t>
        </is>
      </c>
      <c r="B714" t="inlineStr">
        <is>
          <t>Wednesday, 26 May 2021</t>
        </is>
      </c>
      <c r="C714" t="inlineStr">
        <is>
          <t>Wednesday, 26 May 2021</t>
        </is>
      </c>
      <c r="D714" t="inlineStr">
        <is>
          <t xml:space="preserve">Casual / Sick </t>
        </is>
      </c>
      <c r="E714" t="n">
        <v>1</v>
      </c>
      <c r="F714" s="1" t="n"/>
      <c r="G714" s="1" t="n"/>
      <c r="H714">
        <f>IF(T_LEAVE[[#This Row],[EMPLOYEE]]="","",MATCH(T_LEAVE[[#This Row],[EMPLOYEE]],L_EMPLABELS,0))</f>
        <v/>
      </c>
      <c r="I714">
        <f>IF(T_LEAVE[[#This Row],[EMPLOYEE]]="","",MATCH(T_LEAVE[[#This Row],[LEAVE TYPE]],L_LEAVETYPES,0))</f>
        <v/>
      </c>
      <c r="J714">
        <f t="array" ref="J714">IFERROR(INDEX(T_LEAVE_TYPES[SYMBOL],T_LEAVE[[#This Row],[LEAVE TYPE SYS ID]]),"")</f>
        <v/>
      </c>
      <c r="K714">
        <f>IF(T_LEAVE[[#This Row],[EMPLOYEE]]="","",IF(T_LEAVE[[#This Row],[ERROR]]="",0,1))</f>
        <v/>
      </c>
      <c r="L714">
        <f t="array" ref="L71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5">
      <c r="A715" t="inlineStr">
        <is>
          <t>Suchismita  Mohanty (1022859)</t>
        </is>
      </c>
      <c r="B715" t="inlineStr">
        <is>
          <t>Friday, 02 July 2021</t>
        </is>
      </c>
      <c r="C715" t="inlineStr">
        <is>
          <t>Friday, 02 July 2021</t>
        </is>
      </c>
      <c r="D715" t="inlineStr">
        <is>
          <t xml:space="preserve">Casual / Sick </t>
        </is>
      </c>
      <c r="E715" t="n">
        <v>1</v>
      </c>
      <c r="F715" s="1" t="n"/>
      <c r="G715" s="1" t="n"/>
      <c r="H715">
        <f>IF(T_LEAVE[[#This Row],[EMPLOYEE]]="","",MATCH(T_LEAVE[[#This Row],[EMPLOYEE]],L_EMPLABELS,0))</f>
        <v/>
      </c>
      <c r="I715">
        <f>IF(T_LEAVE[[#This Row],[EMPLOYEE]]="","",MATCH(T_LEAVE[[#This Row],[LEAVE TYPE]],L_LEAVETYPES,0))</f>
        <v/>
      </c>
      <c r="J715">
        <f t="array" ref="J715">IFERROR(INDEX(T_LEAVE_TYPES[SYMBOL],T_LEAVE[[#This Row],[LEAVE TYPE SYS ID]]),"")</f>
        <v/>
      </c>
      <c r="K715">
        <f>IF(T_LEAVE[[#This Row],[EMPLOYEE]]="","",IF(T_LEAVE[[#This Row],[ERROR]]="",0,1))</f>
        <v/>
      </c>
      <c r="L715">
        <f t="array" ref="L71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6">
      <c r="A716" t="inlineStr">
        <is>
          <t>S Suneetha (1020246)</t>
        </is>
      </c>
      <c r="B716" t="inlineStr">
        <is>
          <t>Monday, 14 June 2021</t>
        </is>
      </c>
      <c r="C716" t="inlineStr">
        <is>
          <t>Monday, 14 June 2021</t>
        </is>
      </c>
      <c r="D716" t="inlineStr">
        <is>
          <t>Privilege</t>
        </is>
      </c>
      <c r="E716" t="n">
        <v>1</v>
      </c>
      <c r="F716" s="1" t="n"/>
      <c r="G716" s="1" t="n"/>
      <c r="H716">
        <f>IF(T_LEAVE[[#This Row],[EMPLOYEE]]="","",MATCH(T_LEAVE[[#This Row],[EMPLOYEE]],L_EMPLABELS,0))</f>
        <v/>
      </c>
      <c r="I716">
        <f>IF(T_LEAVE[[#This Row],[EMPLOYEE]]="","",MATCH(T_LEAVE[[#This Row],[LEAVE TYPE]],L_LEAVETYPES,0))</f>
        <v/>
      </c>
      <c r="J716">
        <f t="array" ref="J716">IFERROR(INDEX(T_LEAVE_TYPES[SYMBOL],T_LEAVE[[#This Row],[LEAVE TYPE SYS ID]]),"")</f>
        <v/>
      </c>
      <c r="K716">
        <f>IF(T_LEAVE[[#This Row],[EMPLOYEE]]="","",IF(T_LEAVE[[#This Row],[ERROR]]="",0,1))</f>
        <v/>
      </c>
      <c r="L716">
        <f t="array" ref="L71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7">
      <c r="A717" t="inlineStr">
        <is>
          <t>Pasunoori  Vijaykumar (1024823)</t>
        </is>
      </c>
      <c r="B717" t="inlineStr">
        <is>
          <t>Wednesday, 19 May 2021</t>
        </is>
      </c>
      <c r="C717" t="inlineStr">
        <is>
          <t>Wednesday, 19 May 2021</t>
        </is>
      </c>
      <c r="D717" t="inlineStr">
        <is>
          <t xml:space="preserve">Casual / Sick </t>
        </is>
      </c>
      <c r="E717" t="n">
        <v>1</v>
      </c>
      <c r="F717" s="1" t="n"/>
      <c r="G717" s="1" t="n"/>
      <c r="H717">
        <f>IF(T_LEAVE[[#This Row],[EMPLOYEE]]="","",MATCH(T_LEAVE[[#This Row],[EMPLOYEE]],L_EMPLABELS,0))</f>
        <v/>
      </c>
      <c r="I717">
        <f>IF(T_LEAVE[[#This Row],[EMPLOYEE]]="","",MATCH(T_LEAVE[[#This Row],[LEAVE TYPE]],L_LEAVETYPES,0))</f>
        <v/>
      </c>
      <c r="J717">
        <f t="array" ref="J717">IFERROR(INDEX(T_LEAVE_TYPES[SYMBOL],T_LEAVE[[#This Row],[LEAVE TYPE SYS ID]]),"")</f>
        <v/>
      </c>
      <c r="K717">
        <f>IF(T_LEAVE[[#This Row],[EMPLOYEE]]="","",IF(T_LEAVE[[#This Row],[ERROR]]="",0,1))</f>
        <v/>
      </c>
      <c r="L717">
        <f t="array" ref="L71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8">
      <c r="A718" t="inlineStr">
        <is>
          <t>S Suneetha (1020246)</t>
        </is>
      </c>
      <c r="B718" t="inlineStr">
        <is>
          <t>Friday, 23 April 2021</t>
        </is>
      </c>
      <c r="C718" t="inlineStr">
        <is>
          <t>Friday, 23 April 2021</t>
        </is>
      </c>
      <c r="D718" t="inlineStr">
        <is>
          <t>Privilege</t>
        </is>
      </c>
      <c r="E718" t="n">
        <v>1</v>
      </c>
      <c r="F718" s="1" t="n"/>
      <c r="G718" s="1" t="n"/>
      <c r="H718">
        <f>IF(T_LEAVE[[#This Row],[EMPLOYEE]]="","",MATCH(T_LEAVE[[#This Row],[EMPLOYEE]],L_EMPLABELS,0))</f>
        <v/>
      </c>
      <c r="I718">
        <f>IF(T_LEAVE[[#This Row],[EMPLOYEE]]="","",MATCH(T_LEAVE[[#This Row],[LEAVE TYPE]],L_LEAVETYPES,0))</f>
        <v/>
      </c>
      <c r="J718">
        <f t="array" ref="J718">IFERROR(INDEX(T_LEAVE_TYPES[SYMBOL],T_LEAVE[[#This Row],[LEAVE TYPE SYS ID]]),"")</f>
        <v/>
      </c>
      <c r="K718">
        <f>IF(T_LEAVE[[#This Row],[EMPLOYEE]]="","",IF(T_LEAVE[[#This Row],[ERROR]]="",0,1))</f>
        <v/>
      </c>
      <c r="L718">
        <f t="array" ref="L71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19">
      <c r="A719" t="inlineStr">
        <is>
          <t>S Suneetha (1020246)</t>
        </is>
      </c>
      <c r="B719" t="inlineStr">
        <is>
          <t>Friday, 09 April 2021</t>
        </is>
      </c>
      <c r="C719" t="inlineStr">
        <is>
          <t>Friday, 09 April 2021</t>
        </is>
      </c>
      <c r="D719" t="inlineStr">
        <is>
          <t>Privilege</t>
        </is>
      </c>
      <c r="E719" t="n">
        <v>1</v>
      </c>
      <c r="F719" s="1" t="n"/>
      <c r="G719" s="1" t="n"/>
      <c r="H719">
        <f>IF(T_LEAVE[[#This Row],[EMPLOYEE]]="","",MATCH(T_LEAVE[[#This Row],[EMPLOYEE]],L_EMPLABELS,0))</f>
        <v/>
      </c>
      <c r="I719">
        <f>IF(T_LEAVE[[#This Row],[EMPLOYEE]]="","",MATCH(T_LEAVE[[#This Row],[LEAVE TYPE]],L_LEAVETYPES,0))</f>
        <v/>
      </c>
      <c r="J719">
        <f t="array" ref="J719">IFERROR(INDEX(T_LEAVE_TYPES[SYMBOL],T_LEAVE[[#This Row],[LEAVE TYPE SYS ID]]),"")</f>
        <v/>
      </c>
      <c r="K719">
        <f>IF(T_LEAVE[[#This Row],[EMPLOYEE]]="","",IF(T_LEAVE[[#This Row],[ERROR]]="",0,1))</f>
        <v/>
      </c>
      <c r="L719">
        <f t="array" ref="L71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0">
      <c r="A720" t="inlineStr">
        <is>
          <t>S Suneetha (1020246)</t>
        </is>
      </c>
      <c r="B720" t="inlineStr">
        <is>
          <t>Monday, 05 April 2021</t>
        </is>
      </c>
      <c r="C720" t="inlineStr">
        <is>
          <t>Tuesday, 06 April 2021</t>
        </is>
      </c>
      <c r="D720" t="inlineStr">
        <is>
          <t xml:space="preserve">Casual / Sick </t>
        </is>
      </c>
      <c r="E720" t="n">
        <v>2</v>
      </c>
      <c r="F720" s="1" t="n"/>
      <c r="G720" s="1" t="n"/>
      <c r="H720">
        <f>IF(T_LEAVE[[#This Row],[EMPLOYEE]]="","",MATCH(T_LEAVE[[#This Row],[EMPLOYEE]],L_EMPLABELS,0))</f>
        <v/>
      </c>
      <c r="I720">
        <f>IF(T_LEAVE[[#This Row],[EMPLOYEE]]="","",MATCH(T_LEAVE[[#This Row],[LEAVE TYPE]],L_LEAVETYPES,0))</f>
        <v/>
      </c>
      <c r="J720">
        <f t="array" ref="J720">IFERROR(INDEX(T_LEAVE_TYPES[SYMBOL],T_LEAVE[[#This Row],[LEAVE TYPE SYS ID]]),"")</f>
        <v/>
      </c>
      <c r="K720">
        <f>IF(T_LEAVE[[#This Row],[EMPLOYEE]]="","",IF(T_LEAVE[[#This Row],[ERROR]]="",0,1))</f>
        <v/>
      </c>
      <c r="L720">
        <f t="array" ref="L72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1">
      <c r="A721" t="inlineStr">
        <is>
          <t>S Suneetha (1020246)</t>
        </is>
      </c>
      <c r="B721" t="inlineStr">
        <is>
          <t>Thursday, 01 April 2021</t>
        </is>
      </c>
      <c r="C721" t="inlineStr">
        <is>
          <t>Thursday, 01 April 2021</t>
        </is>
      </c>
      <c r="D721" t="inlineStr">
        <is>
          <t xml:space="preserve">Casual / Sick </t>
        </is>
      </c>
      <c r="E721" t="n">
        <v>1</v>
      </c>
      <c r="F721" s="1" t="n"/>
      <c r="G721" s="1" t="n"/>
      <c r="H721">
        <f>IF(T_LEAVE[[#This Row],[EMPLOYEE]]="","",MATCH(T_LEAVE[[#This Row],[EMPLOYEE]],L_EMPLABELS,0))</f>
        <v/>
      </c>
      <c r="I721">
        <f>IF(T_LEAVE[[#This Row],[EMPLOYEE]]="","",MATCH(T_LEAVE[[#This Row],[LEAVE TYPE]],L_LEAVETYPES,0))</f>
        <v/>
      </c>
      <c r="J721">
        <f t="array" ref="J721">IFERROR(INDEX(T_LEAVE_TYPES[SYMBOL],T_LEAVE[[#This Row],[LEAVE TYPE SYS ID]]),"")</f>
        <v/>
      </c>
      <c r="K721">
        <f>IF(T_LEAVE[[#This Row],[EMPLOYEE]]="","",IF(T_LEAVE[[#This Row],[ERROR]]="",0,1))</f>
        <v/>
      </c>
      <c r="L721">
        <f t="array" ref="L72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2">
      <c r="A722" t="inlineStr">
        <is>
          <t>Karthika  R (1020012)</t>
        </is>
      </c>
      <c r="B722" t="inlineStr">
        <is>
          <t>Friday, 23 April 2021</t>
        </is>
      </c>
      <c r="C722" t="inlineStr">
        <is>
          <t>Friday, 23 April 2021</t>
        </is>
      </c>
      <c r="D722" t="inlineStr">
        <is>
          <t>Privilege</t>
        </is>
      </c>
      <c r="E722" t="n">
        <v>1</v>
      </c>
      <c r="F722" s="1" t="n"/>
      <c r="G722" s="1" t="n"/>
      <c r="H722">
        <f>IF(T_LEAVE[[#This Row],[EMPLOYEE]]="","",MATCH(T_LEAVE[[#This Row],[EMPLOYEE]],L_EMPLABELS,0))</f>
        <v/>
      </c>
      <c r="I722">
        <f>IF(T_LEAVE[[#This Row],[EMPLOYEE]]="","",MATCH(T_LEAVE[[#This Row],[LEAVE TYPE]],L_LEAVETYPES,0))</f>
        <v/>
      </c>
      <c r="J722">
        <f t="array" ref="J722">IFERROR(INDEX(T_LEAVE_TYPES[SYMBOL],T_LEAVE[[#This Row],[LEAVE TYPE SYS ID]]),"")</f>
        <v/>
      </c>
      <c r="K722">
        <f>IF(T_LEAVE[[#This Row],[EMPLOYEE]]="","",IF(T_LEAVE[[#This Row],[ERROR]]="",0,1))</f>
        <v/>
      </c>
      <c r="L722">
        <f t="array" ref="L72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3">
      <c r="A723" t="inlineStr">
        <is>
          <t>S Suneetha (1020246)</t>
        </is>
      </c>
      <c r="B723" t="inlineStr">
        <is>
          <t>Friday, 07 May 2021</t>
        </is>
      </c>
      <c r="C723" t="inlineStr">
        <is>
          <t>Friday, 07 May 2021</t>
        </is>
      </c>
      <c r="D723" t="inlineStr">
        <is>
          <t xml:space="preserve">Casual / Sick </t>
        </is>
      </c>
      <c r="E723" t="n">
        <v>1</v>
      </c>
      <c r="F723" s="1" t="n"/>
      <c r="G723" s="1" t="n"/>
      <c r="H723">
        <f>IF(T_LEAVE[[#This Row],[EMPLOYEE]]="","",MATCH(T_LEAVE[[#This Row],[EMPLOYEE]],L_EMPLABELS,0))</f>
        <v/>
      </c>
      <c r="I723">
        <f>IF(T_LEAVE[[#This Row],[EMPLOYEE]]="","",MATCH(T_LEAVE[[#This Row],[LEAVE TYPE]],L_LEAVETYPES,0))</f>
        <v/>
      </c>
      <c r="J723">
        <f t="array" ref="J723">IFERROR(INDEX(T_LEAVE_TYPES[SYMBOL],T_LEAVE[[#This Row],[LEAVE TYPE SYS ID]]),"")</f>
        <v/>
      </c>
      <c r="K723">
        <f>IF(T_LEAVE[[#This Row],[EMPLOYEE]]="","",IF(T_LEAVE[[#This Row],[ERROR]]="",0,1))</f>
        <v/>
      </c>
      <c r="L723">
        <f t="array" ref="L72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4">
      <c r="A724" t="inlineStr">
        <is>
          <t>Karthika  R (1020012)</t>
        </is>
      </c>
      <c r="B724" t="inlineStr">
        <is>
          <t>Thursday, 18 February 2021</t>
        </is>
      </c>
      <c r="C724" t="inlineStr">
        <is>
          <t>Thursday, 18 February 2021</t>
        </is>
      </c>
      <c r="D724" t="inlineStr">
        <is>
          <t>Privilege</t>
        </is>
      </c>
      <c r="E724" t="n">
        <v>1</v>
      </c>
      <c r="F724" s="1" t="n"/>
      <c r="G724" s="1" t="n"/>
      <c r="H724">
        <f>IF(T_LEAVE[[#This Row],[EMPLOYEE]]="","",MATCH(T_LEAVE[[#This Row],[EMPLOYEE]],L_EMPLABELS,0))</f>
        <v/>
      </c>
      <c r="I724">
        <f>IF(T_LEAVE[[#This Row],[EMPLOYEE]]="","",MATCH(T_LEAVE[[#This Row],[LEAVE TYPE]],L_LEAVETYPES,0))</f>
        <v/>
      </c>
      <c r="J724">
        <f t="array" ref="J724">IFERROR(INDEX(T_LEAVE_TYPES[SYMBOL],T_LEAVE[[#This Row],[LEAVE TYPE SYS ID]]),"")</f>
        <v/>
      </c>
      <c r="K724">
        <f>IF(T_LEAVE[[#This Row],[EMPLOYEE]]="","",IF(T_LEAVE[[#This Row],[ERROR]]="",0,1))</f>
        <v/>
      </c>
      <c r="L724">
        <f t="array" ref="L72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5">
      <c r="A725" t="inlineStr">
        <is>
          <t>Karthika  R (1020012)</t>
        </is>
      </c>
      <c r="B725" t="inlineStr">
        <is>
          <t>Monday, 25 January 2021</t>
        </is>
      </c>
      <c r="C725" t="inlineStr">
        <is>
          <t>Monday, 25 January 2021</t>
        </is>
      </c>
      <c r="D725" t="inlineStr">
        <is>
          <t xml:space="preserve">Casual / Sick </t>
        </is>
      </c>
      <c r="E725" t="n">
        <v>1</v>
      </c>
      <c r="F725" s="1" t="n"/>
      <c r="G725" s="1" t="n"/>
      <c r="H725">
        <f>IF(T_LEAVE[[#This Row],[EMPLOYEE]]="","",MATCH(T_LEAVE[[#This Row],[EMPLOYEE]],L_EMPLABELS,0))</f>
        <v/>
      </c>
      <c r="I725">
        <f>IF(T_LEAVE[[#This Row],[EMPLOYEE]]="","",MATCH(T_LEAVE[[#This Row],[LEAVE TYPE]],L_LEAVETYPES,0))</f>
        <v/>
      </c>
      <c r="J725">
        <f t="array" ref="J725">IFERROR(INDEX(T_LEAVE_TYPES[SYMBOL],T_LEAVE[[#This Row],[LEAVE TYPE SYS ID]]),"")</f>
        <v/>
      </c>
      <c r="K725">
        <f>IF(T_LEAVE[[#This Row],[EMPLOYEE]]="","",IF(T_LEAVE[[#This Row],[ERROR]]="",0,1))</f>
        <v/>
      </c>
      <c r="L725">
        <f t="array" ref="L72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6">
      <c r="A726" t="inlineStr">
        <is>
          <t>S Suneetha (1020246)</t>
        </is>
      </c>
      <c r="B726" t="inlineStr">
        <is>
          <t>Monday, 08 February 2021</t>
        </is>
      </c>
      <c r="C726" t="inlineStr">
        <is>
          <t>Wednesday, 10 February 2021</t>
        </is>
      </c>
      <c r="D726" t="inlineStr">
        <is>
          <t>Privilege</t>
        </is>
      </c>
      <c r="E726" t="n">
        <v>3</v>
      </c>
      <c r="F726" s="1" t="n"/>
      <c r="G726" s="1" t="n"/>
      <c r="H726">
        <f>IF(T_LEAVE[[#This Row],[EMPLOYEE]]="","",MATCH(T_LEAVE[[#This Row],[EMPLOYEE]],L_EMPLABELS,0))</f>
        <v/>
      </c>
      <c r="I726">
        <f>IF(T_LEAVE[[#This Row],[EMPLOYEE]]="","",MATCH(T_LEAVE[[#This Row],[LEAVE TYPE]],L_LEAVETYPES,0))</f>
        <v/>
      </c>
      <c r="J726">
        <f t="array" ref="J726">IFERROR(INDEX(T_LEAVE_TYPES[SYMBOL],T_LEAVE[[#This Row],[LEAVE TYPE SYS ID]]),"")</f>
        <v/>
      </c>
      <c r="K726">
        <f>IF(T_LEAVE[[#This Row],[EMPLOYEE]]="","",IF(T_LEAVE[[#This Row],[ERROR]]="",0,1))</f>
        <v/>
      </c>
      <c r="L726">
        <f t="array" ref="L72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7">
      <c r="A727" t="inlineStr">
        <is>
          <t>Karthika  R (1020012)</t>
        </is>
      </c>
      <c r="B727" t="inlineStr">
        <is>
          <t>Thursday, 31 December 2020</t>
        </is>
      </c>
      <c r="C727" t="inlineStr">
        <is>
          <t>Thursday, 31 December 2020</t>
        </is>
      </c>
      <c r="D727" t="inlineStr">
        <is>
          <t xml:space="preserve">Casual / Sick </t>
        </is>
      </c>
      <c r="E727" t="n">
        <v>1</v>
      </c>
      <c r="F727" s="1" t="n"/>
      <c r="G727" s="1" t="n"/>
      <c r="H727">
        <f>IF(T_LEAVE[[#This Row],[EMPLOYEE]]="","",MATCH(T_LEAVE[[#This Row],[EMPLOYEE]],L_EMPLABELS,0))</f>
        <v/>
      </c>
      <c r="I727">
        <f>IF(T_LEAVE[[#This Row],[EMPLOYEE]]="","",MATCH(T_LEAVE[[#This Row],[LEAVE TYPE]],L_LEAVETYPES,0))</f>
        <v/>
      </c>
      <c r="J727">
        <f t="array" ref="J727">IFERROR(INDEX(T_LEAVE_TYPES[SYMBOL],T_LEAVE[[#This Row],[LEAVE TYPE SYS ID]]),"")</f>
        <v/>
      </c>
      <c r="K727">
        <f>IF(T_LEAVE[[#This Row],[EMPLOYEE]]="","",IF(T_LEAVE[[#This Row],[ERROR]]="",0,1))</f>
        <v/>
      </c>
      <c r="L727">
        <f t="array" ref="L72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8">
      <c r="A728" t="inlineStr">
        <is>
          <t>S Suneetha (1020246)</t>
        </is>
      </c>
      <c r="B728" t="inlineStr">
        <is>
          <t>Thursday, 24 December 2020</t>
        </is>
      </c>
      <c r="C728" t="inlineStr">
        <is>
          <t>Thursday, 24 December 2020</t>
        </is>
      </c>
      <c r="D728" t="inlineStr">
        <is>
          <t>Privilege</t>
        </is>
      </c>
      <c r="E728" t="n">
        <v>1</v>
      </c>
      <c r="F728" s="1" t="n"/>
      <c r="G728" s="1" t="n"/>
      <c r="H728">
        <f>IF(T_LEAVE[[#This Row],[EMPLOYEE]]="","",MATCH(T_LEAVE[[#This Row],[EMPLOYEE]],L_EMPLABELS,0))</f>
        <v/>
      </c>
      <c r="I728">
        <f>IF(T_LEAVE[[#This Row],[EMPLOYEE]]="","",MATCH(T_LEAVE[[#This Row],[LEAVE TYPE]],L_LEAVETYPES,0))</f>
        <v/>
      </c>
      <c r="J728">
        <f t="array" ref="J728">IFERROR(INDEX(T_LEAVE_TYPES[SYMBOL],T_LEAVE[[#This Row],[LEAVE TYPE SYS ID]]),"")</f>
        <v/>
      </c>
      <c r="K728">
        <f>IF(T_LEAVE[[#This Row],[EMPLOYEE]]="","",IF(T_LEAVE[[#This Row],[ERROR]]="",0,1))</f>
        <v/>
      </c>
      <c r="L728">
        <f t="array" ref="L72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29">
      <c r="A729" t="inlineStr">
        <is>
          <t>S Suneetha (1020246)</t>
        </is>
      </c>
      <c r="B729" t="inlineStr">
        <is>
          <t>Monday, 07 December 2020</t>
        </is>
      </c>
      <c r="C729" t="inlineStr">
        <is>
          <t>Tuesday, 08 December 2020</t>
        </is>
      </c>
      <c r="D729" t="inlineStr">
        <is>
          <t>Privilege</t>
        </is>
      </c>
      <c r="E729" t="n">
        <v>2</v>
      </c>
      <c r="F729" s="1" t="n"/>
      <c r="G729" s="1" t="n"/>
      <c r="H729">
        <f>IF(T_LEAVE[[#This Row],[EMPLOYEE]]="","",MATCH(T_LEAVE[[#This Row],[EMPLOYEE]],L_EMPLABELS,0))</f>
        <v/>
      </c>
      <c r="I729">
        <f>IF(T_LEAVE[[#This Row],[EMPLOYEE]]="","",MATCH(T_LEAVE[[#This Row],[LEAVE TYPE]],L_LEAVETYPES,0))</f>
        <v/>
      </c>
      <c r="J729">
        <f t="array" ref="J729">IFERROR(INDEX(T_LEAVE_TYPES[SYMBOL],T_LEAVE[[#This Row],[LEAVE TYPE SYS ID]]),"")</f>
        <v/>
      </c>
      <c r="K729">
        <f>IF(T_LEAVE[[#This Row],[EMPLOYEE]]="","",IF(T_LEAVE[[#This Row],[ERROR]]="",0,1))</f>
        <v/>
      </c>
      <c r="L729">
        <f t="array" ref="L72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0">
      <c r="A730" t="inlineStr">
        <is>
          <t>Karthika  R (1020012)</t>
        </is>
      </c>
      <c r="B730" t="inlineStr">
        <is>
          <t>Friday, 11 December 2020</t>
        </is>
      </c>
      <c r="C730" t="inlineStr">
        <is>
          <t>Friday, 11 December 2020</t>
        </is>
      </c>
      <c r="D730" t="inlineStr">
        <is>
          <t xml:space="preserve">Casual / Sick </t>
        </is>
      </c>
      <c r="E730" t="n">
        <v>1</v>
      </c>
      <c r="F730" s="1" t="n"/>
      <c r="G730" s="1" t="n"/>
      <c r="H730">
        <f>IF(T_LEAVE[[#This Row],[EMPLOYEE]]="","",MATCH(T_LEAVE[[#This Row],[EMPLOYEE]],L_EMPLABELS,0))</f>
        <v/>
      </c>
      <c r="I730">
        <f>IF(T_LEAVE[[#This Row],[EMPLOYEE]]="","",MATCH(T_LEAVE[[#This Row],[LEAVE TYPE]],L_LEAVETYPES,0))</f>
        <v/>
      </c>
      <c r="J730">
        <f t="array" ref="J730">IFERROR(INDEX(T_LEAVE_TYPES[SYMBOL],T_LEAVE[[#This Row],[LEAVE TYPE SYS ID]]),"")</f>
        <v/>
      </c>
      <c r="K730">
        <f>IF(T_LEAVE[[#This Row],[EMPLOYEE]]="","",IF(T_LEAVE[[#This Row],[ERROR]]="",0,1))</f>
        <v/>
      </c>
      <c r="L730">
        <f t="array" ref="L73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1">
      <c r="A731" t="inlineStr">
        <is>
          <t>S Suneetha (1020246)</t>
        </is>
      </c>
      <c r="B731" t="inlineStr">
        <is>
          <t>Monday, 23 November 2020</t>
        </is>
      </c>
      <c r="C731" t="inlineStr">
        <is>
          <t>Friday, 04 December 2020</t>
        </is>
      </c>
      <c r="D731" t="inlineStr">
        <is>
          <t>Privilege</t>
        </is>
      </c>
      <c r="E731" t="n">
        <v>10</v>
      </c>
      <c r="F731" s="1" t="n"/>
      <c r="G731" s="1" t="n"/>
      <c r="H731">
        <f>IF(T_LEAVE[[#This Row],[EMPLOYEE]]="","",MATCH(T_LEAVE[[#This Row],[EMPLOYEE]],L_EMPLABELS,0))</f>
        <v/>
      </c>
      <c r="I731">
        <f>IF(T_LEAVE[[#This Row],[EMPLOYEE]]="","",MATCH(T_LEAVE[[#This Row],[LEAVE TYPE]],L_LEAVETYPES,0))</f>
        <v/>
      </c>
      <c r="J731">
        <f t="array" ref="J731">IFERROR(INDEX(T_LEAVE_TYPES[SYMBOL],T_LEAVE[[#This Row],[LEAVE TYPE SYS ID]]),"")</f>
        <v/>
      </c>
      <c r="K731">
        <f>IF(T_LEAVE[[#This Row],[EMPLOYEE]]="","",IF(T_LEAVE[[#This Row],[ERROR]]="",0,1))</f>
        <v/>
      </c>
      <c r="L731">
        <f t="array" ref="L73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2">
      <c r="A732" t="inlineStr">
        <is>
          <t>Karthika  R (1020012)</t>
        </is>
      </c>
      <c r="B732" t="inlineStr">
        <is>
          <t>Friday, 30 October 2020</t>
        </is>
      </c>
      <c r="C732" t="inlineStr">
        <is>
          <t>Friday, 30 October 2020</t>
        </is>
      </c>
      <c r="D732" t="inlineStr">
        <is>
          <t>Privilege</t>
        </is>
      </c>
      <c r="E732" t="n">
        <v>1</v>
      </c>
      <c r="F732" s="1" t="n"/>
      <c r="G732" s="1" t="n"/>
      <c r="H732">
        <f>IF(T_LEAVE[[#This Row],[EMPLOYEE]]="","",MATCH(T_LEAVE[[#This Row],[EMPLOYEE]],L_EMPLABELS,0))</f>
        <v/>
      </c>
      <c r="I732">
        <f>IF(T_LEAVE[[#This Row],[EMPLOYEE]]="","",MATCH(T_LEAVE[[#This Row],[LEAVE TYPE]],L_LEAVETYPES,0))</f>
        <v/>
      </c>
      <c r="J732">
        <f t="array" ref="J732">IFERROR(INDEX(T_LEAVE_TYPES[SYMBOL],T_LEAVE[[#This Row],[LEAVE TYPE SYS ID]]),"")</f>
        <v/>
      </c>
      <c r="K732">
        <f>IF(T_LEAVE[[#This Row],[EMPLOYEE]]="","",IF(T_LEAVE[[#This Row],[ERROR]]="",0,1))</f>
        <v/>
      </c>
      <c r="L732">
        <f t="array" ref="L73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3">
      <c r="A733" t="inlineStr">
        <is>
          <t>S Suneetha (1020246)</t>
        </is>
      </c>
      <c r="B733" t="inlineStr">
        <is>
          <t>Wednesday, 07 October 2020</t>
        </is>
      </c>
      <c r="C733" t="inlineStr">
        <is>
          <t>Thursday, 08 October 2020</t>
        </is>
      </c>
      <c r="D733" t="inlineStr">
        <is>
          <t>Privilege</t>
        </is>
      </c>
      <c r="E733" t="n">
        <v>2</v>
      </c>
      <c r="F733" s="1" t="n"/>
      <c r="G733" s="1" t="n"/>
      <c r="H733">
        <f>IF(T_LEAVE[[#This Row],[EMPLOYEE]]="","",MATCH(T_LEAVE[[#This Row],[EMPLOYEE]],L_EMPLABELS,0))</f>
        <v/>
      </c>
      <c r="I733">
        <f>IF(T_LEAVE[[#This Row],[EMPLOYEE]]="","",MATCH(T_LEAVE[[#This Row],[LEAVE TYPE]],L_LEAVETYPES,0))</f>
        <v/>
      </c>
      <c r="J733">
        <f t="array" ref="J733">IFERROR(INDEX(T_LEAVE_TYPES[SYMBOL],T_LEAVE[[#This Row],[LEAVE TYPE SYS ID]]),"")</f>
        <v/>
      </c>
      <c r="K733">
        <f>IF(T_LEAVE[[#This Row],[EMPLOYEE]]="","",IF(T_LEAVE[[#This Row],[ERROR]]="",0,1))</f>
        <v/>
      </c>
      <c r="L733">
        <f t="array" ref="L73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4">
      <c r="A734" t="inlineStr">
        <is>
          <t>S Suneetha (1020246)</t>
        </is>
      </c>
      <c r="B734" t="inlineStr">
        <is>
          <t>Thursday, 04 June 2020</t>
        </is>
      </c>
      <c r="C734" t="inlineStr">
        <is>
          <t>Thursday, 04 June 2020</t>
        </is>
      </c>
      <c r="D734" t="inlineStr">
        <is>
          <t xml:space="preserve">Casual / Sick </t>
        </is>
      </c>
      <c r="E734" t="n">
        <v>1</v>
      </c>
      <c r="F734" s="1" t="n"/>
      <c r="G734" s="1" t="n"/>
      <c r="H734">
        <f>IF(T_LEAVE[[#This Row],[EMPLOYEE]]="","",MATCH(T_LEAVE[[#This Row],[EMPLOYEE]],L_EMPLABELS,0))</f>
        <v/>
      </c>
      <c r="I734">
        <f>IF(T_LEAVE[[#This Row],[EMPLOYEE]]="","",MATCH(T_LEAVE[[#This Row],[LEAVE TYPE]],L_LEAVETYPES,0))</f>
        <v/>
      </c>
      <c r="J734">
        <f t="array" ref="J734">IFERROR(INDEX(T_LEAVE_TYPES[SYMBOL],T_LEAVE[[#This Row],[LEAVE TYPE SYS ID]]),"")</f>
        <v/>
      </c>
      <c r="K734">
        <f>IF(T_LEAVE[[#This Row],[EMPLOYEE]]="","",IF(T_LEAVE[[#This Row],[ERROR]]="",0,1))</f>
        <v/>
      </c>
      <c r="L734">
        <f t="array" ref="L73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5">
      <c r="A735" t="inlineStr">
        <is>
          <t>Karthika  R (1020012)</t>
        </is>
      </c>
      <c r="B735" t="inlineStr">
        <is>
          <t>Wednesday, 26 August 2020</t>
        </is>
      </c>
      <c r="C735" t="inlineStr">
        <is>
          <t>Wednesday, 26 August 2020</t>
        </is>
      </c>
      <c r="D735" t="inlineStr">
        <is>
          <t xml:space="preserve">Casual / Sick </t>
        </is>
      </c>
      <c r="E735" t="n">
        <v>1</v>
      </c>
      <c r="F735" s="1" t="n"/>
      <c r="G735" s="1" t="n"/>
      <c r="H735">
        <f>IF(T_LEAVE[[#This Row],[EMPLOYEE]]="","",MATCH(T_LEAVE[[#This Row],[EMPLOYEE]],L_EMPLABELS,0))</f>
        <v/>
      </c>
      <c r="I735">
        <f>IF(T_LEAVE[[#This Row],[EMPLOYEE]]="","",MATCH(T_LEAVE[[#This Row],[LEAVE TYPE]],L_LEAVETYPES,0))</f>
        <v/>
      </c>
      <c r="J735">
        <f t="array" ref="J735">IFERROR(INDEX(T_LEAVE_TYPES[SYMBOL],T_LEAVE[[#This Row],[LEAVE TYPE SYS ID]]),"")</f>
        <v/>
      </c>
      <c r="K735">
        <f>IF(T_LEAVE[[#This Row],[EMPLOYEE]]="","",IF(T_LEAVE[[#This Row],[ERROR]]="",0,1))</f>
        <v/>
      </c>
      <c r="L735">
        <f t="array" ref="L73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6">
      <c r="A736" t="inlineStr">
        <is>
          <t>S Suneetha (1020246)</t>
        </is>
      </c>
      <c r="B736" t="inlineStr">
        <is>
          <t>Tuesday, 14 July 2020</t>
        </is>
      </c>
      <c r="C736" t="inlineStr">
        <is>
          <t>Tuesday, 14 July 2020</t>
        </is>
      </c>
      <c r="D736" t="inlineStr">
        <is>
          <t>Privilege</t>
        </is>
      </c>
      <c r="E736" t="n">
        <v>1</v>
      </c>
      <c r="F736" s="1" t="n"/>
      <c r="G736" s="1" t="n"/>
      <c r="H736">
        <f>IF(T_LEAVE[[#This Row],[EMPLOYEE]]="","",MATCH(T_LEAVE[[#This Row],[EMPLOYEE]],L_EMPLABELS,0))</f>
        <v/>
      </c>
      <c r="I736">
        <f>IF(T_LEAVE[[#This Row],[EMPLOYEE]]="","",MATCH(T_LEAVE[[#This Row],[LEAVE TYPE]],L_LEAVETYPES,0))</f>
        <v/>
      </c>
      <c r="J736">
        <f t="array" ref="J736">IFERROR(INDEX(T_LEAVE_TYPES[SYMBOL],T_LEAVE[[#This Row],[LEAVE TYPE SYS ID]]),"")</f>
        <v/>
      </c>
      <c r="K736">
        <f>IF(T_LEAVE[[#This Row],[EMPLOYEE]]="","",IF(T_LEAVE[[#This Row],[ERROR]]="",0,1))</f>
        <v/>
      </c>
      <c r="L736">
        <f t="array" ref="L73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7">
      <c r="A737" t="inlineStr">
        <is>
          <t>Karthika  R (1020012)</t>
        </is>
      </c>
      <c r="B737" t="inlineStr">
        <is>
          <t>Tuesday, 14 July 2020</t>
        </is>
      </c>
      <c r="C737" t="inlineStr">
        <is>
          <t>Tuesday, 14 July 2020</t>
        </is>
      </c>
      <c r="D737" t="inlineStr">
        <is>
          <t>Privilege</t>
        </is>
      </c>
      <c r="E737" t="n">
        <v>1</v>
      </c>
      <c r="F737" s="1" t="n"/>
      <c r="G737" s="1" t="n"/>
      <c r="H737">
        <f>IF(T_LEAVE[[#This Row],[EMPLOYEE]]="","",MATCH(T_LEAVE[[#This Row],[EMPLOYEE]],L_EMPLABELS,0))</f>
        <v/>
      </c>
      <c r="I737">
        <f>IF(T_LEAVE[[#This Row],[EMPLOYEE]]="","",MATCH(T_LEAVE[[#This Row],[LEAVE TYPE]],L_LEAVETYPES,0))</f>
        <v/>
      </c>
      <c r="J737">
        <f t="array" ref="J737">IFERROR(INDEX(T_LEAVE_TYPES[SYMBOL],T_LEAVE[[#This Row],[LEAVE TYPE SYS ID]]),"")</f>
        <v/>
      </c>
      <c r="K737">
        <f>IF(T_LEAVE[[#This Row],[EMPLOYEE]]="","",IF(T_LEAVE[[#This Row],[ERROR]]="",0,1))</f>
        <v/>
      </c>
      <c r="L737">
        <f t="array" ref="L73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8">
      <c r="A738" t="inlineStr">
        <is>
          <t>S Suneetha (1020246)</t>
        </is>
      </c>
      <c r="B738" t="inlineStr">
        <is>
          <t>Thursday, 07 May 2020</t>
        </is>
      </c>
      <c r="C738" t="inlineStr">
        <is>
          <t>Thursday, 07 May 2020</t>
        </is>
      </c>
      <c r="D738" t="inlineStr">
        <is>
          <t xml:space="preserve">Casual / Sick </t>
        </is>
      </c>
      <c r="E738" t="n">
        <v>1</v>
      </c>
      <c r="F738" s="1" t="n"/>
      <c r="G738" s="1" t="n"/>
      <c r="H738">
        <f>IF(T_LEAVE[[#This Row],[EMPLOYEE]]="","",MATCH(T_LEAVE[[#This Row],[EMPLOYEE]],L_EMPLABELS,0))</f>
        <v/>
      </c>
      <c r="I738">
        <f>IF(T_LEAVE[[#This Row],[EMPLOYEE]]="","",MATCH(T_LEAVE[[#This Row],[LEAVE TYPE]],L_LEAVETYPES,0))</f>
        <v/>
      </c>
      <c r="J738">
        <f t="array" ref="J738">IFERROR(INDEX(T_LEAVE_TYPES[SYMBOL],T_LEAVE[[#This Row],[LEAVE TYPE SYS ID]]),"")</f>
        <v/>
      </c>
      <c r="K738">
        <f>IF(T_LEAVE[[#This Row],[EMPLOYEE]]="","",IF(T_LEAVE[[#This Row],[ERROR]]="",0,1))</f>
        <v/>
      </c>
      <c r="L738">
        <f t="array" ref="L73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39">
      <c r="A739" t="inlineStr">
        <is>
          <t>S Suneetha (1020246)</t>
        </is>
      </c>
      <c r="B739" t="inlineStr">
        <is>
          <t>Tuesday, 19 May 2020</t>
        </is>
      </c>
      <c r="C739" t="inlineStr">
        <is>
          <t>Tuesday, 19 May 2020</t>
        </is>
      </c>
      <c r="D739" t="inlineStr">
        <is>
          <t xml:space="preserve">Casual / Sick </t>
        </is>
      </c>
      <c r="E739" t="n">
        <v>1</v>
      </c>
      <c r="F739" s="1" t="n"/>
      <c r="G739" s="1" t="n"/>
      <c r="H739">
        <f>IF(T_LEAVE[[#This Row],[EMPLOYEE]]="","",MATCH(T_LEAVE[[#This Row],[EMPLOYEE]],L_EMPLABELS,0))</f>
        <v/>
      </c>
      <c r="I739">
        <f>IF(T_LEAVE[[#This Row],[EMPLOYEE]]="","",MATCH(T_LEAVE[[#This Row],[LEAVE TYPE]],L_LEAVETYPES,0))</f>
        <v/>
      </c>
      <c r="J739">
        <f t="array" ref="J739">IFERROR(INDEX(T_LEAVE_TYPES[SYMBOL],T_LEAVE[[#This Row],[LEAVE TYPE SYS ID]]),"")</f>
        <v/>
      </c>
      <c r="K739">
        <f>IF(T_LEAVE[[#This Row],[EMPLOYEE]]="","",IF(T_LEAVE[[#This Row],[ERROR]]="",0,1))</f>
        <v/>
      </c>
      <c r="L739">
        <f t="array" ref="L73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0">
      <c r="A740" t="inlineStr">
        <is>
          <t>S Suneetha (1020246)</t>
        </is>
      </c>
      <c r="B740" t="inlineStr">
        <is>
          <t>Wednesday, 22 July 2020</t>
        </is>
      </c>
      <c r="C740" t="inlineStr">
        <is>
          <t>Wednesday, 22 July 2020</t>
        </is>
      </c>
      <c r="D740" t="inlineStr">
        <is>
          <t xml:space="preserve">Casual / Sick </t>
        </is>
      </c>
      <c r="E740" t="n">
        <v>1</v>
      </c>
      <c r="F740" s="1" t="n"/>
      <c r="G740" s="1" t="n"/>
      <c r="H740">
        <f>IF(T_LEAVE[[#This Row],[EMPLOYEE]]="","",MATCH(T_LEAVE[[#This Row],[EMPLOYEE]],L_EMPLABELS,0))</f>
        <v/>
      </c>
      <c r="I740">
        <f>IF(T_LEAVE[[#This Row],[EMPLOYEE]]="","",MATCH(T_LEAVE[[#This Row],[LEAVE TYPE]],L_LEAVETYPES,0))</f>
        <v/>
      </c>
      <c r="J740">
        <f t="array" ref="J740">IFERROR(INDEX(T_LEAVE_TYPES[SYMBOL],T_LEAVE[[#This Row],[LEAVE TYPE SYS ID]]),"")</f>
        <v/>
      </c>
      <c r="K740">
        <f>IF(T_LEAVE[[#This Row],[EMPLOYEE]]="","",IF(T_LEAVE[[#This Row],[ERROR]]="",0,1))</f>
        <v/>
      </c>
      <c r="L740">
        <f t="array" ref="L74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1">
      <c r="A741" t="inlineStr">
        <is>
          <t>S Suneetha (1020246)</t>
        </is>
      </c>
      <c r="B741" t="inlineStr">
        <is>
          <t>Tuesday, 18 August 2020</t>
        </is>
      </c>
      <c r="C741" t="inlineStr">
        <is>
          <t>Tuesday, 18 August 2020</t>
        </is>
      </c>
      <c r="D741" t="inlineStr">
        <is>
          <t xml:space="preserve">Casual / Sick </t>
        </is>
      </c>
      <c r="E741" t="n">
        <v>1</v>
      </c>
      <c r="F741" s="1" t="n"/>
      <c r="G741" s="1" t="n"/>
      <c r="H741">
        <f>IF(T_LEAVE[[#This Row],[EMPLOYEE]]="","",MATCH(T_LEAVE[[#This Row],[EMPLOYEE]],L_EMPLABELS,0))</f>
        <v/>
      </c>
      <c r="I741">
        <f>IF(T_LEAVE[[#This Row],[EMPLOYEE]]="","",MATCH(T_LEAVE[[#This Row],[LEAVE TYPE]],L_LEAVETYPES,0))</f>
        <v/>
      </c>
      <c r="J741">
        <f t="array" ref="J741">IFERROR(INDEX(T_LEAVE_TYPES[SYMBOL],T_LEAVE[[#This Row],[LEAVE TYPE SYS ID]]),"")</f>
        <v/>
      </c>
      <c r="K741">
        <f>IF(T_LEAVE[[#This Row],[EMPLOYEE]]="","",IF(T_LEAVE[[#This Row],[ERROR]]="",0,1))</f>
        <v/>
      </c>
      <c r="L741">
        <f t="array" ref="L74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2">
      <c r="A742" t="inlineStr">
        <is>
          <t>S Suneetha (1020246)</t>
        </is>
      </c>
      <c r="B742" t="inlineStr">
        <is>
          <t>Tuesday, 08 September 2020</t>
        </is>
      </c>
      <c r="C742" t="inlineStr">
        <is>
          <t>Tuesday, 08 September 2020</t>
        </is>
      </c>
      <c r="D742" t="inlineStr">
        <is>
          <t xml:space="preserve">Casual / Sick </t>
        </is>
      </c>
      <c r="E742" t="n">
        <v>1</v>
      </c>
      <c r="F742" s="1" t="n"/>
      <c r="G742" s="1" t="n"/>
      <c r="H742">
        <f>IF(T_LEAVE[[#This Row],[EMPLOYEE]]="","",MATCH(T_LEAVE[[#This Row],[EMPLOYEE]],L_EMPLABELS,0))</f>
        <v/>
      </c>
      <c r="I742">
        <f>IF(T_LEAVE[[#This Row],[EMPLOYEE]]="","",MATCH(T_LEAVE[[#This Row],[LEAVE TYPE]],L_LEAVETYPES,0))</f>
        <v/>
      </c>
      <c r="J742">
        <f t="array" ref="J742">IFERROR(INDEX(T_LEAVE_TYPES[SYMBOL],T_LEAVE[[#This Row],[LEAVE TYPE SYS ID]]),"")</f>
        <v/>
      </c>
      <c r="K742">
        <f>IF(T_LEAVE[[#This Row],[EMPLOYEE]]="","",IF(T_LEAVE[[#This Row],[ERROR]]="",0,1))</f>
        <v/>
      </c>
      <c r="L742">
        <f t="array" ref="L74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3">
      <c r="A743" t="inlineStr">
        <is>
          <t>Karthika  R (1020012)</t>
        </is>
      </c>
      <c r="B743" t="inlineStr">
        <is>
          <t>Monday, 28 September 2020</t>
        </is>
      </c>
      <c r="C743" t="inlineStr">
        <is>
          <t>Monday, 28 September 2020</t>
        </is>
      </c>
      <c r="D743" t="inlineStr">
        <is>
          <t xml:space="preserve">Casual / Sick </t>
        </is>
      </c>
      <c r="E743" t="n">
        <v>1</v>
      </c>
      <c r="F743" s="1" t="n"/>
      <c r="G743" s="1" t="n"/>
      <c r="H743">
        <f>IF(T_LEAVE[[#This Row],[EMPLOYEE]]="","",MATCH(T_LEAVE[[#This Row],[EMPLOYEE]],L_EMPLABELS,0))</f>
        <v/>
      </c>
      <c r="I743">
        <f>IF(T_LEAVE[[#This Row],[EMPLOYEE]]="","",MATCH(T_LEAVE[[#This Row],[LEAVE TYPE]],L_LEAVETYPES,0))</f>
        <v/>
      </c>
      <c r="J743">
        <f t="array" ref="J743">IFERROR(INDEX(T_LEAVE_TYPES[SYMBOL],T_LEAVE[[#This Row],[LEAVE TYPE SYS ID]]),"")</f>
        <v/>
      </c>
      <c r="K743">
        <f>IF(T_LEAVE[[#This Row],[EMPLOYEE]]="","",IF(T_LEAVE[[#This Row],[ERROR]]="",0,1))</f>
        <v/>
      </c>
      <c r="L743">
        <f t="array" ref="L74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4">
      <c r="A744" t="inlineStr">
        <is>
          <t>S Suneetha (1020246)</t>
        </is>
      </c>
      <c r="B744" t="inlineStr">
        <is>
          <t>Monday, 06 July 2020</t>
        </is>
      </c>
      <c r="C744" t="inlineStr">
        <is>
          <t>Monday, 06 July 2020</t>
        </is>
      </c>
      <c r="D744" t="inlineStr">
        <is>
          <t xml:space="preserve">Casual / Sick </t>
        </is>
      </c>
      <c r="E744" t="n">
        <v>1</v>
      </c>
      <c r="F744" s="1" t="n"/>
      <c r="G744" s="1" t="n"/>
      <c r="H744">
        <f>IF(T_LEAVE[[#This Row],[EMPLOYEE]]="","",MATCH(T_LEAVE[[#This Row],[EMPLOYEE]],L_EMPLABELS,0))</f>
        <v/>
      </c>
      <c r="I744">
        <f>IF(T_LEAVE[[#This Row],[EMPLOYEE]]="","",MATCH(T_LEAVE[[#This Row],[LEAVE TYPE]],L_LEAVETYPES,0))</f>
        <v/>
      </c>
      <c r="J744">
        <f t="array" ref="J744">IFERROR(INDEX(T_LEAVE_TYPES[SYMBOL],T_LEAVE[[#This Row],[LEAVE TYPE SYS ID]]),"")</f>
        <v/>
      </c>
      <c r="K744">
        <f>IF(T_LEAVE[[#This Row],[EMPLOYEE]]="","",IF(T_LEAVE[[#This Row],[ERROR]]="",0,1))</f>
        <v/>
      </c>
      <c r="L744">
        <f t="array" ref="L74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5">
      <c r="A745" t="inlineStr">
        <is>
          <t>Karthika  R (1020012)</t>
        </is>
      </c>
      <c r="B745" t="inlineStr">
        <is>
          <t>Monday, 01 June 2020</t>
        </is>
      </c>
      <c r="C745" t="inlineStr">
        <is>
          <t>Monday, 01 June 2020</t>
        </is>
      </c>
      <c r="D745" t="inlineStr">
        <is>
          <t xml:space="preserve">Casual / Sick </t>
        </is>
      </c>
      <c r="E745" t="n">
        <v>1</v>
      </c>
      <c r="F745" s="1" t="n"/>
      <c r="G745" s="1" t="n"/>
      <c r="H745">
        <f>IF(T_LEAVE[[#This Row],[EMPLOYEE]]="","",MATCH(T_LEAVE[[#This Row],[EMPLOYEE]],L_EMPLABELS,0))</f>
        <v/>
      </c>
      <c r="I745">
        <f>IF(T_LEAVE[[#This Row],[EMPLOYEE]]="","",MATCH(T_LEAVE[[#This Row],[LEAVE TYPE]],L_LEAVETYPES,0))</f>
        <v/>
      </c>
      <c r="J745">
        <f t="array" ref="J745">IFERROR(INDEX(T_LEAVE_TYPES[SYMBOL],T_LEAVE[[#This Row],[LEAVE TYPE SYS ID]]),"")</f>
        <v/>
      </c>
      <c r="K745">
        <f>IF(T_LEAVE[[#This Row],[EMPLOYEE]]="","",IF(T_LEAVE[[#This Row],[ERROR]]="",0,1))</f>
        <v/>
      </c>
      <c r="L745">
        <f t="array" ref="L74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6">
      <c r="A746" t="inlineStr">
        <is>
          <t>Karthika  R (1020012)</t>
        </is>
      </c>
      <c r="B746" t="inlineStr">
        <is>
          <t>Monday, 29 June 2020</t>
        </is>
      </c>
      <c r="C746" t="inlineStr">
        <is>
          <t>Monday, 29 June 2020</t>
        </is>
      </c>
      <c r="D746" t="inlineStr">
        <is>
          <t>Privilege</t>
        </is>
      </c>
      <c r="E746" t="n">
        <v>1</v>
      </c>
      <c r="F746" s="1" t="n"/>
      <c r="G746" s="1" t="n"/>
      <c r="H746">
        <f>IF(T_LEAVE[[#This Row],[EMPLOYEE]]="","",MATCH(T_LEAVE[[#This Row],[EMPLOYEE]],L_EMPLABELS,0))</f>
        <v/>
      </c>
      <c r="I746">
        <f>IF(T_LEAVE[[#This Row],[EMPLOYEE]]="","",MATCH(T_LEAVE[[#This Row],[LEAVE TYPE]],L_LEAVETYPES,0))</f>
        <v/>
      </c>
      <c r="J746">
        <f t="array" ref="J746">IFERROR(INDEX(T_LEAVE_TYPES[SYMBOL],T_LEAVE[[#This Row],[LEAVE TYPE SYS ID]]),"")</f>
        <v/>
      </c>
      <c r="K746">
        <f>IF(T_LEAVE[[#This Row],[EMPLOYEE]]="","",IF(T_LEAVE[[#This Row],[ERROR]]="",0,1))</f>
        <v/>
      </c>
      <c r="L746">
        <f t="array" ref="L74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7">
      <c r="A747" t="inlineStr">
        <is>
          <t>Karthika  R (1020012)</t>
        </is>
      </c>
      <c r="B747" t="inlineStr">
        <is>
          <t>Tuesday, 31 March 2020</t>
        </is>
      </c>
      <c r="C747" t="inlineStr">
        <is>
          <t>Tuesday, 31 March 2020</t>
        </is>
      </c>
      <c r="D747" t="inlineStr">
        <is>
          <t xml:space="preserve">Casual / Sick </t>
        </is>
      </c>
      <c r="E747" t="n">
        <v>1</v>
      </c>
      <c r="F747" s="1" t="n"/>
      <c r="G747" s="1" t="n"/>
      <c r="H747">
        <f>IF(T_LEAVE[[#This Row],[EMPLOYEE]]="","",MATCH(T_LEAVE[[#This Row],[EMPLOYEE]],L_EMPLABELS,0))</f>
        <v/>
      </c>
      <c r="I747">
        <f>IF(T_LEAVE[[#This Row],[EMPLOYEE]]="","",MATCH(T_LEAVE[[#This Row],[LEAVE TYPE]],L_LEAVETYPES,0))</f>
        <v/>
      </c>
      <c r="J747">
        <f t="array" ref="J747">IFERROR(INDEX(T_LEAVE_TYPES[SYMBOL],T_LEAVE[[#This Row],[LEAVE TYPE SYS ID]]),"")</f>
        <v/>
      </c>
      <c r="K747">
        <f>IF(T_LEAVE[[#This Row],[EMPLOYEE]]="","",IF(T_LEAVE[[#This Row],[ERROR]]="",0,1))</f>
        <v/>
      </c>
      <c r="L747">
        <f t="array" ref="L74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8">
      <c r="A748" t="inlineStr">
        <is>
          <t>S Suneetha (1020246)</t>
        </is>
      </c>
      <c r="B748" t="inlineStr">
        <is>
          <t>Monday, 20 January 2020</t>
        </is>
      </c>
      <c r="C748" t="inlineStr">
        <is>
          <t>Tuesday, 21 January 2020</t>
        </is>
      </c>
      <c r="D748" t="inlineStr">
        <is>
          <t>Privilege</t>
        </is>
      </c>
      <c r="E748" t="n">
        <v>2</v>
      </c>
      <c r="F748" s="1" t="n"/>
      <c r="G748" s="1" t="n"/>
      <c r="H748">
        <f>IF(T_LEAVE[[#This Row],[EMPLOYEE]]="","",MATCH(T_LEAVE[[#This Row],[EMPLOYEE]],L_EMPLABELS,0))</f>
        <v/>
      </c>
      <c r="I748">
        <f>IF(T_LEAVE[[#This Row],[EMPLOYEE]]="","",MATCH(T_LEAVE[[#This Row],[LEAVE TYPE]],L_LEAVETYPES,0))</f>
        <v/>
      </c>
      <c r="J748">
        <f t="array" ref="J748">IFERROR(INDEX(T_LEAVE_TYPES[SYMBOL],T_LEAVE[[#This Row],[LEAVE TYPE SYS ID]]),"")</f>
        <v/>
      </c>
      <c r="K748">
        <f>IF(T_LEAVE[[#This Row],[EMPLOYEE]]="","",IF(T_LEAVE[[#This Row],[ERROR]]="",0,1))</f>
        <v/>
      </c>
      <c r="L748">
        <f t="array" ref="L74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49">
      <c r="A749" t="inlineStr">
        <is>
          <t>S Suneetha (1020246)</t>
        </is>
      </c>
      <c r="B749" t="inlineStr">
        <is>
          <t>Monday, 23 December 2019</t>
        </is>
      </c>
      <c r="C749" t="inlineStr">
        <is>
          <t>Monday, 23 December 2019</t>
        </is>
      </c>
      <c r="D749" t="inlineStr">
        <is>
          <t>Privilege</t>
        </is>
      </c>
      <c r="E749" t="n">
        <v>1</v>
      </c>
      <c r="F749" s="1" t="n"/>
      <c r="G749" s="1" t="n"/>
      <c r="H749">
        <f>IF(T_LEAVE[[#This Row],[EMPLOYEE]]="","",MATCH(T_LEAVE[[#This Row],[EMPLOYEE]],L_EMPLABELS,0))</f>
        <v/>
      </c>
      <c r="I749">
        <f>IF(T_LEAVE[[#This Row],[EMPLOYEE]]="","",MATCH(T_LEAVE[[#This Row],[LEAVE TYPE]],L_LEAVETYPES,0))</f>
        <v/>
      </c>
      <c r="J749">
        <f t="array" ref="J749">IFERROR(INDEX(T_LEAVE_TYPES[SYMBOL],T_LEAVE[[#This Row],[LEAVE TYPE SYS ID]]),"")</f>
        <v/>
      </c>
      <c r="K749">
        <f>IF(T_LEAVE[[#This Row],[EMPLOYEE]]="","",IF(T_LEAVE[[#This Row],[ERROR]]="",0,1))</f>
        <v/>
      </c>
      <c r="L749">
        <f t="array" ref="L74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0">
      <c r="A750" t="inlineStr">
        <is>
          <t>S Suneetha (1020246)</t>
        </is>
      </c>
      <c r="B750" t="inlineStr">
        <is>
          <t>Thursday, 19 December 2019</t>
        </is>
      </c>
      <c r="C750" t="inlineStr">
        <is>
          <t>Friday, 20 December 2019</t>
        </is>
      </c>
      <c r="D750" t="inlineStr">
        <is>
          <t>Privilege</t>
        </is>
      </c>
      <c r="E750" t="n">
        <v>2</v>
      </c>
      <c r="F750" s="1" t="n"/>
      <c r="G750" s="1" t="n"/>
      <c r="H750">
        <f>IF(T_LEAVE[[#This Row],[EMPLOYEE]]="","",MATCH(T_LEAVE[[#This Row],[EMPLOYEE]],L_EMPLABELS,0))</f>
        <v/>
      </c>
      <c r="I750">
        <f>IF(T_LEAVE[[#This Row],[EMPLOYEE]]="","",MATCH(T_LEAVE[[#This Row],[LEAVE TYPE]],L_LEAVETYPES,0))</f>
        <v/>
      </c>
      <c r="J750">
        <f t="array" ref="J750">IFERROR(INDEX(T_LEAVE_TYPES[SYMBOL],T_LEAVE[[#This Row],[LEAVE TYPE SYS ID]]),"")</f>
        <v/>
      </c>
      <c r="K750">
        <f>IF(T_LEAVE[[#This Row],[EMPLOYEE]]="","",IF(T_LEAVE[[#This Row],[ERROR]]="",0,1))</f>
        <v/>
      </c>
      <c r="L750">
        <f t="array" ref="L75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1">
      <c r="A751" t="inlineStr">
        <is>
          <t>S Suneetha (1020246)</t>
        </is>
      </c>
      <c r="B751" t="inlineStr">
        <is>
          <t>Friday, 30 August 2019</t>
        </is>
      </c>
      <c r="C751" t="inlineStr">
        <is>
          <t>Friday, 30 August 2019</t>
        </is>
      </c>
      <c r="D751" t="inlineStr">
        <is>
          <t>Privilege</t>
        </is>
      </c>
      <c r="E751" t="n">
        <v>1</v>
      </c>
      <c r="F751" s="1" t="n"/>
      <c r="G751" s="1" t="n"/>
      <c r="H751">
        <f>IF(T_LEAVE[[#This Row],[EMPLOYEE]]="","",MATCH(T_LEAVE[[#This Row],[EMPLOYEE]],L_EMPLABELS,0))</f>
        <v/>
      </c>
      <c r="I751">
        <f>IF(T_LEAVE[[#This Row],[EMPLOYEE]]="","",MATCH(T_LEAVE[[#This Row],[LEAVE TYPE]],L_LEAVETYPES,0))</f>
        <v/>
      </c>
      <c r="J751">
        <f t="array" ref="J751">IFERROR(INDEX(T_LEAVE_TYPES[SYMBOL],T_LEAVE[[#This Row],[LEAVE TYPE SYS ID]]),"")</f>
        <v/>
      </c>
      <c r="K751">
        <f>IF(T_LEAVE[[#This Row],[EMPLOYEE]]="","",IF(T_LEAVE[[#This Row],[ERROR]]="",0,1))</f>
        <v/>
      </c>
      <c r="L751">
        <f t="array" ref="L75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2">
      <c r="A752" t="inlineStr">
        <is>
          <t>S Suneetha (1020246)</t>
        </is>
      </c>
      <c r="B752" t="inlineStr">
        <is>
          <t>Friday, 26 July 2019</t>
        </is>
      </c>
      <c r="C752" t="inlineStr">
        <is>
          <t>Friday, 26 July 2019</t>
        </is>
      </c>
      <c r="D752" t="inlineStr">
        <is>
          <t>Privilege</t>
        </is>
      </c>
      <c r="E752" t="n">
        <v>1</v>
      </c>
      <c r="F752" s="1" t="n"/>
      <c r="G752" s="1" t="n"/>
      <c r="H752">
        <f>IF(T_LEAVE[[#This Row],[EMPLOYEE]]="","",MATCH(T_LEAVE[[#This Row],[EMPLOYEE]],L_EMPLABELS,0))</f>
        <v/>
      </c>
      <c r="I752">
        <f>IF(T_LEAVE[[#This Row],[EMPLOYEE]]="","",MATCH(T_LEAVE[[#This Row],[LEAVE TYPE]],L_LEAVETYPES,0))</f>
        <v/>
      </c>
      <c r="J752">
        <f t="array" ref="J752">IFERROR(INDEX(T_LEAVE_TYPES[SYMBOL],T_LEAVE[[#This Row],[LEAVE TYPE SYS ID]]),"")</f>
        <v/>
      </c>
      <c r="K752">
        <f>IF(T_LEAVE[[#This Row],[EMPLOYEE]]="","",IF(T_LEAVE[[#This Row],[ERROR]]="",0,1))</f>
        <v/>
      </c>
      <c r="L752">
        <f t="array" ref="L75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3">
      <c r="A753" t="inlineStr">
        <is>
          <t>S Suneetha (1020246)</t>
        </is>
      </c>
      <c r="B753" t="inlineStr">
        <is>
          <t>Thursday, 11 April 2019</t>
        </is>
      </c>
      <c r="C753" t="inlineStr">
        <is>
          <t>Friday, 12 April 2019</t>
        </is>
      </c>
      <c r="D753" t="inlineStr">
        <is>
          <t>Privilege</t>
        </is>
      </c>
      <c r="E753" t="n">
        <v>2</v>
      </c>
      <c r="F753" s="1" t="n"/>
      <c r="G753" s="1" t="n"/>
      <c r="H753">
        <f>IF(T_LEAVE[[#This Row],[EMPLOYEE]]="","",MATCH(T_LEAVE[[#This Row],[EMPLOYEE]],L_EMPLABELS,0))</f>
        <v/>
      </c>
      <c r="I753">
        <f>IF(T_LEAVE[[#This Row],[EMPLOYEE]]="","",MATCH(T_LEAVE[[#This Row],[LEAVE TYPE]],L_LEAVETYPES,0))</f>
        <v/>
      </c>
      <c r="J753">
        <f t="array" ref="J753">IFERROR(INDEX(T_LEAVE_TYPES[SYMBOL],T_LEAVE[[#This Row],[LEAVE TYPE SYS ID]]),"")</f>
        <v/>
      </c>
      <c r="K753">
        <f>IF(T_LEAVE[[#This Row],[EMPLOYEE]]="","",IF(T_LEAVE[[#This Row],[ERROR]]="",0,1))</f>
        <v/>
      </c>
      <c r="L753">
        <f t="array" ref="L75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4">
      <c r="A754" t="inlineStr">
        <is>
          <t>S Suneetha (1020246)</t>
        </is>
      </c>
      <c r="B754" t="inlineStr">
        <is>
          <t>Wednesday, 27 March 2019</t>
        </is>
      </c>
      <c r="C754" t="inlineStr">
        <is>
          <t>Wednesday, 27 March 2019</t>
        </is>
      </c>
      <c r="D754" t="inlineStr">
        <is>
          <t>Privilege</t>
        </is>
      </c>
      <c r="E754" t="n">
        <v>1</v>
      </c>
      <c r="F754" s="1" t="n"/>
      <c r="G754" s="1" t="n"/>
      <c r="H754">
        <f>IF(T_LEAVE[[#This Row],[EMPLOYEE]]="","",MATCH(T_LEAVE[[#This Row],[EMPLOYEE]],L_EMPLABELS,0))</f>
        <v/>
      </c>
      <c r="I754">
        <f>IF(T_LEAVE[[#This Row],[EMPLOYEE]]="","",MATCH(T_LEAVE[[#This Row],[LEAVE TYPE]],L_LEAVETYPES,0))</f>
        <v/>
      </c>
      <c r="J754">
        <f t="array" ref="J754">IFERROR(INDEX(T_LEAVE_TYPES[SYMBOL],T_LEAVE[[#This Row],[LEAVE TYPE SYS ID]]),"")</f>
        <v/>
      </c>
      <c r="K754">
        <f>IF(T_LEAVE[[#This Row],[EMPLOYEE]]="","",IF(T_LEAVE[[#This Row],[ERROR]]="",0,1))</f>
        <v/>
      </c>
      <c r="L754">
        <f t="array" ref="L75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5">
      <c r="A755" s="1" t="inlineStr">
        <is>
          <t>Obuli  Sundar (1027420)</t>
        </is>
      </c>
      <c r="B755" s="15" t="inlineStr">
        <is>
          <t>Tuesday, 16 January 2024</t>
        </is>
      </c>
      <c r="C755" s="15" t="inlineStr">
        <is>
          <t>Wednesday, 17 January 2024</t>
        </is>
      </c>
      <c r="D755" t="inlineStr">
        <is>
          <t xml:space="preserve">Casual / Sick </t>
        </is>
      </c>
      <c r="E755" s="1" t="n">
        <v>2</v>
      </c>
      <c r="F755" s="1" t="n"/>
      <c r="G755" s="1" t="n"/>
      <c r="H755">
        <f>IF(T_LEAVE[[#This Row],[EMPLOYEE]]="","",MATCH(T_LEAVE[[#This Row],[EMPLOYEE]],L_EMPLABELS,0))</f>
        <v/>
      </c>
      <c r="I755">
        <f>IF(T_LEAVE[[#This Row],[EMPLOYEE]]="","",MATCH(T_LEAVE[[#This Row],[LEAVE TYPE]],L_LEAVETYPES,0))</f>
        <v/>
      </c>
      <c r="J755">
        <f t="array" ref="J755">IFERROR(INDEX(T_LEAVE_TYPES[SYMBOL],T_LEAVE[[#This Row],[LEAVE TYPE SYS ID]]),"")</f>
        <v/>
      </c>
      <c r="K755">
        <f>IF(T_LEAVE[[#This Row],[EMPLOYEE]]="","",IF(T_LEAVE[[#This Row],[ERROR]]="",0,1))</f>
        <v/>
      </c>
      <c r="L755">
        <f t="array" ref="L75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6">
      <c r="A756" s="1" t="inlineStr">
        <is>
          <t>Sarath Madugula (1029527)</t>
        </is>
      </c>
      <c r="B756" s="15" t="inlineStr">
        <is>
          <t>Thursday, 18 January 2024</t>
        </is>
      </c>
      <c r="C756" s="15" t="inlineStr">
        <is>
          <t>Thursday, 18 January 2024</t>
        </is>
      </c>
      <c r="D756" t="inlineStr">
        <is>
          <t xml:space="preserve">Casual / Sick </t>
        </is>
      </c>
      <c r="E756" s="1" t="n">
        <v>1</v>
      </c>
      <c r="F756" s="1" t="n"/>
      <c r="G756" s="1" t="n"/>
      <c r="H756">
        <f>IF(T_LEAVE[[#This Row],[EMPLOYEE]]="","",MATCH(T_LEAVE[[#This Row],[EMPLOYEE]],L_EMPLABELS,0))</f>
        <v/>
      </c>
      <c r="I756">
        <f>IF(T_LEAVE[[#This Row],[EMPLOYEE]]="","",MATCH(T_LEAVE[[#This Row],[LEAVE TYPE]],L_LEAVETYPES,0))</f>
        <v/>
      </c>
      <c r="J756">
        <f t="array" ref="J756">IFERROR(INDEX(T_LEAVE_TYPES[SYMBOL],T_LEAVE[[#This Row],[LEAVE TYPE SYS ID]]),"")</f>
        <v/>
      </c>
      <c r="K756">
        <f>IF(T_LEAVE[[#This Row],[EMPLOYEE]]="","",IF(T_LEAVE[[#This Row],[ERROR]]="",0,1))</f>
        <v/>
      </c>
      <c r="L756">
        <f t="array" ref="L75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7">
      <c r="A757" s="1" t="inlineStr">
        <is>
          <t>Amol Ramesh Devkate (1031048)</t>
        </is>
      </c>
      <c r="B757" s="15" t="inlineStr">
        <is>
          <t>Wednesday, 17 January 2024</t>
        </is>
      </c>
      <c r="C757" s="15" t="inlineStr">
        <is>
          <t>Thursday, 18 January 2024</t>
        </is>
      </c>
      <c r="D757" t="inlineStr">
        <is>
          <t xml:space="preserve">Casual / Sick </t>
        </is>
      </c>
      <c r="E757" s="1" t="n">
        <v>2</v>
      </c>
      <c r="F757" s="1" t="n"/>
      <c r="G757" s="1" t="n"/>
      <c r="H757">
        <f>IF(T_LEAVE[[#This Row],[EMPLOYEE]]="","",MATCH(T_LEAVE[[#This Row],[EMPLOYEE]],L_EMPLABELS,0))</f>
        <v/>
      </c>
      <c r="I757">
        <f>IF(T_LEAVE[[#This Row],[EMPLOYEE]]="","",MATCH(T_LEAVE[[#This Row],[LEAVE TYPE]],L_LEAVETYPES,0))</f>
        <v/>
      </c>
      <c r="J757">
        <f t="array" ref="J757">IFERROR(INDEX(T_LEAVE_TYPES[SYMBOL],T_LEAVE[[#This Row],[LEAVE TYPE SYS ID]]),"")</f>
        <v/>
      </c>
      <c r="K757">
        <f>IF(T_LEAVE[[#This Row],[EMPLOYEE]]="","",IF(T_LEAVE[[#This Row],[ERROR]]="",0,1))</f>
        <v/>
      </c>
      <c r="L757">
        <f t="array" ref="L75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8">
      <c r="A758" s="1" t="inlineStr">
        <is>
          <t>Chiluka Abhilash (1033244)</t>
        </is>
      </c>
      <c r="B758" s="15" t="inlineStr">
        <is>
          <t>Friday, 29 December 2023</t>
        </is>
      </c>
      <c r="C758" s="15" t="inlineStr">
        <is>
          <t>Friday, 29 December 2023</t>
        </is>
      </c>
      <c r="D758" t="inlineStr">
        <is>
          <t xml:space="preserve">Casual / Sick </t>
        </is>
      </c>
      <c r="E758" s="1" t="n">
        <v>1</v>
      </c>
      <c r="F758" s="1" t="n"/>
      <c r="G758" s="1" t="n"/>
      <c r="H758">
        <f>IF(T_LEAVE[[#This Row],[EMPLOYEE]]="","",MATCH(T_LEAVE[[#This Row],[EMPLOYEE]],L_EMPLABELS,0))</f>
        <v/>
      </c>
      <c r="I758">
        <f>IF(T_LEAVE[[#This Row],[EMPLOYEE]]="","",MATCH(T_LEAVE[[#This Row],[LEAVE TYPE]],L_LEAVETYPES,0))</f>
        <v/>
      </c>
      <c r="J758">
        <f t="array" ref="J758">IFERROR(INDEX(T_LEAVE_TYPES[SYMBOL],T_LEAVE[[#This Row],[LEAVE TYPE SYS ID]]),"")</f>
        <v/>
      </c>
      <c r="K758">
        <f>IF(T_LEAVE[[#This Row],[EMPLOYEE]]="","",IF(T_LEAVE[[#This Row],[ERROR]]="",0,1))</f>
        <v/>
      </c>
      <c r="L758">
        <f t="array" ref="L75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59">
      <c r="A759" s="1" t="inlineStr">
        <is>
          <t>Katta Adhithya (1033255)</t>
        </is>
      </c>
      <c r="B759" s="15" t="inlineStr">
        <is>
          <t>Tuesday, 26 December 2023</t>
        </is>
      </c>
      <c r="C759" s="15" t="inlineStr">
        <is>
          <t>Tuesday, 26 December 2023</t>
        </is>
      </c>
      <c r="D759" t="inlineStr">
        <is>
          <t xml:space="preserve">Casual / Sick </t>
        </is>
      </c>
      <c r="E759" s="1" t="n">
        <v>1</v>
      </c>
      <c r="F759" s="1" t="n"/>
      <c r="G759" s="1" t="n"/>
      <c r="H759">
        <f>IF(T_LEAVE[[#This Row],[EMPLOYEE]]="","",MATCH(T_LEAVE[[#This Row],[EMPLOYEE]],L_EMPLABELS,0))</f>
        <v/>
      </c>
      <c r="I759">
        <f>IF(T_LEAVE[[#This Row],[EMPLOYEE]]="","",MATCH(T_LEAVE[[#This Row],[LEAVE TYPE]],L_LEAVETYPES,0))</f>
        <v/>
      </c>
      <c r="J759">
        <f t="array" ref="J759">IFERROR(INDEX(T_LEAVE_TYPES[SYMBOL],T_LEAVE[[#This Row],[LEAVE TYPE SYS ID]]),"")</f>
        <v/>
      </c>
      <c r="K759">
        <f>IF(T_LEAVE[[#This Row],[EMPLOYEE]]="","",IF(T_LEAVE[[#This Row],[ERROR]]="",0,1))</f>
        <v/>
      </c>
      <c r="L759">
        <f t="array" ref="L75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0">
      <c r="A760" s="1" t="inlineStr">
        <is>
          <t>Sarath Madugula (1029527)</t>
        </is>
      </c>
      <c r="B760" s="15" t="inlineStr">
        <is>
          <t>Friday, 15 December 2023</t>
        </is>
      </c>
      <c r="C760" s="15" t="inlineStr">
        <is>
          <t>Friday, 15 December 2023</t>
        </is>
      </c>
      <c r="D760" t="inlineStr">
        <is>
          <t xml:space="preserve">Casual / Sick </t>
        </is>
      </c>
      <c r="E760" s="1" t="n">
        <v>1</v>
      </c>
      <c r="F760" s="1" t="n"/>
      <c r="G760" s="1" t="n"/>
      <c r="H760">
        <f>IF(T_LEAVE[[#This Row],[EMPLOYEE]]="","",MATCH(T_LEAVE[[#This Row],[EMPLOYEE]],L_EMPLABELS,0))</f>
        <v/>
      </c>
      <c r="I760">
        <f>IF(T_LEAVE[[#This Row],[EMPLOYEE]]="","",MATCH(T_LEAVE[[#This Row],[LEAVE TYPE]],L_LEAVETYPES,0))</f>
        <v/>
      </c>
      <c r="J760">
        <f t="array" ref="J760">IFERROR(INDEX(T_LEAVE_TYPES[SYMBOL],T_LEAVE[[#This Row],[LEAVE TYPE SYS ID]]),"")</f>
        <v/>
      </c>
      <c r="K760">
        <f>IF(T_LEAVE[[#This Row],[EMPLOYEE]]="","",IF(T_LEAVE[[#This Row],[ERROR]]="",0,1))</f>
        <v/>
      </c>
      <c r="L760">
        <f t="array" ref="L76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1">
      <c r="A761" s="1" t="inlineStr">
        <is>
          <t>Sriram Krishnakumar (1033227)</t>
        </is>
      </c>
      <c r="B761" s="15" t="inlineStr">
        <is>
          <t>Wednesday, 06 December 2023</t>
        </is>
      </c>
      <c r="C761" s="15" t="inlineStr">
        <is>
          <t>Wednesday, 06 December 2023</t>
        </is>
      </c>
      <c r="D761" t="inlineStr">
        <is>
          <t>Privilege</t>
        </is>
      </c>
      <c r="E761" s="1" t="n">
        <v>1</v>
      </c>
      <c r="F761" s="1" t="n"/>
      <c r="G761" s="1" t="n"/>
      <c r="H761">
        <f>IF(T_LEAVE[[#This Row],[EMPLOYEE]]="","",MATCH(T_LEAVE[[#This Row],[EMPLOYEE]],L_EMPLABELS,0))</f>
        <v/>
      </c>
      <c r="I761">
        <f>IF(T_LEAVE[[#This Row],[EMPLOYEE]]="","",MATCH(T_LEAVE[[#This Row],[LEAVE TYPE]],L_LEAVETYPES,0))</f>
        <v/>
      </c>
      <c r="J761">
        <f t="array" ref="J761">IFERROR(INDEX(T_LEAVE_TYPES[SYMBOL],T_LEAVE[[#This Row],[LEAVE TYPE SYS ID]]),"")</f>
        <v/>
      </c>
      <c r="K761">
        <f>IF(T_LEAVE[[#This Row],[EMPLOYEE]]="","",IF(T_LEAVE[[#This Row],[ERROR]]="",0,1))</f>
        <v/>
      </c>
      <c r="L761">
        <f t="array" ref="L76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2">
      <c r="A762" s="1" t="inlineStr">
        <is>
          <t>Amol Ramesh Devkate (1031048)</t>
        </is>
      </c>
      <c r="B762" s="15" t="inlineStr">
        <is>
          <t>Tuesday, 28 November 2023</t>
        </is>
      </c>
      <c r="C762" s="15" t="inlineStr">
        <is>
          <t>Tuesday, 28 November 2023</t>
        </is>
      </c>
      <c r="D762" t="inlineStr">
        <is>
          <t xml:space="preserve">Casual / Sick </t>
        </is>
      </c>
      <c r="E762" s="1" t="n">
        <v>1</v>
      </c>
      <c r="F762" s="1" t="n"/>
      <c r="G762" s="1" t="n"/>
      <c r="H762">
        <f>IF(T_LEAVE[[#This Row],[EMPLOYEE]]="","",MATCH(T_LEAVE[[#This Row],[EMPLOYEE]],L_EMPLABELS,0))</f>
        <v/>
      </c>
      <c r="I762">
        <f>IF(T_LEAVE[[#This Row],[EMPLOYEE]]="","",MATCH(T_LEAVE[[#This Row],[LEAVE TYPE]],L_LEAVETYPES,0))</f>
        <v/>
      </c>
      <c r="J762">
        <f t="array" ref="J762">IFERROR(INDEX(T_LEAVE_TYPES[SYMBOL],T_LEAVE[[#This Row],[LEAVE TYPE SYS ID]]),"")</f>
        <v/>
      </c>
      <c r="K762">
        <f>IF(T_LEAVE[[#This Row],[EMPLOYEE]]="","",IF(T_LEAVE[[#This Row],[ERROR]]="",0,1))</f>
        <v/>
      </c>
      <c r="L762">
        <f t="array" ref="L76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3">
      <c r="A763" s="1" t="inlineStr">
        <is>
          <t>Amol Ramesh Devkate (1031048)</t>
        </is>
      </c>
      <c r="B763" s="15" t="inlineStr">
        <is>
          <t>Friday, 29 December 2023</t>
        </is>
      </c>
      <c r="C763" s="15" t="inlineStr">
        <is>
          <t>Friday, 29 December 2023</t>
        </is>
      </c>
      <c r="D763" t="inlineStr">
        <is>
          <t xml:space="preserve">Casual / Sick </t>
        </is>
      </c>
      <c r="E763" s="1" t="n">
        <v>1</v>
      </c>
      <c r="F763" s="1" t="n"/>
      <c r="G763" s="1" t="n"/>
      <c r="H763">
        <f>IF(T_LEAVE[[#This Row],[EMPLOYEE]]="","",MATCH(T_LEAVE[[#This Row],[EMPLOYEE]],L_EMPLABELS,0))</f>
        <v/>
      </c>
      <c r="I763">
        <f>IF(T_LEAVE[[#This Row],[EMPLOYEE]]="","",MATCH(T_LEAVE[[#This Row],[LEAVE TYPE]],L_LEAVETYPES,0))</f>
        <v/>
      </c>
      <c r="J763">
        <f t="array" ref="J763">IFERROR(INDEX(T_LEAVE_TYPES[SYMBOL],T_LEAVE[[#This Row],[LEAVE TYPE SYS ID]]),"")</f>
        <v/>
      </c>
      <c r="K763">
        <f>IF(T_LEAVE[[#This Row],[EMPLOYEE]]="","",IF(T_LEAVE[[#This Row],[ERROR]]="",0,1))</f>
        <v/>
      </c>
      <c r="L763">
        <f t="array" ref="L76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4">
      <c r="A764" s="1" t="inlineStr">
        <is>
          <t>Amol Ramesh Devkate (1031048)</t>
        </is>
      </c>
      <c r="B764" s="15" t="inlineStr">
        <is>
          <t>Thursday, 28 December 2023</t>
        </is>
      </c>
      <c r="C764" s="15" t="inlineStr">
        <is>
          <t>Thursday, 28 December 2023</t>
        </is>
      </c>
      <c r="D764" t="inlineStr">
        <is>
          <t xml:space="preserve">Casual / Sick </t>
        </is>
      </c>
      <c r="E764" s="1" t="n">
        <v>1</v>
      </c>
      <c r="F764" s="1" t="n"/>
      <c r="G764" s="1" t="n"/>
      <c r="H764">
        <f>IF(T_LEAVE[[#This Row],[EMPLOYEE]]="","",MATCH(T_LEAVE[[#This Row],[EMPLOYEE]],L_EMPLABELS,0))</f>
        <v/>
      </c>
      <c r="I764">
        <f>IF(T_LEAVE[[#This Row],[EMPLOYEE]]="","",MATCH(T_LEAVE[[#This Row],[LEAVE TYPE]],L_LEAVETYPES,0))</f>
        <v/>
      </c>
      <c r="J764">
        <f t="array" ref="J764">IFERROR(INDEX(T_LEAVE_TYPES[SYMBOL],T_LEAVE[[#This Row],[LEAVE TYPE SYS ID]]),"")</f>
        <v/>
      </c>
      <c r="K764">
        <f>IF(T_LEAVE[[#This Row],[EMPLOYEE]]="","",IF(T_LEAVE[[#This Row],[ERROR]]="",0,1))</f>
        <v/>
      </c>
      <c r="L764">
        <f t="array" ref="L76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5">
      <c r="A765" s="1" t="inlineStr">
        <is>
          <t>Amol Ramesh Devkate (1031048)</t>
        </is>
      </c>
      <c r="B765" s="15" t="inlineStr">
        <is>
          <t>Thursday, 28 December 2023</t>
        </is>
      </c>
      <c r="C765" s="15" t="inlineStr">
        <is>
          <t>Thursday, 28 December 2023</t>
        </is>
      </c>
      <c r="D765" t="inlineStr">
        <is>
          <t xml:space="preserve">Casual / Sick </t>
        </is>
      </c>
      <c r="E765" s="1" t="n">
        <v>1</v>
      </c>
      <c r="F765" s="1" t="n"/>
      <c r="G765" s="1" t="n"/>
      <c r="H765">
        <f>IF(T_LEAVE[[#This Row],[EMPLOYEE]]="","",MATCH(T_LEAVE[[#This Row],[EMPLOYEE]],L_EMPLABELS,0))</f>
        <v/>
      </c>
      <c r="I765">
        <f>IF(T_LEAVE[[#This Row],[EMPLOYEE]]="","",MATCH(T_LEAVE[[#This Row],[LEAVE TYPE]],L_LEAVETYPES,0))</f>
        <v/>
      </c>
      <c r="J765">
        <f t="array" ref="J765">IFERROR(INDEX(T_LEAVE_TYPES[SYMBOL],T_LEAVE[[#This Row],[LEAVE TYPE SYS ID]]),"")</f>
        <v/>
      </c>
      <c r="K765">
        <f>IF(T_LEAVE[[#This Row],[EMPLOYEE]]="","",IF(T_LEAVE[[#This Row],[ERROR]]="",0,1))</f>
        <v/>
      </c>
      <c r="L765">
        <f t="array" ref="L76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6">
      <c r="A766" s="1" t="inlineStr">
        <is>
          <t>Veera Hema Chekkera (1019823)</t>
        </is>
      </c>
      <c r="B766" s="15" t="inlineStr">
        <is>
          <t>Wednesday, 09 August 2023</t>
        </is>
      </c>
      <c r="C766" s="15" t="inlineStr">
        <is>
          <t>Wednesday, 09 August 2023</t>
        </is>
      </c>
      <c r="D766" t="inlineStr">
        <is>
          <t xml:space="preserve">Casual / Sick </t>
        </is>
      </c>
      <c r="E766" s="1" t="n">
        <v>1</v>
      </c>
      <c r="F766" s="1" t="n"/>
      <c r="G766" s="1" t="n"/>
      <c r="H766">
        <f>IF(T_LEAVE[[#This Row],[EMPLOYEE]]="","",MATCH(T_LEAVE[[#This Row],[EMPLOYEE]],L_EMPLABELS,0))</f>
        <v/>
      </c>
      <c r="I766">
        <f>IF(T_LEAVE[[#This Row],[EMPLOYEE]]="","",MATCH(T_LEAVE[[#This Row],[LEAVE TYPE]],L_LEAVETYPES,0))</f>
        <v/>
      </c>
      <c r="J766">
        <f t="array" ref="J766">IFERROR(INDEX(T_LEAVE_TYPES[SYMBOL],T_LEAVE[[#This Row],[LEAVE TYPE SYS ID]]),"")</f>
        <v/>
      </c>
      <c r="K766">
        <f>IF(T_LEAVE[[#This Row],[EMPLOYEE]]="","",IF(T_LEAVE[[#This Row],[ERROR]]="",0,1))</f>
        <v/>
      </c>
      <c r="L766">
        <f t="array" ref="L76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7">
      <c r="A767" s="1" t="inlineStr">
        <is>
          <t>Veera Hema Chekkera (1019823)</t>
        </is>
      </c>
      <c r="B767" s="15" t="inlineStr">
        <is>
          <t>Tuesday, 18 July 2023</t>
        </is>
      </c>
      <c r="C767" s="15" t="inlineStr">
        <is>
          <t>Tuesday, 18 July 2023</t>
        </is>
      </c>
      <c r="D767" t="inlineStr">
        <is>
          <t>Privilege</t>
        </is>
      </c>
      <c r="E767" s="1" t="n">
        <v>1</v>
      </c>
      <c r="F767" s="1" t="n"/>
      <c r="G767" s="1" t="n"/>
      <c r="H767">
        <f>IF(T_LEAVE[[#This Row],[EMPLOYEE]]="","",MATCH(T_LEAVE[[#This Row],[EMPLOYEE]],L_EMPLABELS,0))</f>
        <v/>
      </c>
      <c r="I767">
        <f>IF(T_LEAVE[[#This Row],[EMPLOYEE]]="","",MATCH(T_LEAVE[[#This Row],[LEAVE TYPE]],L_LEAVETYPES,0))</f>
        <v/>
      </c>
      <c r="J767">
        <f t="array" ref="J767">IFERROR(INDEX(T_LEAVE_TYPES[SYMBOL],T_LEAVE[[#This Row],[LEAVE TYPE SYS ID]]),"")</f>
        <v/>
      </c>
      <c r="K767">
        <f>IF(T_LEAVE[[#This Row],[EMPLOYEE]]="","",IF(T_LEAVE[[#This Row],[ERROR]]="",0,1))</f>
        <v/>
      </c>
      <c r="L767">
        <f t="array" ref="L76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8">
      <c r="A768" s="1" t="inlineStr">
        <is>
          <t>Veera Hema Chekkera (1019823)</t>
        </is>
      </c>
      <c r="B768" s="15" t="inlineStr">
        <is>
          <t>Thursday, 08 June 2023</t>
        </is>
      </c>
      <c r="C768" s="15" t="inlineStr">
        <is>
          <t>Thursday, 08 June 2023</t>
        </is>
      </c>
      <c r="D768" t="inlineStr">
        <is>
          <t xml:space="preserve">Casual / Sick </t>
        </is>
      </c>
      <c r="E768" s="1" t="n">
        <v>1</v>
      </c>
      <c r="F768" s="1" t="n"/>
      <c r="G768" s="1" t="n"/>
      <c r="H768">
        <f>IF(T_LEAVE[[#This Row],[EMPLOYEE]]="","",MATCH(T_LEAVE[[#This Row],[EMPLOYEE]],L_EMPLABELS,0))</f>
        <v/>
      </c>
      <c r="I768">
        <f>IF(T_LEAVE[[#This Row],[EMPLOYEE]]="","",MATCH(T_LEAVE[[#This Row],[LEAVE TYPE]],L_LEAVETYPES,0))</f>
        <v/>
      </c>
      <c r="J768">
        <f t="array" ref="J768">IFERROR(INDEX(T_LEAVE_TYPES[SYMBOL],T_LEAVE[[#This Row],[LEAVE TYPE SYS ID]]),"")</f>
        <v/>
      </c>
      <c r="K768">
        <f>IF(T_LEAVE[[#This Row],[EMPLOYEE]]="","",IF(T_LEAVE[[#This Row],[ERROR]]="",0,1))</f>
        <v/>
      </c>
      <c r="L768">
        <f t="array" ref="L76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69">
      <c r="A769" s="1" t="inlineStr">
        <is>
          <t>Veera Hema Chekkera (1019823)</t>
        </is>
      </c>
      <c r="B769" s="15" t="inlineStr">
        <is>
          <t>Wednesday, 10 May 2023</t>
        </is>
      </c>
      <c r="C769" s="15" t="inlineStr">
        <is>
          <t>Wednesday, 10 May 2023</t>
        </is>
      </c>
      <c r="D769" t="inlineStr">
        <is>
          <t xml:space="preserve">Casual / Sick </t>
        </is>
      </c>
      <c r="E769" s="1" t="n">
        <v>1</v>
      </c>
      <c r="F769" s="1" t="n"/>
      <c r="G769" s="1" t="n"/>
      <c r="H769">
        <f>IF(T_LEAVE[[#This Row],[EMPLOYEE]]="","",MATCH(T_LEAVE[[#This Row],[EMPLOYEE]],L_EMPLABELS,0))</f>
        <v/>
      </c>
      <c r="I769">
        <f>IF(T_LEAVE[[#This Row],[EMPLOYEE]]="","",MATCH(T_LEAVE[[#This Row],[LEAVE TYPE]],L_LEAVETYPES,0))</f>
        <v/>
      </c>
      <c r="J769">
        <f t="array" ref="J769">IFERROR(INDEX(T_LEAVE_TYPES[SYMBOL],T_LEAVE[[#This Row],[LEAVE TYPE SYS ID]]),"")</f>
        <v/>
      </c>
      <c r="K769">
        <f>IF(T_LEAVE[[#This Row],[EMPLOYEE]]="","",IF(T_LEAVE[[#This Row],[ERROR]]="",0,1))</f>
        <v/>
      </c>
      <c r="L769">
        <f t="array" ref="L76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0">
      <c r="A770" s="1" t="inlineStr">
        <is>
          <t>Veera Hema Chekkera (1019823)</t>
        </is>
      </c>
      <c r="B770" s="15" t="inlineStr">
        <is>
          <t>Wednesday, 22 March 2023</t>
        </is>
      </c>
      <c r="C770" s="15" t="inlineStr">
        <is>
          <t>Wednesday, 22 March 2023</t>
        </is>
      </c>
      <c r="D770" t="inlineStr">
        <is>
          <t>Privilege</t>
        </is>
      </c>
      <c r="E770" s="1" t="n">
        <v>1</v>
      </c>
      <c r="F770" s="1" t="n"/>
      <c r="G770" s="1" t="n"/>
      <c r="H770">
        <f>IF(T_LEAVE[[#This Row],[EMPLOYEE]]="","",MATCH(T_LEAVE[[#This Row],[EMPLOYEE]],L_EMPLABELS,0))</f>
        <v/>
      </c>
      <c r="I770">
        <f>IF(T_LEAVE[[#This Row],[EMPLOYEE]]="","",MATCH(T_LEAVE[[#This Row],[LEAVE TYPE]],L_LEAVETYPES,0))</f>
        <v/>
      </c>
      <c r="J770">
        <f t="array" ref="J770">IFERROR(INDEX(T_LEAVE_TYPES[SYMBOL],T_LEAVE[[#This Row],[LEAVE TYPE SYS ID]]),"")</f>
        <v/>
      </c>
      <c r="K770">
        <f>IF(T_LEAVE[[#This Row],[EMPLOYEE]]="","",IF(T_LEAVE[[#This Row],[ERROR]]="",0,1))</f>
        <v/>
      </c>
      <c r="L770">
        <f t="array" ref="L77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1">
      <c r="A771" s="1" t="inlineStr">
        <is>
          <t>Veera Hema Chekkera (1019823)</t>
        </is>
      </c>
      <c r="B771" s="15" t="inlineStr">
        <is>
          <t>Monday, 27 February 2023</t>
        </is>
      </c>
      <c r="C771" s="15" t="inlineStr">
        <is>
          <t>Monday, 27 February 2023</t>
        </is>
      </c>
      <c r="D771" t="inlineStr">
        <is>
          <t xml:space="preserve">Casual / Sick </t>
        </is>
      </c>
      <c r="E771" s="1" t="n">
        <v>1</v>
      </c>
      <c r="F771" s="1" t="n"/>
      <c r="G771" s="1" t="n"/>
      <c r="H771">
        <f>IF(T_LEAVE[[#This Row],[EMPLOYEE]]="","",MATCH(T_LEAVE[[#This Row],[EMPLOYEE]],L_EMPLABELS,0))</f>
        <v/>
      </c>
      <c r="I771">
        <f>IF(T_LEAVE[[#This Row],[EMPLOYEE]]="","",MATCH(T_LEAVE[[#This Row],[LEAVE TYPE]],L_LEAVETYPES,0))</f>
        <v/>
      </c>
      <c r="J771">
        <f t="array" ref="J771">IFERROR(INDEX(T_LEAVE_TYPES[SYMBOL],T_LEAVE[[#This Row],[LEAVE TYPE SYS ID]]),"")</f>
        <v/>
      </c>
      <c r="K771">
        <f>IF(T_LEAVE[[#This Row],[EMPLOYEE]]="","",IF(T_LEAVE[[#This Row],[ERROR]]="",0,1))</f>
        <v/>
      </c>
      <c r="L771">
        <f t="array" ref="L77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2">
      <c r="A772" s="1" t="inlineStr">
        <is>
          <t>Veera Hema Chekkera (1019823)</t>
        </is>
      </c>
      <c r="B772" s="15" t="inlineStr">
        <is>
          <t>Monday, 16 January 2023</t>
        </is>
      </c>
      <c r="C772" s="15" t="inlineStr">
        <is>
          <t>Monday, 16 January 2023</t>
        </is>
      </c>
      <c r="D772" t="inlineStr">
        <is>
          <t xml:space="preserve">Casual / Sick </t>
        </is>
      </c>
      <c r="E772" s="1" t="n">
        <v>1</v>
      </c>
      <c r="F772" s="1" t="n"/>
      <c r="G772" s="1" t="n"/>
      <c r="H772">
        <f>IF(T_LEAVE[[#This Row],[EMPLOYEE]]="","",MATCH(T_LEAVE[[#This Row],[EMPLOYEE]],L_EMPLABELS,0))</f>
        <v/>
      </c>
      <c r="I772">
        <f>IF(T_LEAVE[[#This Row],[EMPLOYEE]]="","",MATCH(T_LEAVE[[#This Row],[LEAVE TYPE]],L_LEAVETYPES,0))</f>
        <v/>
      </c>
      <c r="J772">
        <f t="array" ref="J772">IFERROR(INDEX(T_LEAVE_TYPES[SYMBOL],T_LEAVE[[#This Row],[LEAVE TYPE SYS ID]]),"")</f>
        <v/>
      </c>
      <c r="K772">
        <f>IF(T_LEAVE[[#This Row],[EMPLOYEE]]="","",IF(T_LEAVE[[#This Row],[ERROR]]="",0,1))</f>
        <v/>
      </c>
      <c r="L772">
        <f t="array" ref="L77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3">
      <c r="A773" s="1" t="inlineStr">
        <is>
          <t>Sriram Krishnakumar (1033227)</t>
        </is>
      </c>
      <c r="B773" s="15" t="inlineStr">
        <is>
          <t>Monday, 04 December 2023</t>
        </is>
      </c>
      <c r="C773" s="15" t="inlineStr">
        <is>
          <t>Monday, 04 December 2023</t>
        </is>
      </c>
      <c r="D773" t="inlineStr">
        <is>
          <t>Privilege</t>
        </is>
      </c>
      <c r="E773" s="1" t="n">
        <v>0.5</v>
      </c>
      <c r="F773" s="1" t="n"/>
      <c r="G773" s="1" t="n"/>
      <c r="H773">
        <f>IF(T_LEAVE[[#This Row],[EMPLOYEE]]="","",MATCH(T_LEAVE[[#This Row],[EMPLOYEE]],L_EMPLABELS,0))</f>
        <v/>
      </c>
      <c r="I773">
        <f>IF(T_LEAVE[[#This Row],[EMPLOYEE]]="","",MATCH(T_LEAVE[[#This Row],[LEAVE TYPE]],L_LEAVETYPES,0))</f>
        <v/>
      </c>
      <c r="J773">
        <f t="array" ref="J773">IFERROR(INDEX(T_LEAVE_TYPES[SYMBOL],T_LEAVE[[#This Row],[LEAVE TYPE SYS ID]]),"")</f>
        <v/>
      </c>
      <c r="K773">
        <f>IF(T_LEAVE[[#This Row],[EMPLOYEE]]="","",IF(T_LEAVE[[#This Row],[ERROR]]="",0,1))</f>
        <v/>
      </c>
      <c r="L773">
        <f t="array" ref="L77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4">
      <c r="A774" s="1" t="inlineStr">
        <is>
          <t>Obuli  Sundar (1027420)</t>
        </is>
      </c>
      <c r="B774" s="15" t="inlineStr">
        <is>
          <t>Wednesday, 29 November 2023</t>
        </is>
      </c>
      <c r="C774" s="15" t="inlineStr">
        <is>
          <t>Wednesday, 29 November 2023</t>
        </is>
      </c>
      <c r="D774" t="inlineStr">
        <is>
          <t xml:space="preserve">Casual / Sick </t>
        </is>
      </c>
      <c r="E774" s="1" t="n">
        <v>1</v>
      </c>
      <c r="F774" s="1" t="n"/>
      <c r="G774" s="1" t="n"/>
      <c r="H774">
        <f>IF(T_LEAVE[[#This Row],[EMPLOYEE]]="","",MATCH(T_LEAVE[[#This Row],[EMPLOYEE]],L_EMPLABELS,0))</f>
        <v/>
      </c>
      <c r="I774">
        <f>IF(T_LEAVE[[#This Row],[EMPLOYEE]]="","",MATCH(T_LEAVE[[#This Row],[LEAVE TYPE]],L_LEAVETYPES,0))</f>
        <v/>
      </c>
      <c r="J774">
        <f t="array" ref="J774">IFERROR(INDEX(T_LEAVE_TYPES[SYMBOL],T_LEAVE[[#This Row],[LEAVE TYPE SYS ID]]),"")</f>
        <v/>
      </c>
      <c r="K774">
        <f>IF(T_LEAVE[[#This Row],[EMPLOYEE]]="","",IF(T_LEAVE[[#This Row],[ERROR]]="",0,1))</f>
        <v/>
      </c>
      <c r="L774">
        <f t="array" ref="L77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5">
      <c r="A775" s="1" t="inlineStr">
        <is>
          <t>Sriram Krishnakumar (1033227)</t>
        </is>
      </c>
      <c r="B775" s="15" t="inlineStr">
        <is>
          <t>Thursday, 30 November 2023</t>
        </is>
      </c>
      <c r="C775" s="15" t="inlineStr">
        <is>
          <t>Friday, 01 December 2023</t>
        </is>
      </c>
      <c r="D775" t="inlineStr">
        <is>
          <t>Privilege</t>
        </is>
      </c>
      <c r="E775" s="1" t="n">
        <v>2</v>
      </c>
      <c r="F775" s="1" t="n"/>
      <c r="G775" s="1" t="n"/>
      <c r="H775">
        <f>IF(T_LEAVE[[#This Row],[EMPLOYEE]]="","",MATCH(T_LEAVE[[#This Row],[EMPLOYEE]],L_EMPLABELS,0))</f>
        <v/>
      </c>
      <c r="I775">
        <f>IF(T_LEAVE[[#This Row],[EMPLOYEE]]="","",MATCH(T_LEAVE[[#This Row],[LEAVE TYPE]],L_LEAVETYPES,0))</f>
        <v/>
      </c>
      <c r="J775">
        <f t="array" ref="J775">IFERROR(INDEX(T_LEAVE_TYPES[SYMBOL],T_LEAVE[[#This Row],[LEAVE TYPE SYS ID]]),"")</f>
        <v/>
      </c>
      <c r="K775">
        <f>IF(T_LEAVE[[#This Row],[EMPLOYEE]]="","",IF(T_LEAVE[[#This Row],[ERROR]]="",0,1))</f>
        <v/>
      </c>
      <c r="L775">
        <f t="array" ref="L77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6">
      <c r="A776" s="1" t="inlineStr">
        <is>
          <t>G Clement    (1033626)</t>
        </is>
      </c>
      <c r="B776" s="15" t="inlineStr">
        <is>
          <t>Thursday, 23 November 2023</t>
        </is>
      </c>
      <c r="C776" s="15" t="inlineStr">
        <is>
          <t>Thursday, 23 November 2023</t>
        </is>
      </c>
      <c r="D776" t="inlineStr">
        <is>
          <t>Privilege</t>
        </is>
      </c>
      <c r="E776" s="1" t="n">
        <v>1</v>
      </c>
      <c r="F776" s="1" t="n"/>
      <c r="G776" s="1" t="n"/>
      <c r="H776">
        <f>IF(T_LEAVE[[#This Row],[EMPLOYEE]]="","",MATCH(T_LEAVE[[#This Row],[EMPLOYEE]],L_EMPLABELS,0))</f>
        <v/>
      </c>
      <c r="I776">
        <f>IF(T_LEAVE[[#This Row],[EMPLOYEE]]="","",MATCH(T_LEAVE[[#This Row],[LEAVE TYPE]],L_LEAVETYPES,0))</f>
        <v/>
      </c>
      <c r="J776">
        <f t="array" ref="J776">IFERROR(INDEX(T_LEAVE_TYPES[SYMBOL],T_LEAVE[[#This Row],[LEAVE TYPE SYS ID]]),"")</f>
        <v/>
      </c>
      <c r="K776">
        <f>IF(T_LEAVE[[#This Row],[EMPLOYEE]]="","",IF(T_LEAVE[[#This Row],[ERROR]]="",0,1))</f>
        <v/>
      </c>
      <c r="L776">
        <f t="array" ref="L77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7">
      <c r="A777" s="1" t="inlineStr">
        <is>
          <t>Kotha Manosree (1033271)</t>
        </is>
      </c>
      <c r="B777" s="15" t="inlineStr">
        <is>
          <t>Wednesday, 29 November 2023</t>
        </is>
      </c>
      <c r="C777" s="15" t="inlineStr">
        <is>
          <t>Wednesday, 29 November 2023</t>
        </is>
      </c>
      <c r="D777" t="inlineStr">
        <is>
          <t xml:space="preserve">Casual / Sick </t>
        </is>
      </c>
      <c r="E777" s="1" t="n">
        <v>1</v>
      </c>
      <c r="F777" s="1" t="n"/>
      <c r="G777" s="1" t="n"/>
      <c r="H777">
        <f>IF(T_LEAVE[[#This Row],[EMPLOYEE]]="","",MATCH(T_LEAVE[[#This Row],[EMPLOYEE]],L_EMPLABELS,0))</f>
        <v/>
      </c>
      <c r="I777">
        <f>IF(T_LEAVE[[#This Row],[EMPLOYEE]]="","",MATCH(T_LEAVE[[#This Row],[LEAVE TYPE]],L_LEAVETYPES,0))</f>
        <v/>
      </c>
      <c r="J777">
        <f t="array" ref="J777">IFERROR(INDEX(T_LEAVE_TYPES[SYMBOL],T_LEAVE[[#This Row],[LEAVE TYPE SYS ID]]),"")</f>
        <v/>
      </c>
      <c r="K777">
        <f>IF(T_LEAVE[[#This Row],[EMPLOYEE]]="","",IF(T_LEAVE[[#This Row],[ERROR]]="",0,1))</f>
        <v/>
      </c>
      <c r="L777">
        <f t="array" ref="L77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8">
      <c r="A778" s="1" t="inlineStr">
        <is>
          <t>Amol Ramesh Devkate (1031048)</t>
        </is>
      </c>
      <c r="B778" s="15" t="inlineStr">
        <is>
          <t>Monday, 20 November 2023</t>
        </is>
      </c>
      <c r="C778" s="15" t="inlineStr">
        <is>
          <t>Tuesday, 21 November 2023</t>
        </is>
      </c>
      <c r="D778" t="inlineStr">
        <is>
          <t xml:space="preserve">Casual / Sick </t>
        </is>
      </c>
      <c r="E778" s="1" t="n">
        <v>2</v>
      </c>
      <c r="F778" s="1" t="n"/>
      <c r="G778" s="1" t="n"/>
      <c r="H778">
        <f>IF(T_LEAVE[[#This Row],[EMPLOYEE]]="","",MATCH(T_LEAVE[[#This Row],[EMPLOYEE]],L_EMPLABELS,0))</f>
        <v/>
      </c>
      <c r="I778">
        <f>IF(T_LEAVE[[#This Row],[EMPLOYEE]]="","",MATCH(T_LEAVE[[#This Row],[LEAVE TYPE]],L_LEAVETYPES,0))</f>
        <v/>
      </c>
      <c r="J778">
        <f t="array" ref="J778">IFERROR(INDEX(T_LEAVE_TYPES[SYMBOL],T_LEAVE[[#This Row],[LEAVE TYPE SYS ID]]),"")</f>
        <v/>
      </c>
      <c r="K778">
        <f>IF(T_LEAVE[[#This Row],[EMPLOYEE]]="","",IF(T_LEAVE[[#This Row],[ERROR]]="",0,1))</f>
        <v/>
      </c>
      <c r="L778">
        <f t="array" ref="L77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79">
      <c r="A779" s="1" t="inlineStr">
        <is>
          <t>Chiluka Abhilash (1033244)</t>
        </is>
      </c>
      <c r="B779" s="15" t="inlineStr">
        <is>
          <t>Wednesday, 22 November 2023</t>
        </is>
      </c>
      <c r="C779" s="15" t="inlineStr">
        <is>
          <t>Wednesday, 22 November 2023</t>
        </is>
      </c>
      <c r="D779" t="inlineStr">
        <is>
          <t xml:space="preserve">Casual / Sick </t>
        </is>
      </c>
      <c r="E779" s="1" t="n">
        <v>1</v>
      </c>
      <c r="F779" s="1" t="n"/>
      <c r="G779" s="1" t="n"/>
      <c r="H779">
        <f>IF(T_LEAVE[[#This Row],[EMPLOYEE]]="","",MATCH(T_LEAVE[[#This Row],[EMPLOYEE]],L_EMPLABELS,0))</f>
        <v/>
      </c>
      <c r="I779">
        <f>IF(T_LEAVE[[#This Row],[EMPLOYEE]]="","",MATCH(T_LEAVE[[#This Row],[LEAVE TYPE]],L_LEAVETYPES,0))</f>
        <v/>
      </c>
      <c r="J779">
        <f t="array" ref="J779">IFERROR(INDEX(T_LEAVE_TYPES[SYMBOL],T_LEAVE[[#This Row],[LEAVE TYPE SYS ID]]),"")</f>
        <v/>
      </c>
      <c r="K779">
        <f>IF(T_LEAVE[[#This Row],[EMPLOYEE]]="","",IF(T_LEAVE[[#This Row],[ERROR]]="",0,1))</f>
        <v/>
      </c>
      <c r="L779">
        <f t="array" ref="L77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0">
      <c r="A780" s="1" t="inlineStr">
        <is>
          <t>Veera Hema Chekkera (1019823)</t>
        </is>
      </c>
      <c r="B780" s="15" t="inlineStr">
        <is>
          <t>Thursday, 23 November 2023</t>
        </is>
      </c>
      <c r="C780" s="15" t="inlineStr">
        <is>
          <t>Friday, 24 November 2023</t>
        </is>
      </c>
      <c r="D780" t="inlineStr">
        <is>
          <t>Privilege</t>
        </is>
      </c>
      <c r="E780" s="1" t="n">
        <v>2</v>
      </c>
      <c r="F780" s="1" t="n"/>
      <c r="G780" s="1" t="n"/>
      <c r="H780">
        <f>IF(T_LEAVE[[#This Row],[EMPLOYEE]]="","",MATCH(T_LEAVE[[#This Row],[EMPLOYEE]],L_EMPLABELS,0))</f>
        <v/>
      </c>
      <c r="I780">
        <f>IF(T_LEAVE[[#This Row],[EMPLOYEE]]="","",MATCH(T_LEAVE[[#This Row],[LEAVE TYPE]],L_LEAVETYPES,0))</f>
        <v/>
      </c>
      <c r="J780">
        <f t="array" ref="J780">IFERROR(INDEX(T_LEAVE_TYPES[SYMBOL],T_LEAVE[[#This Row],[LEAVE TYPE SYS ID]]),"")</f>
        <v/>
      </c>
      <c r="K780">
        <f>IF(T_LEAVE[[#This Row],[EMPLOYEE]]="","",IF(T_LEAVE[[#This Row],[ERROR]]="",0,1))</f>
        <v/>
      </c>
      <c r="L780">
        <f t="array" ref="L78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1">
      <c r="A781" s="1" t="inlineStr">
        <is>
          <t>Sarath Madugula (1029527)</t>
        </is>
      </c>
      <c r="B781" s="15" t="inlineStr">
        <is>
          <t>Tuesday, 28 November 2023</t>
        </is>
      </c>
      <c r="C781" s="15" t="inlineStr">
        <is>
          <t>Tuesday, 28 November 2023</t>
        </is>
      </c>
      <c r="D781" t="inlineStr">
        <is>
          <t xml:space="preserve">Casual / Sick </t>
        </is>
      </c>
      <c r="E781" s="1" t="n">
        <v>1</v>
      </c>
      <c r="F781" s="1" t="n"/>
      <c r="G781" s="1" t="n"/>
      <c r="H781">
        <f>IF(T_LEAVE[[#This Row],[EMPLOYEE]]="","",MATCH(T_LEAVE[[#This Row],[EMPLOYEE]],L_EMPLABELS,0))</f>
        <v/>
      </c>
      <c r="I781">
        <f>IF(T_LEAVE[[#This Row],[EMPLOYEE]]="","",MATCH(T_LEAVE[[#This Row],[LEAVE TYPE]],L_LEAVETYPES,0))</f>
        <v/>
      </c>
      <c r="J781">
        <f t="array" ref="J781">IFERROR(INDEX(T_LEAVE_TYPES[SYMBOL],T_LEAVE[[#This Row],[LEAVE TYPE SYS ID]]),"")</f>
        <v/>
      </c>
      <c r="K781">
        <f>IF(T_LEAVE[[#This Row],[EMPLOYEE]]="","",IF(T_LEAVE[[#This Row],[ERROR]]="",0,1))</f>
        <v/>
      </c>
      <c r="L781">
        <f t="array" ref="L78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2">
      <c r="A782" s="1" t="inlineStr">
        <is>
          <t>Sriram Krishnakumar (1033227)</t>
        </is>
      </c>
      <c r="B782" s="15" t="inlineStr">
        <is>
          <t>Monday, 30 October 2023</t>
        </is>
      </c>
      <c r="C782" s="15" t="inlineStr">
        <is>
          <t>Tuesday, 31 October 2023</t>
        </is>
      </c>
      <c r="D782" t="inlineStr">
        <is>
          <t xml:space="preserve">Casual / Sick </t>
        </is>
      </c>
      <c r="E782" s="1" t="n">
        <v>2</v>
      </c>
      <c r="F782" s="1" t="n"/>
      <c r="G782" s="1" t="n"/>
      <c r="H782">
        <f>IF(T_LEAVE[[#This Row],[EMPLOYEE]]="","",MATCH(T_LEAVE[[#This Row],[EMPLOYEE]],L_EMPLABELS,0))</f>
        <v/>
      </c>
      <c r="I782">
        <f>IF(T_LEAVE[[#This Row],[EMPLOYEE]]="","",MATCH(T_LEAVE[[#This Row],[LEAVE TYPE]],L_LEAVETYPES,0))</f>
        <v/>
      </c>
      <c r="J782">
        <f t="array" ref="J782">IFERROR(INDEX(T_LEAVE_TYPES[SYMBOL],T_LEAVE[[#This Row],[LEAVE TYPE SYS ID]]),"")</f>
        <v/>
      </c>
      <c r="K782">
        <f>IF(T_LEAVE[[#This Row],[EMPLOYEE]]="","",IF(T_LEAVE[[#This Row],[ERROR]]="",0,1))</f>
        <v/>
      </c>
      <c r="L782">
        <f t="array" ref="L78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3">
      <c r="A783" s="1" t="inlineStr">
        <is>
          <t>Katta Adhithya (1033255)</t>
        </is>
      </c>
      <c r="B783" s="15" t="inlineStr">
        <is>
          <t>Monday, 23 October 2023</t>
        </is>
      </c>
      <c r="C783" s="15" t="inlineStr">
        <is>
          <t>Monday, 23 October 2023</t>
        </is>
      </c>
      <c r="D783" t="inlineStr">
        <is>
          <t xml:space="preserve">Casual / Sick </t>
        </is>
      </c>
      <c r="E783" s="1" t="n">
        <v>1</v>
      </c>
      <c r="F783" s="1" t="n"/>
      <c r="G783" s="1" t="n"/>
      <c r="H783">
        <f>IF(T_LEAVE[[#This Row],[EMPLOYEE]]="","",MATCH(T_LEAVE[[#This Row],[EMPLOYEE]],L_EMPLABELS,0))</f>
        <v/>
      </c>
      <c r="I783">
        <f>IF(T_LEAVE[[#This Row],[EMPLOYEE]]="","",MATCH(T_LEAVE[[#This Row],[LEAVE TYPE]],L_LEAVETYPES,0))</f>
        <v/>
      </c>
      <c r="J783">
        <f t="array" ref="J783">IFERROR(INDEX(T_LEAVE_TYPES[SYMBOL],T_LEAVE[[#This Row],[LEAVE TYPE SYS ID]]),"")</f>
        <v/>
      </c>
      <c r="K783">
        <f>IF(T_LEAVE[[#This Row],[EMPLOYEE]]="","",IF(T_LEAVE[[#This Row],[ERROR]]="",0,1))</f>
        <v/>
      </c>
      <c r="L783">
        <f t="array" ref="L78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4">
      <c r="A784" s="1" t="inlineStr">
        <is>
          <t>Chiluka Abhilash (1033244)</t>
        </is>
      </c>
      <c r="B784" s="15" t="inlineStr">
        <is>
          <t>Monday, 23 October 2023</t>
        </is>
      </c>
      <c r="C784" s="15" t="inlineStr">
        <is>
          <t>Monday, 23 October 2023</t>
        </is>
      </c>
      <c r="D784" t="inlineStr">
        <is>
          <t xml:space="preserve">Casual / Sick </t>
        </is>
      </c>
      <c r="E784" s="1" t="n">
        <v>1</v>
      </c>
      <c r="F784" s="1" t="n"/>
      <c r="G784" s="1" t="n"/>
      <c r="H784">
        <f>IF(T_LEAVE[[#This Row],[EMPLOYEE]]="","",MATCH(T_LEAVE[[#This Row],[EMPLOYEE]],L_EMPLABELS,0))</f>
        <v/>
      </c>
      <c r="I784">
        <f>IF(T_LEAVE[[#This Row],[EMPLOYEE]]="","",MATCH(T_LEAVE[[#This Row],[LEAVE TYPE]],L_LEAVETYPES,0))</f>
        <v/>
      </c>
      <c r="J784">
        <f t="array" ref="J784">IFERROR(INDEX(T_LEAVE_TYPES[SYMBOL],T_LEAVE[[#This Row],[LEAVE TYPE SYS ID]]),"")</f>
        <v/>
      </c>
      <c r="K784">
        <f>IF(T_LEAVE[[#This Row],[EMPLOYEE]]="","",IF(T_LEAVE[[#This Row],[ERROR]]="",0,1))</f>
        <v/>
      </c>
      <c r="L784">
        <f t="array" ref="L78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5">
      <c r="A785" s="1" t="inlineStr">
        <is>
          <t>Sriram Krishnakumar (1033227)</t>
        </is>
      </c>
      <c r="B785" s="15" t="inlineStr">
        <is>
          <t>Monday, 04 September 2023</t>
        </is>
      </c>
      <c r="C785" s="15" t="inlineStr">
        <is>
          <t>Monday, 04 September 2023</t>
        </is>
      </c>
      <c r="D785" t="inlineStr">
        <is>
          <t xml:space="preserve">Casual / Sick </t>
        </is>
      </c>
      <c r="E785" s="1" t="n">
        <v>1</v>
      </c>
      <c r="F785" s="1" t="n"/>
      <c r="G785" s="1" t="n"/>
      <c r="H785">
        <f>IF(T_LEAVE[[#This Row],[EMPLOYEE]]="","",MATCH(T_LEAVE[[#This Row],[EMPLOYEE]],L_EMPLABELS,0))</f>
        <v/>
      </c>
      <c r="I785">
        <f>IF(T_LEAVE[[#This Row],[EMPLOYEE]]="","",MATCH(T_LEAVE[[#This Row],[LEAVE TYPE]],L_LEAVETYPES,0))</f>
        <v/>
      </c>
      <c r="J785">
        <f t="array" ref="J785">IFERROR(INDEX(T_LEAVE_TYPES[SYMBOL],T_LEAVE[[#This Row],[LEAVE TYPE SYS ID]]),"")</f>
        <v/>
      </c>
      <c r="K785">
        <f>IF(T_LEAVE[[#This Row],[EMPLOYEE]]="","",IF(T_LEAVE[[#This Row],[ERROR]]="",0,1))</f>
        <v/>
      </c>
      <c r="L785">
        <f t="array" ref="L78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6">
      <c r="A786" s="1" t="inlineStr">
        <is>
          <t>Amol Ramesh Devkate (1031048)</t>
        </is>
      </c>
      <c r="B786" s="15" t="inlineStr">
        <is>
          <t>Monday, 10 July 2023</t>
        </is>
      </c>
      <c r="C786" s="15" t="inlineStr">
        <is>
          <t>Wednesday, 12 July 2023</t>
        </is>
      </c>
      <c r="D786" s="1" t="inlineStr">
        <is>
          <t>LOP</t>
        </is>
      </c>
      <c r="E786" s="1" t="n">
        <v>4</v>
      </c>
      <c r="F786" s="1" t="n"/>
      <c r="G786" s="1" t="n"/>
      <c r="H786">
        <f>IF(T_LEAVE[[#This Row],[EMPLOYEE]]="","",MATCH(T_LEAVE[[#This Row],[EMPLOYEE]],L_EMPLABELS,0))</f>
        <v/>
      </c>
      <c r="I786">
        <f>IF(T_LEAVE[[#This Row],[EMPLOYEE]]="","",MATCH(T_LEAVE[[#This Row],[LEAVE TYPE]],L_LEAVETYPES,0))</f>
        <v/>
      </c>
      <c r="J786">
        <f t="array" ref="J786">IFERROR(INDEX(T_LEAVE_TYPES[SYMBOL],T_LEAVE[[#This Row],[LEAVE TYPE SYS ID]]),"")</f>
        <v/>
      </c>
      <c r="K786">
        <f>IF(T_LEAVE[[#This Row],[EMPLOYEE]]="","",IF(T_LEAVE[[#This Row],[ERROR]]="",0,1))</f>
        <v/>
      </c>
      <c r="L786">
        <f t="array" ref="L78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7">
      <c r="A787" s="1" t="inlineStr">
        <is>
          <t>Amol Ramesh Devkate (1031048)</t>
        </is>
      </c>
      <c r="B787" s="15" t="inlineStr">
        <is>
          <t>Wednesday, 05 July 2023</t>
        </is>
      </c>
      <c r="C787" s="15" t="inlineStr">
        <is>
          <t>Friday, 07 July 2023</t>
        </is>
      </c>
      <c r="D787" s="1" t="inlineStr">
        <is>
          <t>LOP</t>
        </is>
      </c>
      <c r="E787" s="1" t="n">
        <v>4</v>
      </c>
      <c r="F787" s="1" t="n"/>
      <c r="G787" s="1" t="n"/>
      <c r="H787">
        <f>IF(T_LEAVE[[#This Row],[EMPLOYEE]]="","",MATCH(T_LEAVE[[#This Row],[EMPLOYEE]],L_EMPLABELS,0))</f>
        <v/>
      </c>
      <c r="I787">
        <f>IF(T_LEAVE[[#This Row],[EMPLOYEE]]="","",MATCH(T_LEAVE[[#This Row],[LEAVE TYPE]],L_LEAVETYPES,0))</f>
        <v/>
      </c>
      <c r="J787">
        <f t="array" ref="J787">IFERROR(INDEX(T_LEAVE_TYPES[SYMBOL],T_LEAVE[[#This Row],[LEAVE TYPE SYS ID]]),"")</f>
        <v/>
      </c>
      <c r="K787">
        <f>IF(T_LEAVE[[#This Row],[EMPLOYEE]]="","",IF(T_LEAVE[[#This Row],[ERROR]]="",0,1))</f>
        <v/>
      </c>
      <c r="L787">
        <f t="array" ref="L78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8">
      <c r="A788" s="1" t="inlineStr">
        <is>
          <t>Amol Ramesh Devkate (1031048)</t>
        </is>
      </c>
      <c r="B788" s="15" t="inlineStr">
        <is>
          <t>Wednesday, 05 July 2023</t>
        </is>
      </c>
      <c r="C788" s="15" t="inlineStr">
        <is>
          <t>Wednesday, 12 July 2023</t>
        </is>
      </c>
      <c r="D788" s="1" t="inlineStr">
        <is>
          <t>LOP</t>
        </is>
      </c>
      <c r="E788" s="1" t="n">
        <v>8</v>
      </c>
      <c r="F788" s="1" t="n"/>
      <c r="G788" s="1" t="n"/>
      <c r="H788">
        <f>IF(T_LEAVE[[#This Row],[EMPLOYEE]]="","",MATCH(T_LEAVE[[#This Row],[EMPLOYEE]],L_EMPLABELS,0))</f>
        <v/>
      </c>
      <c r="I788">
        <f>IF(T_LEAVE[[#This Row],[EMPLOYEE]]="","",MATCH(T_LEAVE[[#This Row],[LEAVE TYPE]],L_LEAVETYPES,0))</f>
        <v/>
      </c>
      <c r="J788">
        <f t="array" ref="J788">IFERROR(INDEX(T_LEAVE_TYPES[SYMBOL],T_LEAVE[[#This Row],[LEAVE TYPE SYS ID]]),"")</f>
        <v/>
      </c>
      <c r="K788">
        <f>IF(T_LEAVE[[#This Row],[EMPLOYEE]]="","",IF(T_LEAVE[[#This Row],[ERROR]]="",0,1))</f>
        <v/>
      </c>
      <c r="L788">
        <f t="array" ref="L78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89">
      <c r="A789" s="1" t="inlineStr">
        <is>
          <t>Amol Ramesh Devkate (1031048)</t>
        </is>
      </c>
      <c r="B789" s="15" t="inlineStr">
        <is>
          <t>Monday, 03 July 2023</t>
        </is>
      </c>
      <c r="C789" s="15" t="inlineStr">
        <is>
          <t>Tuesday, 04 July 2023</t>
        </is>
      </c>
      <c r="D789" t="inlineStr">
        <is>
          <t xml:space="preserve">Casual / Sick </t>
        </is>
      </c>
      <c r="E789" s="1" t="n">
        <v>2</v>
      </c>
      <c r="F789" s="1" t="n"/>
      <c r="G789" s="1" t="n"/>
      <c r="H789">
        <f>IF(T_LEAVE[[#This Row],[EMPLOYEE]]="","",MATCH(T_LEAVE[[#This Row],[EMPLOYEE]],L_EMPLABELS,0))</f>
        <v/>
      </c>
      <c r="I789">
        <f>IF(T_LEAVE[[#This Row],[EMPLOYEE]]="","",MATCH(T_LEAVE[[#This Row],[LEAVE TYPE]],L_LEAVETYPES,0))</f>
        <v/>
      </c>
      <c r="J789">
        <f t="array" ref="J789">IFERROR(INDEX(T_LEAVE_TYPES[SYMBOL],T_LEAVE[[#This Row],[LEAVE TYPE SYS ID]]),"")</f>
        <v/>
      </c>
      <c r="K789">
        <f>IF(T_LEAVE[[#This Row],[EMPLOYEE]]="","",IF(T_LEAVE[[#This Row],[ERROR]]="",0,1))</f>
        <v/>
      </c>
      <c r="L789">
        <f t="array" ref="L78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0">
      <c r="A790" s="1" t="inlineStr">
        <is>
          <t>Amol Ramesh Devkate (1031048)</t>
        </is>
      </c>
      <c r="B790" s="15" t="inlineStr">
        <is>
          <t>Friday, 30 June 2023</t>
        </is>
      </c>
      <c r="C790" s="15" t="inlineStr">
        <is>
          <t>Friday, 30 June 2023</t>
        </is>
      </c>
      <c r="D790" t="inlineStr">
        <is>
          <t>Privilege</t>
        </is>
      </c>
      <c r="E790" s="1" t="n">
        <v>1</v>
      </c>
      <c r="F790" s="1" t="n"/>
      <c r="G790" s="1" t="n"/>
      <c r="H790">
        <f>IF(T_LEAVE[[#This Row],[EMPLOYEE]]="","",MATCH(T_LEAVE[[#This Row],[EMPLOYEE]],L_EMPLABELS,0))</f>
        <v/>
      </c>
      <c r="I790">
        <f>IF(T_LEAVE[[#This Row],[EMPLOYEE]]="","",MATCH(T_LEAVE[[#This Row],[LEAVE TYPE]],L_LEAVETYPES,0))</f>
        <v/>
      </c>
      <c r="J790">
        <f t="array" ref="J790">IFERROR(INDEX(T_LEAVE_TYPES[SYMBOL],T_LEAVE[[#This Row],[LEAVE TYPE SYS ID]]),"")</f>
        <v/>
      </c>
      <c r="K790">
        <f>IF(T_LEAVE[[#This Row],[EMPLOYEE]]="","",IF(T_LEAVE[[#This Row],[ERROR]]="",0,1))</f>
        <v/>
      </c>
      <c r="L790">
        <f t="array" ref="L79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1">
      <c r="A791" s="1" t="inlineStr">
        <is>
          <t>Amol Ramesh Devkate (1031048)</t>
        </is>
      </c>
      <c r="B791" s="15" t="inlineStr">
        <is>
          <t>Monday, 26 June 2023</t>
        </is>
      </c>
      <c r="C791" s="15" t="inlineStr">
        <is>
          <t>Wednesday, 28 June 2023</t>
        </is>
      </c>
      <c r="D791" t="inlineStr">
        <is>
          <t>Privilege</t>
        </is>
      </c>
      <c r="E791" s="1" t="n">
        <v>3</v>
      </c>
      <c r="F791" s="1" t="n"/>
      <c r="G791" s="1" t="n"/>
      <c r="H791">
        <f>IF(T_LEAVE[[#This Row],[EMPLOYEE]]="","",MATCH(T_LEAVE[[#This Row],[EMPLOYEE]],L_EMPLABELS,0))</f>
        <v/>
      </c>
      <c r="I791">
        <f>IF(T_LEAVE[[#This Row],[EMPLOYEE]]="","",MATCH(T_LEAVE[[#This Row],[LEAVE TYPE]],L_LEAVETYPES,0))</f>
        <v/>
      </c>
      <c r="J791">
        <f t="array" ref="J791">IFERROR(INDEX(T_LEAVE_TYPES[SYMBOL],T_LEAVE[[#This Row],[LEAVE TYPE SYS ID]]),"")</f>
        <v/>
      </c>
      <c r="K791">
        <f>IF(T_LEAVE[[#This Row],[EMPLOYEE]]="","",IF(T_LEAVE[[#This Row],[ERROR]]="",0,1))</f>
        <v/>
      </c>
      <c r="L791">
        <f t="array" ref="L79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2">
      <c r="A792" s="1" t="inlineStr">
        <is>
          <t>Amol Ramesh Devkate (1031048)</t>
        </is>
      </c>
      <c r="B792" s="15" t="inlineStr">
        <is>
          <t>Wednesday, 05 July 2023</t>
        </is>
      </c>
      <c r="C792" s="15" t="inlineStr">
        <is>
          <t>Wednesday, 12 July 2023</t>
        </is>
      </c>
      <c r="D792" s="1" t="inlineStr">
        <is>
          <t>LOP</t>
        </is>
      </c>
      <c r="E792" s="1" t="n">
        <v>8</v>
      </c>
      <c r="F792" s="1" t="n"/>
      <c r="G792" s="1" t="n"/>
      <c r="H792">
        <f>IF(T_LEAVE[[#This Row],[EMPLOYEE]]="","",MATCH(T_LEAVE[[#This Row],[EMPLOYEE]],L_EMPLABELS,0))</f>
        <v/>
      </c>
      <c r="I792">
        <f>IF(T_LEAVE[[#This Row],[EMPLOYEE]]="","",MATCH(T_LEAVE[[#This Row],[LEAVE TYPE]],L_LEAVETYPES,0))</f>
        <v/>
      </c>
      <c r="J792">
        <f t="array" ref="J792">IFERROR(INDEX(T_LEAVE_TYPES[SYMBOL],T_LEAVE[[#This Row],[LEAVE TYPE SYS ID]]),"")</f>
        <v/>
      </c>
      <c r="K792">
        <f>IF(T_LEAVE[[#This Row],[EMPLOYEE]]="","",IF(T_LEAVE[[#This Row],[ERROR]]="",0,1))</f>
        <v/>
      </c>
      <c r="L792">
        <f t="array" ref="L79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3">
      <c r="A793" s="1" t="inlineStr">
        <is>
          <t>Veera Hema Chekkera (1019823)</t>
        </is>
      </c>
      <c r="B793" s="15" t="inlineStr">
        <is>
          <t>Tuesday, 30 May 2023</t>
        </is>
      </c>
      <c r="C793" s="15" t="inlineStr">
        <is>
          <t>Wednesday, 31 May 2023</t>
        </is>
      </c>
      <c r="D793" t="inlineStr">
        <is>
          <t>Privilege</t>
        </is>
      </c>
      <c r="E793" s="1" t="n">
        <v>2</v>
      </c>
      <c r="F793" s="1" t="n"/>
      <c r="G793" s="1" t="n"/>
      <c r="H793">
        <f>IF(T_LEAVE[[#This Row],[EMPLOYEE]]="","",MATCH(T_LEAVE[[#This Row],[EMPLOYEE]],L_EMPLABELS,0))</f>
        <v/>
      </c>
      <c r="I793">
        <f>IF(T_LEAVE[[#This Row],[EMPLOYEE]]="","",MATCH(T_LEAVE[[#This Row],[LEAVE TYPE]],L_LEAVETYPES,0))</f>
        <v/>
      </c>
      <c r="J793">
        <f t="array" ref="J793">IFERROR(INDEX(T_LEAVE_TYPES[SYMBOL],T_LEAVE[[#This Row],[LEAVE TYPE SYS ID]]),"")</f>
        <v/>
      </c>
      <c r="K793">
        <f>IF(T_LEAVE[[#This Row],[EMPLOYEE]]="","",IF(T_LEAVE[[#This Row],[ERROR]]="",0,1))</f>
        <v/>
      </c>
      <c r="L793">
        <f t="array" ref="L793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4">
      <c r="A794" s="1" t="inlineStr">
        <is>
          <t>Amol Ramesh Devkate (1031048)</t>
        </is>
      </c>
      <c r="B794" s="15" t="inlineStr">
        <is>
          <t>Monday, 22 May 2023</t>
        </is>
      </c>
      <c r="C794" s="15" t="inlineStr">
        <is>
          <t>Tuesday, 23 May 2023</t>
        </is>
      </c>
      <c r="D794" t="inlineStr">
        <is>
          <t>Privilege</t>
        </is>
      </c>
      <c r="E794" s="1" t="n">
        <v>2</v>
      </c>
      <c r="F794" s="1" t="n"/>
      <c r="G794" s="1" t="n"/>
      <c r="H794">
        <f>IF(T_LEAVE[[#This Row],[EMPLOYEE]]="","",MATCH(T_LEAVE[[#This Row],[EMPLOYEE]],L_EMPLABELS,0))</f>
        <v/>
      </c>
      <c r="I794">
        <f>IF(T_LEAVE[[#This Row],[EMPLOYEE]]="","",MATCH(T_LEAVE[[#This Row],[LEAVE TYPE]],L_LEAVETYPES,0))</f>
        <v/>
      </c>
      <c r="J794">
        <f t="array" ref="J794">IFERROR(INDEX(T_LEAVE_TYPES[SYMBOL],T_LEAVE[[#This Row],[LEAVE TYPE SYS ID]]),"")</f>
        <v/>
      </c>
      <c r="K794">
        <f>IF(T_LEAVE[[#This Row],[EMPLOYEE]]="","",IF(T_LEAVE[[#This Row],[ERROR]]="",0,1))</f>
        <v/>
      </c>
      <c r="L794">
        <f t="array" ref="L794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5">
      <c r="A795" s="1" t="inlineStr">
        <is>
          <t>Veera Hema Chekkera (1019823)</t>
        </is>
      </c>
      <c r="B795" s="15" t="inlineStr">
        <is>
          <t>Monday, 24 April 2023</t>
        </is>
      </c>
      <c r="C795" s="15" t="inlineStr">
        <is>
          <t>Monday, 24 April 2023</t>
        </is>
      </c>
      <c r="D795" t="inlineStr">
        <is>
          <t xml:space="preserve">Casual / Sick </t>
        </is>
      </c>
      <c r="E795" s="1" t="n">
        <v>1</v>
      </c>
      <c r="F795" s="1" t="n"/>
      <c r="G795" s="1" t="n"/>
      <c r="H795">
        <f>IF(T_LEAVE[[#This Row],[EMPLOYEE]]="","",MATCH(T_LEAVE[[#This Row],[EMPLOYEE]],L_EMPLABELS,0))</f>
        <v/>
      </c>
      <c r="I795">
        <f>IF(T_LEAVE[[#This Row],[EMPLOYEE]]="","",MATCH(T_LEAVE[[#This Row],[LEAVE TYPE]],L_LEAVETYPES,0))</f>
        <v/>
      </c>
      <c r="J795">
        <f t="array" ref="J795">IFERROR(INDEX(T_LEAVE_TYPES[SYMBOL],T_LEAVE[[#This Row],[LEAVE TYPE SYS ID]]),"")</f>
        <v/>
      </c>
      <c r="K795">
        <f>IF(T_LEAVE[[#This Row],[EMPLOYEE]]="","",IF(T_LEAVE[[#This Row],[ERROR]]="",0,1))</f>
        <v/>
      </c>
      <c r="L795">
        <f t="array" ref="L795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6">
      <c r="A796" s="1" t="inlineStr">
        <is>
          <t>Amol Ramesh Devkate (1031048)</t>
        </is>
      </c>
      <c r="B796" s="15" t="inlineStr">
        <is>
          <t>Tuesday, 21 February 2023</t>
        </is>
      </c>
      <c r="C796" s="15" t="inlineStr">
        <is>
          <t>Wednesday, 22 February 2023</t>
        </is>
      </c>
      <c r="D796" s="17" t="inlineStr">
        <is>
          <t>Bereavement</t>
        </is>
      </c>
      <c r="E796" s="1" t="n">
        <v>2</v>
      </c>
      <c r="F796" s="1" t="n"/>
      <c r="G796" s="1" t="n"/>
      <c r="H796">
        <f>IF(T_LEAVE[[#This Row],[EMPLOYEE]]="","",MATCH(T_LEAVE[[#This Row],[EMPLOYEE]],L_EMPLABELS,0))</f>
        <v/>
      </c>
      <c r="I796">
        <f>IF(T_LEAVE[[#This Row],[EMPLOYEE]]="","",MATCH(T_LEAVE[[#This Row],[LEAVE TYPE]],L_LEAVETYPES,0))</f>
        <v/>
      </c>
      <c r="J796">
        <f t="array" ref="J796">IFERROR(INDEX(T_LEAVE_TYPES[SYMBOL],T_LEAVE[[#This Row],[LEAVE TYPE SYS ID]]),"")</f>
        <v/>
      </c>
      <c r="K796">
        <f>IF(T_LEAVE[[#This Row],[EMPLOYEE]]="","",IF(T_LEAVE[[#This Row],[ERROR]]="",0,1))</f>
        <v/>
      </c>
      <c r="L796">
        <f t="array" ref="L796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7">
      <c r="A797" s="1" t="inlineStr">
        <is>
          <t>Amol Ramesh Devkate (1031048)</t>
        </is>
      </c>
      <c r="B797" s="15" t="inlineStr">
        <is>
          <t>Monday, 06 February 2023</t>
        </is>
      </c>
      <c r="C797" s="15" t="inlineStr">
        <is>
          <t>Tuesday, 07 February 2023</t>
        </is>
      </c>
      <c r="D797" t="inlineStr">
        <is>
          <t xml:space="preserve">Casual / Sick </t>
        </is>
      </c>
      <c r="E797" s="1" t="n">
        <v>2</v>
      </c>
      <c r="F797" s="1" t="n"/>
      <c r="G797" s="1" t="n"/>
      <c r="H797">
        <f>IF(T_LEAVE[[#This Row],[EMPLOYEE]]="","",MATCH(T_LEAVE[[#This Row],[EMPLOYEE]],L_EMPLABELS,0))</f>
        <v/>
      </c>
      <c r="I797">
        <f>IF(T_LEAVE[[#This Row],[EMPLOYEE]]="","",MATCH(T_LEAVE[[#This Row],[LEAVE TYPE]],L_LEAVETYPES,0))</f>
        <v/>
      </c>
      <c r="J797">
        <f t="array" ref="J797">IFERROR(INDEX(T_LEAVE_TYPES[SYMBOL],T_LEAVE[[#This Row],[LEAVE TYPE SYS ID]]),"")</f>
        <v/>
      </c>
      <c r="K797">
        <f>IF(T_LEAVE[[#This Row],[EMPLOYEE]]="","",IF(T_LEAVE[[#This Row],[ERROR]]="",0,1))</f>
        <v/>
      </c>
      <c r="L797">
        <f t="array" ref="L797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8">
      <c r="A798" s="1" t="inlineStr">
        <is>
          <t>Obuli  Sundar (1027420)</t>
        </is>
      </c>
      <c r="B798" s="15" t="inlineStr">
        <is>
          <t>Friday, 27 January 2023</t>
        </is>
      </c>
      <c r="C798" s="15" t="inlineStr">
        <is>
          <t>Monday, 30 January 2023</t>
        </is>
      </c>
      <c r="D798" t="inlineStr">
        <is>
          <t xml:space="preserve">Casual / Sick </t>
        </is>
      </c>
      <c r="E798" s="1" t="n">
        <v>2</v>
      </c>
      <c r="F798" s="1" t="n"/>
      <c r="G798" s="1" t="n"/>
      <c r="H798">
        <f>IF(T_LEAVE[[#This Row],[EMPLOYEE]]="","",MATCH(T_LEAVE[[#This Row],[EMPLOYEE]],L_EMPLABELS,0))</f>
        <v/>
      </c>
      <c r="I798">
        <f>IF(T_LEAVE[[#This Row],[EMPLOYEE]]="","",MATCH(T_LEAVE[[#This Row],[LEAVE TYPE]],L_LEAVETYPES,0))</f>
        <v/>
      </c>
      <c r="J798">
        <f t="array" ref="J798">IFERROR(INDEX(T_LEAVE_TYPES[SYMBOL],T_LEAVE[[#This Row],[LEAVE TYPE SYS ID]]),"")</f>
        <v/>
      </c>
      <c r="K798">
        <f>IF(T_LEAVE[[#This Row],[EMPLOYEE]]="","",IF(T_LEAVE[[#This Row],[ERROR]]="",0,1))</f>
        <v/>
      </c>
      <c r="L798">
        <f t="array" ref="L798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799">
      <c r="A799" s="1" t="inlineStr">
        <is>
          <t>Sarath Madugula (1029527)</t>
        </is>
      </c>
      <c r="B799" s="15" t="inlineStr">
        <is>
          <t>Monday, 10 October 2022</t>
        </is>
      </c>
      <c r="C799" s="15" t="inlineStr">
        <is>
          <t>Tuesday, 11 October 2022</t>
        </is>
      </c>
      <c r="D799" t="inlineStr">
        <is>
          <t xml:space="preserve">Casual / Sick </t>
        </is>
      </c>
      <c r="E799" s="1" t="n">
        <v>2</v>
      </c>
      <c r="F799" s="1" t="n"/>
      <c r="G799" s="1" t="n"/>
      <c r="H799">
        <f>IF(T_LEAVE[[#This Row],[EMPLOYEE]]="","",MATCH(T_LEAVE[[#This Row],[EMPLOYEE]],L_EMPLABELS,0))</f>
        <v/>
      </c>
      <c r="I799">
        <f>IF(T_LEAVE[[#This Row],[EMPLOYEE]]="","",MATCH(T_LEAVE[[#This Row],[LEAVE TYPE]],L_LEAVETYPES,0))</f>
        <v/>
      </c>
      <c r="J799">
        <f t="array" ref="J799">IFERROR(INDEX(T_LEAVE_TYPES[SYMBOL],T_LEAVE[[#This Row],[LEAVE TYPE SYS ID]]),"")</f>
        <v/>
      </c>
      <c r="K799">
        <f>IF(T_LEAVE[[#This Row],[EMPLOYEE]]="","",IF(T_LEAVE[[#This Row],[ERROR]]="",0,1))</f>
        <v/>
      </c>
      <c r="L799">
        <f t="array" ref="L799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0">
      <c r="A800" s="1" t="inlineStr">
        <is>
          <t>Sarath Madugula (1029527)</t>
        </is>
      </c>
      <c r="B800" s="15" t="inlineStr">
        <is>
          <t>Thursday, 25 August 2022</t>
        </is>
      </c>
      <c r="C800" s="15" t="inlineStr">
        <is>
          <t>Thursday, 25 August 2022</t>
        </is>
      </c>
      <c r="D800" t="inlineStr">
        <is>
          <t xml:space="preserve">Casual / Sick </t>
        </is>
      </c>
      <c r="E800" s="1" t="n">
        <v>1</v>
      </c>
      <c r="F800" s="1" t="n"/>
      <c r="G800" s="1" t="n"/>
      <c r="H800">
        <f>IF(T_LEAVE[[#This Row],[EMPLOYEE]]="","",MATCH(T_LEAVE[[#This Row],[EMPLOYEE]],L_EMPLABELS,0))</f>
        <v/>
      </c>
      <c r="I800">
        <f>IF(T_LEAVE[[#This Row],[EMPLOYEE]]="","",MATCH(T_LEAVE[[#This Row],[LEAVE TYPE]],L_LEAVETYPES,0))</f>
        <v/>
      </c>
      <c r="J800">
        <f t="array" ref="J800">IFERROR(INDEX(T_LEAVE_TYPES[SYMBOL],T_LEAVE[[#This Row],[LEAVE TYPE SYS ID]]),"")</f>
        <v/>
      </c>
      <c r="K800">
        <f>IF(T_LEAVE[[#This Row],[EMPLOYEE]]="","",IF(T_LEAVE[[#This Row],[ERROR]]="",0,1))</f>
        <v/>
      </c>
      <c r="L800">
        <f t="array" ref="L800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1">
      <c r="A801" s="1" t="inlineStr">
        <is>
          <t>Veera Hema Chekkera (1019823)</t>
        </is>
      </c>
      <c r="B801" s="15" t="inlineStr">
        <is>
          <t>Wednesday, 07 December 2022</t>
        </is>
      </c>
      <c r="C801" s="15" t="inlineStr">
        <is>
          <t>Friday, 16 December 2022</t>
        </is>
      </c>
      <c r="D801" t="inlineStr">
        <is>
          <t>Privilege</t>
        </is>
      </c>
      <c r="E801" s="1" t="n">
        <v>8</v>
      </c>
      <c r="F801" s="1" t="n"/>
      <c r="G801" s="1" t="n"/>
      <c r="H801">
        <f>IF(T_LEAVE[[#This Row],[EMPLOYEE]]="","",MATCH(T_LEAVE[[#This Row],[EMPLOYEE]],L_EMPLABELS,0))</f>
        <v/>
      </c>
      <c r="I801">
        <f>IF(T_LEAVE[[#This Row],[EMPLOYEE]]="","",MATCH(T_LEAVE[[#This Row],[LEAVE TYPE]],L_LEAVETYPES,0))</f>
        <v/>
      </c>
      <c r="J801">
        <f t="array" ref="J801">IFERROR(INDEX(T_LEAVE_TYPES[SYMBOL],T_LEAVE[[#This Row],[LEAVE TYPE SYS ID]]),"")</f>
        <v/>
      </c>
      <c r="K801">
        <f>IF(T_LEAVE[[#This Row],[EMPLOYEE]]="","",IF(T_LEAVE[[#This Row],[ERROR]]="",0,1))</f>
        <v/>
      </c>
      <c r="L801">
        <f t="array" ref="L801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  <row r="802">
      <c r="A802" s="1" t="inlineStr">
        <is>
          <t>Veera Hema Chekkera (1019823)</t>
        </is>
      </c>
      <c r="B802" s="15" t="inlineStr">
        <is>
          <t>Monday, 28 November 2022</t>
        </is>
      </c>
      <c r="C802" s="15" t="inlineStr">
        <is>
          <t>Tuesday, 06 December 2022</t>
        </is>
      </c>
      <c r="D802" t="inlineStr">
        <is>
          <t xml:space="preserve">Casual / Sick </t>
        </is>
      </c>
      <c r="E802" s="1" t="n">
        <v>7</v>
      </c>
      <c r="F802" s="1" t="n"/>
      <c r="G802" s="1" t="n"/>
      <c r="H802">
        <f>IF(T_LEAVE[[#This Row],[EMPLOYEE]]="","",MATCH(T_LEAVE[[#This Row],[EMPLOYEE]],L_EMPLABELS,0))</f>
        <v/>
      </c>
      <c r="I802">
        <f>IF(T_LEAVE[[#This Row],[EMPLOYEE]]="","",MATCH(T_LEAVE[[#This Row],[LEAVE TYPE]],L_LEAVETYPES,0))</f>
        <v/>
      </c>
      <c r="J802">
        <f t="array" ref="J802">IFERROR(INDEX(T_LEAVE_TYPES[SYMBOL],T_LEAVE[[#This Row],[LEAVE TYPE SYS ID]]),"")</f>
        <v/>
      </c>
      <c r="K802">
        <f>IF(T_LEAVE[[#This Row],[EMPLOYEE]]="","",IF(T_LEAVE[[#This Row],[ERROR]]="",0,1))</f>
        <v/>
      </c>
      <c r="L802">
        <f t="array" ref="L802">IF(T_LEAVE[[#This Row],[EMPLOYEE]]="","",IF(INDEX(T_EMPLOYEES[ERROR IND],T_LEAVE[[#This Row],[EMPLOYEE SYS ID]])=1,"Invalid Employee Record",
IF(ISERROR(T_LEAVE[[#This Row],[EMPLOYEE SYS ID]]),"Invalid Employee",
IF(ISERROR(T_LEAVE[[#This Row],[LEAVE TYPE SYS ID]]),"Invalid Leave Type",
IF(INDEX(T_EMPLOYEES[START DATE],T_LEAVE[[#This Row],[EMPLOYEE SYS ID]])&gt;T_LEAVE[[#This Row],[START DATE]],"Leave Before Employee Start",
"")))))</f>
        <v/>
      </c>
    </row>
  </sheetData>
  <dataValidations count="4">
    <dataValidation sqref="E4:E506" showDropDown="0" showInputMessage="1" showErrorMessage="1" allowBlank="1" type="decimal">
      <formula1>-1</formula1>
      <formula2>100</formula2>
    </dataValidation>
    <dataValidation sqref="E507:E754" showDropDown="0" showInputMessage="1" showErrorMessage="1" allowBlank="1" type="whole">
      <formula1>-1</formula1>
      <formula2>1</formula2>
    </dataValidation>
    <dataValidation sqref="A4:A802" showDropDown="0" showInputMessage="1" showErrorMessage="1" allowBlank="1" type="list">
      <formula1>L_EMPLABELS</formula1>
    </dataValidation>
    <dataValidation sqref="D4:D802" showDropDown="0" showInputMessage="1" showErrorMessage="1" allowBlank="1" type="list">
      <formula1>L_LEAVETYPES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SYS ID</t>
        </is>
      </c>
      <c r="B1" t="inlineStr">
        <is>
          <t>EMPLOYEE NUMBER</t>
        </is>
      </c>
      <c r="C1" t="inlineStr">
        <is>
          <t>Skill Name</t>
        </is>
      </c>
      <c r="D1" t="inlineStr">
        <is>
          <t>Skill Type</t>
        </is>
      </c>
      <c r="E1" t="inlineStr">
        <is>
          <t>Skill Level</t>
        </is>
      </c>
      <c r="F1" t="inlineStr">
        <is>
          <t>Skill_Exp</t>
        </is>
      </c>
      <c r="G1" t="inlineStr">
        <is>
          <t>Skill Category</t>
        </is>
      </c>
      <c r="H1" t="inlineStr">
        <is>
          <t>IsActive</t>
        </is>
      </c>
      <c r="I1" t="inlineStr">
        <is>
          <t>Assigned Date</t>
        </is>
      </c>
      <c r="J1" t="inlineStr">
        <is>
          <t>Module</t>
        </is>
      </c>
    </row>
    <row r="2">
      <c r="A2" t="n">
        <v/>
      </c>
      <c r="B2" t="n">
        <v>1019272</v>
      </c>
      <c r="C2" t="inlineStr">
        <is>
          <t>Project &amp; Delivery Management</t>
        </is>
      </c>
      <c r="D2" t="inlineStr">
        <is>
          <t>Primary</t>
        </is>
      </c>
      <c r="E2" t="inlineStr">
        <is>
          <t>Advanced</t>
        </is>
      </c>
      <c r="F2" t="n">
        <v>13.1</v>
      </c>
      <c r="G2" t="inlineStr">
        <is>
          <t>Functional</t>
        </is>
      </c>
      <c r="H2" t="inlineStr">
        <is>
          <t>Yes</t>
        </is>
      </c>
      <c r="I2" t="inlineStr">
        <is>
          <t>2017-03-22</t>
        </is>
      </c>
    </row>
    <row r="3">
      <c r="A3" t="n">
        <v/>
      </c>
      <c r="B3" t="n">
        <v>1019272</v>
      </c>
      <c r="C3" t="inlineStr">
        <is>
          <t>Agile / Scrum</t>
        </is>
      </c>
      <c r="D3" t="inlineStr">
        <is>
          <t>Secondary</t>
        </is>
      </c>
      <c r="E3" t="inlineStr">
        <is>
          <t>Advanced</t>
        </is>
      </c>
      <c r="F3" t="n">
        <v>7.9</v>
      </c>
      <c r="G3" t="inlineStr">
        <is>
          <t>Functional</t>
        </is>
      </c>
      <c r="H3" t="inlineStr">
        <is>
          <t>Yes</t>
        </is>
      </c>
      <c r="I3" t="inlineStr">
        <is>
          <t>2017-03-22</t>
        </is>
      </c>
    </row>
    <row r="4">
      <c r="A4" t="n">
        <v/>
      </c>
      <c r="B4" t="n">
        <v>1019272</v>
      </c>
      <c r="C4" t="inlineStr">
        <is>
          <t>Stakeholder Management</t>
        </is>
      </c>
      <c r="D4" t="inlineStr">
        <is>
          <t>Secondary</t>
        </is>
      </c>
      <c r="E4" t="inlineStr">
        <is>
          <t>Advanced</t>
        </is>
      </c>
      <c r="F4" t="n">
        <v>5.9</v>
      </c>
      <c r="G4" t="inlineStr">
        <is>
          <t>Functional</t>
        </is>
      </c>
      <c r="H4" t="inlineStr">
        <is>
          <t>Yes</t>
        </is>
      </c>
      <c r="I4" t="inlineStr">
        <is>
          <t>2017-03-22</t>
        </is>
      </c>
    </row>
    <row r="5">
      <c r="A5" t="n">
        <v/>
      </c>
      <c r="B5" t="n">
        <v>1019272</v>
      </c>
      <c r="C5" t="inlineStr">
        <is>
          <t>Resource Planning</t>
        </is>
      </c>
      <c r="D5" t="inlineStr">
        <is>
          <t>Secondary</t>
        </is>
      </c>
      <c r="E5" t="inlineStr">
        <is>
          <t>Intermediate</t>
        </is>
      </c>
      <c r="F5" t="n">
        <v>3.9</v>
      </c>
      <c r="G5" t="inlineStr">
        <is>
          <t>Functional</t>
        </is>
      </c>
      <c r="H5" t="inlineStr">
        <is>
          <t>Yes</t>
        </is>
      </c>
      <c r="I5" t="inlineStr">
        <is>
          <t>2017-03-22</t>
        </is>
      </c>
    </row>
    <row r="6">
      <c r="A6" t="n">
        <v/>
      </c>
      <c r="B6" t="n">
        <v>1032824</v>
      </c>
      <c r="C6" t="inlineStr">
        <is>
          <t>Project &amp; Delivery Management</t>
        </is>
      </c>
      <c r="D6" t="inlineStr">
        <is>
          <t>Primary</t>
        </is>
      </c>
      <c r="E6" t="inlineStr">
        <is>
          <t>Advanced</t>
        </is>
      </c>
      <c r="F6" t="n">
        <v>4</v>
      </c>
      <c r="G6" t="inlineStr">
        <is>
          <t>Functional</t>
        </is>
      </c>
      <c r="H6" t="inlineStr">
        <is>
          <t>Yes</t>
        </is>
      </c>
      <c r="I6" t="inlineStr">
        <is>
          <t>2023-05-19</t>
        </is>
      </c>
    </row>
    <row r="7">
      <c r="A7" t="n">
        <v/>
      </c>
      <c r="B7" t="n">
        <v>1032824</v>
      </c>
      <c r="C7" t="inlineStr">
        <is>
          <t>Agile / Scrum</t>
        </is>
      </c>
      <c r="D7" t="inlineStr">
        <is>
          <t>Secondary</t>
        </is>
      </c>
      <c r="E7" t="inlineStr">
        <is>
          <t>Intermediate</t>
        </is>
      </c>
      <c r="F7" t="n">
        <v>2.4</v>
      </c>
      <c r="G7" t="inlineStr">
        <is>
          <t>Functional</t>
        </is>
      </c>
      <c r="H7" t="inlineStr">
        <is>
          <t>Yes</t>
        </is>
      </c>
      <c r="I7" t="inlineStr">
        <is>
          <t>2023-05-19</t>
        </is>
      </c>
    </row>
    <row r="8">
      <c r="A8" t="n">
        <v/>
      </c>
      <c r="B8" t="n">
        <v>1032824</v>
      </c>
      <c r="C8" t="inlineStr">
        <is>
          <t>Stakeholder Management</t>
        </is>
      </c>
      <c r="D8" t="inlineStr">
        <is>
          <t>Secondary</t>
        </is>
      </c>
      <c r="E8" t="inlineStr">
        <is>
          <t>Intermediate</t>
        </is>
      </c>
      <c r="F8" t="n">
        <v>1.8</v>
      </c>
      <c r="G8" t="inlineStr">
        <is>
          <t>Functional</t>
        </is>
      </c>
      <c r="H8" t="inlineStr">
        <is>
          <t>Yes</t>
        </is>
      </c>
      <c r="I8" t="inlineStr">
        <is>
          <t>2023-05-19</t>
        </is>
      </c>
    </row>
    <row r="9">
      <c r="A9" t="n">
        <v/>
      </c>
      <c r="B9" t="n">
        <v>1032824</v>
      </c>
      <c r="C9" t="inlineStr">
        <is>
          <t>Resource Planning</t>
        </is>
      </c>
      <c r="D9" t="inlineStr">
        <is>
          <t>Secondary</t>
        </is>
      </c>
      <c r="E9" t="inlineStr">
        <is>
          <t>Beginner</t>
        </is>
      </c>
      <c r="F9" t="n">
        <v>1.2</v>
      </c>
      <c r="G9" t="inlineStr">
        <is>
          <t>Functional</t>
        </is>
      </c>
      <c r="H9" t="inlineStr">
        <is>
          <t>Yes</t>
        </is>
      </c>
      <c r="I9" t="inlineStr">
        <is>
          <t>2023-05-19</t>
        </is>
      </c>
    </row>
    <row r="10">
      <c r="A10" t="n">
        <v/>
      </c>
      <c r="B10" t="n">
        <v>1012233</v>
      </c>
      <c r="C10" t="inlineStr">
        <is>
          <t>Project &amp; Delivery Management</t>
        </is>
      </c>
      <c r="D10" t="inlineStr">
        <is>
          <t>Primary</t>
        </is>
      </c>
      <c r="E10" t="inlineStr">
        <is>
          <t>Advanced</t>
        </is>
      </c>
      <c r="F10" t="n">
        <v>12.7</v>
      </c>
      <c r="G10" t="inlineStr">
        <is>
          <t>Functional</t>
        </is>
      </c>
      <c r="H10" t="inlineStr">
        <is>
          <t>Yes</t>
        </is>
      </c>
      <c r="I10" t="inlineStr">
        <is>
          <t>2012-09-21</t>
        </is>
      </c>
    </row>
    <row r="11">
      <c r="A11" t="n">
        <v/>
      </c>
      <c r="B11" t="n">
        <v>1012233</v>
      </c>
      <c r="C11" t="inlineStr">
        <is>
          <t>Agile / Scrum</t>
        </is>
      </c>
      <c r="D11" t="inlineStr">
        <is>
          <t>Secondary</t>
        </is>
      </c>
      <c r="E11" t="inlineStr">
        <is>
          <t>Advanced</t>
        </is>
      </c>
      <c r="F11" t="n">
        <v>7.6</v>
      </c>
      <c r="G11" t="inlineStr">
        <is>
          <t>Functional</t>
        </is>
      </c>
      <c r="H11" t="inlineStr">
        <is>
          <t>Yes</t>
        </is>
      </c>
      <c r="I11" t="inlineStr">
        <is>
          <t>2012-09-21</t>
        </is>
      </c>
    </row>
    <row r="12">
      <c r="A12" t="n">
        <v/>
      </c>
      <c r="B12" t="n">
        <v>1012233</v>
      </c>
      <c r="C12" t="inlineStr">
        <is>
          <t>Stakeholder Management</t>
        </is>
      </c>
      <c r="D12" t="inlineStr">
        <is>
          <t>Secondary</t>
        </is>
      </c>
      <c r="E12" t="inlineStr">
        <is>
          <t>Advanced</t>
        </is>
      </c>
      <c r="F12" t="n">
        <v>5.7</v>
      </c>
      <c r="G12" t="inlineStr">
        <is>
          <t>Functional</t>
        </is>
      </c>
      <c r="H12" t="inlineStr">
        <is>
          <t>Yes</t>
        </is>
      </c>
      <c r="I12" t="inlineStr">
        <is>
          <t>2012-09-21</t>
        </is>
      </c>
    </row>
    <row r="13">
      <c r="A13" t="n">
        <v/>
      </c>
      <c r="B13" t="n">
        <v>1012233</v>
      </c>
      <c r="C13" t="inlineStr">
        <is>
          <t>Resource Planning</t>
        </is>
      </c>
      <c r="D13" t="inlineStr">
        <is>
          <t>Secondary</t>
        </is>
      </c>
      <c r="E13" t="inlineStr">
        <is>
          <t>Intermediate</t>
        </is>
      </c>
      <c r="F13" t="n">
        <v>3.8</v>
      </c>
      <c r="G13" t="inlineStr">
        <is>
          <t>Functional</t>
        </is>
      </c>
      <c r="H13" t="inlineStr">
        <is>
          <t>Yes</t>
        </is>
      </c>
      <c r="I13" t="inlineStr">
        <is>
          <t>2012-09-21</t>
        </is>
      </c>
    </row>
    <row r="14">
      <c r="A14" t="n">
        <v/>
      </c>
      <c r="B14" t="n">
        <v>1020217</v>
      </c>
      <c r="C14" t="inlineStr">
        <is>
          <t>Java / Spring Boot</t>
        </is>
      </c>
      <c r="D14" t="inlineStr">
        <is>
          <t>Primary</t>
        </is>
      </c>
      <c r="E14" t="inlineStr">
        <is>
          <t>Advanced</t>
        </is>
      </c>
      <c r="F14" t="n">
        <v>12.4</v>
      </c>
      <c r="G14" t="inlineStr">
        <is>
          <t>Technical</t>
        </is>
      </c>
      <c r="H14" t="inlineStr">
        <is>
          <t>Yes</t>
        </is>
      </c>
      <c r="I14" t="inlineStr">
        <is>
          <t>2018-02-07</t>
        </is>
      </c>
      <c r="J14" t="inlineStr">
        <is>
          <t>Service Authorization</t>
        </is>
      </c>
    </row>
    <row r="15">
      <c r="A15" t="n">
        <v/>
      </c>
      <c r="B15" t="n">
        <v>1020217</v>
      </c>
      <c r="C15" t="inlineStr">
        <is>
          <t>SQL</t>
        </is>
      </c>
      <c r="D15" t="inlineStr">
        <is>
          <t>Secondary</t>
        </is>
      </c>
      <c r="E15" t="inlineStr">
        <is>
          <t>Advanced</t>
        </is>
      </c>
      <c r="F15" t="n">
        <v>7.4</v>
      </c>
      <c r="G15" t="inlineStr">
        <is>
          <t>Technical</t>
        </is>
      </c>
      <c r="H15" t="inlineStr">
        <is>
          <t>Yes</t>
        </is>
      </c>
      <c r="I15" t="inlineStr">
        <is>
          <t>2018-02-07</t>
        </is>
      </c>
      <c r="J15" t="inlineStr">
        <is>
          <t>Service Authorization</t>
        </is>
      </c>
    </row>
    <row r="16">
      <c r="A16" t="n">
        <v/>
      </c>
      <c r="B16" t="n">
        <v>1020217</v>
      </c>
      <c r="C16" t="inlineStr">
        <is>
          <t>Docker</t>
        </is>
      </c>
      <c r="D16" t="inlineStr">
        <is>
          <t>Secondary</t>
        </is>
      </c>
      <c r="E16" t="inlineStr">
        <is>
          <t>Advanced</t>
        </is>
      </c>
      <c r="F16" t="n">
        <v>5.6</v>
      </c>
      <c r="G16" t="inlineStr">
        <is>
          <t>Technical</t>
        </is>
      </c>
      <c r="H16" t="inlineStr">
        <is>
          <t>Yes</t>
        </is>
      </c>
      <c r="I16" t="inlineStr">
        <is>
          <t>2018-02-07</t>
        </is>
      </c>
      <c r="J16" t="inlineStr">
        <is>
          <t>Service Authorization</t>
        </is>
      </c>
    </row>
    <row r="17">
      <c r="A17" t="n">
        <v/>
      </c>
      <c r="B17" t="n">
        <v>1020217</v>
      </c>
      <c r="C17" t="inlineStr">
        <is>
          <t>Git</t>
        </is>
      </c>
      <c r="D17" t="inlineStr">
        <is>
          <t>Secondary</t>
        </is>
      </c>
      <c r="E17" t="inlineStr">
        <is>
          <t>Intermediate</t>
        </is>
      </c>
      <c r="F17" t="n">
        <v>3.7</v>
      </c>
      <c r="G17" t="inlineStr">
        <is>
          <t>Technical</t>
        </is>
      </c>
      <c r="H17" t="inlineStr">
        <is>
          <t>Yes</t>
        </is>
      </c>
      <c r="I17" t="inlineStr">
        <is>
          <t>2018-02-07</t>
        </is>
      </c>
      <c r="J17" t="inlineStr">
        <is>
          <t>Service Authorization</t>
        </is>
      </c>
    </row>
    <row r="18">
      <c r="A18" t="n">
        <v/>
      </c>
      <c r="B18" t="n">
        <v>1028704</v>
      </c>
      <c r="C18" t="inlineStr">
        <is>
          <t>QA Automation / SDET</t>
        </is>
      </c>
      <c r="D18" t="inlineStr">
        <is>
          <t>Primary</t>
        </is>
      </c>
      <c r="E18" t="inlineStr">
        <is>
          <t>Advanced</t>
        </is>
      </c>
      <c r="F18" t="n">
        <v>6.8</v>
      </c>
      <c r="G18" t="inlineStr">
        <is>
          <t>Technical</t>
        </is>
      </c>
      <c r="H18" t="inlineStr">
        <is>
          <t>Yes</t>
        </is>
      </c>
      <c r="I18" t="inlineStr">
        <is>
          <t>2022-03-29</t>
        </is>
      </c>
    </row>
    <row r="19">
      <c r="A19" t="n">
        <v/>
      </c>
      <c r="B19" t="n">
        <v>1028704</v>
      </c>
      <c r="C19" t="inlineStr">
        <is>
          <t>Selenium</t>
        </is>
      </c>
      <c r="D19" t="inlineStr">
        <is>
          <t>Secondary</t>
        </is>
      </c>
      <c r="E19" t="inlineStr">
        <is>
          <t>Intermediate</t>
        </is>
      </c>
      <c r="F19" t="n">
        <v>4.1</v>
      </c>
      <c r="G19" t="inlineStr">
        <is>
          <t>Technical</t>
        </is>
      </c>
      <c r="H19" t="inlineStr">
        <is>
          <t>Yes</t>
        </is>
      </c>
      <c r="I19" t="inlineStr">
        <is>
          <t>2022-03-29</t>
        </is>
      </c>
    </row>
    <row r="20">
      <c r="A20" t="n">
        <v/>
      </c>
      <c r="B20" t="n">
        <v>1028704</v>
      </c>
      <c r="C20" t="inlineStr">
        <is>
          <t>API Testing (Postman)</t>
        </is>
      </c>
      <c r="D20" t="inlineStr">
        <is>
          <t>Secondary</t>
        </is>
      </c>
      <c r="E20" t="inlineStr">
        <is>
          <t>Intermediate</t>
        </is>
      </c>
      <c r="F20" t="n">
        <v>3.1</v>
      </c>
      <c r="G20" t="inlineStr">
        <is>
          <t>Technical</t>
        </is>
      </c>
      <c r="H20" t="inlineStr">
        <is>
          <t>Yes</t>
        </is>
      </c>
      <c r="I20" t="inlineStr">
        <is>
          <t>2022-03-29</t>
        </is>
      </c>
    </row>
    <row r="21">
      <c r="A21" t="n">
        <v/>
      </c>
      <c r="B21" t="n">
        <v>1028704</v>
      </c>
      <c r="C21" t="inlineStr">
        <is>
          <t>TestNG</t>
        </is>
      </c>
      <c r="D21" t="inlineStr">
        <is>
          <t>Secondary</t>
        </is>
      </c>
      <c r="E21" t="inlineStr">
        <is>
          <t>Intermediate</t>
        </is>
      </c>
      <c r="F21" t="n">
        <v>2</v>
      </c>
      <c r="G21" t="inlineStr">
        <is>
          <t>Technical</t>
        </is>
      </c>
      <c r="H21" t="inlineStr">
        <is>
          <t>Yes</t>
        </is>
      </c>
      <c r="I21" t="inlineStr">
        <is>
          <t>2022-03-29</t>
        </is>
      </c>
    </row>
    <row r="22">
      <c r="A22" t="n">
        <v/>
      </c>
      <c r="B22" t="n">
        <v>1027230</v>
      </c>
      <c r="C22" t="inlineStr">
        <is>
          <t>Project &amp; Delivery Management</t>
        </is>
      </c>
      <c r="D22" t="inlineStr">
        <is>
          <t>Primary</t>
        </is>
      </c>
      <c r="E22" t="inlineStr">
        <is>
          <t>Advanced</t>
        </is>
      </c>
      <c r="F22" t="n">
        <v>1.9</v>
      </c>
      <c r="G22" t="inlineStr">
        <is>
          <t>Functional</t>
        </is>
      </c>
      <c r="H22" t="inlineStr">
        <is>
          <t>Yes</t>
        </is>
      </c>
      <c r="I22" t="inlineStr">
        <is>
          <t>2021-11-17</t>
        </is>
      </c>
    </row>
    <row r="23">
      <c r="A23" t="n">
        <v/>
      </c>
      <c r="B23" t="n">
        <v>1027230</v>
      </c>
      <c r="C23" t="inlineStr">
        <is>
          <t>Agile / Scrum</t>
        </is>
      </c>
      <c r="D23" t="inlineStr">
        <is>
          <t>Secondary</t>
        </is>
      </c>
      <c r="E23" t="inlineStr">
        <is>
          <t>Beginner</t>
        </is>
      </c>
      <c r="F23" t="n">
        <v>1.1</v>
      </c>
      <c r="G23" t="inlineStr">
        <is>
          <t>Functional</t>
        </is>
      </c>
      <c r="H23" t="inlineStr">
        <is>
          <t>Yes</t>
        </is>
      </c>
      <c r="I23" t="inlineStr">
        <is>
          <t>2021-11-17</t>
        </is>
      </c>
    </row>
    <row r="24">
      <c r="A24" t="n">
        <v/>
      </c>
      <c r="B24" t="n">
        <v>1027230</v>
      </c>
      <c r="C24" t="inlineStr">
        <is>
          <t>Stakeholder Management</t>
        </is>
      </c>
      <c r="D24" t="inlineStr">
        <is>
          <t>Secondary</t>
        </is>
      </c>
      <c r="E24" t="inlineStr">
        <is>
          <t>Beginner</t>
        </is>
      </c>
      <c r="F24" t="n">
        <v>0.9</v>
      </c>
      <c r="G24" t="inlineStr">
        <is>
          <t>Functional</t>
        </is>
      </c>
      <c r="H24" t="inlineStr">
        <is>
          <t>Yes</t>
        </is>
      </c>
      <c r="I24" t="inlineStr">
        <is>
          <t>2021-11-17</t>
        </is>
      </c>
    </row>
    <row r="25">
      <c r="A25" t="n">
        <v/>
      </c>
      <c r="B25" t="n">
        <v>1008532</v>
      </c>
      <c r="C25" t="inlineStr">
        <is>
          <t>Project &amp; Delivery Management</t>
        </is>
      </c>
      <c r="D25" t="inlineStr">
        <is>
          <t>Primary</t>
        </is>
      </c>
      <c r="E25" t="inlineStr">
        <is>
          <t>Advanced</t>
        </is>
      </c>
      <c r="F25" t="n">
        <v>9.9</v>
      </c>
      <c r="G25" t="inlineStr">
        <is>
          <t>Functional</t>
        </is>
      </c>
      <c r="H25" t="inlineStr">
        <is>
          <t>Yes</t>
        </is>
      </c>
      <c r="I25" t="inlineStr">
        <is>
          <t>2011-01-05</t>
        </is>
      </c>
    </row>
    <row r="26">
      <c r="A26" t="n">
        <v/>
      </c>
      <c r="B26" t="n">
        <v>1008532</v>
      </c>
      <c r="C26" t="inlineStr">
        <is>
          <t>Agile / Scrum</t>
        </is>
      </c>
      <c r="D26" t="inlineStr">
        <is>
          <t>Secondary</t>
        </is>
      </c>
      <c r="E26" t="inlineStr">
        <is>
          <t>Advanced</t>
        </is>
      </c>
      <c r="F26" t="n">
        <v>5.9</v>
      </c>
      <c r="G26" t="inlineStr">
        <is>
          <t>Functional</t>
        </is>
      </c>
      <c r="H26" t="inlineStr">
        <is>
          <t>Yes</t>
        </is>
      </c>
      <c r="I26" t="inlineStr">
        <is>
          <t>2011-01-05</t>
        </is>
      </c>
    </row>
    <row r="27">
      <c r="A27" t="n">
        <v/>
      </c>
      <c r="B27" t="n">
        <v>1008532</v>
      </c>
      <c r="C27" t="inlineStr">
        <is>
          <t>Stakeholder Management</t>
        </is>
      </c>
      <c r="D27" t="inlineStr">
        <is>
          <t>Secondary</t>
        </is>
      </c>
      <c r="E27" t="inlineStr">
        <is>
          <t>Intermediate</t>
        </is>
      </c>
      <c r="F27" t="n">
        <v>4.5</v>
      </c>
      <c r="G27" t="inlineStr">
        <is>
          <t>Functional</t>
        </is>
      </c>
      <c r="H27" t="inlineStr">
        <is>
          <t>Yes</t>
        </is>
      </c>
      <c r="I27" t="inlineStr">
        <is>
          <t>2011-01-05</t>
        </is>
      </c>
    </row>
    <row r="28">
      <c r="A28" t="n">
        <v/>
      </c>
      <c r="B28" t="n">
        <v>1008532</v>
      </c>
      <c r="C28" t="inlineStr">
        <is>
          <t>Resource Planning</t>
        </is>
      </c>
      <c r="D28" t="inlineStr">
        <is>
          <t>Secondary</t>
        </is>
      </c>
      <c r="E28" t="inlineStr">
        <is>
          <t>Intermediate</t>
        </is>
      </c>
      <c r="F28" t="n">
        <v>3</v>
      </c>
      <c r="G28" t="inlineStr">
        <is>
          <t>Functional</t>
        </is>
      </c>
      <c r="H28" t="inlineStr">
        <is>
          <t>Yes</t>
        </is>
      </c>
      <c r="I28" t="inlineStr">
        <is>
          <t>2011-01-05</t>
        </is>
      </c>
    </row>
    <row r="29">
      <c r="A29" t="n">
        <v/>
      </c>
      <c r="B29" t="n">
        <v>1028538</v>
      </c>
      <c r="C29" t="inlineStr">
        <is>
          <t>Project &amp; Delivery Management</t>
        </is>
      </c>
      <c r="D29" t="inlineStr">
        <is>
          <t>Primary</t>
        </is>
      </c>
      <c r="E29" t="inlineStr">
        <is>
          <t>Advanced</t>
        </is>
      </c>
      <c r="F29" t="n">
        <v>1.8</v>
      </c>
      <c r="G29" t="inlineStr">
        <is>
          <t>Functional</t>
        </is>
      </c>
      <c r="H29" t="inlineStr">
        <is>
          <t>Yes</t>
        </is>
      </c>
      <c r="I29" t="inlineStr">
        <is>
          <t>2022-03-08</t>
        </is>
      </c>
    </row>
    <row r="30">
      <c r="A30" t="n">
        <v/>
      </c>
      <c r="B30" t="n">
        <v>1028538</v>
      </c>
      <c r="C30" t="inlineStr">
        <is>
          <t>Agile / Scrum</t>
        </is>
      </c>
      <c r="D30" t="inlineStr">
        <is>
          <t>Secondary</t>
        </is>
      </c>
      <c r="E30" t="inlineStr">
        <is>
          <t>Beginner</t>
        </is>
      </c>
      <c r="F30" t="n">
        <v>1.1</v>
      </c>
      <c r="G30" t="inlineStr">
        <is>
          <t>Functional</t>
        </is>
      </c>
      <c r="H30" t="inlineStr">
        <is>
          <t>Yes</t>
        </is>
      </c>
      <c r="I30" t="inlineStr">
        <is>
          <t>2022-03-08</t>
        </is>
      </c>
    </row>
    <row r="31">
      <c r="A31" t="n">
        <v/>
      </c>
      <c r="B31" t="n">
        <v>1028538</v>
      </c>
      <c r="C31" t="inlineStr">
        <is>
          <t>Stakeholder Management</t>
        </is>
      </c>
      <c r="D31" t="inlineStr">
        <is>
          <t>Secondary</t>
        </is>
      </c>
      <c r="E31" t="inlineStr">
        <is>
          <t>Beginner</t>
        </is>
      </c>
      <c r="F31" t="n">
        <v>0.8</v>
      </c>
      <c r="G31" t="inlineStr">
        <is>
          <t>Functional</t>
        </is>
      </c>
      <c r="H31" t="inlineStr">
        <is>
          <t>Yes</t>
        </is>
      </c>
      <c r="I31" t="inlineStr">
        <is>
          <t>2022-03-08</t>
        </is>
      </c>
    </row>
    <row r="32">
      <c r="A32" t="n">
        <v/>
      </c>
      <c r="B32" t="n">
        <v>1025919</v>
      </c>
      <c r="C32" t="inlineStr">
        <is>
          <t>Project &amp; Delivery Management</t>
        </is>
      </c>
      <c r="D32" t="inlineStr">
        <is>
          <t>Primary</t>
        </is>
      </c>
      <c r="E32" t="inlineStr">
        <is>
          <t>Advanced</t>
        </is>
      </c>
      <c r="F32" t="n">
        <v>5.8</v>
      </c>
      <c r="G32" t="inlineStr">
        <is>
          <t>Functional</t>
        </is>
      </c>
      <c r="H32" t="inlineStr">
        <is>
          <t>Yes</t>
        </is>
      </c>
      <c r="I32" t="inlineStr">
        <is>
          <t>2021-07-26</t>
        </is>
      </c>
    </row>
    <row r="33">
      <c r="A33" t="n">
        <v/>
      </c>
      <c r="B33" t="n">
        <v>1025919</v>
      </c>
      <c r="C33" t="inlineStr">
        <is>
          <t>Agile / Scrum</t>
        </is>
      </c>
      <c r="D33" t="inlineStr">
        <is>
          <t>Secondary</t>
        </is>
      </c>
      <c r="E33" t="inlineStr">
        <is>
          <t>Intermediate</t>
        </is>
      </c>
      <c r="F33" t="n">
        <v>3.5</v>
      </c>
      <c r="G33" t="inlineStr">
        <is>
          <t>Functional</t>
        </is>
      </c>
      <c r="H33" t="inlineStr">
        <is>
          <t>Yes</t>
        </is>
      </c>
      <c r="I33" t="inlineStr">
        <is>
          <t>2021-07-26</t>
        </is>
      </c>
    </row>
    <row r="34">
      <c r="A34" t="n">
        <v/>
      </c>
      <c r="B34" t="n">
        <v>1025919</v>
      </c>
      <c r="C34" t="inlineStr">
        <is>
          <t>Stakeholder Management</t>
        </is>
      </c>
      <c r="D34" t="inlineStr">
        <is>
          <t>Secondary</t>
        </is>
      </c>
      <c r="E34" t="inlineStr">
        <is>
          <t>Intermediate</t>
        </is>
      </c>
      <c r="F34" t="n">
        <v>2.6</v>
      </c>
      <c r="G34" t="inlineStr">
        <is>
          <t>Functional</t>
        </is>
      </c>
      <c r="H34" t="inlineStr">
        <is>
          <t>Yes</t>
        </is>
      </c>
      <c r="I34" t="inlineStr">
        <is>
          <t>2021-07-26</t>
        </is>
      </c>
    </row>
    <row r="35">
      <c r="A35" t="n">
        <v/>
      </c>
      <c r="B35" t="n">
        <v>1025919</v>
      </c>
      <c r="C35" t="inlineStr">
        <is>
          <t>Resource Planning</t>
        </is>
      </c>
      <c r="D35" t="inlineStr">
        <is>
          <t>Secondary</t>
        </is>
      </c>
      <c r="E35" t="inlineStr">
        <is>
          <t>Intermediate</t>
        </is>
      </c>
      <c r="F35" t="n">
        <v>1.7</v>
      </c>
      <c r="G35" t="inlineStr">
        <is>
          <t>Functional</t>
        </is>
      </c>
      <c r="H35" t="inlineStr">
        <is>
          <t>Yes</t>
        </is>
      </c>
      <c r="I35" t="inlineStr">
        <is>
          <t>2021-07-26</t>
        </is>
      </c>
    </row>
    <row r="36">
      <c r="A36" t="n">
        <v/>
      </c>
      <c r="B36" t="n">
        <v>1028544</v>
      </c>
      <c r="C36" t="inlineStr">
        <is>
          <t>Java / Spring Boot</t>
        </is>
      </c>
      <c r="D36" t="inlineStr">
        <is>
          <t>Primary</t>
        </is>
      </c>
      <c r="E36" t="inlineStr">
        <is>
          <t>Advanced</t>
        </is>
      </c>
      <c r="F36" t="n">
        <v>3.6</v>
      </c>
      <c r="G36" t="inlineStr">
        <is>
          <t>Technical</t>
        </is>
      </c>
      <c r="H36" t="inlineStr">
        <is>
          <t>Yes</t>
        </is>
      </c>
      <c r="I36" t="inlineStr">
        <is>
          <t>2022-03-08</t>
        </is>
      </c>
      <c r="J36" t="inlineStr">
        <is>
          <t>County billing</t>
        </is>
      </c>
    </row>
    <row r="37">
      <c r="A37" t="n">
        <v/>
      </c>
      <c r="B37" t="n">
        <v>1028544</v>
      </c>
      <c r="C37" t="inlineStr">
        <is>
          <t>SQL</t>
        </is>
      </c>
      <c r="D37" t="inlineStr">
        <is>
          <t>Secondary</t>
        </is>
      </c>
      <c r="E37" t="inlineStr">
        <is>
          <t>Intermediate</t>
        </is>
      </c>
      <c r="F37" t="n">
        <v>2.2</v>
      </c>
      <c r="G37" t="inlineStr">
        <is>
          <t>Technical</t>
        </is>
      </c>
      <c r="H37" t="inlineStr">
        <is>
          <t>Yes</t>
        </is>
      </c>
      <c r="I37" t="inlineStr">
        <is>
          <t>2022-03-08</t>
        </is>
      </c>
      <c r="J37" t="inlineStr">
        <is>
          <t>County billing</t>
        </is>
      </c>
    </row>
    <row r="38">
      <c r="A38" t="n">
        <v/>
      </c>
      <c r="B38" t="n">
        <v>1028544</v>
      </c>
      <c r="C38" t="inlineStr">
        <is>
          <t>Docker</t>
        </is>
      </c>
      <c r="D38" t="inlineStr">
        <is>
          <t>Secondary</t>
        </is>
      </c>
      <c r="E38" t="inlineStr">
        <is>
          <t>Intermediate</t>
        </is>
      </c>
      <c r="F38" t="n">
        <v>1.6</v>
      </c>
      <c r="G38" t="inlineStr">
        <is>
          <t>Technical</t>
        </is>
      </c>
      <c r="H38" t="inlineStr">
        <is>
          <t>Yes</t>
        </is>
      </c>
      <c r="I38" t="inlineStr">
        <is>
          <t>2022-03-08</t>
        </is>
      </c>
      <c r="J38" t="inlineStr">
        <is>
          <t>County billing</t>
        </is>
      </c>
    </row>
    <row r="39">
      <c r="A39" t="n">
        <v/>
      </c>
      <c r="B39" t="n">
        <v>1028544</v>
      </c>
      <c r="C39" t="inlineStr">
        <is>
          <t>Git</t>
        </is>
      </c>
      <c r="D39" t="inlineStr">
        <is>
          <t>Secondary</t>
        </is>
      </c>
      <c r="E39" t="inlineStr">
        <is>
          <t>Beginner</t>
        </is>
      </c>
      <c r="F39" t="n">
        <v>1.1</v>
      </c>
      <c r="G39" t="inlineStr">
        <is>
          <t>Technical</t>
        </is>
      </c>
      <c r="H39" t="inlineStr">
        <is>
          <t>Yes</t>
        </is>
      </c>
      <c r="I39" t="inlineStr">
        <is>
          <t>2022-03-08</t>
        </is>
      </c>
      <c r="J39" t="inlineStr">
        <is>
          <t>County billing</t>
        </is>
      </c>
    </row>
    <row r="40">
      <c r="A40" t="n">
        <v/>
      </c>
      <c r="B40" t="n">
        <v>1027650</v>
      </c>
      <c r="C40" t="inlineStr">
        <is>
          <t>Java / Spring Boot</t>
        </is>
      </c>
      <c r="D40" t="inlineStr">
        <is>
          <t>Primary</t>
        </is>
      </c>
      <c r="E40" t="inlineStr">
        <is>
          <t>Advanced</t>
        </is>
      </c>
      <c r="F40" t="n">
        <v>1</v>
      </c>
      <c r="G40" t="inlineStr">
        <is>
          <t>Technical</t>
        </is>
      </c>
      <c r="H40" t="inlineStr">
        <is>
          <t>Yes</t>
        </is>
      </c>
      <c r="I40" t="inlineStr">
        <is>
          <t>2021-12-13</t>
        </is>
      </c>
      <c r="J40" t="inlineStr">
        <is>
          <t>EDI</t>
        </is>
      </c>
    </row>
    <row r="41">
      <c r="A41" t="n">
        <v/>
      </c>
      <c r="B41" t="n">
        <v>1027650</v>
      </c>
      <c r="C41" t="inlineStr">
        <is>
          <t>SQL</t>
        </is>
      </c>
      <c r="D41" t="inlineStr">
        <is>
          <t>Secondary</t>
        </is>
      </c>
      <c r="E41" t="inlineStr">
        <is>
          <t>Beginner</t>
        </is>
      </c>
      <c r="F41" t="n">
        <v>0.6</v>
      </c>
      <c r="G41" t="inlineStr">
        <is>
          <t>Technical</t>
        </is>
      </c>
      <c r="H41" t="inlineStr">
        <is>
          <t>Yes</t>
        </is>
      </c>
      <c r="I41" t="inlineStr">
        <is>
          <t>2021-12-13</t>
        </is>
      </c>
      <c r="J41" t="inlineStr">
        <is>
          <t>EDI</t>
        </is>
      </c>
    </row>
    <row r="42">
      <c r="A42" t="n">
        <v/>
      </c>
      <c r="B42" t="n">
        <v>1027650</v>
      </c>
      <c r="C42" t="inlineStr">
        <is>
          <t>Docker</t>
        </is>
      </c>
      <c r="D42" t="inlineStr">
        <is>
          <t>Secondary</t>
        </is>
      </c>
      <c r="E42" t="inlineStr">
        <is>
          <t>Beginner</t>
        </is>
      </c>
      <c r="F42" t="n">
        <v>0.5</v>
      </c>
      <c r="G42" t="inlineStr">
        <is>
          <t>Technical</t>
        </is>
      </c>
      <c r="H42" t="inlineStr">
        <is>
          <t>Yes</t>
        </is>
      </c>
      <c r="I42" t="inlineStr">
        <is>
          <t>2021-12-13</t>
        </is>
      </c>
      <c r="J42" t="inlineStr">
        <is>
          <t>EDI</t>
        </is>
      </c>
    </row>
    <row r="43">
      <c r="A43" t="n">
        <v/>
      </c>
      <c r="B43" t="n">
        <v>1000177</v>
      </c>
      <c r="C43" t="inlineStr">
        <is>
          <t>Project &amp; Delivery Management</t>
        </is>
      </c>
      <c r="D43" t="inlineStr">
        <is>
          <t>Primary</t>
        </is>
      </c>
      <c r="E43" t="inlineStr">
        <is>
          <t>Advanced</t>
        </is>
      </c>
      <c r="F43" t="n">
        <v>21.9</v>
      </c>
      <c r="G43" t="inlineStr">
        <is>
          <t>Functional</t>
        </is>
      </c>
      <c r="H43" t="inlineStr">
        <is>
          <t>Yes</t>
        </is>
      </c>
      <c r="I43" t="inlineStr">
        <is>
          <t>2002-07-29</t>
        </is>
      </c>
    </row>
    <row r="44">
      <c r="A44" t="n">
        <v/>
      </c>
      <c r="B44" t="n">
        <v>1000177</v>
      </c>
      <c r="C44" t="inlineStr">
        <is>
          <t>Agile / Scrum</t>
        </is>
      </c>
      <c r="D44" t="inlineStr">
        <is>
          <t>Secondary</t>
        </is>
      </c>
      <c r="E44" t="inlineStr">
        <is>
          <t>Advanced</t>
        </is>
      </c>
      <c r="F44" t="n">
        <v>13.1</v>
      </c>
      <c r="G44" t="inlineStr">
        <is>
          <t>Functional</t>
        </is>
      </c>
      <c r="H44" t="inlineStr">
        <is>
          <t>Yes</t>
        </is>
      </c>
      <c r="I44" t="inlineStr">
        <is>
          <t>2002-07-29</t>
        </is>
      </c>
    </row>
    <row r="45">
      <c r="A45" t="n">
        <v/>
      </c>
      <c r="B45" t="n">
        <v>1000177</v>
      </c>
      <c r="C45" t="inlineStr">
        <is>
          <t>Stakeholder Management</t>
        </is>
      </c>
      <c r="D45" t="inlineStr">
        <is>
          <t>Secondary</t>
        </is>
      </c>
      <c r="E45" t="inlineStr">
        <is>
          <t>Advanced</t>
        </is>
      </c>
      <c r="F45" t="n">
        <v>9.9</v>
      </c>
      <c r="G45" t="inlineStr">
        <is>
          <t>Functional</t>
        </is>
      </c>
      <c r="H45" t="inlineStr">
        <is>
          <t>Yes</t>
        </is>
      </c>
      <c r="I45" t="inlineStr">
        <is>
          <t>2002-07-29</t>
        </is>
      </c>
    </row>
    <row r="46">
      <c r="A46" t="n">
        <v/>
      </c>
      <c r="B46" t="n">
        <v>1000177</v>
      </c>
      <c r="C46" t="inlineStr">
        <is>
          <t>Resource Planning</t>
        </is>
      </c>
      <c r="D46" t="inlineStr">
        <is>
          <t>Secondary</t>
        </is>
      </c>
      <c r="E46" t="inlineStr">
        <is>
          <t>Advanced</t>
        </is>
      </c>
      <c r="F46" t="n">
        <v>6.6</v>
      </c>
      <c r="G46" t="inlineStr">
        <is>
          <t>Functional</t>
        </is>
      </c>
      <c r="H46" t="inlineStr">
        <is>
          <t>Yes</t>
        </is>
      </c>
      <c r="I46" t="inlineStr">
        <is>
          <t>2002-07-29</t>
        </is>
      </c>
    </row>
    <row r="47">
      <c r="A47" t="n">
        <v/>
      </c>
      <c r="B47" t="n">
        <v>1010164</v>
      </c>
      <c r="C47" t="inlineStr">
        <is>
          <t>Project &amp; Delivery Management</t>
        </is>
      </c>
      <c r="D47" t="inlineStr">
        <is>
          <t>Primary</t>
        </is>
      </c>
      <c r="E47" t="inlineStr">
        <is>
          <t>Advanced</t>
        </is>
      </c>
      <c r="F47" t="n">
        <v>25.5</v>
      </c>
      <c r="G47" t="inlineStr">
        <is>
          <t>Functional</t>
        </is>
      </c>
      <c r="H47" t="inlineStr">
        <is>
          <t>Yes</t>
        </is>
      </c>
      <c r="I47" t="inlineStr">
        <is>
          <t>2011-08-17</t>
        </is>
      </c>
    </row>
    <row r="48">
      <c r="A48" t="n">
        <v/>
      </c>
      <c r="B48" t="n">
        <v>1010164</v>
      </c>
      <c r="C48" t="inlineStr">
        <is>
          <t>Agile / Scrum</t>
        </is>
      </c>
      <c r="D48" t="inlineStr">
        <is>
          <t>Secondary</t>
        </is>
      </c>
      <c r="E48" t="inlineStr">
        <is>
          <t>Advanced</t>
        </is>
      </c>
      <c r="F48" t="n">
        <v>15.3</v>
      </c>
      <c r="G48" t="inlineStr">
        <is>
          <t>Functional</t>
        </is>
      </c>
      <c r="H48" t="inlineStr">
        <is>
          <t>Yes</t>
        </is>
      </c>
      <c r="I48" t="inlineStr">
        <is>
          <t>2011-08-17</t>
        </is>
      </c>
    </row>
    <row r="49">
      <c r="A49" t="n">
        <v/>
      </c>
      <c r="B49" t="n">
        <v>1010164</v>
      </c>
      <c r="C49" t="inlineStr">
        <is>
          <t>Stakeholder Management</t>
        </is>
      </c>
      <c r="D49" t="inlineStr">
        <is>
          <t>Secondary</t>
        </is>
      </c>
      <c r="E49" t="inlineStr">
        <is>
          <t>Advanced</t>
        </is>
      </c>
      <c r="F49" t="n">
        <v>11.5</v>
      </c>
      <c r="G49" t="inlineStr">
        <is>
          <t>Functional</t>
        </is>
      </c>
      <c r="H49" t="inlineStr">
        <is>
          <t>Yes</t>
        </is>
      </c>
      <c r="I49" t="inlineStr">
        <is>
          <t>2011-08-17</t>
        </is>
      </c>
    </row>
    <row r="50">
      <c r="A50" t="n">
        <v/>
      </c>
      <c r="B50" t="n">
        <v>1010164</v>
      </c>
      <c r="C50" t="inlineStr">
        <is>
          <t>Resource Planning</t>
        </is>
      </c>
      <c r="D50" t="inlineStr">
        <is>
          <t>Secondary</t>
        </is>
      </c>
      <c r="E50" t="inlineStr">
        <is>
          <t>Advanced</t>
        </is>
      </c>
      <c r="F50" t="n">
        <v>7.6</v>
      </c>
      <c r="G50" t="inlineStr">
        <is>
          <t>Functional</t>
        </is>
      </c>
      <c r="H50" t="inlineStr">
        <is>
          <t>Yes</t>
        </is>
      </c>
      <c r="I50" t="inlineStr">
        <is>
          <t>2011-08-17</t>
        </is>
      </c>
    </row>
    <row r="51">
      <c r="A51" t="n">
        <v/>
      </c>
      <c r="B51" t="n">
        <v>1028541</v>
      </c>
      <c r="C51" t="inlineStr">
        <is>
          <t>Project &amp; Delivery Management</t>
        </is>
      </c>
      <c r="D51" t="inlineStr">
        <is>
          <t>Primary</t>
        </is>
      </c>
      <c r="E51" t="inlineStr">
        <is>
          <t>Advanced</t>
        </is>
      </c>
      <c r="F51" t="n">
        <v>3.2</v>
      </c>
      <c r="G51" t="inlineStr">
        <is>
          <t>Functional</t>
        </is>
      </c>
      <c r="H51" t="inlineStr">
        <is>
          <t>Yes</t>
        </is>
      </c>
      <c r="I51" t="inlineStr">
        <is>
          <t>2022-03-08</t>
        </is>
      </c>
    </row>
    <row r="52">
      <c r="A52" t="n">
        <v/>
      </c>
      <c r="B52" t="n">
        <v>1028541</v>
      </c>
      <c r="C52" t="inlineStr">
        <is>
          <t>Agile / Scrum</t>
        </is>
      </c>
      <c r="D52" t="inlineStr">
        <is>
          <t>Secondary</t>
        </is>
      </c>
      <c r="E52" t="inlineStr">
        <is>
          <t>Intermediate</t>
        </is>
      </c>
      <c r="F52" t="n">
        <v>1.9</v>
      </c>
      <c r="G52" t="inlineStr">
        <is>
          <t>Functional</t>
        </is>
      </c>
      <c r="H52" t="inlineStr">
        <is>
          <t>Yes</t>
        </is>
      </c>
      <c r="I52" t="inlineStr">
        <is>
          <t>2022-03-08</t>
        </is>
      </c>
    </row>
    <row r="53">
      <c r="A53" t="n">
        <v/>
      </c>
      <c r="B53" t="n">
        <v>1028541</v>
      </c>
      <c r="C53" t="inlineStr">
        <is>
          <t>Stakeholder Management</t>
        </is>
      </c>
      <c r="D53" t="inlineStr">
        <is>
          <t>Secondary</t>
        </is>
      </c>
      <c r="E53" t="inlineStr">
        <is>
          <t>Beginner</t>
        </is>
      </c>
      <c r="F53" t="n">
        <v>1.4</v>
      </c>
      <c r="G53" t="inlineStr">
        <is>
          <t>Functional</t>
        </is>
      </c>
      <c r="H53" t="inlineStr">
        <is>
          <t>Yes</t>
        </is>
      </c>
      <c r="I53" t="inlineStr">
        <is>
          <t>2022-03-08</t>
        </is>
      </c>
    </row>
    <row r="54">
      <c r="A54" t="n">
        <v/>
      </c>
      <c r="B54" t="n">
        <v>1028541</v>
      </c>
      <c r="C54" t="inlineStr">
        <is>
          <t>Resource Planning</t>
        </is>
      </c>
      <c r="D54" t="inlineStr">
        <is>
          <t>Secondary</t>
        </is>
      </c>
      <c r="E54" t="inlineStr">
        <is>
          <t>Beginner</t>
        </is>
      </c>
      <c r="F54" t="n">
        <v>1</v>
      </c>
      <c r="G54" t="inlineStr">
        <is>
          <t>Functional</t>
        </is>
      </c>
      <c r="H54" t="inlineStr">
        <is>
          <t>Yes</t>
        </is>
      </c>
      <c r="I54" t="inlineStr">
        <is>
          <t>2022-03-08</t>
        </is>
      </c>
    </row>
    <row r="55">
      <c r="A55" t="n">
        <v/>
      </c>
      <c r="B55" t="n">
        <v>1005530</v>
      </c>
      <c r="C55" t="inlineStr">
        <is>
          <t>QA Automation / SDET</t>
        </is>
      </c>
      <c r="D55" t="inlineStr">
        <is>
          <t>Primary</t>
        </is>
      </c>
      <c r="E55" t="inlineStr">
        <is>
          <t>Advanced</t>
        </is>
      </c>
      <c r="F55" t="n">
        <v>13.8</v>
      </c>
      <c r="G55" t="inlineStr">
        <is>
          <t>Technical</t>
        </is>
      </c>
      <c r="H55" t="inlineStr">
        <is>
          <t>Yes</t>
        </is>
      </c>
      <c r="I55" t="inlineStr">
        <is>
          <t>2009-08-01</t>
        </is>
      </c>
    </row>
    <row r="56">
      <c r="A56" t="n">
        <v/>
      </c>
      <c r="B56" t="n">
        <v>1005530</v>
      </c>
      <c r="C56" t="inlineStr">
        <is>
          <t>Selenium</t>
        </is>
      </c>
      <c r="D56" t="inlineStr">
        <is>
          <t>Secondary</t>
        </is>
      </c>
      <c r="E56" t="inlineStr">
        <is>
          <t>Advanced</t>
        </is>
      </c>
      <c r="F56" t="n">
        <v>8.300000000000001</v>
      </c>
      <c r="G56" t="inlineStr">
        <is>
          <t>Technical</t>
        </is>
      </c>
      <c r="H56" t="inlineStr">
        <is>
          <t>Yes</t>
        </is>
      </c>
      <c r="I56" t="inlineStr">
        <is>
          <t>2009-08-01</t>
        </is>
      </c>
    </row>
    <row r="57">
      <c r="A57" t="n">
        <v/>
      </c>
      <c r="B57" t="n">
        <v>1005530</v>
      </c>
      <c r="C57" t="inlineStr">
        <is>
          <t>API Testing (Postman)</t>
        </is>
      </c>
      <c r="D57" t="inlineStr">
        <is>
          <t>Secondary</t>
        </is>
      </c>
      <c r="E57" t="inlineStr">
        <is>
          <t>Advanced</t>
        </is>
      </c>
      <c r="F57" t="n">
        <v>6.2</v>
      </c>
      <c r="G57" t="inlineStr">
        <is>
          <t>Technical</t>
        </is>
      </c>
      <c r="H57" t="inlineStr">
        <is>
          <t>Yes</t>
        </is>
      </c>
      <c r="I57" t="inlineStr">
        <is>
          <t>2009-08-01</t>
        </is>
      </c>
    </row>
    <row r="58">
      <c r="A58" t="n">
        <v/>
      </c>
      <c r="B58" t="n">
        <v>1005530</v>
      </c>
      <c r="C58" t="inlineStr">
        <is>
          <t>TestNG</t>
        </is>
      </c>
      <c r="D58" t="inlineStr">
        <is>
          <t>Secondary</t>
        </is>
      </c>
      <c r="E58" t="inlineStr">
        <is>
          <t>Intermediate</t>
        </is>
      </c>
      <c r="F58" t="n">
        <v>4.1</v>
      </c>
      <c r="G58" t="inlineStr">
        <is>
          <t>Technical</t>
        </is>
      </c>
      <c r="H58" t="inlineStr">
        <is>
          <t>Yes</t>
        </is>
      </c>
      <c r="I58" t="inlineStr">
        <is>
          <t>2009-08-01</t>
        </is>
      </c>
    </row>
    <row r="59">
      <c r="A59" t="n">
        <v/>
      </c>
      <c r="B59" t="n">
        <v>1018674</v>
      </c>
      <c r="C59" t="inlineStr">
        <is>
          <t>QA Automation / SDET</t>
        </is>
      </c>
      <c r="D59" t="inlineStr">
        <is>
          <t>Primary</t>
        </is>
      </c>
      <c r="E59" t="inlineStr">
        <is>
          <t>Advanced</t>
        </is>
      </c>
      <c r="F59" t="n">
        <v>5.7</v>
      </c>
      <c r="G59" t="inlineStr">
        <is>
          <t>Technical</t>
        </is>
      </c>
      <c r="H59" t="inlineStr">
        <is>
          <t>Yes</t>
        </is>
      </c>
      <c r="I59" t="inlineStr">
        <is>
          <t>2016-08-31</t>
        </is>
      </c>
    </row>
    <row r="60">
      <c r="A60" t="n">
        <v/>
      </c>
      <c r="B60" t="n">
        <v>1018674</v>
      </c>
      <c r="C60" t="inlineStr">
        <is>
          <t>Selenium</t>
        </is>
      </c>
      <c r="D60" t="inlineStr">
        <is>
          <t>Secondary</t>
        </is>
      </c>
      <c r="E60" t="inlineStr">
        <is>
          <t>Intermediate</t>
        </is>
      </c>
      <c r="F60" t="n">
        <v>3.4</v>
      </c>
      <c r="G60" t="inlineStr">
        <is>
          <t>Technical</t>
        </is>
      </c>
      <c r="H60" t="inlineStr">
        <is>
          <t>Yes</t>
        </is>
      </c>
      <c r="I60" t="inlineStr">
        <is>
          <t>2016-08-31</t>
        </is>
      </c>
    </row>
    <row r="61">
      <c r="A61" t="n">
        <v/>
      </c>
      <c r="B61" t="n">
        <v>1018674</v>
      </c>
      <c r="C61" t="inlineStr">
        <is>
          <t>API Testing (Postman)</t>
        </is>
      </c>
      <c r="D61" t="inlineStr">
        <is>
          <t>Secondary</t>
        </is>
      </c>
      <c r="E61" t="inlineStr">
        <is>
          <t>Intermediate</t>
        </is>
      </c>
      <c r="F61" t="n">
        <v>2.6</v>
      </c>
      <c r="G61" t="inlineStr">
        <is>
          <t>Technical</t>
        </is>
      </c>
      <c r="H61" t="inlineStr">
        <is>
          <t>Yes</t>
        </is>
      </c>
      <c r="I61" t="inlineStr">
        <is>
          <t>2016-08-31</t>
        </is>
      </c>
    </row>
    <row r="62">
      <c r="A62" t="n">
        <v/>
      </c>
      <c r="B62" t="n">
        <v>1018674</v>
      </c>
      <c r="C62" t="inlineStr">
        <is>
          <t>TestNG</t>
        </is>
      </c>
      <c r="D62" t="inlineStr">
        <is>
          <t>Secondary</t>
        </is>
      </c>
      <c r="E62" t="inlineStr">
        <is>
          <t>Intermediate</t>
        </is>
      </c>
      <c r="F62" t="n">
        <v>1.7</v>
      </c>
      <c r="G62" t="inlineStr">
        <is>
          <t>Technical</t>
        </is>
      </c>
      <c r="H62" t="inlineStr">
        <is>
          <t>Yes</t>
        </is>
      </c>
      <c r="I62" t="inlineStr">
        <is>
          <t>2016-08-31</t>
        </is>
      </c>
    </row>
    <row r="63">
      <c r="A63" t="n">
        <v/>
      </c>
      <c r="B63" t="n">
        <v>1032836</v>
      </c>
      <c r="C63" t="inlineStr">
        <is>
          <t>Project &amp; Delivery Management</t>
        </is>
      </c>
      <c r="D63" t="inlineStr">
        <is>
          <t>Primary</t>
        </is>
      </c>
      <c r="E63" t="inlineStr">
        <is>
          <t>Advanced</t>
        </is>
      </c>
      <c r="F63" t="n">
        <v>10.3</v>
      </c>
      <c r="G63" t="inlineStr">
        <is>
          <t>Functional</t>
        </is>
      </c>
      <c r="H63" t="inlineStr">
        <is>
          <t>Yes</t>
        </is>
      </c>
      <c r="I63" t="inlineStr">
        <is>
          <t>2023-05-22</t>
        </is>
      </c>
    </row>
    <row r="64">
      <c r="A64" t="n">
        <v/>
      </c>
      <c r="B64" t="n">
        <v>1032836</v>
      </c>
      <c r="C64" t="inlineStr">
        <is>
          <t>Agile / Scrum</t>
        </is>
      </c>
      <c r="D64" t="inlineStr">
        <is>
          <t>Secondary</t>
        </is>
      </c>
      <c r="E64" t="inlineStr">
        <is>
          <t>Advanced</t>
        </is>
      </c>
      <c r="F64" t="n">
        <v>6.2</v>
      </c>
      <c r="G64" t="inlineStr">
        <is>
          <t>Functional</t>
        </is>
      </c>
      <c r="H64" t="inlineStr">
        <is>
          <t>Yes</t>
        </is>
      </c>
      <c r="I64" t="inlineStr">
        <is>
          <t>2023-05-22</t>
        </is>
      </c>
    </row>
    <row r="65">
      <c r="A65" t="n">
        <v/>
      </c>
      <c r="B65" t="n">
        <v>1032836</v>
      </c>
      <c r="C65" t="inlineStr">
        <is>
          <t>Stakeholder Management</t>
        </is>
      </c>
      <c r="D65" t="inlineStr">
        <is>
          <t>Secondary</t>
        </is>
      </c>
      <c r="E65" t="inlineStr">
        <is>
          <t>Intermediate</t>
        </is>
      </c>
      <c r="F65" t="n">
        <v>4.6</v>
      </c>
      <c r="G65" t="inlineStr">
        <is>
          <t>Functional</t>
        </is>
      </c>
      <c r="H65" t="inlineStr">
        <is>
          <t>Yes</t>
        </is>
      </c>
      <c r="I65" t="inlineStr">
        <is>
          <t>2023-05-22</t>
        </is>
      </c>
    </row>
    <row r="66">
      <c r="A66" t="n">
        <v/>
      </c>
      <c r="B66" t="n">
        <v>1032836</v>
      </c>
      <c r="C66" t="inlineStr">
        <is>
          <t>Resource Planning</t>
        </is>
      </c>
      <c r="D66" t="inlineStr">
        <is>
          <t>Secondary</t>
        </is>
      </c>
      <c r="E66" t="inlineStr">
        <is>
          <t>Intermediate</t>
        </is>
      </c>
      <c r="F66" t="n">
        <v>3.1</v>
      </c>
      <c r="G66" t="inlineStr">
        <is>
          <t>Functional</t>
        </is>
      </c>
      <c r="H66" t="inlineStr">
        <is>
          <t>Yes</t>
        </is>
      </c>
      <c r="I66" t="inlineStr">
        <is>
          <t>2023-05-22</t>
        </is>
      </c>
    </row>
    <row r="67">
      <c r="A67" t="n">
        <v/>
      </c>
      <c r="B67" t="n">
        <v>1020365</v>
      </c>
      <c r="C67" t="inlineStr">
        <is>
          <t>Project &amp; Delivery Management</t>
        </is>
      </c>
      <c r="D67" t="inlineStr">
        <is>
          <t>Primary</t>
        </is>
      </c>
      <c r="E67" t="inlineStr">
        <is>
          <t>Advanced</t>
        </is>
      </c>
      <c r="F67" t="n">
        <v>6.8</v>
      </c>
      <c r="G67" t="inlineStr">
        <is>
          <t>Functional</t>
        </is>
      </c>
      <c r="H67" t="inlineStr">
        <is>
          <t>Yes</t>
        </is>
      </c>
      <c r="I67" t="inlineStr">
        <is>
          <t>2018-03-29</t>
        </is>
      </c>
    </row>
    <row r="68">
      <c r="A68" t="n">
        <v/>
      </c>
      <c r="B68" t="n">
        <v>1020365</v>
      </c>
      <c r="C68" t="inlineStr">
        <is>
          <t>Agile / Scrum</t>
        </is>
      </c>
      <c r="D68" t="inlineStr">
        <is>
          <t>Secondary</t>
        </is>
      </c>
      <c r="E68" t="inlineStr">
        <is>
          <t>Intermediate</t>
        </is>
      </c>
      <c r="F68" t="n">
        <v>4.1</v>
      </c>
      <c r="G68" t="inlineStr">
        <is>
          <t>Functional</t>
        </is>
      </c>
      <c r="H68" t="inlineStr">
        <is>
          <t>Yes</t>
        </is>
      </c>
      <c r="I68" t="inlineStr">
        <is>
          <t>2018-03-29</t>
        </is>
      </c>
    </row>
    <row r="69">
      <c r="A69" t="n">
        <v/>
      </c>
      <c r="B69" t="n">
        <v>1020365</v>
      </c>
      <c r="C69" t="inlineStr">
        <is>
          <t>Stakeholder Management</t>
        </is>
      </c>
      <c r="D69" t="inlineStr">
        <is>
          <t>Secondary</t>
        </is>
      </c>
      <c r="E69" t="inlineStr">
        <is>
          <t>Intermediate</t>
        </is>
      </c>
      <c r="F69" t="n">
        <v>3.1</v>
      </c>
      <c r="G69" t="inlineStr">
        <is>
          <t>Functional</t>
        </is>
      </c>
      <c r="H69" t="inlineStr">
        <is>
          <t>Yes</t>
        </is>
      </c>
      <c r="I69" t="inlineStr">
        <is>
          <t>2018-03-29</t>
        </is>
      </c>
    </row>
    <row r="70">
      <c r="A70" t="n">
        <v/>
      </c>
      <c r="B70" t="n">
        <v>1020365</v>
      </c>
      <c r="C70" t="inlineStr">
        <is>
          <t>Resource Planning</t>
        </is>
      </c>
      <c r="D70" t="inlineStr">
        <is>
          <t>Secondary</t>
        </is>
      </c>
      <c r="E70" t="inlineStr">
        <is>
          <t>Intermediate</t>
        </is>
      </c>
      <c r="F70" t="n">
        <v>2</v>
      </c>
      <c r="G70" t="inlineStr">
        <is>
          <t>Functional</t>
        </is>
      </c>
      <c r="H70" t="inlineStr">
        <is>
          <t>Yes</t>
        </is>
      </c>
      <c r="I70" t="inlineStr">
        <is>
          <t>2018-03-29</t>
        </is>
      </c>
    </row>
    <row r="71">
      <c r="A71" t="n">
        <v/>
      </c>
      <c r="B71" t="n">
        <v>1022573</v>
      </c>
      <c r="C71" t="inlineStr">
        <is>
          <t>Project &amp; Delivery Management</t>
        </is>
      </c>
      <c r="D71" t="inlineStr">
        <is>
          <t>Primary</t>
        </is>
      </c>
      <c r="E71" t="inlineStr">
        <is>
          <t>Advanced</t>
        </is>
      </c>
      <c r="F71" t="n">
        <v>19</v>
      </c>
      <c r="G71" t="inlineStr">
        <is>
          <t>Functional</t>
        </is>
      </c>
      <c r="H71" t="inlineStr">
        <is>
          <t>Yes</t>
        </is>
      </c>
      <c r="I71" t="inlineStr">
        <is>
          <t>2019-09-03</t>
        </is>
      </c>
    </row>
    <row r="72">
      <c r="A72" t="n">
        <v/>
      </c>
      <c r="B72" t="n">
        <v>1022573</v>
      </c>
      <c r="C72" t="inlineStr">
        <is>
          <t>Agile / Scrum</t>
        </is>
      </c>
      <c r="D72" t="inlineStr">
        <is>
          <t>Secondary</t>
        </is>
      </c>
      <c r="E72" t="inlineStr">
        <is>
          <t>Advanced</t>
        </is>
      </c>
      <c r="F72" t="n">
        <v>11.4</v>
      </c>
      <c r="G72" t="inlineStr">
        <is>
          <t>Functional</t>
        </is>
      </c>
      <c r="H72" t="inlineStr">
        <is>
          <t>Yes</t>
        </is>
      </c>
      <c r="I72" t="inlineStr">
        <is>
          <t>2019-09-03</t>
        </is>
      </c>
    </row>
    <row r="73">
      <c r="A73" t="n">
        <v/>
      </c>
      <c r="B73" t="n">
        <v>1022573</v>
      </c>
      <c r="C73" t="inlineStr">
        <is>
          <t>Stakeholder Management</t>
        </is>
      </c>
      <c r="D73" t="inlineStr">
        <is>
          <t>Secondary</t>
        </is>
      </c>
      <c r="E73" t="inlineStr">
        <is>
          <t>Advanced</t>
        </is>
      </c>
      <c r="F73" t="n">
        <v>8.5</v>
      </c>
      <c r="G73" t="inlineStr">
        <is>
          <t>Functional</t>
        </is>
      </c>
      <c r="H73" t="inlineStr">
        <is>
          <t>Yes</t>
        </is>
      </c>
      <c r="I73" t="inlineStr">
        <is>
          <t>2019-09-03</t>
        </is>
      </c>
    </row>
    <row r="74">
      <c r="A74" t="n">
        <v/>
      </c>
      <c r="B74" t="n">
        <v>1022573</v>
      </c>
      <c r="C74" t="inlineStr">
        <is>
          <t>Resource Planning</t>
        </is>
      </c>
      <c r="D74" t="inlineStr">
        <is>
          <t>Secondary</t>
        </is>
      </c>
      <c r="E74" t="inlineStr">
        <is>
          <t>Advanced</t>
        </is>
      </c>
      <c r="F74" t="n">
        <v>5.7</v>
      </c>
      <c r="G74" t="inlineStr">
        <is>
          <t>Functional</t>
        </is>
      </c>
      <c r="H74" t="inlineStr">
        <is>
          <t>Yes</t>
        </is>
      </c>
      <c r="I74" t="inlineStr">
        <is>
          <t>2019-09-03</t>
        </is>
      </c>
    </row>
    <row r="75">
      <c r="A75" t="n">
        <v/>
      </c>
      <c r="B75" t="n">
        <v>1024729</v>
      </c>
      <c r="C75" t="inlineStr">
        <is>
          <t>QA Automation / SDET</t>
        </is>
      </c>
      <c r="D75" t="inlineStr">
        <is>
          <t>Primary</t>
        </is>
      </c>
      <c r="E75" t="inlineStr">
        <is>
          <t>Advanced</t>
        </is>
      </c>
      <c r="F75" t="n">
        <v>4.1</v>
      </c>
      <c r="G75" t="inlineStr">
        <is>
          <t>Technical</t>
        </is>
      </c>
      <c r="H75" t="inlineStr">
        <is>
          <t>Yes</t>
        </is>
      </c>
      <c r="I75" t="inlineStr">
        <is>
          <t>2021-03-08</t>
        </is>
      </c>
    </row>
    <row r="76">
      <c r="A76" t="n">
        <v/>
      </c>
      <c r="B76" t="n">
        <v>1024729</v>
      </c>
      <c r="C76" t="inlineStr">
        <is>
          <t>Selenium</t>
        </is>
      </c>
      <c r="D76" t="inlineStr">
        <is>
          <t>Secondary</t>
        </is>
      </c>
      <c r="E76" t="inlineStr">
        <is>
          <t>Intermediate</t>
        </is>
      </c>
      <c r="F76" t="n">
        <v>2.5</v>
      </c>
      <c r="G76" t="inlineStr">
        <is>
          <t>Technical</t>
        </is>
      </c>
      <c r="H76" t="inlineStr">
        <is>
          <t>Yes</t>
        </is>
      </c>
      <c r="I76" t="inlineStr">
        <is>
          <t>2021-03-08</t>
        </is>
      </c>
    </row>
    <row r="77">
      <c r="A77" t="n">
        <v/>
      </c>
      <c r="B77" t="n">
        <v>1024729</v>
      </c>
      <c r="C77" t="inlineStr">
        <is>
          <t>API Testing (Postman)</t>
        </is>
      </c>
      <c r="D77" t="inlineStr">
        <is>
          <t>Secondary</t>
        </is>
      </c>
      <c r="E77" t="inlineStr">
        <is>
          <t>Intermediate</t>
        </is>
      </c>
      <c r="F77" t="n">
        <v>1.8</v>
      </c>
      <c r="G77" t="inlineStr">
        <is>
          <t>Technical</t>
        </is>
      </c>
      <c r="H77" t="inlineStr">
        <is>
          <t>Yes</t>
        </is>
      </c>
      <c r="I77" t="inlineStr">
        <is>
          <t>2021-03-08</t>
        </is>
      </c>
    </row>
    <row r="78">
      <c r="A78" t="n">
        <v/>
      </c>
      <c r="B78" t="n">
        <v>1024729</v>
      </c>
      <c r="C78" t="inlineStr">
        <is>
          <t>TestNG</t>
        </is>
      </c>
      <c r="D78" t="inlineStr">
        <is>
          <t>Secondary</t>
        </is>
      </c>
      <c r="E78" t="inlineStr">
        <is>
          <t>Beginner</t>
        </is>
      </c>
      <c r="F78" t="n">
        <v>1.2</v>
      </c>
      <c r="G78" t="inlineStr">
        <is>
          <t>Technical</t>
        </is>
      </c>
      <c r="H78" t="inlineStr">
        <is>
          <t>Yes</t>
        </is>
      </c>
      <c r="I78" t="inlineStr">
        <is>
          <t>2021-03-08</t>
        </is>
      </c>
    </row>
    <row r="79">
      <c r="A79" t="n">
        <v/>
      </c>
      <c r="B79" t="n">
        <v>1029447</v>
      </c>
      <c r="C79" t="inlineStr">
        <is>
          <t>Java / Spring Boot</t>
        </is>
      </c>
      <c r="D79" t="inlineStr">
        <is>
          <t>Primary</t>
        </is>
      </c>
      <c r="E79" t="inlineStr">
        <is>
          <t>Advanced</t>
        </is>
      </c>
      <c r="F79" t="n">
        <v>3</v>
      </c>
      <c r="G79" t="inlineStr">
        <is>
          <t>Technical</t>
        </is>
      </c>
      <c r="H79" t="inlineStr">
        <is>
          <t>Yes</t>
        </is>
      </c>
      <c r="I79" t="inlineStr">
        <is>
          <t>2022-07-04</t>
        </is>
      </c>
      <c r="J79" t="inlineStr">
        <is>
          <t>Provider</t>
        </is>
      </c>
    </row>
    <row r="80">
      <c r="A80" t="n">
        <v/>
      </c>
      <c r="B80" t="n">
        <v>1029447</v>
      </c>
      <c r="C80" t="inlineStr">
        <is>
          <t>SQL</t>
        </is>
      </c>
      <c r="D80" t="inlineStr">
        <is>
          <t>Secondary</t>
        </is>
      </c>
      <c r="E80" t="inlineStr">
        <is>
          <t>Intermediate</t>
        </is>
      </c>
      <c r="F80" t="n">
        <v>1.8</v>
      </c>
      <c r="G80" t="inlineStr">
        <is>
          <t>Technical</t>
        </is>
      </c>
      <c r="H80" t="inlineStr">
        <is>
          <t>Yes</t>
        </is>
      </c>
      <c r="I80" t="inlineStr">
        <is>
          <t>2022-07-04</t>
        </is>
      </c>
      <c r="J80" t="inlineStr">
        <is>
          <t>Provider</t>
        </is>
      </c>
    </row>
    <row r="81">
      <c r="A81" t="n">
        <v/>
      </c>
      <c r="B81" t="n">
        <v>1029447</v>
      </c>
      <c r="C81" t="inlineStr">
        <is>
          <t>Docker</t>
        </is>
      </c>
      <c r="D81" t="inlineStr">
        <is>
          <t>Secondary</t>
        </is>
      </c>
      <c r="E81" t="inlineStr">
        <is>
          <t>Beginner</t>
        </is>
      </c>
      <c r="F81" t="n">
        <v>1.3</v>
      </c>
      <c r="G81" t="inlineStr">
        <is>
          <t>Technical</t>
        </is>
      </c>
      <c r="H81" t="inlineStr">
        <is>
          <t>Yes</t>
        </is>
      </c>
      <c r="I81" t="inlineStr">
        <is>
          <t>2022-07-04</t>
        </is>
      </c>
      <c r="J81" t="inlineStr">
        <is>
          <t>Provider</t>
        </is>
      </c>
    </row>
    <row r="82">
      <c r="A82" t="n">
        <v/>
      </c>
      <c r="B82" t="n">
        <v>1029447</v>
      </c>
      <c r="C82" t="inlineStr">
        <is>
          <t>Git</t>
        </is>
      </c>
      <c r="D82" t="inlineStr">
        <is>
          <t>Secondary</t>
        </is>
      </c>
      <c r="E82" t="inlineStr">
        <is>
          <t>Beginner</t>
        </is>
      </c>
      <c r="F82" t="n">
        <v>0.9</v>
      </c>
      <c r="G82" t="inlineStr">
        <is>
          <t>Technical</t>
        </is>
      </c>
      <c r="H82" t="inlineStr">
        <is>
          <t>Yes</t>
        </is>
      </c>
      <c r="I82" t="inlineStr">
        <is>
          <t>2022-07-04</t>
        </is>
      </c>
      <c r="J82" t="inlineStr">
        <is>
          <t>Provider</t>
        </is>
      </c>
    </row>
    <row r="83">
      <c r="A83" t="n">
        <v/>
      </c>
      <c r="B83" t="n">
        <v>1022524</v>
      </c>
      <c r="C83" t="inlineStr">
        <is>
          <t>Java / Spring Boot</t>
        </is>
      </c>
      <c r="D83" t="inlineStr">
        <is>
          <t>Primary</t>
        </is>
      </c>
      <c r="E83" t="inlineStr">
        <is>
          <t>Advanced</t>
        </is>
      </c>
      <c r="F83" t="n">
        <v>9.1</v>
      </c>
      <c r="G83" t="inlineStr">
        <is>
          <t>Technical</t>
        </is>
      </c>
      <c r="H83" t="inlineStr">
        <is>
          <t>Yes</t>
        </is>
      </c>
      <c r="I83" t="inlineStr">
        <is>
          <t>2019-08-26</t>
        </is>
      </c>
      <c r="J83" t="inlineStr">
        <is>
          <t>Service Authorization</t>
        </is>
      </c>
    </row>
    <row r="84">
      <c r="A84" t="n">
        <v/>
      </c>
      <c r="B84" t="n">
        <v>1022524</v>
      </c>
      <c r="C84" t="inlineStr">
        <is>
          <t>SQL</t>
        </is>
      </c>
      <c r="D84" t="inlineStr">
        <is>
          <t>Secondary</t>
        </is>
      </c>
      <c r="E84" t="inlineStr">
        <is>
          <t>Advanced</t>
        </is>
      </c>
      <c r="F84" t="n">
        <v>5.5</v>
      </c>
      <c r="G84" t="inlineStr">
        <is>
          <t>Technical</t>
        </is>
      </c>
      <c r="H84" t="inlineStr">
        <is>
          <t>Yes</t>
        </is>
      </c>
      <c r="I84" t="inlineStr">
        <is>
          <t>2019-08-26</t>
        </is>
      </c>
      <c r="J84" t="inlineStr">
        <is>
          <t>Service Authorization</t>
        </is>
      </c>
    </row>
    <row r="85">
      <c r="A85" t="n">
        <v/>
      </c>
      <c r="B85" t="n">
        <v>1022524</v>
      </c>
      <c r="C85" t="inlineStr">
        <is>
          <t>Docker</t>
        </is>
      </c>
      <c r="D85" t="inlineStr">
        <is>
          <t>Secondary</t>
        </is>
      </c>
      <c r="E85" t="inlineStr">
        <is>
          <t>Intermediate</t>
        </is>
      </c>
      <c r="F85" t="n">
        <v>4.1</v>
      </c>
      <c r="G85" t="inlineStr">
        <is>
          <t>Technical</t>
        </is>
      </c>
      <c r="H85" t="inlineStr">
        <is>
          <t>Yes</t>
        </is>
      </c>
      <c r="I85" t="inlineStr">
        <is>
          <t>2019-08-26</t>
        </is>
      </c>
      <c r="J85" t="inlineStr">
        <is>
          <t>Service Authorization</t>
        </is>
      </c>
    </row>
    <row r="86">
      <c r="A86" t="n">
        <v/>
      </c>
      <c r="B86" t="n">
        <v>1022524</v>
      </c>
      <c r="C86" t="inlineStr">
        <is>
          <t>Git</t>
        </is>
      </c>
      <c r="D86" t="inlineStr">
        <is>
          <t>Secondary</t>
        </is>
      </c>
      <c r="E86" t="inlineStr">
        <is>
          <t>Intermediate</t>
        </is>
      </c>
      <c r="F86" t="n">
        <v>2.7</v>
      </c>
      <c r="G86" t="inlineStr">
        <is>
          <t>Technical</t>
        </is>
      </c>
      <c r="H86" t="inlineStr">
        <is>
          <t>Yes</t>
        </is>
      </c>
      <c r="I86" t="inlineStr">
        <is>
          <t>2019-08-26</t>
        </is>
      </c>
      <c r="J86" t="inlineStr">
        <is>
          <t>Service Authorization</t>
        </is>
      </c>
    </row>
    <row r="87">
      <c r="A87" t="n">
        <v/>
      </c>
      <c r="B87" t="n">
        <v>1023801</v>
      </c>
      <c r="C87" t="inlineStr">
        <is>
          <t>Frontend (Angular / TypeScript)</t>
        </is>
      </c>
      <c r="D87" t="inlineStr">
        <is>
          <t>Primary</t>
        </is>
      </c>
      <c r="E87" t="inlineStr">
        <is>
          <t>Advanced</t>
        </is>
      </c>
      <c r="F87" t="n">
        <v>7.3</v>
      </c>
      <c r="G87" t="inlineStr">
        <is>
          <t>Technical</t>
        </is>
      </c>
      <c r="H87" t="inlineStr">
        <is>
          <t>Yes</t>
        </is>
      </c>
      <c r="I87" t="inlineStr">
        <is>
          <t>2020-09-07</t>
        </is>
      </c>
    </row>
    <row r="88">
      <c r="A88" t="n">
        <v/>
      </c>
      <c r="B88" t="n">
        <v>1023801</v>
      </c>
      <c r="C88" t="inlineStr">
        <is>
          <t>TypeScript</t>
        </is>
      </c>
      <c r="D88" t="inlineStr">
        <is>
          <t>Secondary</t>
        </is>
      </c>
      <c r="E88" t="inlineStr">
        <is>
          <t>Intermediate</t>
        </is>
      </c>
      <c r="F88" t="n">
        <v>4.4</v>
      </c>
      <c r="G88" t="inlineStr">
        <is>
          <t>Technical</t>
        </is>
      </c>
      <c r="H88" t="inlineStr">
        <is>
          <t>Yes</t>
        </is>
      </c>
      <c r="I88" t="inlineStr">
        <is>
          <t>2020-09-07</t>
        </is>
      </c>
    </row>
    <row r="89">
      <c r="A89" t="n">
        <v/>
      </c>
      <c r="B89" t="n">
        <v>1023801</v>
      </c>
      <c r="C89" t="inlineStr">
        <is>
          <t>JavaScript</t>
        </is>
      </c>
      <c r="D89" t="inlineStr">
        <is>
          <t>Secondary</t>
        </is>
      </c>
      <c r="E89" t="inlineStr">
        <is>
          <t>Intermediate</t>
        </is>
      </c>
      <c r="F89" t="n">
        <v>3.3</v>
      </c>
      <c r="G89" t="inlineStr">
        <is>
          <t>Technical</t>
        </is>
      </c>
      <c r="H89" t="inlineStr">
        <is>
          <t>Yes</t>
        </is>
      </c>
      <c r="I89" t="inlineStr">
        <is>
          <t>2020-09-07</t>
        </is>
      </c>
    </row>
    <row r="90">
      <c r="A90" t="n">
        <v/>
      </c>
      <c r="B90" t="n">
        <v>1023801</v>
      </c>
      <c r="C90" t="inlineStr">
        <is>
          <t>HTML5</t>
        </is>
      </c>
      <c r="D90" t="inlineStr">
        <is>
          <t>Secondary</t>
        </is>
      </c>
      <c r="E90" t="inlineStr">
        <is>
          <t>Intermediate</t>
        </is>
      </c>
      <c r="F90" t="n">
        <v>2.2</v>
      </c>
      <c r="G90" t="inlineStr">
        <is>
          <t>Technical</t>
        </is>
      </c>
      <c r="H90" t="inlineStr">
        <is>
          <t>Yes</t>
        </is>
      </c>
      <c r="I90" t="inlineStr">
        <is>
          <t>2020-09-07</t>
        </is>
      </c>
    </row>
    <row r="91">
      <c r="A91" t="n">
        <v/>
      </c>
      <c r="B91" t="n">
        <v>1031854</v>
      </c>
      <c r="C91" t="inlineStr">
        <is>
          <t>Cloud &amp; DevOps (AWS / K8s)</t>
        </is>
      </c>
      <c r="D91" t="inlineStr">
        <is>
          <t>Primary</t>
        </is>
      </c>
      <c r="E91" t="inlineStr">
        <is>
          <t>Advanced</t>
        </is>
      </c>
      <c r="F91" t="n">
        <v>5.2</v>
      </c>
      <c r="G91" t="inlineStr">
        <is>
          <t>Technical</t>
        </is>
      </c>
      <c r="H91" t="inlineStr">
        <is>
          <t>Yes</t>
        </is>
      </c>
      <c r="I91" t="inlineStr">
        <is>
          <t>2022-12-19</t>
        </is>
      </c>
    </row>
    <row r="92">
      <c r="A92" t="n">
        <v/>
      </c>
      <c r="B92" t="n">
        <v>1031854</v>
      </c>
      <c r="C92" t="inlineStr">
        <is>
          <t>Docker</t>
        </is>
      </c>
      <c r="D92" t="inlineStr">
        <is>
          <t>Secondary</t>
        </is>
      </c>
      <c r="E92" t="inlineStr">
        <is>
          <t>Intermediate</t>
        </is>
      </c>
      <c r="F92" t="n">
        <v>3.1</v>
      </c>
      <c r="G92" t="inlineStr">
        <is>
          <t>Technical</t>
        </is>
      </c>
      <c r="H92" t="inlineStr">
        <is>
          <t>Yes</t>
        </is>
      </c>
      <c r="I92" t="inlineStr">
        <is>
          <t>2022-12-19</t>
        </is>
      </c>
    </row>
    <row r="93">
      <c r="A93" t="n">
        <v/>
      </c>
      <c r="B93" t="n">
        <v>1031854</v>
      </c>
      <c r="C93" t="inlineStr">
        <is>
          <t>Kubernetes</t>
        </is>
      </c>
      <c r="D93" t="inlineStr">
        <is>
          <t>Secondary</t>
        </is>
      </c>
      <c r="E93" t="inlineStr">
        <is>
          <t>Intermediate</t>
        </is>
      </c>
      <c r="F93" t="n">
        <v>2.3</v>
      </c>
      <c r="G93" t="inlineStr">
        <is>
          <t>Technical</t>
        </is>
      </c>
      <c r="H93" t="inlineStr">
        <is>
          <t>Yes</t>
        </is>
      </c>
      <c r="I93" t="inlineStr">
        <is>
          <t>2022-12-19</t>
        </is>
      </c>
    </row>
    <row r="94">
      <c r="A94" t="n">
        <v/>
      </c>
      <c r="B94" t="n">
        <v>1031854</v>
      </c>
      <c r="C94" t="inlineStr">
        <is>
          <t>Linux</t>
        </is>
      </c>
      <c r="D94" t="inlineStr">
        <is>
          <t>Secondary</t>
        </is>
      </c>
      <c r="E94" t="inlineStr">
        <is>
          <t>Intermediate</t>
        </is>
      </c>
      <c r="F94" t="n">
        <v>1.6</v>
      </c>
      <c r="G94" t="inlineStr">
        <is>
          <t>Technical</t>
        </is>
      </c>
      <c r="H94" t="inlineStr">
        <is>
          <t>Yes</t>
        </is>
      </c>
      <c r="I94" t="inlineStr">
        <is>
          <t>2022-12-19</t>
        </is>
      </c>
    </row>
    <row r="95">
      <c r="A95" t="n">
        <v/>
      </c>
      <c r="B95" t="n">
        <v>1021379</v>
      </c>
      <c r="C95" t="inlineStr">
        <is>
          <t>Java / Spring Boot</t>
        </is>
      </c>
      <c r="D95" t="inlineStr">
        <is>
          <t>Primary</t>
        </is>
      </c>
      <c r="E95" t="inlineStr">
        <is>
          <t>Advanced</t>
        </is>
      </c>
      <c r="F95" t="n">
        <v>7.9</v>
      </c>
      <c r="G95" t="inlineStr">
        <is>
          <t>Technical</t>
        </is>
      </c>
      <c r="H95" t="inlineStr">
        <is>
          <t>Yes</t>
        </is>
      </c>
      <c r="I95" t="inlineStr">
        <is>
          <t>2019-01-02</t>
        </is>
      </c>
      <c r="J95" t="inlineStr">
        <is>
          <t>Service Authorization</t>
        </is>
      </c>
    </row>
    <row r="96">
      <c r="A96" t="n">
        <v/>
      </c>
      <c r="B96" t="n">
        <v>1021379</v>
      </c>
      <c r="C96" t="inlineStr">
        <is>
          <t>SQL</t>
        </is>
      </c>
      <c r="D96" t="inlineStr">
        <is>
          <t>Secondary</t>
        </is>
      </c>
      <c r="E96" t="inlineStr">
        <is>
          <t>Intermediate</t>
        </is>
      </c>
      <c r="F96" t="n">
        <v>4.7</v>
      </c>
      <c r="G96" t="inlineStr">
        <is>
          <t>Technical</t>
        </is>
      </c>
      <c r="H96" t="inlineStr">
        <is>
          <t>Yes</t>
        </is>
      </c>
      <c r="I96" t="inlineStr">
        <is>
          <t>2019-01-02</t>
        </is>
      </c>
      <c r="J96" t="inlineStr">
        <is>
          <t>Service Authorization</t>
        </is>
      </c>
    </row>
    <row r="97">
      <c r="A97" t="n">
        <v/>
      </c>
      <c r="B97" t="n">
        <v>1021379</v>
      </c>
      <c r="C97" t="inlineStr">
        <is>
          <t>Docker</t>
        </is>
      </c>
      <c r="D97" t="inlineStr">
        <is>
          <t>Secondary</t>
        </is>
      </c>
      <c r="E97" t="inlineStr">
        <is>
          <t>Intermediate</t>
        </is>
      </c>
      <c r="F97" t="n">
        <v>3.6</v>
      </c>
      <c r="G97" t="inlineStr">
        <is>
          <t>Technical</t>
        </is>
      </c>
      <c r="H97" t="inlineStr">
        <is>
          <t>Yes</t>
        </is>
      </c>
      <c r="I97" t="inlineStr">
        <is>
          <t>2019-01-02</t>
        </is>
      </c>
      <c r="J97" t="inlineStr">
        <is>
          <t>Service Authorization</t>
        </is>
      </c>
    </row>
    <row r="98">
      <c r="A98" t="n">
        <v/>
      </c>
      <c r="B98" t="n">
        <v>1021379</v>
      </c>
      <c r="C98" t="inlineStr">
        <is>
          <t>Git</t>
        </is>
      </c>
      <c r="D98" t="inlineStr">
        <is>
          <t>Secondary</t>
        </is>
      </c>
      <c r="E98" t="inlineStr">
        <is>
          <t>Intermediate</t>
        </is>
      </c>
      <c r="F98" t="n">
        <v>2.4</v>
      </c>
      <c r="G98" t="inlineStr">
        <is>
          <t>Technical</t>
        </is>
      </c>
      <c r="H98" t="inlineStr">
        <is>
          <t>Yes</t>
        </is>
      </c>
      <c r="I98" t="inlineStr">
        <is>
          <t>2019-01-02</t>
        </is>
      </c>
      <c r="J98" t="inlineStr">
        <is>
          <t>Service Authorization</t>
        </is>
      </c>
    </row>
    <row r="99">
      <c r="A99" t="n">
        <v/>
      </c>
      <c r="B99" t="n">
        <v>1030980</v>
      </c>
      <c r="C99" t="inlineStr">
        <is>
          <t>Java / Spring Boot</t>
        </is>
      </c>
      <c r="D99" t="inlineStr">
        <is>
          <t>Primary</t>
        </is>
      </c>
      <c r="E99" t="inlineStr">
        <is>
          <t>Advanced</t>
        </is>
      </c>
      <c r="F99" t="n">
        <v>6.2</v>
      </c>
      <c r="G99" t="inlineStr">
        <is>
          <t>Technical</t>
        </is>
      </c>
      <c r="H99" t="inlineStr">
        <is>
          <t>Yes</t>
        </is>
      </c>
      <c r="I99" t="inlineStr">
        <is>
          <t>2022-11-04</t>
        </is>
      </c>
      <c r="J99" t="inlineStr">
        <is>
          <t>Security</t>
        </is>
      </c>
    </row>
    <row r="100">
      <c r="A100" t="n">
        <v/>
      </c>
      <c r="B100" t="n">
        <v>1030980</v>
      </c>
      <c r="C100" t="inlineStr">
        <is>
          <t>SQL</t>
        </is>
      </c>
      <c r="D100" t="inlineStr">
        <is>
          <t>Secondary</t>
        </is>
      </c>
      <c r="E100" t="inlineStr">
        <is>
          <t>Intermediate</t>
        </is>
      </c>
      <c r="F100" t="n">
        <v>3.7</v>
      </c>
      <c r="G100" t="inlineStr">
        <is>
          <t>Technical</t>
        </is>
      </c>
      <c r="H100" t="inlineStr">
        <is>
          <t>Yes</t>
        </is>
      </c>
      <c r="I100" t="inlineStr">
        <is>
          <t>2022-11-04</t>
        </is>
      </c>
      <c r="J100" t="inlineStr">
        <is>
          <t>Security</t>
        </is>
      </c>
    </row>
    <row r="101">
      <c r="A101" t="n">
        <v/>
      </c>
      <c r="B101" t="n">
        <v>1030980</v>
      </c>
      <c r="C101" t="inlineStr">
        <is>
          <t>Docker</t>
        </is>
      </c>
      <c r="D101" t="inlineStr">
        <is>
          <t>Secondary</t>
        </is>
      </c>
      <c r="E101" t="inlineStr">
        <is>
          <t>Intermediate</t>
        </is>
      </c>
      <c r="F101" t="n">
        <v>2.8</v>
      </c>
      <c r="G101" t="inlineStr">
        <is>
          <t>Technical</t>
        </is>
      </c>
      <c r="H101" t="inlineStr">
        <is>
          <t>Yes</t>
        </is>
      </c>
      <c r="I101" t="inlineStr">
        <is>
          <t>2022-11-04</t>
        </is>
      </c>
      <c r="J101" t="inlineStr">
        <is>
          <t>Security</t>
        </is>
      </c>
    </row>
    <row r="102">
      <c r="A102" t="n">
        <v/>
      </c>
      <c r="B102" t="n">
        <v>1030980</v>
      </c>
      <c r="C102" t="inlineStr">
        <is>
          <t>Git</t>
        </is>
      </c>
      <c r="D102" t="inlineStr">
        <is>
          <t>Secondary</t>
        </is>
      </c>
      <c r="E102" t="inlineStr">
        <is>
          <t>Intermediate</t>
        </is>
      </c>
      <c r="F102" t="n">
        <v>1.9</v>
      </c>
      <c r="G102" t="inlineStr">
        <is>
          <t>Technical</t>
        </is>
      </c>
      <c r="H102" t="inlineStr">
        <is>
          <t>Yes</t>
        </is>
      </c>
      <c r="I102" t="inlineStr">
        <is>
          <t>2022-11-04</t>
        </is>
      </c>
      <c r="J102" t="inlineStr">
        <is>
          <t>Security</t>
        </is>
      </c>
    </row>
    <row r="103">
      <c r="A103" t="n">
        <v/>
      </c>
      <c r="B103" t="n">
        <v>1022458</v>
      </c>
      <c r="C103" t="inlineStr">
        <is>
          <t>Project &amp; Delivery Management</t>
        </is>
      </c>
      <c r="D103" t="inlineStr">
        <is>
          <t>Primary</t>
        </is>
      </c>
      <c r="E103" t="inlineStr">
        <is>
          <t>Advanced</t>
        </is>
      </c>
      <c r="F103" t="n">
        <v>11</v>
      </c>
      <c r="G103" t="inlineStr">
        <is>
          <t>Functional</t>
        </is>
      </c>
      <c r="H103" t="inlineStr">
        <is>
          <t>Yes</t>
        </is>
      </c>
      <c r="I103" t="inlineStr">
        <is>
          <t>2019-08-05</t>
        </is>
      </c>
    </row>
    <row r="104">
      <c r="A104" t="n">
        <v/>
      </c>
      <c r="B104" t="n">
        <v>1022458</v>
      </c>
      <c r="C104" t="inlineStr">
        <is>
          <t>Agile / Scrum</t>
        </is>
      </c>
      <c r="D104" t="inlineStr">
        <is>
          <t>Secondary</t>
        </is>
      </c>
      <c r="E104" t="inlineStr">
        <is>
          <t>Advanced</t>
        </is>
      </c>
      <c r="F104" t="n">
        <v>6.6</v>
      </c>
      <c r="G104" t="inlineStr">
        <is>
          <t>Functional</t>
        </is>
      </c>
      <c r="H104" t="inlineStr">
        <is>
          <t>Yes</t>
        </is>
      </c>
      <c r="I104" t="inlineStr">
        <is>
          <t>2019-08-05</t>
        </is>
      </c>
    </row>
    <row r="105">
      <c r="A105" t="n">
        <v/>
      </c>
      <c r="B105" t="n">
        <v>1022458</v>
      </c>
      <c r="C105" t="inlineStr">
        <is>
          <t>Stakeholder Management</t>
        </is>
      </c>
      <c r="D105" t="inlineStr">
        <is>
          <t>Secondary</t>
        </is>
      </c>
      <c r="E105" t="inlineStr">
        <is>
          <t>Intermediate</t>
        </is>
      </c>
      <c r="F105" t="n">
        <v>4.9</v>
      </c>
      <c r="G105" t="inlineStr">
        <is>
          <t>Functional</t>
        </is>
      </c>
      <c r="H105" t="inlineStr">
        <is>
          <t>Yes</t>
        </is>
      </c>
      <c r="I105" t="inlineStr">
        <is>
          <t>2019-08-05</t>
        </is>
      </c>
    </row>
    <row r="106">
      <c r="A106" t="n">
        <v/>
      </c>
      <c r="B106" t="n">
        <v>1022458</v>
      </c>
      <c r="C106" t="inlineStr">
        <is>
          <t>Resource Planning</t>
        </is>
      </c>
      <c r="D106" t="inlineStr">
        <is>
          <t>Secondary</t>
        </is>
      </c>
      <c r="E106" t="inlineStr">
        <is>
          <t>Intermediate</t>
        </is>
      </c>
      <c r="F106" t="n">
        <v>3.3</v>
      </c>
      <c r="G106" t="inlineStr">
        <is>
          <t>Functional</t>
        </is>
      </c>
      <c r="H106" t="inlineStr">
        <is>
          <t>Yes</t>
        </is>
      </c>
      <c r="I106" t="inlineStr">
        <is>
          <t>2019-08-05</t>
        </is>
      </c>
    </row>
    <row r="107">
      <c r="A107" t="n">
        <v/>
      </c>
      <c r="B107" t="n">
        <v>1004044</v>
      </c>
      <c r="C107" t="inlineStr">
        <is>
          <t>Java / Spring Boot</t>
        </is>
      </c>
      <c r="D107" t="inlineStr">
        <is>
          <t>Primary</t>
        </is>
      </c>
      <c r="E107" t="inlineStr">
        <is>
          <t>Advanced</t>
        </is>
      </c>
      <c r="F107" t="n">
        <v>16.1</v>
      </c>
      <c r="G107" t="inlineStr">
        <is>
          <t>Technical</t>
        </is>
      </c>
      <c r="H107" t="inlineStr">
        <is>
          <t>Yes</t>
        </is>
      </c>
      <c r="I107" t="inlineStr">
        <is>
          <t>2008-01-14</t>
        </is>
      </c>
      <c r="J107" t="inlineStr">
        <is>
          <t>Provider</t>
        </is>
      </c>
    </row>
    <row r="108">
      <c r="A108" t="n">
        <v/>
      </c>
      <c r="B108" t="n">
        <v>1004044</v>
      </c>
      <c r="C108" t="inlineStr">
        <is>
          <t>SQL</t>
        </is>
      </c>
      <c r="D108" t="inlineStr">
        <is>
          <t>Secondary</t>
        </is>
      </c>
      <c r="E108" t="inlineStr">
        <is>
          <t>Advanced</t>
        </is>
      </c>
      <c r="F108" t="n">
        <v>9.699999999999999</v>
      </c>
      <c r="G108" t="inlineStr">
        <is>
          <t>Technical</t>
        </is>
      </c>
      <c r="H108" t="inlineStr">
        <is>
          <t>Yes</t>
        </is>
      </c>
      <c r="I108" t="inlineStr">
        <is>
          <t>2008-01-14</t>
        </is>
      </c>
      <c r="J108" t="inlineStr">
        <is>
          <t>Provider</t>
        </is>
      </c>
    </row>
    <row r="109">
      <c r="A109" t="n">
        <v/>
      </c>
      <c r="B109" t="n">
        <v>1004044</v>
      </c>
      <c r="C109" t="inlineStr">
        <is>
          <t>Docker</t>
        </is>
      </c>
      <c r="D109" t="inlineStr">
        <is>
          <t>Secondary</t>
        </is>
      </c>
      <c r="E109" t="inlineStr">
        <is>
          <t>Advanced</t>
        </is>
      </c>
      <c r="F109" t="n">
        <v>7.2</v>
      </c>
      <c r="G109" t="inlineStr">
        <is>
          <t>Technical</t>
        </is>
      </c>
      <c r="H109" t="inlineStr">
        <is>
          <t>Yes</t>
        </is>
      </c>
      <c r="I109" t="inlineStr">
        <is>
          <t>2008-01-14</t>
        </is>
      </c>
      <c r="J109" t="inlineStr">
        <is>
          <t>Provider</t>
        </is>
      </c>
    </row>
    <row r="110">
      <c r="A110" t="n">
        <v/>
      </c>
      <c r="B110" t="n">
        <v>1004044</v>
      </c>
      <c r="C110" t="inlineStr">
        <is>
          <t>Git</t>
        </is>
      </c>
      <c r="D110" t="inlineStr">
        <is>
          <t>Secondary</t>
        </is>
      </c>
      <c r="E110" t="inlineStr">
        <is>
          <t>Intermediate</t>
        </is>
      </c>
      <c r="F110" t="n">
        <v>4.8</v>
      </c>
      <c r="G110" t="inlineStr">
        <is>
          <t>Technical</t>
        </is>
      </c>
      <c r="H110" t="inlineStr">
        <is>
          <t>Yes</t>
        </is>
      </c>
      <c r="I110" t="inlineStr">
        <is>
          <t>2008-01-14</t>
        </is>
      </c>
      <c r="J110" t="inlineStr">
        <is>
          <t>Provider</t>
        </is>
      </c>
    </row>
    <row r="111">
      <c r="A111" t="n">
        <v/>
      </c>
      <c r="B111" t="n">
        <v>1032204</v>
      </c>
      <c r="C111" t="inlineStr">
        <is>
          <t>Business Analysis &amp; Healthcare Domain</t>
        </is>
      </c>
      <c r="D111" t="inlineStr">
        <is>
          <t>Primary</t>
        </is>
      </c>
      <c r="E111" t="inlineStr">
        <is>
          <t>Advanced</t>
        </is>
      </c>
      <c r="F111" t="n">
        <v>4.2</v>
      </c>
      <c r="G111" t="inlineStr">
        <is>
          <t>Functional</t>
        </is>
      </c>
      <c r="H111" t="inlineStr">
        <is>
          <t>Yes</t>
        </is>
      </c>
      <c r="I111" t="inlineStr">
        <is>
          <t>2023-02-10</t>
        </is>
      </c>
    </row>
    <row r="112">
      <c r="A112" t="n">
        <v/>
      </c>
      <c r="B112" t="n">
        <v>1032204</v>
      </c>
      <c r="C112" t="inlineStr">
        <is>
          <t>Requirements Gathering</t>
        </is>
      </c>
      <c r="D112" t="inlineStr">
        <is>
          <t>Secondary</t>
        </is>
      </c>
      <c r="E112" t="inlineStr">
        <is>
          <t>Intermediate</t>
        </is>
      </c>
      <c r="F112" t="n">
        <v>2.5</v>
      </c>
      <c r="G112" t="inlineStr">
        <is>
          <t>Functional</t>
        </is>
      </c>
      <c r="H112" t="inlineStr">
        <is>
          <t>Yes</t>
        </is>
      </c>
      <c r="I112" t="inlineStr">
        <is>
          <t>2023-02-10</t>
        </is>
      </c>
    </row>
    <row r="113">
      <c r="A113" t="n">
        <v/>
      </c>
      <c r="B113" t="n">
        <v>1032204</v>
      </c>
      <c r="C113" t="inlineStr">
        <is>
          <t>MMIS Workflows</t>
        </is>
      </c>
      <c r="D113" t="inlineStr">
        <is>
          <t>Secondary</t>
        </is>
      </c>
      <c r="E113" t="inlineStr">
        <is>
          <t>Intermediate</t>
        </is>
      </c>
      <c r="F113" t="n">
        <v>1.9</v>
      </c>
      <c r="G113" t="inlineStr">
        <is>
          <t>Functional</t>
        </is>
      </c>
      <c r="H113" t="inlineStr">
        <is>
          <t>Yes</t>
        </is>
      </c>
      <c r="I113" t="inlineStr">
        <is>
          <t>2023-02-10</t>
        </is>
      </c>
    </row>
    <row r="114">
      <c r="A114" t="n">
        <v/>
      </c>
      <c r="B114" t="n">
        <v>1032204</v>
      </c>
      <c r="C114" t="inlineStr">
        <is>
          <t>SQL</t>
        </is>
      </c>
      <c r="D114" t="inlineStr">
        <is>
          <t>Secondary</t>
        </is>
      </c>
      <c r="E114" t="inlineStr">
        <is>
          <t>Beginner</t>
        </is>
      </c>
      <c r="F114" t="n">
        <v>1.3</v>
      </c>
      <c r="G114" t="inlineStr">
        <is>
          <t>Functional</t>
        </is>
      </c>
      <c r="H114" t="inlineStr">
        <is>
          <t>Yes</t>
        </is>
      </c>
      <c r="I114" t="inlineStr">
        <is>
          <t>2023-02-10</t>
        </is>
      </c>
    </row>
    <row r="115">
      <c r="A115" t="n">
        <v/>
      </c>
      <c r="B115" t="n">
        <v>1000900</v>
      </c>
      <c r="C115" t="inlineStr">
        <is>
          <t>Project &amp; Delivery Management</t>
        </is>
      </c>
      <c r="D115" t="inlineStr">
        <is>
          <t>Primary</t>
        </is>
      </c>
      <c r="E115" t="inlineStr">
        <is>
          <t>Advanced</t>
        </is>
      </c>
      <c r="F115" t="n">
        <v>14.7</v>
      </c>
      <c r="G115" t="inlineStr">
        <is>
          <t>Functional</t>
        </is>
      </c>
      <c r="H115" t="inlineStr">
        <is>
          <t>Yes</t>
        </is>
      </c>
      <c r="I115" t="inlineStr">
        <is>
          <t>2004-08-16</t>
        </is>
      </c>
    </row>
    <row r="116">
      <c r="A116" t="n">
        <v/>
      </c>
      <c r="B116" t="n">
        <v>1000900</v>
      </c>
      <c r="C116" t="inlineStr">
        <is>
          <t>Agile / Scrum</t>
        </is>
      </c>
      <c r="D116" t="inlineStr">
        <is>
          <t>Secondary</t>
        </is>
      </c>
      <c r="E116" t="inlineStr">
        <is>
          <t>Advanced</t>
        </is>
      </c>
      <c r="F116" t="n">
        <v>8.800000000000001</v>
      </c>
      <c r="G116" t="inlineStr">
        <is>
          <t>Functional</t>
        </is>
      </c>
      <c r="H116" t="inlineStr">
        <is>
          <t>Yes</t>
        </is>
      </c>
      <c r="I116" t="inlineStr">
        <is>
          <t>2004-08-16</t>
        </is>
      </c>
    </row>
    <row r="117">
      <c r="A117" t="n">
        <v/>
      </c>
      <c r="B117" t="n">
        <v>1000900</v>
      </c>
      <c r="C117" t="inlineStr">
        <is>
          <t>Stakeholder Management</t>
        </is>
      </c>
      <c r="D117" t="inlineStr">
        <is>
          <t>Secondary</t>
        </is>
      </c>
      <c r="E117" t="inlineStr">
        <is>
          <t>Advanced</t>
        </is>
      </c>
      <c r="F117" t="n">
        <v>6.6</v>
      </c>
      <c r="G117" t="inlineStr">
        <is>
          <t>Functional</t>
        </is>
      </c>
      <c r="H117" t="inlineStr">
        <is>
          <t>Yes</t>
        </is>
      </c>
      <c r="I117" t="inlineStr">
        <is>
          <t>2004-08-16</t>
        </is>
      </c>
    </row>
    <row r="118">
      <c r="A118" t="n">
        <v/>
      </c>
      <c r="B118" t="n">
        <v>1000900</v>
      </c>
      <c r="C118" t="inlineStr">
        <is>
          <t>Resource Planning</t>
        </is>
      </c>
      <c r="D118" t="inlineStr">
        <is>
          <t>Secondary</t>
        </is>
      </c>
      <c r="E118" t="inlineStr">
        <is>
          <t>Intermediate</t>
        </is>
      </c>
      <c r="F118" t="n">
        <v>4.4</v>
      </c>
      <c r="G118" t="inlineStr">
        <is>
          <t>Functional</t>
        </is>
      </c>
      <c r="H118" t="inlineStr">
        <is>
          <t>Yes</t>
        </is>
      </c>
      <c r="I118" t="inlineStr">
        <is>
          <t>2004-08-16</t>
        </is>
      </c>
    </row>
    <row r="119">
      <c r="A119" t="n">
        <v/>
      </c>
      <c r="B119" t="n">
        <v>1031110</v>
      </c>
      <c r="C119" t="inlineStr">
        <is>
          <t>Project &amp; Delivery Management</t>
        </is>
      </c>
      <c r="D119" t="inlineStr">
        <is>
          <t>Primary</t>
        </is>
      </c>
      <c r="E119" t="inlineStr">
        <is>
          <t>Advanced</t>
        </is>
      </c>
      <c r="F119" t="n">
        <v>8</v>
      </c>
      <c r="G119" t="inlineStr">
        <is>
          <t>Functional</t>
        </is>
      </c>
      <c r="H119" t="inlineStr">
        <is>
          <t>Yes</t>
        </is>
      </c>
      <c r="I119" t="inlineStr">
        <is>
          <t>2022-11-28</t>
        </is>
      </c>
    </row>
    <row r="120">
      <c r="A120" t="n">
        <v/>
      </c>
      <c r="B120" t="n">
        <v>1031110</v>
      </c>
      <c r="C120" t="inlineStr">
        <is>
          <t>Agile / Scrum</t>
        </is>
      </c>
      <c r="D120" t="inlineStr">
        <is>
          <t>Secondary</t>
        </is>
      </c>
      <c r="E120" t="inlineStr">
        <is>
          <t>Intermediate</t>
        </is>
      </c>
      <c r="F120" t="n">
        <v>4.8</v>
      </c>
      <c r="G120" t="inlineStr">
        <is>
          <t>Functional</t>
        </is>
      </c>
      <c r="H120" t="inlineStr">
        <is>
          <t>Yes</t>
        </is>
      </c>
      <c r="I120" t="inlineStr">
        <is>
          <t>2022-11-28</t>
        </is>
      </c>
    </row>
    <row r="121">
      <c r="A121" t="n">
        <v/>
      </c>
      <c r="B121" t="n">
        <v>1031110</v>
      </c>
      <c r="C121" t="inlineStr">
        <is>
          <t>Stakeholder Management</t>
        </is>
      </c>
      <c r="D121" t="inlineStr">
        <is>
          <t>Secondary</t>
        </is>
      </c>
      <c r="E121" t="inlineStr">
        <is>
          <t>Intermediate</t>
        </is>
      </c>
      <c r="F121" t="n">
        <v>3.6</v>
      </c>
      <c r="G121" t="inlineStr">
        <is>
          <t>Functional</t>
        </is>
      </c>
      <c r="H121" t="inlineStr">
        <is>
          <t>Yes</t>
        </is>
      </c>
      <c r="I121" t="inlineStr">
        <is>
          <t>2022-11-28</t>
        </is>
      </c>
    </row>
    <row r="122">
      <c r="A122" t="n">
        <v/>
      </c>
      <c r="B122" t="n">
        <v>1031110</v>
      </c>
      <c r="C122" t="inlineStr">
        <is>
          <t>Resource Planning</t>
        </is>
      </c>
      <c r="D122" t="inlineStr">
        <is>
          <t>Secondary</t>
        </is>
      </c>
      <c r="E122" t="inlineStr">
        <is>
          <t>Intermediate</t>
        </is>
      </c>
      <c r="F122" t="n">
        <v>2.4</v>
      </c>
      <c r="G122" t="inlineStr">
        <is>
          <t>Functional</t>
        </is>
      </c>
      <c r="H122" t="inlineStr">
        <is>
          <t>Yes</t>
        </is>
      </c>
      <c r="I122" t="inlineStr">
        <is>
          <t>2022-11-28</t>
        </is>
      </c>
    </row>
    <row r="123">
      <c r="A123" t="n">
        <v/>
      </c>
      <c r="B123" t="n">
        <v>1028542</v>
      </c>
      <c r="C123" t="inlineStr">
        <is>
          <t>Project &amp; Delivery Management</t>
        </is>
      </c>
      <c r="D123" t="inlineStr">
        <is>
          <t>Primary</t>
        </is>
      </c>
      <c r="E123" t="inlineStr">
        <is>
          <t>Advanced</t>
        </is>
      </c>
      <c r="F123" t="n">
        <v>8.6</v>
      </c>
      <c r="G123" t="inlineStr">
        <is>
          <t>Functional</t>
        </is>
      </c>
      <c r="H123" t="inlineStr">
        <is>
          <t>Yes</t>
        </is>
      </c>
      <c r="I123" t="inlineStr">
        <is>
          <t>2022-03-08</t>
        </is>
      </c>
    </row>
    <row r="124">
      <c r="A124" t="n">
        <v/>
      </c>
      <c r="B124" t="n">
        <v>1028542</v>
      </c>
      <c r="C124" t="inlineStr">
        <is>
          <t>Agile / Scrum</t>
        </is>
      </c>
      <c r="D124" t="inlineStr">
        <is>
          <t>Secondary</t>
        </is>
      </c>
      <c r="E124" t="inlineStr">
        <is>
          <t>Advanced</t>
        </is>
      </c>
      <c r="F124" t="n">
        <v>5.2</v>
      </c>
      <c r="G124" t="inlineStr">
        <is>
          <t>Functional</t>
        </is>
      </c>
      <c r="H124" t="inlineStr">
        <is>
          <t>Yes</t>
        </is>
      </c>
      <c r="I124" t="inlineStr">
        <is>
          <t>2022-03-08</t>
        </is>
      </c>
    </row>
    <row r="125">
      <c r="A125" t="n">
        <v/>
      </c>
      <c r="B125" t="n">
        <v>1028542</v>
      </c>
      <c r="C125" t="inlineStr">
        <is>
          <t>Stakeholder Management</t>
        </is>
      </c>
      <c r="D125" t="inlineStr">
        <is>
          <t>Secondary</t>
        </is>
      </c>
      <c r="E125" t="inlineStr">
        <is>
          <t>Intermediate</t>
        </is>
      </c>
      <c r="F125" t="n">
        <v>3.9</v>
      </c>
      <c r="G125" t="inlineStr">
        <is>
          <t>Functional</t>
        </is>
      </c>
      <c r="H125" t="inlineStr">
        <is>
          <t>Yes</t>
        </is>
      </c>
      <c r="I125" t="inlineStr">
        <is>
          <t>2022-03-08</t>
        </is>
      </c>
    </row>
    <row r="126">
      <c r="A126" t="n">
        <v/>
      </c>
      <c r="B126" t="n">
        <v>1028542</v>
      </c>
      <c r="C126" t="inlineStr">
        <is>
          <t>Resource Planning</t>
        </is>
      </c>
      <c r="D126" t="inlineStr">
        <is>
          <t>Secondary</t>
        </is>
      </c>
      <c r="E126" t="inlineStr">
        <is>
          <t>Intermediate</t>
        </is>
      </c>
      <c r="F126" t="n">
        <v>2.6</v>
      </c>
      <c r="G126" t="inlineStr">
        <is>
          <t>Functional</t>
        </is>
      </c>
      <c r="H126" t="inlineStr">
        <is>
          <t>Yes</t>
        </is>
      </c>
      <c r="I126" t="inlineStr">
        <is>
          <t>2022-03-08</t>
        </is>
      </c>
    </row>
    <row r="127">
      <c r="A127" t="n">
        <v/>
      </c>
      <c r="B127" t="n">
        <v>1019968</v>
      </c>
      <c r="C127" t="inlineStr">
        <is>
          <t>Database &amp; SQL Architecture</t>
        </is>
      </c>
      <c r="D127" t="inlineStr">
        <is>
          <t>Primary</t>
        </is>
      </c>
      <c r="E127" t="inlineStr">
        <is>
          <t>Advanced</t>
        </is>
      </c>
      <c r="F127" t="n">
        <v>12.5</v>
      </c>
      <c r="G127" t="inlineStr">
        <is>
          <t>Technical</t>
        </is>
      </c>
      <c r="H127" t="inlineStr">
        <is>
          <t>Yes</t>
        </is>
      </c>
      <c r="I127" t="inlineStr">
        <is>
          <t>2017-11-13</t>
        </is>
      </c>
    </row>
    <row r="128">
      <c r="A128" t="n">
        <v/>
      </c>
      <c r="B128" t="n">
        <v>1019968</v>
      </c>
      <c r="C128" t="inlineStr">
        <is>
          <t>PostgreSQL</t>
        </is>
      </c>
      <c r="D128" t="inlineStr">
        <is>
          <t>Secondary</t>
        </is>
      </c>
      <c r="E128" t="inlineStr">
        <is>
          <t>Advanced</t>
        </is>
      </c>
      <c r="F128" t="n">
        <v>7.5</v>
      </c>
      <c r="G128" t="inlineStr">
        <is>
          <t>Technical</t>
        </is>
      </c>
      <c r="H128" t="inlineStr">
        <is>
          <t>Yes</t>
        </is>
      </c>
      <c r="I128" t="inlineStr">
        <is>
          <t>2017-11-13</t>
        </is>
      </c>
    </row>
    <row r="129">
      <c r="A129" t="n">
        <v/>
      </c>
      <c r="B129" t="n">
        <v>1019968</v>
      </c>
      <c r="C129" t="inlineStr">
        <is>
          <t>Oracle</t>
        </is>
      </c>
      <c r="D129" t="inlineStr">
        <is>
          <t>Secondary</t>
        </is>
      </c>
      <c r="E129" t="inlineStr">
        <is>
          <t>Advanced</t>
        </is>
      </c>
      <c r="F129" t="n">
        <v>5.6</v>
      </c>
      <c r="G129" t="inlineStr">
        <is>
          <t>Technical</t>
        </is>
      </c>
      <c r="H129" t="inlineStr">
        <is>
          <t>Yes</t>
        </is>
      </c>
      <c r="I129" t="inlineStr">
        <is>
          <t>2017-11-13</t>
        </is>
      </c>
    </row>
    <row r="130">
      <c r="A130" t="n">
        <v/>
      </c>
      <c r="B130" t="n">
        <v>1019968</v>
      </c>
      <c r="C130" t="inlineStr">
        <is>
          <t>Performance Tuning</t>
        </is>
      </c>
      <c r="D130" t="inlineStr">
        <is>
          <t>Secondary</t>
        </is>
      </c>
      <c r="E130" t="inlineStr">
        <is>
          <t>Intermediate</t>
        </is>
      </c>
      <c r="F130" t="n">
        <v>3.8</v>
      </c>
      <c r="G130" t="inlineStr">
        <is>
          <t>Technical</t>
        </is>
      </c>
      <c r="H130" t="inlineStr">
        <is>
          <t>Yes</t>
        </is>
      </c>
      <c r="I130" t="inlineStr">
        <is>
          <t>2017-11-13</t>
        </is>
      </c>
    </row>
    <row r="131">
      <c r="A131" t="n">
        <v/>
      </c>
      <c r="B131" t="n">
        <v>1027276</v>
      </c>
      <c r="C131" t="inlineStr">
        <is>
          <t>Frontend (Angular / TypeScript)</t>
        </is>
      </c>
      <c r="D131" t="inlineStr">
        <is>
          <t>Primary</t>
        </is>
      </c>
      <c r="E131" t="inlineStr">
        <is>
          <t>Advanced</t>
        </is>
      </c>
      <c r="F131" t="n">
        <v>8.9</v>
      </c>
      <c r="G131" t="inlineStr">
        <is>
          <t>Technical</t>
        </is>
      </c>
      <c r="H131" t="inlineStr">
        <is>
          <t>Yes</t>
        </is>
      </c>
      <c r="I131" t="inlineStr">
        <is>
          <t>2021-11-22</t>
        </is>
      </c>
    </row>
    <row r="132">
      <c r="A132" t="n">
        <v/>
      </c>
      <c r="B132" t="n">
        <v>1027276</v>
      </c>
      <c r="C132" t="inlineStr">
        <is>
          <t>TypeScript</t>
        </is>
      </c>
      <c r="D132" t="inlineStr">
        <is>
          <t>Secondary</t>
        </is>
      </c>
      <c r="E132" t="inlineStr">
        <is>
          <t>Advanced</t>
        </is>
      </c>
      <c r="F132" t="n">
        <v>5.3</v>
      </c>
      <c r="G132" t="inlineStr">
        <is>
          <t>Technical</t>
        </is>
      </c>
      <c r="H132" t="inlineStr">
        <is>
          <t>Yes</t>
        </is>
      </c>
      <c r="I132" t="inlineStr">
        <is>
          <t>2021-11-22</t>
        </is>
      </c>
    </row>
    <row r="133">
      <c r="A133" t="n">
        <v/>
      </c>
      <c r="B133" t="n">
        <v>1027276</v>
      </c>
      <c r="C133" t="inlineStr">
        <is>
          <t>JavaScript</t>
        </is>
      </c>
      <c r="D133" t="inlineStr">
        <is>
          <t>Secondary</t>
        </is>
      </c>
      <c r="E133" t="inlineStr">
        <is>
          <t>Intermediate</t>
        </is>
      </c>
      <c r="F133" t="n">
        <v>4</v>
      </c>
      <c r="G133" t="inlineStr">
        <is>
          <t>Technical</t>
        </is>
      </c>
      <c r="H133" t="inlineStr">
        <is>
          <t>Yes</t>
        </is>
      </c>
      <c r="I133" t="inlineStr">
        <is>
          <t>2021-11-22</t>
        </is>
      </c>
    </row>
    <row r="134">
      <c r="A134" t="n">
        <v/>
      </c>
      <c r="B134" t="n">
        <v>1027276</v>
      </c>
      <c r="C134" t="inlineStr">
        <is>
          <t>HTML5</t>
        </is>
      </c>
      <c r="D134" t="inlineStr">
        <is>
          <t>Secondary</t>
        </is>
      </c>
      <c r="E134" t="inlineStr">
        <is>
          <t>Intermediate</t>
        </is>
      </c>
      <c r="F134" t="n">
        <v>2.7</v>
      </c>
      <c r="G134" t="inlineStr">
        <is>
          <t>Technical</t>
        </is>
      </c>
      <c r="H134" t="inlineStr">
        <is>
          <t>Yes</t>
        </is>
      </c>
      <c r="I134" t="inlineStr">
        <is>
          <t>2021-11-22</t>
        </is>
      </c>
    </row>
    <row r="135">
      <c r="A135" t="n">
        <v/>
      </c>
      <c r="B135" t="n">
        <v>1028474</v>
      </c>
      <c r="C135" t="inlineStr">
        <is>
          <t>Project &amp; Delivery Management</t>
        </is>
      </c>
      <c r="D135" t="inlineStr">
        <is>
          <t>Primary</t>
        </is>
      </c>
      <c r="E135" t="inlineStr">
        <is>
          <t>Advanced</t>
        </is>
      </c>
      <c r="F135" t="n">
        <v>2.3</v>
      </c>
      <c r="G135" t="inlineStr">
        <is>
          <t>Functional</t>
        </is>
      </c>
      <c r="H135" t="inlineStr">
        <is>
          <t>Yes</t>
        </is>
      </c>
      <c r="I135" t="inlineStr">
        <is>
          <t>2022-03-02</t>
        </is>
      </c>
    </row>
    <row r="136">
      <c r="A136" t="n">
        <v/>
      </c>
      <c r="B136" t="n">
        <v>1028474</v>
      </c>
      <c r="C136" t="inlineStr">
        <is>
          <t>Agile / Scrum</t>
        </is>
      </c>
      <c r="D136" t="inlineStr">
        <is>
          <t>Secondary</t>
        </is>
      </c>
      <c r="E136" t="inlineStr">
        <is>
          <t>Beginner</t>
        </is>
      </c>
      <c r="F136" t="n">
        <v>1.4</v>
      </c>
      <c r="G136" t="inlineStr">
        <is>
          <t>Functional</t>
        </is>
      </c>
      <c r="H136" t="inlineStr">
        <is>
          <t>Yes</t>
        </is>
      </c>
      <c r="I136" t="inlineStr">
        <is>
          <t>2022-03-02</t>
        </is>
      </c>
    </row>
    <row r="137">
      <c r="A137" t="n">
        <v/>
      </c>
      <c r="B137" t="n">
        <v>1028474</v>
      </c>
      <c r="C137" t="inlineStr">
        <is>
          <t>Stakeholder Management</t>
        </is>
      </c>
      <c r="D137" t="inlineStr">
        <is>
          <t>Secondary</t>
        </is>
      </c>
      <c r="E137" t="inlineStr">
        <is>
          <t>Beginner</t>
        </is>
      </c>
      <c r="F137" t="n">
        <v>1</v>
      </c>
      <c r="G137" t="inlineStr">
        <is>
          <t>Functional</t>
        </is>
      </c>
      <c r="H137" t="inlineStr">
        <is>
          <t>Yes</t>
        </is>
      </c>
      <c r="I137" t="inlineStr">
        <is>
          <t>2022-03-02</t>
        </is>
      </c>
    </row>
    <row r="138">
      <c r="A138" t="n">
        <v/>
      </c>
      <c r="B138" t="n">
        <v>1030739</v>
      </c>
      <c r="C138" t="inlineStr">
        <is>
          <t>Project &amp; Delivery Management</t>
        </is>
      </c>
      <c r="D138" t="inlineStr">
        <is>
          <t>Primary</t>
        </is>
      </c>
      <c r="E138" t="inlineStr">
        <is>
          <t>Advanced</t>
        </is>
      </c>
      <c r="F138" t="n">
        <v>8.1</v>
      </c>
      <c r="G138" t="inlineStr">
        <is>
          <t>Functional</t>
        </is>
      </c>
      <c r="H138" t="inlineStr">
        <is>
          <t>Yes</t>
        </is>
      </c>
      <c r="I138" t="inlineStr">
        <is>
          <t>2022-10-26</t>
        </is>
      </c>
    </row>
    <row r="139">
      <c r="A139" t="n">
        <v/>
      </c>
      <c r="B139" t="n">
        <v>1030739</v>
      </c>
      <c r="C139" t="inlineStr">
        <is>
          <t>Agile / Scrum</t>
        </is>
      </c>
      <c r="D139" t="inlineStr">
        <is>
          <t>Secondary</t>
        </is>
      </c>
      <c r="E139" t="inlineStr">
        <is>
          <t>Intermediate</t>
        </is>
      </c>
      <c r="F139" t="n">
        <v>4.9</v>
      </c>
      <c r="G139" t="inlineStr">
        <is>
          <t>Functional</t>
        </is>
      </c>
      <c r="H139" t="inlineStr">
        <is>
          <t>Yes</t>
        </is>
      </c>
      <c r="I139" t="inlineStr">
        <is>
          <t>2022-10-26</t>
        </is>
      </c>
    </row>
    <row r="140">
      <c r="A140" t="n">
        <v/>
      </c>
      <c r="B140" t="n">
        <v>1030739</v>
      </c>
      <c r="C140" t="inlineStr">
        <is>
          <t>Stakeholder Management</t>
        </is>
      </c>
      <c r="D140" t="inlineStr">
        <is>
          <t>Secondary</t>
        </is>
      </c>
      <c r="E140" t="inlineStr">
        <is>
          <t>Intermediate</t>
        </is>
      </c>
      <c r="F140" t="n">
        <v>3.6</v>
      </c>
      <c r="G140" t="inlineStr">
        <is>
          <t>Functional</t>
        </is>
      </c>
      <c r="H140" t="inlineStr">
        <is>
          <t>Yes</t>
        </is>
      </c>
      <c r="I140" t="inlineStr">
        <is>
          <t>2022-10-26</t>
        </is>
      </c>
    </row>
    <row r="141">
      <c r="A141" t="n">
        <v/>
      </c>
      <c r="B141" t="n">
        <v>1030739</v>
      </c>
      <c r="C141" t="inlineStr">
        <is>
          <t>Resource Planning</t>
        </is>
      </c>
      <c r="D141" t="inlineStr">
        <is>
          <t>Secondary</t>
        </is>
      </c>
      <c r="E141" t="inlineStr">
        <is>
          <t>Intermediate</t>
        </is>
      </c>
      <c r="F141" t="n">
        <v>2.4</v>
      </c>
      <c r="G141" t="inlineStr">
        <is>
          <t>Functional</t>
        </is>
      </c>
      <c r="H141" t="inlineStr">
        <is>
          <t>Yes</t>
        </is>
      </c>
      <c r="I141" t="inlineStr">
        <is>
          <t>2022-10-26</t>
        </is>
      </c>
    </row>
    <row r="142">
      <c r="A142" t="n">
        <v/>
      </c>
      <c r="B142" t="n">
        <v>1022410</v>
      </c>
      <c r="C142" t="inlineStr">
        <is>
          <t>Python / Data Engineering</t>
        </is>
      </c>
      <c r="D142" t="inlineStr">
        <is>
          <t>Primary</t>
        </is>
      </c>
      <c r="E142" t="inlineStr">
        <is>
          <t>Advanced</t>
        </is>
      </c>
      <c r="F142" t="n">
        <v>9.199999999999999</v>
      </c>
      <c r="G142" t="inlineStr">
        <is>
          <t>Technical</t>
        </is>
      </c>
      <c r="H142" t="inlineStr">
        <is>
          <t>Yes</t>
        </is>
      </c>
      <c r="I142" t="inlineStr">
        <is>
          <t>2019-07-22</t>
        </is>
      </c>
    </row>
    <row r="143">
      <c r="A143" t="n">
        <v/>
      </c>
      <c r="B143" t="n">
        <v>1022410</v>
      </c>
      <c r="C143" t="inlineStr">
        <is>
          <t>SQL</t>
        </is>
      </c>
      <c r="D143" t="inlineStr">
        <is>
          <t>Secondary</t>
        </is>
      </c>
      <c r="E143" t="inlineStr">
        <is>
          <t>Advanced</t>
        </is>
      </c>
      <c r="F143" t="n">
        <v>5.5</v>
      </c>
      <c r="G143" t="inlineStr">
        <is>
          <t>Technical</t>
        </is>
      </c>
      <c r="H143" t="inlineStr">
        <is>
          <t>Yes</t>
        </is>
      </c>
      <c r="I143" t="inlineStr">
        <is>
          <t>2019-07-22</t>
        </is>
      </c>
    </row>
    <row r="144">
      <c r="A144" t="n">
        <v/>
      </c>
      <c r="B144" t="n">
        <v>1022410</v>
      </c>
      <c r="C144" t="inlineStr">
        <is>
          <t>Docker</t>
        </is>
      </c>
      <c r="D144" t="inlineStr">
        <is>
          <t>Secondary</t>
        </is>
      </c>
      <c r="E144" t="inlineStr">
        <is>
          <t>Intermediate</t>
        </is>
      </c>
      <c r="F144" t="n">
        <v>4.1</v>
      </c>
      <c r="G144" t="inlineStr">
        <is>
          <t>Technical</t>
        </is>
      </c>
      <c r="H144" t="inlineStr">
        <is>
          <t>Yes</t>
        </is>
      </c>
      <c r="I144" t="inlineStr">
        <is>
          <t>2019-07-22</t>
        </is>
      </c>
    </row>
    <row r="145">
      <c r="A145" t="n">
        <v/>
      </c>
      <c r="B145" t="n">
        <v>1022410</v>
      </c>
      <c r="C145" t="inlineStr">
        <is>
          <t>Pandas</t>
        </is>
      </c>
      <c r="D145" t="inlineStr">
        <is>
          <t>Secondary</t>
        </is>
      </c>
      <c r="E145" t="inlineStr">
        <is>
          <t>Intermediate</t>
        </is>
      </c>
      <c r="F145" t="n">
        <v>2.8</v>
      </c>
      <c r="G145" t="inlineStr">
        <is>
          <t>Technical</t>
        </is>
      </c>
      <c r="H145" t="inlineStr">
        <is>
          <t>Yes</t>
        </is>
      </c>
      <c r="I145" t="inlineStr">
        <is>
          <t>2019-07-22</t>
        </is>
      </c>
    </row>
    <row r="146">
      <c r="A146" t="n">
        <v/>
      </c>
      <c r="B146" t="n">
        <v>1033431</v>
      </c>
      <c r="C146" t="inlineStr">
        <is>
          <t>Business Analysis &amp; Healthcare Domain</t>
        </is>
      </c>
      <c r="D146" t="inlineStr">
        <is>
          <t>Primary</t>
        </is>
      </c>
      <c r="E146" t="inlineStr">
        <is>
          <t>Advanced</t>
        </is>
      </c>
      <c r="F146" t="n">
        <v>7.3</v>
      </c>
      <c r="G146" t="inlineStr">
        <is>
          <t>Functional</t>
        </is>
      </c>
      <c r="H146" t="inlineStr">
        <is>
          <t>Yes</t>
        </is>
      </c>
      <c r="I146" t="inlineStr">
        <is>
          <t>2023-08-30</t>
        </is>
      </c>
    </row>
    <row r="147">
      <c r="A147" t="n">
        <v/>
      </c>
      <c r="B147" t="n">
        <v>1033431</v>
      </c>
      <c r="C147" t="inlineStr">
        <is>
          <t>Requirements Gathering</t>
        </is>
      </c>
      <c r="D147" t="inlineStr">
        <is>
          <t>Secondary</t>
        </is>
      </c>
      <c r="E147" t="inlineStr">
        <is>
          <t>Intermediate</t>
        </is>
      </c>
      <c r="F147" t="n">
        <v>4.4</v>
      </c>
      <c r="G147" t="inlineStr">
        <is>
          <t>Functional</t>
        </is>
      </c>
      <c r="H147" t="inlineStr">
        <is>
          <t>Yes</t>
        </is>
      </c>
      <c r="I147" t="inlineStr">
        <is>
          <t>2023-08-30</t>
        </is>
      </c>
    </row>
    <row r="148">
      <c r="A148" t="n">
        <v/>
      </c>
      <c r="B148" t="n">
        <v>1033431</v>
      </c>
      <c r="C148" t="inlineStr">
        <is>
          <t>MMIS Workflows</t>
        </is>
      </c>
      <c r="D148" t="inlineStr">
        <is>
          <t>Secondary</t>
        </is>
      </c>
      <c r="E148" t="inlineStr">
        <is>
          <t>Intermediate</t>
        </is>
      </c>
      <c r="F148" t="n">
        <v>3.3</v>
      </c>
      <c r="G148" t="inlineStr">
        <is>
          <t>Functional</t>
        </is>
      </c>
      <c r="H148" t="inlineStr">
        <is>
          <t>Yes</t>
        </is>
      </c>
      <c r="I148" t="inlineStr">
        <is>
          <t>2023-08-30</t>
        </is>
      </c>
    </row>
    <row r="149">
      <c r="A149" t="n">
        <v/>
      </c>
      <c r="B149" t="n">
        <v>1033431</v>
      </c>
      <c r="C149" t="inlineStr">
        <is>
          <t>SQL</t>
        </is>
      </c>
      <c r="D149" t="inlineStr">
        <is>
          <t>Secondary</t>
        </is>
      </c>
      <c r="E149" t="inlineStr">
        <is>
          <t>Intermediate</t>
        </is>
      </c>
      <c r="F149" t="n">
        <v>2.2</v>
      </c>
      <c r="G149" t="inlineStr">
        <is>
          <t>Functional</t>
        </is>
      </c>
      <c r="H149" t="inlineStr">
        <is>
          <t>Yes</t>
        </is>
      </c>
      <c r="I149" t="inlineStr">
        <is>
          <t>2023-08-30</t>
        </is>
      </c>
    </row>
    <row r="150">
      <c r="A150" t="n">
        <v/>
      </c>
      <c r="B150" t="n">
        <v>1003859</v>
      </c>
      <c r="C150" t="inlineStr">
        <is>
          <t>Cloud &amp; DevOps (AWS / K8s)</t>
        </is>
      </c>
      <c r="D150" t="inlineStr">
        <is>
          <t>Primary</t>
        </is>
      </c>
      <c r="E150" t="inlineStr">
        <is>
          <t>Advanced</t>
        </is>
      </c>
      <c r="F150" t="n">
        <v>18.4</v>
      </c>
      <c r="G150" t="inlineStr">
        <is>
          <t>Technical</t>
        </is>
      </c>
      <c r="H150" t="inlineStr">
        <is>
          <t>Yes</t>
        </is>
      </c>
      <c r="I150" t="inlineStr">
        <is>
          <t>2007-06-15</t>
        </is>
      </c>
    </row>
    <row r="151">
      <c r="A151" t="n">
        <v/>
      </c>
      <c r="B151" t="n">
        <v>1003859</v>
      </c>
      <c r="C151" t="inlineStr">
        <is>
          <t>Linux</t>
        </is>
      </c>
      <c r="D151" t="inlineStr">
        <is>
          <t>Secondary</t>
        </is>
      </c>
      <c r="E151" t="inlineStr">
        <is>
          <t>Advanced</t>
        </is>
      </c>
      <c r="F151" t="n">
        <v>11</v>
      </c>
      <c r="G151" t="inlineStr">
        <is>
          <t>Technical</t>
        </is>
      </c>
      <c r="H151" t="inlineStr">
        <is>
          <t>Yes</t>
        </is>
      </c>
      <c r="I151" t="inlineStr">
        <is>
          <t>2007-06-15</t>
        </is>
      </c>
    </row>
    <row r="152">
      <c r="A152" t="n">
        <v/>
      </c>
      <c r="B152" t="n">
        <v>1003859</v>
      </c>
      <c r="C152" t="inlineStr">
        <is>
          <t>Docker</t>
        </is>
      </c>
      <c r="D152" t="inlineStr">
        <is>
          <t>Secondary</t>
        </is>
      </c>
      <c r="E152" t="inlineStr">
        <is>
          <t>Advanced</t>
        </is>
      </c>
      <c r="F152" t="n">
        <v>8.300000000000001</v>
      </c>
      <c r="G152" t="inlineStr">
        <is>
          <t>Technical</t>
        </is>
      </c>
      <c r="H152" t="inlineStr">
        <is>
          <t>Yes</t>
        </is>
      </c>
      <c r="I152" t="inlineStr">
        <is>
          <t>2007-06-15</t>
        </is>
      </c>
    </row>
    <row r="153">
      <c r="A153" t="n">
        <v/>
      </c>
      <c r="B153" t="n">
        <v>1003859</v>
      </c>
      <c r="C153" t="inlineStr">
        <is>
          <t>Kubernetes</t>
        </is>
      </c>
      <c r="D153" t="inlineStr">
        <is>
          <t>Secondary</t>
        </is>
      </c>
      <c r="E153" t="inlineStr">
        <is>
          <t>Advanced</t>
        </is>
      </c>
      <c r="F153" t="n">
        <v>5.5</v>
      </c>
      <c r="G153" t="inlineStr">
        <is>
          <t>Technical</t>
        </is>
      </c>
      <c r="H153" t="inlineStr">
        <is>
          <t>Yes</t>
        </is>
      </c>
      <c r="I153" t="inlineStr">
        <is>
          <t>2007-06-15</t>
        </is>
      </c>
    </row>
    <row r="154">
      <c r="A154" t="n">
        <v/>
      </c>
      <c r="B154" t="n">
        <v>1028537</v>
      </c>
      <c r="C154" t="inlineStr">
        <is>
          <t>Fullstack Web (React / Node)</t>
        </is>
      </c>
      <c r="D154" t="inlineStr">
        <is>
          <t>Primary</t>
        </is>
      </c>
      <c r="E154" t="inlineStr">
        <is>
          <t>Advanced</t>
        </is>
      </c>
      <c r="F154" t="n">
        <v>8.6</v>
      </c>
      <c r="G154" t="inlineStr">
        <is>
          <t>Technical</t>
        </is>
      </c>
      <c r="H154" t="inlineStr">
        <is>
          <t>Yes</t>
        </is>
      </c>
      <c r="I154" t="inlineStr">
        <is>
          <t>2022-03-08</t>
        </is>
      </c>
    </row>
    <row r="155">
      <c r="A155" t="n">
        <v/>
      </c>
      <c r="B155" t="n">
        <v>1028537</v>
      </c>
      <c r="C155" t="inlineStr">
        <is>
          <t>JavaScript</t>
        </is>
      </c>
      <c r="D155" t="inlineStr">
        <is>
          <t>Secondary</t>
        </is>
      </c>
      <c r="E155" t="inlineStr">
        <is>
          <t>Advanced</t>
        </is>
      </c>
      <c r="F155" t="n">
        <v>5.2</v>
      </c>
      <c r="G155" t="inlineStr">
        <is>
          <t>Technical</t>
        </is>
      </c>
      <c r="H155" t="inlineStr">
        <is>
          <t>Yes</t>
        </is>
      </c>
      <c r="I155" t="inlineStr">
        <is>
          <t>2022-03-08</t>
        </is>
      </c>
    </row>
    <row r="156">
      <c r="A156" t="n">
        <v/>
      </c>
      <c r="B156" t="n">
        <v>1028537</v>
      </c>
      <c r="C156" t="inlineStr">
        <is>
          <t>TypeScript</t>
        </is>
      </c>
      <c r="D156" t="inlineStr">
        <is>
          <t>Secondary</t>
        </is>
      </c>
      <c r="E156" t="inlineStr">
        <is>
          <t>Intermediate</t>
        </is>
      </c>
      <c r="F156" t="n">
        <v>3.9</v>
      </c>
      <c r="G156" t="inlineStr">
        <is>
          <t>Technical</t>
        </is>
      </c>
      <c r="H156" t="inlineStr">
        <is>
          <t>Yes</t>
        </is>
      </c>
      <c r="I156" t="inlineStr">
        <is>
          <t>2022-03-08</t>
        </is>
      </c>
    </row>
    <row r="157">
      <c r="A157" t="n">
        <v/>
      </c>
      <c r="B157" t="n">
        <v>1028537</v>
      </c>
      <c r="C157" t="inlineStr">
        <is>
          <t>CSS/HTML</t>
        </is>
      </c>
      <c r="D157" t="inlineStr">
        <is>
          <t>Secondary</t>
        </is>
      </c>
      <c r="E157" t="inlineStr">
        <is>
          <t>Intermediate</t>
        </is>
      </c>
      <c r="F157" t="n">
        <v>2.6</v>
      </c>
      <c r="G157" t="inlineStr">
        <is>
          <t>Technical</t>
        </is>
      </c>
      <c r="H157" t="inlineStr">
        <is>
          <t>Yes</t>
        </is>
      </c>
      <c r="I157" t="inlineStr">
        <is>
          <t>2022-03-08</t>
        </is>
      </c>
    </row>
    <row r="158">
      <c r="A158" t="n">
        <v/>
      </c>
      <c r="B158" t="n">
        <v>1033097</v>
      </c>
      <c r="C158" t="inlineStr">
        <is>
          <t>QA Automation / SDET</t>
        </is>
      </c>
      <c r="D158" t="inlineStr">
        <is>
          <t>Primary</t>
        </is>
      </c>
      <c r="E158" t="inlineStr">
        <is>
          <t>Advanced</t>
        </is>
      </c>
      <c r="F158" t="n">
        <v>3.8</v>
      </c>
      <c r="G158" t="inlineStr">
        <is>
          <t>Technical</t>
        </is>
      </c>
      <c r="H158" t="inlineStr">
        <is>
          <t>Yes</t>
        </is>
      </c>
      <c r="I158" t="inlineStr">
        <is>
          <t>2023-07-24</t>
        </is>
      </c>
    </row>
    <row r="159">
      <c r="A159" t="n">
        <v/>
      </c>
      <c r="B159" t="n">
        <v>1033097</v>
      </c>
      <c r="C159" t="inlineStr">
        <is>
          <t>Selenium</t>
        </is>
      </c>
      <c r="D159" t="inlineStr">
        <is>
          <t>Secondary</t>
        </is>
      </c>
      <c r="E159" t="inlineStr">
        <is>
          <t>Intermediate</t>
        </is>
      </c>
      <c r="F159" t="n">
        <v>2.3</v>
      </c>
      <c r="G159" t="inlineStr">
        <is>
          <t>Technical</t>
        </is>
      </c>
      <c r="H159" t="inlineStr">
        <is>
          <t>Yes</t>
        </is>
      </c>
      <c r="I159" t="inlineStr">
        <is>
          <t>2023-07-24</t>
        </is>
      </c>
    </row>
    <row r="160">
      <c r="A160" t="n">
        <v/>
      </c>
      <c r="B160" t="n">
        <v>1033097</v>
      </c>
      <c r="C160" t="inlineStr">
        <is>
          <t>API Testing (Postman)</t>
        </is>
      </c>
      <c r="D160" t="inlineStr">
        <is>
          <t>Secondary</t>
        </is>
      </c>
      <c r="E160" t="inlineStr">
        <is>
          <t>Intermediate</t>
        </is>
      </c>
      <c r="F160" t="n">
        <v>1.7</v>
      </c>
      <c r="G160" t="inlineStr">
        <is>
          <t>Technical</t>
        </is>
      </c>
      <c r="H160" t="inlineStr">
        <is>
          <t>Yes</t>
        </is>
      </c>
      <c r="I160" t="inlineStr">
        <is>
          <t>2023-07-24</t>
        </is>
      </c>
    </row>
    <row r="161">
      <c r="A161" t="n">
        <v/>
      </c>
      <c r="B161" t="n">
        <v>1033097</v>
      </c>
      <c r="C161" t="inlineStr">
        <is>
          <t>TestNG</t>
        </is>
      </c>
      <c r="D161" t="inlineStr">
        <is>
          <t>Secondary</t>
        </is>
      </c>
      <c r="E161" t="inlineStr">
        <is>
          <t>Beginner</t>
        </is>
      </c>
      <c r="F161" t="n">
        <v>1.1</v>
      </c>
      <c r="G161" t="inlineStr">
        <is>
          <t>Technical</t>
        </is>
      </c>
      <c r="H161" t="inlineStr">
        <is>
          <t>Yes</t>
        </is>
      </c>
      <c r="I161" t="inlineStr">
        <is>
          <t>2023-07-24</t>
        </is>
      </c>
    </row>
    <row r="162">
      <c r="A162" t="n">
        <v/>
      </c>
      <c r="B162" t="n">
        <v>1020723</v>
      </c>
      <c r="C162" t="inlineStr">
        <is>
          <t>Database &amp; SQL Architecture</t>
        </is>
      </c>
      <c r="D162" t="inlineStr">
        <is>
          <t>Primary</t>
        </is>
      </c>
      <c r="E162" t="inlineStr">
        <is>
          <t>Advanced</t>
        </is>
      </c>
      <c r="F162" t="n">
        <v>8.5</v>
      </c>
      <c r="G162" t="inlineStr">
        <is>
          <t>Technical</t>
        </is>
      </c>
      <c r="H162" t="inlineStr">
        <is>
          <t>Yes</t>
        </is>
      </c>
      <c r="I162" t="inlineStr">
        <is>
          <t>2018-07-23</t>
        </is>
      </c>
    </row>
    <row r="163">
      <c r="A163" t="n">
        <v/>
      </c>
      <c r="B163" t="n">
        <v>1020723</v>
      </c>
      <c r="C163" t="inlineStr">
        <is>
          <t>PostgreSQL</t>
        </is>
      </c>
      <c r="D163" t="inlineStr">
        <is>
          <t>Secondary</t>
        </is>
      </c>
      <c r="E163" t="inlineStr">
        <is>
          <t>Advanced</t>
        </is>
      </c>
      <c r="F163" t="n">
        <v>5.1</v>
      </c>
      <c r="G163" t="inlineStr">
        <is>
          <t>Technical</t>
        </is>
      </c>
      <c r="H163" t="inlineStr">
        <is>
          <t>Yes</t>
        </is>
      </c>
      <c r="I163" t="inlineStr">
        <is>
          <t>2018-07-23</t>
        </is>
      </c>
    </row>
    <row r="164">
      <c r="A164" t="n">
        <v/>
      </c>
      <c r="B164" t="n">
        <v>1020723</v>
      </c>
      <c r="C164" t="inlineStr">
        <is>
          <t>Oracle</t>
        </is>
      </c>
      <c r="D164" t="inlineStr">
        <is>
          <t>Secondary</t>
        </is>
      </c>
      <c r="E164" t="inlineStr">
        <is>
          <t>Intermediate</t>
        </is>
      </c>
      <c r="F164" t="n">
        <v>3.8</v>
      </c>
      <c r="G164" t="inlineStr">
        <is>
          <t>Technical</t>
        </is>
      </c>
      <c r="H164" t="inlineStr">
        <is>
          <t>Yes</t>
        </is>
      </c>
      <c r="I164" t="inlineStr">
        <is>
          <t>2018-07-23</t>
        </is>
      </c>
    </row>
    <row r="165">
      <c r="A165" t="n">
        <v/>
      </c>
      <c r="B165" t="n">
        <v>1020723</v>
      </c>
      <c r="C165" t="inlineStr">
        <is>
          <t>Performance Tuning</t>
        </is>
      </c>
      <c r="D165" t="inlineStr">
        <is>
          <t>Secondary</t>
        </is>
      </c>
      <c r="E165" t="inlineStr">
        <is>
          <t>Intermediate</t>
        </is>
      </c>
      <c r="F165" t="n">
        <v>2.5</v>
      </c>
      <c r="G165" t="inlineStr">
        <is>
          <t>Technical</t>
        </is>
      </c>
      <c r="H165" t="inlineStr">
        <is>
          <t>Yes</t>
        </is>
      </c>
      <c r="I165" t="inlineStr">
        <is>
          <t>2018-07-23</t>
        </is>
      </c>
    </row>
    <row r="166">
      <c r="A166" t="n">
        <v/>
      </c>
      <c r="B166" t="n">
        <v>1027551</v>
      </c>
      <c r="C166" t="inlineStr">
        <is>
          <t>Project &amp; Delivery Management</t>
        </is>
      </c>
      <c r="D166" t="inlineStr">
        <is>
          <t>Primary</t>
        </is>
      </c>
      <c r="E166" t="inlineStr">
        <is>
          <t>Advanced</t>
        </is>
      </c>
      <c r="F166" t="n">
        <v>2.6</v>
      </c>
      <c r="G166" t="inlineStr">
        <is>
          <t>Functional</t>
        </is>
      </c>
      <c r="H166" t="inlineStr">
        <is>
          <t>Yes</t>
        </is>
      </c>
      <c r="I166" t="inlineStr">
        <is>
          <t>2021-12-06</t>
        </is>
      </c>
    </row>
    <row r="167">
      <c r="A167" t="n">
        <v/>
      </c>
      <c r="B167" t="n">
        <v>1027551</v>
      </c>
      <c r="C167" t="inlineStr">
        <is>
          <t>Agile / Scrum</t>
        </is>
      </c>
      <c r="D167" t="inlineStr">
        <is>
          <t>Secondary</t>
        </is>
      </c>
      <c r="E167" t="inlineStr">
        <is>
          <t>Intermediate</t>
        </is>
      </c>
      <c r="F167" t="n">
        <v>1.6</v>
      </c>
      <c r="G167" t="inlineStr">
        <is>
          <t>Functional</t>
        </is>
      </c>
      <c r="H167" t="inlineStr">
        <is>
          <t>Yes</t>
        </is>
      </c>
      <c r="I167" t="inlineStr">
        <is>
          <t>2021-12-06</t>
        </is>
      </c>
    </row>
    <row r="168">
      <c r="A168" t="n">
        <v/>
      </c>
      <c r="B168" t="n">
        <v>1027551</v>
      </c>
      <c r="C168" t="inlineStr">
        <is>
          <t>Stakeholder Management</t>
        </is>
      </c>
      <c r="D168" t="inlineStr">
        <is>
          <t>Secondary</t>
        </is>
      </c>
      <c r="E168" t="inlineStr">
        <is>
          <t>Beginner</t>
        </is>
      </c>
      <c r="F168" t="n">
        <v>1.2</v>
      </c>
      <c r="G168" t="inlineStr">
        <is>
          <t>Functional</t>
        </is>
      </c>
      <c r="H168" t="inlineStr">
        <is>
          <t>Yes</t>
        </is>
      </c>
      <c r="I168" t="inlineStr">
        <is>
          <t>2021-12-06</t>
        </is>
      </c>
    </row>
    <row r="169">
      <c r="A169" t="n">
        <v/>
      </c>
      <c r="B169" t="n">
        <v>1033925</v>
      </c>
      <c r="C169" t="inlineStr">
        <is>
          <t>Cognos BI &amp; Analytics</t>
        </is>
      </c>
      <c r="D169" t="inlineStr">
        <is>
          <t>Primary</t>
        </is>
      </c>
      <c r="E169" t="inlineStr">
        <is>
          <t>Advanced</t>
        </is>
      </c>
      <c r="F169" t="n">
        <v>5.3</v>
      </c>
      <c r="G169" t="inlineStr">
        <is>
          <t>Technical</t>
        </is>
      </c>
      <c r="H169" t="inlineStr">
        <is>
          <t>Yes</t>
        </is>
      </c>
      <c r="I169" t="inlineStr">
        <is>
          <t>2023-11-17</t>
        </is>
      </c>
    </row>
    <row r="170">
      <c r="A170" t="n">
        <v/>
      </c>
      <c r="B170" t="n">
        <v>1033925</v>
      </c>
      <c r="C170" t="inlineStr">
        <is>
          <t>SQL</t>
        </is>
      </c>
      <c r="D170" t="inlineStr">
        <is>
          <t>Secondary</t>
        </is>
      </c>
      <c r="E170" t="inlineStr">
        <is>
          <t>Intermediate</t>
        </is>
      </c>
      <c r="F170" t="n">
        <v>3.2</v>
      </c>
      <c r="G170" t="inlineStr">
        <is>
          <t>Technical</t>
        </is>
      </c>
      <c r="H170" t="inlineStr">
        <is>
          <t>Yes</t>
        </is>
      </c>
      <c r="I170" t="inlineStr">
        <is>
          <t>2023-11-17</t>
        </is>
      </c>
    </row>
    <row r="171">
      <c r="A171" t="n">
        <v/>
      </c>
      <c r="B171" t="n">
        <v>1033925</v>
      </c>
      <c r="C171" t="inlineStr">
        <is>
          <t>Data Modeling</t>
        </is>
      </c>
      <c r="D171" t="inlineStr">
        <is>
          <t>Secondary</t>
        </is>
      </c>
      <c r="E171" t="inlineStr">
        <is>
          <t>Intermediate</t>
        </is>
      </c>
      <c r="F171" t="n">
        <v>2.4</v>
      </c>
      <c r="G171" t="inlineStr">
        <is>
          <t>Technical</t>
        </is>
      </c>
      <c r="H171" t="inlineStr">
        <is>
          <t>Yes</t>
        </is>
      </c>
      <c r="I171" t="inlineStr">
        <is>
          <t>2023-11-17</t>
        </is>
      </c>
    </row>
    <row r="172">
      <c r="A172" t="n">
        <v/>
      </c>
      <c r="B172" t="n">
        <v>1033925</v>
      </c>
      <c r="C172" t="inlineStr">
        <is>
          <t>Report Studio</t>
        </is>
      </c>
      <c r="D172" t="inlineStr">
        <is>
          <t>Secondary</t>
        </is>
      </c>
      <c r="E172" t="inlineStr">
        <is>
          <t>Intermediate</t>
        </is>
      </c>
      <c r="F172" t="n">
        <v>1.6</v>
      </c>
      <c r="G172" t="inlineStr">
        <is>
          <t>Technical</t>
        </is>
      </c>
      <c r="H172" t="inlineStr">
        <is>
          <t>Yes</t>
        </is>
      </c>
      <c r="I172" t="inlineStr">
        <is>
          <t>2023-11-17</t>
        </is>
      </c>
    </row>
    <row r="173">
      <c r="A173" t="n">
        <v/>
      </c>
      <c r="B173" t="n">
        <v>1026354</v>
      </c>
      <c r="C173" t="inlineStr">
        <is>
          <t>Java / Spring Boot</t>
        </is>
      </c>
      <c r="D173" t="inlineStr">
        <is>
          <t>Primary</t>
        </is>
      </c>
      <c r="E173" t="inlineStr">
        <is>
          <t>Advanced</t>
        </is>
      </c>
      <c r="F173" t="n">
        <v>7.3</v>
      </c>
      <c r="G173" t="inlineStr">
        <is>
          <t>Technical</t>
        </is>
      </c>
      <c r="H173" t="inlineStr">
        <is>
          <t>Yes</t>
        </is>
      </c>
      <c r="I173" t="inlineStr">
        <is>
          <t>2021-09-06</t>
        </is>
      </c>
      <c r="J173" t="inlineStr">
        <is>
          <t>Security</t>
        </is>
      </c>
    </row>
    <row r="174">
      <c r="A174" t="n">
        <v/>
      </c>
      <c r="B174" t="n">
        <v>1026354</v>
      </c>
      <c r="C174" t="inlineStr">
        <is>
          <t>SQL</t>
        </is>
      </c>
      <c r="D174" t="inlineStr">
        <is>
          <t>Secondary</t>
        </is>
      </c>
      <c r="E174" t="inlineStr">
        <is>
          <t>Intermediate</t>
        </is>
      </c>
      <c r="F174" t="n">
        <v>4.4</v>
      </c>
      <c r="G174" t="inlineStr">
        <is>
          <t>Technical</t>
        </is>
      </c>
      <c r="H174" t="inlineStr">
        <is>
          <t>Yes</t>
        </is>
      </c>
      <c r="I174" t="inlineStr">
        <is>
          <t>2021-09-06</t>
        </is>
      </c>
      <c r="J174" t="inlineStr">
        <is>
          <t>Security</t>
        </is>
      </c>
    </row>
    <row r="175">
      <c r="A175" t="n">
        <v/>
      </c>
      <c r="B175" t="n">
        <v>1026354</v>
      </c>
      <c r="C175" t="inlineStr">
        <is>
          <t>Docker</t>
        </is>
      </c>
      <c r="D175" t="inlineStr">
        <is>
          <t>Secondary</t>
        </is>
      </c>
      <c r="E175" t="inlineStr">
        <is>
          <t>Intermediate</t>
        </is>
      </c>
      <c r="F175" t="n">
        <v>3.3</v>
      </c>
      <c r="G175" t="inlineStr">
        <is>
          <t>Technical</t>
        </is>
      </c>
      <c r="H175" t="inlineStr">
        <is>
          <t>Yes</t>
        </is>
      </c>
      <c r="I175" t="inlineStr">
        <is>
          <t>2021-09-06</t>
        </is>
      </c>
      <c r="J175" t="inlineStr">
        <is>
          <t>Security</t>
        </is>
      </c>
    </row>
    <row r="176">
      <c r="A176" t="n">
        <v/>
      </c>
      <c r="B176" t="n">
        <v>1026354</v>
      </c>
      <c r="C176" t="inlineStr">
        <is>
          <t>Git</t>
        </is>
      </c>
      <c r="D176" t="inlineStr">
        <is>
          <t>Secondary</t>
        </is>
      </c>
      <c r="E176" t="inlineStr">
        <is>
          <t>Intermediate</t>
        </is>
      </c>
      <c r="F176" t="n">
        <v>2.2</v>
      </c>
      <c r="G176" t="inlineStr">
        <is>
          <t>Technical</t>
        </is>
      </c>
      <c r="H176" t="inlineStr">
        <is>
          <t>Yes</t>
        </is>
      </c>
      <c r="I176" t="inlineStr">
        <is>
          <t>2021-09-06</t>
        </is>
      </c>
      <c r="J176" t="inlineStr">
        <is>
          <t>Security</t>
        </is>
      </c>
    </row>
    <row r="177">
      <c r="A177" t="n">
        <v/>
      </c>
      <c r="B177" t="n">
        <v>1029023</v>
      </c>
      <c r="C177" t="inlineStr">
        <is>
          <t>Project &amp; Delivery Management</t>
        </is>
      </c>
      <c r="D177" t="inlineStr">
        <is>
          <t>Primary</t>
        </is>
      </c>
      <c r="E177" t="inlineStr">
        <is>
          <t>Advanced</t>
        </is>
      </c>
      <c r="F177" t="n">
        <v>2.2</v>
      </c>
      <c r="G177" t="inlineStr">
        <is>
          <t>Functional</t>
        </is>
      </c>
      <c r="H177" t="inlineStr">
        <is>
          <t>Yes</t>
        </is>
      </c>
      <c r="I177" t="inlineStr">
        <is>
          <t>2022-05-11</t>
        </is>
      </c>
    </row>
    <row r="178">
      <c r="A178" t="n">
        <v/>
      </c>
      <c r="B178" t="n">
        <v>1029023</v>
      </c>
      <c r="C178" t="inlineStr">
        <is>
          <t>Agile / Scrum</t>
        </is>
      </c>
      <c r="D178" t="inlineStr">
        <is>
          <t>Secondary</t>
        </is>
      </c>
      <c r="E178" t="inlineStr">
        <is>
          <t>Beginner</t>
        </is>
      </c>
      <c r="F178" t="n">
        <v>1.3</v>
      </c>
      <c r="G178" t="inlineStr">
        <is>
          <t>Functional</t>
        </is>
      </c>
      <c r="H178" t="inlineStr">
        <is>
          <t>Yes</t>
        </is>
      </c>
      <c r="I178" t="inlineStr">
        <is>
          <t>2022-05-11</t>
        </is>
      </c>
    </row>
    <row r="179">
      <c r="A179" t="n">
        <v/>
      </c>
      <c r="B179" t="n">
        <v>1029023</v>
      </c>
      <c r="C179" t="inlineStr">
        <is>
          <t>Stakeholder Management</t>
        </is>
      </c>
      <c r="D179" t="inlineStr">
        <is>
          <t>Secondary</t>
        </is>
      </c>
      <c r="E179" t="inlineStr">
        <is>
          <t>Beginner</t>
        </is>
      </c>
      <c r="F179" t="n">
        <v>1</v>
      </c>
      <c r="G179" t="inlineStr">
        <is>
          <t>Functional</t>
        </is>
      </c>
      <c r="H179" t="inlineStr">
        <is>
          <t>Yes</t>
        </is>
      </c>
      <c r="I179" t="inlineStr">
        <is>
          <t>2022-05-11</t>
        </is>
      </c>
    </row>
    <row r="180">
      <c r="A180" t="n">
        <v/>
      </c>
      <c r="B180" t="n">
        <v>1028583</v>
      </c>
      <c r="C180" t="inlineStr">
        <is>
          <t>Database &amp; SQL Architecture</t>
        </is>
      </c>
      <c r="D180" t="inlineStr">
        <is>
          <t>Primary</t>
        </is>
      </c>
      <c r="E180" t="inlineStr">
        <is>
          <t>Advanced</t>
        </is>
      </c>
      <c r="F180" t="n">
        <v>6.8</v>
      </c>
      <c r="G180" t="inlineStr">
        <is>
          <t>Technical</t>
        </is>
      </c>
      <c r="H180" t="inlineStr">
        <is>
          <t>Yes</t>
        </is>
      </c>
      <c r="I180" t="inlineStr">
        <is>
          <t>2022-03-15</t>
        </is>
      </c>
    </row>
    <row r="181">
      <c r="A181" t="n">
        <v/>
      </c>
      <c r="B181" t="n">
        <v>1028583</v>
      </c>
      <c r="C181" t="inlineStr">
        <is>
          <t>PostgreSQL</t>
        </is>
      </c>
      <c r="D181" t="inlineStr">
        <is>
          <t>Secondary</t>
        </is>
      </c>
      <c r="E181" t="inlineStr">
        <is>
          <t>Intermediate</t>
        </is>
      </c>
      <c r="F181" t="n">
        <v>4.1</v>
      </c>
      <c r="G181" t="inlineStr">
        <is>
          <t>Technical</t>
        </is>
      </c>
      <c r="H181" t="inlineStr">
        <is>
          <t>Yes</t>
        </is>
      </c>
      <c r="I181" t="inlineStr">
        <is>
          <t>2022-03-15</t>
        </is>
      </c>
    </row>
    <row r="182">
      <c r="A182" t="n">
        <v/>
      </c>
      <c r="B182" t="n">
        <v>1028583</v>
      </c>
      <c r="C182" t="inlineStr">
        <is>
          <t>Oracle</t>
        </is>
      </c>
      <c r="D182" t="inlineStr">
        <is>
          <t>Secondary</t>
        </is>
      </c>
      <c r="E182" t="inlineStr">
        <is>
          <t>Intermediate</t>
        </is>
      </c>
      <c r="F182" t="n">
        <v>3.1</v>
      </c>
      <c r="G182" t="inlineStr">
        <is>
          <t>Technical</t>
        </is>
      </c>
      <c r="H182" t="inlineStr">
        <is>
          <t>Yes</t>
        </is>
      </c>
      <c r="I182" t="inlineStr">
        <is>
          <t>2022-03-15</t>
        </is>
      </c>
    </row>
    <row r="183">
      <c r="A183" t="n">
        <v/>
      </c>
      <c r="B183" t="n">
        <v>1028583</v>
      </c>
      <c r="C183" t="inlineStr">
        <is>
          <t>Performance Tuning</t>
        </is>
      </c>
      <c r="D183" t="inlineStr">
        <is>
          <t>Secondary</t>
        </is>
      </c>
      <c r="E183" t="inlineStr">
        <is>
          <t>Intermediate</t>
        </is>
      </c>
      <c r="F183" t="n">
        <v>2</v>
      </c>
      <c r="G183" t="inlineStr">
        <is>
          <t>Technical</t>
        </is>
      </c>
      <c r="H183" t="inlineStr">
        <is>
          <t>Yes</t>
        </is>
      </c>
      <c r="I183" t="inlineStr">
        <is>
          <t>2022-03-15</t>
        </is>
      </c>
    </row>
    <row r="184">
      <c r="A184" t="n">
        <v/>
      </c>
      <c r="B184" t="n">
        <v>1026864</v>
      </c>
      <c r="C184" t="inlineStr">
        <is>
          <t>Project &amp; Delivery Management</t>
        </is>
      </c>
      <c r="D184" t="inlineStr">
        <is>
          <t>Primary</t>
        </is>
      </c>
      <c r="E184" t="inlineStr">
        <is>
          <t>Advanced</t>
        </is>
      </c>
      <c r="F184" t="n">
        <v>9</v>
      </c>
      <c r="G184" t="inlineStr">
        <is>
          <t>Functional</t>
        </is>
      </c>
      <c r="H184" t="inlineStr">
        <is>
          <t>Yes</t>
        </is>
      </c>
      <c r="I184" t="inlineStr">
        <is>
          <t>2021-10-13</t>
        </is>
      </c>
    </row>
    <row r="185">
      <c r="A185" t="n">
        <v/>
      </c>
      <c r="B185" t="n">
        <v>1026864</v>
      </c>
      <c r="C185" t="inlineStr">
        <is>
          <t>Agile / Scrum</t>
        </is>
      </c>
      <c r="D185" t="inlineStr">
        <is>
          <t>Secondary</t>
        </is>
      </c>
      <c r="E185" t="inlineStr">
        <is>
          <t>Advanced</t>
        </is>
      </c>
      <c r="F185" t="n">
        <v>5.4</v>
      </c>
      <c r="G185" t="inlineStr">
        <is>
          <t>Functional</t>
        </is>
      </c>
      <c r="H185" t="inlineStr">
        <is>
          <t>Yes</t>
        </is>
      </c>
      <c r="I185" t="inlineStr">
        <is>
          <t>2021-10-13</t>
        </is>
      </c>
    </row>
    <row r="186">
      <c r="A186" t="n">
        <v/>
      </c>
      <c r="B186" t="n">
        <v>1026864</v>
      </c>
      <c r="C186" t="inlineStr">
        <is>
          <t>Stakeholder Management</t>
        </is>
      </c>
      <c r="D186" t="inlineStr">
        <is>
          <t>Secondary</t>
        </is>
      </c>
      <c r="E186" t="inlineStr">
        <is>
          <t>Intermediate</t>
        </is>
      </c>
      <c r="F186" t="n">
        <v>4</v>
      </c>
      <c r="G186" t="inlineStr">
        <is>
          <t>Functional</t>
        </is>
      </c>
      <c r="H186" t="inlineStr">
        <is>
          <t>Yes</t>
        </is>
      </c>
      <c r="I186" t="inlineStr">
        <is>
          <t>2021-10-13</t>
        </is>
      </c>
    </row>
    <row r="187">
      <c r="A187" t="n">
        <v/>
      </c>
      <c r="B187" t="n">
        <v>1026864</v>
      </c>
      <c r="C187" t="inlineStr">
        <is>
          <t>Resource Planning</t>
        </is>
      </c>
      <c r="D187" t="inlineStr">
        <is>
          <t>Secondary</t>
        </is>
      </c>
      <c r="E187" t="inlineStr">
        <is>
          <t>Intermediate</t>
        </is>
      </c>
      <c r="F187" t="n">
        <v>2.7</v>
      </c>
      <c r="G187" t="inlineStr">
        <is>
          <t>Functional</t>
        </is>
      </c>
      <c r="H187" t="inlineStr">
        <is>
          <t>Yes</t>
        </is>
      </c>
      <c r="I187" t="inlineStr">
        <is>
          <t>2021-10-13</t>
        </is>
      </c>
    </row>
    <row r="188">
      <c r="A188" t="n">
        <v/>
      </c>
      <c r="B188" t="n">
        <v>1019672</v>
      </c>
      <c r="C188" t="inlineStr">
        <is>
          <t>Project &amp; Delivery Management</t>
        </is>
      </c>
      <c r="D188" t="inlineStr">
        <is>
          <t>Primary</t>
        </is>
      </c>
      <c r="E188" t="inlineStr">
        <is>
          <t>Advanced</t>
        </is>
      </c>
      <c r="F188" t="n">
        <v>15.5</v>
      </c>
      <c r="G188" t="inlineStr">
        <is>
          <t>Functional</t>
        </is>
      </c>
      <c r="H188" t="inlineStr">
        <is>
          <t>Yes</t>
        </is>
      </c>
      <c r="I188" t="inlineStr">
        <is>
          <t>2017-07-24</t>
        </is>
      </c>
    </row>
    <row r="189">
      <c r="A189" t="n">
        <v/>
      </c>
      <c r="B189" t="n">
        <v>1019672</v>
      </c>
      <c r="C189" t="inlineStr">
        <is>
          <t>Agile / Scrum</t>
        </is>
      </c>
      <c r="D189" t="inlineStr">
        <is>
          <t>Secondary</t>
        </is>
      </c>
      <c r="E189" t="inlineStr">
        <is>
          <t>Advanced</t>
        </is>
      </c>
      <c r="F189" t="n">
        <v>9.300000000000001</v>
      </c>
      <c r="G189" t="inlineStr">
        <is>
          <t>Functional</t>
        </is>
      </c>
      <c r="H189" t="inlineStr">
        <is>
          <t>Yes</t>
        </is>
      </c>
      <c r="I189" t="inlineStr">
        <is>
          <t>2017-07-24</t>
        </is>
      </c>
    </row>
    <row r="190">
      <c r="A190" t="n">
        <v/>
      </c>
      <c r="B190" t="n">
        <v>1019672</v>
      </c>
      <c r="C190" t="inlineStr">
        <is>
          <t>Stakeholder Management</t>
        </is>
      </c>
      <c r="D190" t="inlineStr">
        <is>
          <t>Secondary</t>
        </is>
      </c>
      <c r="E190" t="inlineStr">
        <is>
          <t>Advanced</t>
        </is>
      </c>
      <c r="F190" t="n">
        <v>7</v>
      </c>
      <c r="G190" t="inlineStr">
        <is>
          <t>Functional</t>
        </is>
      </c>
      <c r="H190" t="inlineStr">
        <is>
          <t>Yes</t>
        </is>
      </c>
      <c r="I190" t="inlineStr">
        <is>
          <t>2017-07-24</t>
        </is>
      </c>
    </row>
    <row r="191">
      <c r="A191" t="n">
        <v/>
      </c>
      <c r="B191" t="n">
        <v>1019672</v>
      </c>
      <c r="C191" t="inlineStr">
        <is>
          <t>Resource Planning</t>
        </is>
      </c>
      <c r="D191" t="inlineStr">
        <is>
          <t>Secondary</t>
        </is>
      </c>
      <c r="E191" t="inlineStr">
        <is>
          <t>Intermediate</t>
        </is>
      </c>
      <c r="F191" t="n">
        <v>4.6</v>
      </c>
      <c r="G191" t="inlineStr">
        <is>
          <t>Functional</t>
        </is>
      </c>
      <c r="H191" t="inlineStr">
        <is>
          <t>Yes</t>
        </is>
      </c>
      <c r="I191" t="inlineStr">
        <is>
          <t>2017-07-24</t>
        </is>
      </c>
    </row>
    <row r="192">
      <c r="A192" t="n">
        <v/>
      </c>
      <c r="B192" t="n">
        <v>1031825</v>
      </c>
      <c r="C192" t="inlineStr">
        <is>
          <t>Project &amp; Delivery Management</t>
        </is>
      </c>
      <c r="D192" t="inlineStr">
        <is>
          <t>Primary</t>
        </is>
      </c>
      <c r="E192" t="inlineStr">
        <is>
          <t>Advanced</t>
        </is>
      </c>
      <c r="F192" t="n">
        <v>7.9</v>
      </c>
      <c r="G192" t="inlineStr">
        <is>
          <t>Functional</t>
        </is>
      </c>
      <c r="H192" t="inlineStr">
        <is>
          <t>Yes</t>
        </is>
      </c>
      <c r="I192" t="inlineStr">
        <is>
          <t>2022-12-14</t>
        </is>
      </c>
    </row>
    <row r="193">
      <c r="A193" t="n">
        <v/>
      </c>
      <c r="B193" t="n">
        <v>1031825</v>
      </c>
      <c r="C193" t="inlineStr">
        <is>
          <t>Agile / Scrum</t>
        </is>
      </c>
      <c r="D193" t="inlineStr">
        <is>
          <t>Secondary</t>
        </is>
      </c>
      <c r="E193" t="inlineStr">
        <is>
          <t>Intermediate</t>
        </is>
      </c>
      <c r="F193" t="n">
        <v>4.7</v>
      </c>
      <c r="G193" t="inlineStr">
        <is>
          <t>Functional</t>
        </is>
      </c>
      <c r="H193" t="inlineStr">
        <is>
          <t>Yes</t>
        </is>
      </c>
      <c r="I193" t="inlineStr">
        <is>
          <t>2022-12-14</t>
        </is>
      </c>
    </row>
    <row r="194">
      <c r="A194" t="n">
        <v/>
      </c>
      <c r="B194" t="n">
        <v>1031825</v>
      </c>
      <c r="C194" t="inlineStr">
        <is>
          <t>Stakeholder Management</t>
        </is>
      </c>
      <c r="D194" t="inlineStr">
        <is>
          <t>Secondary</t>
        </is>
      </c>
      <c r="E194" t="inlineStr">
        <is>
          <t>Intermediate</t>
        </is>
      </c>
      <c r="F194" t="n">
        <v>3.6</v>
      </c>
      <c r="G194" t="inlineStr">
        <is>
          <t>Functional</t>
        </is>
      </c>
      <c r="H194" t="inlineStr">
        <is>
          <t>Yes</t>
        </is>
      </c>
      <c r="I194" t="inlineStr">
        <is>
          <t>2022-12-14</t>
        </is>
      </c>
    </row>
    <row r="195">
      <c r="A195" t="n">
        <v/>
      </c>
      <c r="B195" t="n">
        <v>1031825</v>
      </c>
      <c r="C195" t="inlineStr">
        <is>
          <t>Resource Planning</t>
        </is>
      </c>
      <c r="D195" t="inlineStr">
        <is>
          <t>Secondary</t>
        </is>
      </c>
      <c r="E195" t="inlineStr">
        <is>
          <t>Intermediate</t>
        </is>
      </c>
      <c r="F195" t="n">
        <v>2.4</v>
      </c>
      <c r="G195" t="inlineStr">
        <is>
          <t>Functional</t>
        </is>
      </c>
      <c r="H195" t="inlineStr">
        <is>
          <t>Yes</t>
        </is>
      </c>
      <c r="I195" t="inlineStr">
        <is>
          <t>2022-12-14</t>
        </is>
      </c>
    </row>
    <row r="196">
      <c r="A196" t="n">
        <v/>
      </c>
      <c r="B196" t="n">
        <v>1018271</v>
      </c>
      <c r="C196" t="inlineStr">
        <is>
          <t>Frontend (Angular / TypeScript)</t>
        </is>
      </c>
      <c r="D196" t="inlineStr">
        <is>
          <t>Primary</t>
        </is>
      </c>
      <c r="E196" t="inlineStr">
        <is>
          <t>Advanced</t>
        </is>
      </c>
      <c r="F196" t="n">
        <v>10.4</v>
      </c>
      <c r="G196" t="inlineStr">
        <is>
          <t>Technical</t>
        </is>
      </c>
      <c r="H196" t="inlineStr">
        <is>
          <t>Yes</t>
        </is>
      </c>
      <c r="I196" t="inlineStr">
        <is>
          <t>2016-05-04</t>
        </is>
      </c>
    </row>
    <row r="197">
      <c r="A197" t="n">
        <v/>
      </c>
      <c r="B197" t="n">
        <v>1018271</v>
      </c>
      <c r="C197" t="inlineStr">
        <is>
          <t>TypeScript</t>
        </is>
      </c>
      <c r="D197" t="inlineStr">
        <is>
          <t>Secondary</t>
        </is>
      </c>
      <c r="E197" t="inlineStr">
        <is>
          <t>Advanced</t>
        </is>
      </c>
      <c r="F197" t="n">
        <v>6.2</v>
      </c>
      <c r="G197" t="inlineStr">
        <is>
          <t>Technical</t>
        </is>
      </c>
      <c r="H197" t="inlineStr">
        <is>
          <t>Yes</t>
        </is>
      </c>
      <c r="I197" t="inlineStr">
        <is>
          <t>2016-05-04</t>
        </is>
      </c>
    </row>
    <row r="198">
      <c r="A198" t="n">
        <v/>
      </c>
      <c r="B198" t="n">
        <v>1018271</v>
      </c>
      <c r="C198" t="inlineStr">
        <is>
          <t>JavaScript</t>
        </is>
      </c>
      <c r="D198" t="inlineStr">
        <is>
          <t>Secondary</t>
        </is>
      </c>
      <c r="E198" t="inlineStr">
        <is>
          <t>Intermediate</t>
        </is>
      </c>
      <c r="F198" t="n">
        <v>4.7</v>
      </c>
      <c r="G198" t="inlineStr">
        <is>
          <t>Technical</t>
        </is>
      </c>
      <c r="H198" t="inlineStr">
        <is>
          <t>Yes</t>
        </is>
      </c>
      <c r="I198" t="inlineStr">
        <is>
          <t>2016-05-04</t>
        </is>
      </c>
    </row>
    <row r="199">
      <c r="A199" t="n">
        <v/>
      </c>
      <c r="B199" t="n">
        <v>1018271</v>
      </c>
      <c r="C199" t="inlineStr">
        <is>
          <t>HTML5</t>
        </is>
      </c>
      <c r="D199" t="inlineStr">
        <is>
          <t>Secondary</t>
        </is>
      </c>
      <c r="E199" t="inlineStr">
        <is>
          <t>Intermediate</t>
        </is>
      </c>
      <c r="F199" t="n">
        <v>3.1</v>
      </c>
      <c r="G199" t="inlineStr">
        <is>
          <t>Technical</t>
        </is>
      </c>
      <c r="H199" t="inlineStr">
        <is>
          <t>Yes</t>
        </is>
      </c>
      <c r="I199" t="inlineStr">
        <is>
          <t>2016-05-04</t>
        </is>
      </c>
    </row>
    <row r="200">
      <c r="A200" t="n">
        <v/>
      </c>
      <c r="B200" t="n">
        <v>1031867</v>
      </c>
      <c r="C200" t="inlineStr">
        <is>
          <t>Project &amp; Delivery Management</t>
        </is>
      </c>
      <c r="D200" t="inlineStr">
        <is>
          <t>Primary</t>
        </is>
      </c>
      <c r="E200" t="inlineStr">
        <is>
          <t>Advanced</t>
        </is>
      </c>
      <c r="F200" t="n">
        <v>7.9</v>
      </c>
      <c r="G200" t="inlineStr">
        <is>
          <t>Functional</t>
        </is>
      </c>
      <c r="H200" t="inlineStr">
        <is>
          <t>Yes</t>
        </is>
      </c>
      <c r="I200" t="inlineStr">
        <is>
          <t>2022-12-19</t>
        </is>
      </c>
    </row>
    <row r="201">
      <c r="A201" t="n">
        <v/>
      </c>
      <c r="B201" t="n">
        <v>1031867</v>
      </c>
      <c r="C201" t="inlineStr">
        <is>
          <t>Agile / Scrum</t>
        </is>
      </c>
      <c r="D201" t="inlineStr">
        <is>
          <t>Secondary</t>
        </is>
      </c>
      <c r="E201" t="inlineStr">
        <is>
          <t>Intermediate</t>
        </is>
      </c>
      <c r="F201" t="n">
        <v>4.7</v>
      </c>
      <c r="G201" t="inlineStr">
        <is>
          <t>Functional</t>
        </is>
      </c>
      <c r="H201" t="inlineStr">
        <is>
          <t>Yes</t>
        </is>
      </c>
      <c r="I201" t="inlineStr">
        <is>
          <t>2022-12-19</t>
        </is>
      </c>
    </row>
    <row r="202">
      <c r="A202" t="n">
        <v/>
      </c>
      <c r="B202" t="n">
        <v>1031867</v>
      </c>
      <c r="C202" t="inlineStr">
        <is>
          <t>Stakeholder Management</t>
        </is>
      </c>
      <c r="D202" t="inlineStr">
        <is>
          <t>Secondary</t>
        </is>
      </c>
      <c r="E202" t="inlineStr">
        <is>
          <t>Intermediate</t>
        </is>
      </c>
      <c r="F202" t="n">
        <v>3.6</v>
      </c>
      <c r="G202" t="inlineStr">
        <is>
          <t>Functional</t>
        </is>
      </c>
      <c r="H202" t="inlineStr">
        <is>
          <t>Yes</t>
        </is>
      </c>
      <c r="I202" t="inlineStr">
        <is>
          <t>2022-12-19</t>
        </is>
      </c>
    </row>
    <row r="203">
      <c r="A203" t="n">
        <v/>
      </c>
      <c r="B203" t="n">
        <v>1031867</v>
      </c>
      <c r="C203" t="inlineStr">
        <is>
          <t>Resource Planning</t>
        </is>
      </c>
      <c r="D203" t="inlineStr">
        <is>
          <t>Secondary</t>
        </is>
      </c>
      <c r="E203" t="inlineStr">
        <is>
          <t>Intermediate</t>
        </is>
      </c>
      <c r="F203" t="n">
        <v>2.4</v>
      </c>
      <c r="G203" t="inlineStr">
        <is>
          <t>Functional</t>
        </is>
      </c>
      <c r="H203" t="inlineStr">
        <is>
          <t>Yes</t>
        </is>
      </c>
      <c r="I203" t="inlineStr">
        <is>
          <t>2022-12-19</t>
        </is>
      </c>
    </row>
    <row r="204">
      <c r="A204" t="n">
        <v/>
      </c>
      <c r="B204" t="n">
        <v>1025532</v>
      </c>
      <c r="C204" t="inlineStr">
        <is>
          <t>Technical Documentation &amp; Content</t>
        </is>
      </c>
      <c r="D204" t="inlineStr">
        <is>
          <t>Primary</t>
        </is>
      </c>
      <c r="E204" t="inlineStr">
        <is>
          <t>Advanced</t>
        </is>
      </c>
      <c r="F204" t="n">
        <v>5.7</v>
      </c>
      <c r="G204" t="inlineStr">
        <is>
          <t>Functional</t>
        </is>
      </c>
      <c r="H204" t="inlineStr">
        <is>
          <t>Yes</t>
        </is>
      </c>
      <c r="I204" t="inlineStr">
        <is>
          <t>2021-06-14</t>
        </is>
      </c>
    </row>
    <row r="205">
      <c r="A205" t="n">
        <v/>
      </c>
      <c r="B205" t="n">
        <v>1025532</v>
      </c>
      <c r="C205" t="inlineStr">
        <is>
          <t>API Documentation</t>
        </is>
      </c>
      <c r="D205" t="inlineStr">
        <is>
          <t>Secondary</t>
        </is>
      </c>
      <c r="E205" t="inlineStr">
        <is>
          <t>Intermediate</t>
        </is>
      </c>
      <c r="F205" t="n">
        <v>3.4</v>
      </c>
      <c r="G205" t="inlineStr">
        <is>
          <t>Functional</t>
        </is>
      </c>
      <c r="H205" t="inlineStr">
        <is>
          <t>Yes</t>
        </is>
      </c>
      <c r="I205" t="inlineStr">
        <is>
          <t>2021-06-14</t>
        </is>
      </c>
    </row>
    <row r="206">
      <c r="A206" t="n">
        <v/>
      </c>
      <c r="B206" t="n">
        <v>1025532</v>
      </c>
      <c r="C206" t="inlineStr">
        <is>
          <t>User Manuals</t>
        </is>
      </c>
      <c r="D206" t="inlineStr">
        <is>
          <t>Secondary</t>
        </is>
      </c>
      <c r="E206" t="inlineStr">
        <is>
          <t>Intermediate</t>
        </is>
      </c>
      <c r="F206" t="n">
        <v>2.6</v>
      </c>
      <c r="G206" t="inlineStr">
        <is>
          <t>Functional</t>
        </is>
      </c>
      <c r="H206" t="inlineStr">
        <is>
          <t>Yes</t>
        </is>
      </c>
      <c r="I206" t="inlineStr">
        <is>
          <t>2021-06-14</t>
        </is>
      </c>
    </row>
    <row r="207">
      <c r="A207" t="n">
        <v/>
      </c>
      <c r="B207" t="n">
        <v>1025532</v>
      </c>
      <c r="C207" t="inlineStr">
        <is>
          <t>Markdown</t>
        </is>
      </c>
      <c r="D207" t="inlineStr">
        <is>
          <t>Secondary</t>
        </is>
      </c>
      <c r="E207" t="inlineStr">
        <is>
          <t>Intermediate</t>
        </is>
      </c>
      <c r="F207" t="n">
        <v>1.7</v>
      </c>
      <c r="G207" t="inlineStr">
        <is>
          <t>Functional</t>
        </is>
      </c>
      <c r="H207" t="inlineStr">
        <is>
          <t>Yes</t>
        </is>
      </c>
      <c r="I207" t="inlineStr">
        <is>
          <t>2021-06-14</t>
        </is>
      </c>
    </row>
    <row r="208">
      <c r="A208" t="n">
        <v/>
      </c>
      <c r="B208" t="n">
        <v>1019295</v>
      </c>
      <c r="C208" t="inlineStr">
        <is>
          <t>Project &amp; Delivery Management</t>
        </is>
      </c>
      <c r="D208" t="inlineStr">
        <is>
          <t>Primary</t>
        </is>
      </c>
      <c r="E208" t="inlineStr">
        <is>
          <t>Advanced</t>
        </is>
      </c>
      <c r="F208" t="n">
        <v>13.1</v>
      </c>
      <c r="G208" t="inlineStr">
        <is>
          <t>Functional</t>
        </is>
      </c>
      <c r="H208" t="inlineStr">
        <is>
          <t>Yes</t>
        </is>
      </c>
      <c r="I208" t="inlineStr">
        <is>
          <t>2017-03-30</t>
        </is>
      </c>
    </row>
    <row r="209">
      <c r="A209" t="n">
        <v/>
      </c>
      <c r="B209" t="n">
        <v>1019295</v>
      </c>
      <c r="C209" t="inlineStr">
        <is>
          <t>Agile / Scrum</t>
        </is>
      </c>
      <c r="D209" t="inlineStr">
        <is>
          <t>Secondary</t>
        </is>
      </c>
      <c r="E209" t="inlineStr">
        <is>
          <t>Advanced</t>
        </is>
      </c>
      <c r="F209" t="n">
        <v>7.9</v>
      </c>
      <c r="G209" t="inlineStr">
        <is>
          <t>Functional</t>
        </is>
      </c>
      <c r="H209" t="inlineStr">
        <is>
          <t>Yes</t>
        </is>
      </c>
      <c r="I209" t="inlineStr">
        <is>
          <t>2017-03-30</t>
        </is>
      </c>
    </row>
    <row r="210">
      <c r="A210" t="n">
        <v/>
      </c>
      <c r="B210" t="n">
        <v>1019295</v>
      </c>
      <c r="C210" t="inlineStr">
        <is>
          <t>Stakeholder Management</t>
        </is>
      </c>
      <c r="D210" t="inlineStr">
        <is>
          <t>Secondary</t>
        </is>
      </c>
      <c r="E210" t="inlineStr">
        <is>
          <t>Advanced</t>
        </is>
      </c>
      <c r="F210" t="n">
        <v>5.9</v>
      </c>
      <c r="G210" t="inlineStr">
        <is>
          <t>Functional</t>
        </is>
      </c>
      <c r="H210" t="inlineStr">
        <is>
          <t>Yes</t>
        </is>
      </c>
      <c r="I210" t="inlineStr">
        <is>
          <t>2017-03-30</t>
        </is>
      </c>
    </row>
    <row r="211">
      <c r="A211" t="n">
        <v/>
      </c>
      <c r="B211" t="n">
        <v>1019295</v>
      </c>
      <c r="C211" t="inlineStr">
        <is>
          <t>Resource Planning</t>
        </is>
      </c>
      <c r="D211" t="inlineStr">
        <is>
          <t>Secondary</t>
        </is>
      </c>
      <c r="E211" t="inlineStr">
        <is>
          <t>Intermediate</t>
        </is>
      </c>
      <c r="F211" t="n">
        <v>3.9</v>
      </c>
      <c r="G211" t="inlineStr">
        <is>
          <t>Functional</t>
        </is>
      </c>
      <c r="H211" t="inlineStr">
        <is>
          <t>Yes</t>
        </is>
      </c>
      <c r="I211" t="inlineStr">
        <is>
          <t>2017-03-30</t>
        </is>
      </c>
    </row>
    <row r="212">
      <c r="A212" t="n">
        <v/>
      </c>
      <c r="B212" t="n">
        <v>1008177</v>
      </c>
      <c r="C212" t="inlineStr">
        <is>
          <t>Cloud &amp; DevOps (AWS / K8s)</t>
        </is>
      </c>
      <c r="D212" t="inlineStr">
        <is>
          <t>Primary</t>
        </is>
      </c>
      <c r="E212" t="inlineStr">
        <is>
          <t>Advanced</t>
        </is>
      </c>
      <c r="F212" t="n">
        <v>15.4</v>
      </c>
      <c r="G212" t="inlineStr">
        <is>
          <t>Technical</t>
        </is>
      </c>
      <c r="H212" t="inlineStr">
        <is>
          <t>Yes</t>
        </is>
      </c>
      <c r="I212" t="inlineStr">
        <is>
          <t>2010-11-10</t>
        </is>
      </c>
    </row>
    <row r="213">
      <c r="A213" t="n">
        <v/>
      </c>
      <c r="B213" t="n">
        <v>1008177</v>
      </c>
      <c r="C213" t="inlineStr">
        <is>
          <t>Linux</t>
        </is>
      </c>
      <c r="D213" t="inlineStr">
        <is>
          <t>Secondary</t>
        </is>
      </c>
      <c r="E213" t="inlineStr">
        <is>
          <t>Advanced</t>
        </is>
      </c>
      <c r="F213" t="n">
        <v>9.199999999999999</v>
      </c>
      <c r="G213" t="inlineStr">
        <is>
          <t>Technical</t>
        </is>
      </c>
      <c r="H213" t="inlineStr">
        <is>
          <t>Yes</t>
        </is>
      </c>
      <c r="I213" t="inlineStr">
        <is>
          <t>2010-11-10</t>
        </is>
      </c>
    </row>
    <row r="214">
      <c r="A214" t="n">
        <v/>
      </c>
      <c r="B214" t="n">
        <v>1008177</v>
      </c>
      <c r="C214" t="inlineStr">
        <is>
          <t>Docker</t>
        </is>
      </c>
      <c r="D214" t="inlineStr">
        <is>
          <t>Secondary</t>
        </is>
      </c>
      <c r="E214" t="inlineStr">
        <is>
          <t>Advanced</t>
        </is>
      </c>
      <c r="F214" t="n">
        <v>6.9</v>
      </c>
      <c r="G214" t="inlineStr">
        <is>
          <t>Technical</t>
        </is>
      </c>
      <c r="H214" t="inlineStr">
        <is>
          <t>Yes</t>
        </is>
      </c>
      <c r="I214" t="inlineStr">
        <is>
          <t>2010-11-10</t>
        </is>
      </c>
    </row>
    <row r="215">
      <c r="A215" t="n">
        <v/>
      </c>
      <c r="B215" t="n">
        <v>1008177</v>
      </c>
      <c r="C215" t="inlineStr">
        <is>
          <t>Kubernetes</t>
        </is>
      </c>
      <c r="D215" t="inlineStr">
        <is>
          <t>Secondary</t>
        </is>
      </c>
      <c r="E215" t="inlineStr">
        <is>
          <t>Intermediate</t>
        </is>
      </c>
      <c r="F215" t="n">
        <v>4.6</v>
      </c>
      <c r="G215" t="inlineStr">
        <is>
          <t>Technical</t>
        </is>
      </c>
      <c r="H215" t="inlineStr">
        <is>
          <t>Yes</t>
        </is>
      </c>
      <c r="I215" t="inlineStr">
        <is>
          <t>2010-11-10</t>
        </is>
      </c>
    </row>
    <row r="216">
      <c r="A216" t="n">
        <v/>
      </c>
      <c r="B216" t="n">
        <v>1019765</v>
      </c>
      <c r="C216" t="inlineStr">
        <is>
          <t>Project &amp; Delivery Management</t>
        </is>
      </c>
      <c r="D216" t="inlineStr">
        <is>
          <t>Primary</t>
        </is>
      </c>
      <c r="E216" t="inlineStr">
        <is>
          <t>Advanced</t>
        </is>
      </c>
      <c r="F216" t="n">
        <v>6.4</v>
      </c>
      <c r="G216" t="inlineStr">
        <is>
          <t>Functional</t>
        </is>
      </c>
      <c r="H216" t="inlineStr">
        <is>
          <t>Yes</t>
        </is>
      </c>
      <c r="I216" t="inlineStr">
        <is>
          <t>2017-08-30</t>
        </is>
      </c>
    </row>
    <row r="217">
      <c r="A217" t="n">
        <v/>
      </c>
      <c r="B217" t="n">
        <v>1019765</v>
      </c>
      <c r="C217" t="inlineStr">
        <is>
          <t>Agile / Scrum</t>
        </is>
      </c>
      <c r="D217" t="inlineStr">
        <is>
          <t>Secondary</t>
        </is>
      </c>
      <c r="E217" t="inlineStr">
        <is>
          <t>Intermediate</t>
        </is>
      </c>
      <c r="F217" t="n">
        <v>3.8</v>
      </c>
      <c r="G217" t="inlineStr">
        <is>
          <t>Functional</t>
        </is>
      </c>
      <c r="H217" t="inlineStr">
        <is>
          <t>Yes</t>
        </is>
      </c>
      <c r="I217" t="inlineStr">
        <is>
          <t>2017-08-30</t>
        </is>
      </c>
    </row>
    <row r="218">
      <c r="A218" t="n">
        <v/>
      </c>
      <c r="B218" t="n">
        <v>1019765</v>
      </c>
      <c r="C218" t="inlineStr">
        <is>
          <t>Stakeholder Management</t>
        </is>
      </c>
      <c r="D218" t="inlineStr">
        <is>
          <t>Secondary</t>
        </is>
      </c>
      <c r="E218" t="inlineStr">
        <is>
          <t>Intermediate</t>
        </is>
      </c>
      <c r="F218" t="n">
        <v>2.9</v>
      </c>
      <c r="G218" t="inlineStr">
        <is>
          <t>Functional</t>
        </is>
      </c>
      <c r="H218" t="inlineStr">
        <is>
          <t>Yes</t>
        </is>
      </c>
      <c r="I218" t="inlineStr">
        <is>
          <t>2017-08-30</t>
        </is>
      </c>
    </row>
    <row r="219">
      <c r="A219" t="n">
        <v/>
      </c>
      <c r="B219" t="n">
        <v>1019765</v>
      </c>
      <c r="C219" t="inlineStr">
        <is>
          <t>Resource Planning</t>
        </is>
      </c>
      <c r="D219" t="inlineStr">
        <is>
          <t>Secondary</t>
        </is>
      </c>
      <c r="E219" t="inlineStr">
        <is>
          <t>Intermediate</t>
        </is>
      </c>
      <c r="F219" t="n">
        <v>1.9</v>
      </c>
      <c r="G219" t="inlineStr">
        <is>
          <t>Functional</t>
        </is>
      </c>
      <c r="H219" t="inlineStr">
        <is>
          <t>Yes</t>
        </is>
      </c>
      <c r="I219" t="inlineStr">
        <is>
          <t>2017-08-30</t>
        </is>
      </c>
    </row>
    <row r="220">
      <c r="A220" t="n">
        <v/>
      </c>
      <c r="B220" t="n">
        <v>1013201</v>
      </c>
      <c r="C220" t="inlineStr">
        <is>
          <t>Project &amp; Delivery Management</t>
        </is>
      </c>
      <c r="D220" t="inlineStr">
        <is>
          <t>Primary</t>
        </is>
      </c>
      <c r="E220" t="inlineStr">
        <is>
          <t>Advanced</t>
        </is>
      </c>
      <c r="F220" t="n">
        <v>10.2</v>
      </c>
      <c r="G220" t="inlineStr">
        <is>
          <t>Functional</t>
        </is>
      </c>
      <c r="H220" t="inlineStr">
        <is>
          <t>Yes</t>
        </is>
      </c>
      <c r="I220" t="inlineStr">
        <is>
          <t>2013-06-03</t>
        </is>
      </c>
    </row>
    <row r="221">
      <c r="A221" t="n">
        <v/>
      </c>
      <c r="B221" t="n">
        <v>1013201</v>
      </c>
      <c r="C221" t="inlineStr">
        <is>
          <t>Agile / Scrum</t>
        </is>
      </c>
      <c r="D221" t="inlineStr">
        <is>
          <t>Secondary</t>
        </is>
      </c>
      <c r="E221" t="inlineStr">
        <is>
          <t>Advanced</t>
        </is>
      </c>
      <c r="F221" t="n">
        <v>6.1</v>
      </c>
      <c r="G221" t="inlineStr">
        <is>
          <t>Functional</t>
        </is>
      </c>
      <c r="H221" t="inlineStr">
        <is>
          <t>Yes</t>
        </is>
      </c>
      <c r="I221" t="inlineStr">
        <is>
          <t>2013-06-03</t>
        </is>
      </c>
    </row>
    <row r="222">
      <c r="A222" t="n">
        <v/>
      </c>
      <c r="B222" t="n">
        <v>1013201</v>
      </c>
      <c r="C222" t="inlineStr">
        <is>
          <t>Stakeholder Management</t>
        </is>
      </c>
      <c r="D222" t="inlineStr">
        <is>
          <t>Secondary</t>
        </is>
      </c>
      <c r="E222" t="inlineStr">
        <is>
          <t>Intermediate</t>
        </is>
      </c>
      <c r="F222" t="n">
        <v>4.6</v>
      </c>
      <c r="G222" t="inlineStr">
        <is>
          <t>Functional</t>
        </is>
      </c>
      <c r="H222" t="inlineStr">
        <is>
          <t>Yes</t>
        </is>
      </c>
      <c r="I222" t="inlineStr">
        <is>
          <t>2013-06-03</t>
        </is>
      </c>
    </row>
    <row r="223">
      <c r="A223" t="n">
        <v/>
      </c>
      <c r="B223" t="n">
        <v>1013201</v>
      </c>
      <c r="C223" t="inlineStr">
        <is>
          <t>Resource Planning</t>
        </is>
      </c>
      <c r="D223" t="inlineStr">
        <is>
          <t>Secondary</t>
        </is>
      </c>
      <c r="E223" t="inlineStr">
        <is>
          <t>Intermediate</t>
        </is>
      </c>
      <c r="F223" t="n">
        <v>3.1</v>
      </c>
      <c r="G223" t="inlineStr">
        <is>
          <t>Functional</t>
        </is>
      </c>
      <c r="H223" t="inlineStr">
        <is>
          <t>Yes</t>
        </is>
      </c>
      <c r="I223" t="inlineStr">
        <is>
          <t>2013-06-03</t>
        </is>
      </c>
    </row>
    <row r="224">
      <c r="A224" t="n">
        <v/>
      </c>
      <c r="B224" t="n">
        <v>1032896</v>
      </c>
      <c r="C224" t="inlineStr">
        <is>
          <t>Project &amp; Delivery Management</t>
        </is>
      </c>
      <c r="D224" t="inlineStr">
        <is>
          <t>Primary</t>
        </is>
      </c>
      <c r="E224" t="inlineStr">
        <is>
          <t>Advanced</t>
        </is>
      </c>
      <c r="F224" t="n">
        <v>1.2</v>
      </c>
      <c r="G224" t="inlineStr">
        <is>
          <t>Functional</t>
        </is>
      </c>
      <c r="H224" t="inlineStr">
        <is>
          <t>Yes</t>
        </is>
      </c>
      <c r="I224" t="inlineStr">
        <is>
          <t>2023-06-05</t>
        </is>
      </c>
    </row>
    <row r="225">
      <c r="A225" t="n">
        <v/>
      </c>
      <c r="B225" t="n">
        <v>1032896</v>
      </c>
      <c r="C225" t="inlineStr">
        <is>
          <t>Agile / Scrum</t>
        </is>
      </c>
      <c r="D225" t="inlineStr">
        <is>
          <t>Secondary</t>
        </is>
      </c>
      <c r="E225" t="inlineStr">
        <is>
          <t>Beginner</t>
        </is>
      </c>
      <c r="F225" t="n">
        <v>0.7</v>
      </c>
      <c r="G225" t="inlineStr">
        <is>
          <t>Functional</t>
        </is>
      </c>
      <c r="H225" t="inlineStr">
        <is>
          <t>Yes</t>
        </is>
      </c>
      <c r="I225" t="inlineStr">
        <is>
          <t>2023-06-05</t>
        </is>
      </c>
    </row>
    <row r="226">
      <c r="A226" t="n">
        <v/>
      </c>
      <c r="B226" t="n">
        <v>1032896</v>
      </c>
      <c r="C226" t="inlineStr">
        <is>
          <t>Stakeholder Management</t>
        </is>
      </c>
      <c r="D226" t="inlineStr">
        <is>
          <t>Secondary</t>
        </is>
      </c>
      <c r="E226" t="inlineStr">
        <is>
          <t>Beginner</t>
        </is>
      </c>
      <c r="F226" t="n">
        <v>0.5</v>
      </c>
      <c r="G226" t="inlineStr">
        <is>
          <t>Functional</t>
        </is>
      </c>
      <c r="H226" t="inlineStr">
        <is>
          <t>Yes</t>
        </is>
      </c>
      <c r="I226" t="inlineStr">
        <is>
          <t>2023-06-05</t>
        </is>
      </c>
    </row>
    <row r="227">
      <c r="A227" t="n">
        <v/>
      </c>
      <c r="B227" t="n">
        <v>1025126</v>
      </c>
      <c r="C227" t="inlineStr">
        <is>
          <t>Project &amp; Delivery Management</t>
        </is>
      </c>
      <c r="D227" t="inlineStr">
        <is>
          <t>Primary</t>
        </is>
      </c>
      <c r="E227" t="inlineStr">
        <is>
          <t>Advanced</t>
        </is>
      </c>
      <c r="F227" t="n">
        <v>9.4</v>
      </c>
      <c r="G227" t="inlineStr">
        <is>
          <t>Functional</t>
        </is>
      </c>
      <c r="H227" t="inlineStr">
        <is>
          <t>Yes</t>
        </is>
      </c>
      <c r="I227" t="inlineStr">
        <is>
          <t>2021-04-26</t>
        </is>
      </c>
    </row>
    <row r="228">
      <c r="A228" t="n">
        <v/>
      </c>
      <c r="B228" t="n">
        <v>1025126</v>
      </c>
      <c r="C228" t="inlineStr">
        <is>
          <t>Agile / Scrum</t>
        </is>
      </c>
      <c r="D228" t="inlineStr">
        <is>
          <t>Secondary</t>
        </is>
      </c>
      <c r="E228" t="inlineStr">
        <is>
          <t>Advanced</t>
        </is>
      </c>
      <c r="F228" t="n">
        <v>5.6</v>
      </c>
      <c r="G228" t="inlineStr">
        <is>
          <t>Functional</t>
        </is>
      </c>
      <c r="H228" t="inlineStr">
        <is>
          <t>Yes</t>
        </is>
      </c>
      <c r="I228" t="inlineStr">
        <is>
          <t>2021-04-26</t>
        </is>
      </c>
    </row>
    <row r="229">
      <c r="A229" t="n">
        <v/>
      </c>
      <c r="B229" t="n">
        <v>1025126</v>
      </c>
      <c r="C229" t="inlineStr">
        <is>
          <t>Stakeholder Management</t>
        </is>
      </c>
      <c r="D229" t="inlineStr">
        <is>
          <t>Secondary</t>
        </is>
      </c>
      <c r="E229" t="inlineStr">
        <is>
          <t>Intermediate</t>
        </is>
      </c>
      <c r="F229" t="n">
        <v>4.2</v>
      </c>
      <c r="G229" t="inlineStr">
        <is>
          <t>Functional</t>
        </is>
      </c>
      <c r="H229" t="inlineStr">
        <is>
          <t>Yes</t>
        </is>
      </c>
      <c r="I229" t="inlineStr">
        <is>
          <t>2021-04-26</t>
        </is>
      </c>
    </row>
    <row r="230">
      <c r="A230" t="n">
        <v/>
      </c>
      <c r="B230" t="n">
        <v>1025126</v>
      </c>
      <c r="C230" t="inlineStr">
        <is>
          <t>Resource Planning</t>
        </is>
      </c>
      <c r="D230" t="inlineStr">
        <is>
          <t>Secondary</t>
        </is>
      </c>
      <c r="E230" t="inlineStr">
        <is>
          <t>Intermediate</t>
        </is>
      </c>
      <c r="F230" t="n">
        <v>2.8</v>
      </c>
      <c r="G230" t="inlineStr">
        <is>
          <t>Functional</t>
        </is>
      </c>
      <c r="H230" t="inlineStr">
        <is>
          <t>Yes</t>
        </is>
      </c>
      <c r="I230" t="inlineStr">
        <is>
          <t>2021-04-26</t>
        </is>
      </c>
    </row>
    <row r="231">
      <c r="A231" t="n">
        <v/>
      </c>
      <c r="B231" t="n">
        <v>1024996</v>
      </c>
      <c r="C231" t="inlineStr">
        <is>
          <t>Project &amp; Delivery Management</t>
        </is>
      </c>
      <c r="D231" t="inlineStr">
        <is>
          <t>Primary</t>
        </is>
      </c>
      <c r="E231" t="inlineStr">
        <is>
          <t>Advanced</t>
        </is>
      </c>
      <c r="F231" t="n">
        <v>3.2</v>
      </c>
      <c r="G231" t="inlineStr">
        <is>
          <t>Functional</t>
        </is>
      </c>
      <c r="H231" t="inlineStr">
        <is>
          <t>Yes</t>
        </is>
      </c>
      <c r="I231" t="inlineStr">
        <is>
          <t>2021-04-07</t>
        </is>
      </c>
    </row>
    <row r="232">
      <c r="A232" t="n">
        <v/>
      </c>
      <c r="B232" t="n">
        <v>1024996</v>
      </c>
      <c r="C232" t="inlineStr">
        <is>
          <t>Agile / Scrum</t>
        </is>
      </c>
      <c r="D232" t="inlineStr">
        <is>
          <t>Secondary</t>
        </is>
      </c>
      <c r="E232" t="inlineStr">
        <is>
          <t>Intermediate</t>
        </is>
      </c>
      <c r="F232" t="n">
        <v>1.9</v>
      </c>
      <c r="G232" t="inlineStr">
        <is>
          <t>Functional</t>
        </is>
      </c>
      <c r="H232" t="inlineStr">
        <is>
          <t>Yes</t>
        </is>
      </c>
      <c r="I232" t="inlineStr">
        <is>
          <t>2021-04-07</t>
        </is>
      </c>
    </row>
    <row r="233">
      <c r="A233" t="n">
        <v/>
      </c>
      <c r="B233" t="n">
        <v>1024996</v>
      </c>
      <c r="C233" t="inlineStr">
        <is>
          <t>Stakeholder Management</t>
        </is>
      </c>
      <c r="D233" t="inlineStr">
        <is>
          <t>Secondary</t>
        </is>
      </c>
      <c r="E233" t="inlineStr">
        <is>
          <t>Beginner</t>
        </is>
      </c>
      <c r="F233" t="n">
        <v>1.4</v>
      </c>
      <c r="G233" t="inlineStr">
        <is>
          <t>Functional</t>
        </is>
      </c>
      <c r="H233" t="inlineStr">
        <is>
          <t>Yes</t>
        </is>
      </c>
      <c r="I233" t="inlineStr">
        <is>
          <t>2021-04-07</t>
        </is>
      </c>
    </row>
    <row r="234">
      <c r="A234" t="n">
        <v/>
      </c>
      <c r="B234" t="n">
        <v>1024996</v>
      </c>
      <c r="C234" t="inlineStr">
        <is>
          <t>Resource Planning</t>
        </is>
      </c>
      <c r="D234" t="inlineStr">
        <is>
          <t>Secondary</t>
        </is>
      </c>
      <c r="E234" t="inlineStr">
        <is>
          <t>Beginner</t>
        </is>
      </c>
      <c r="F234" t="n">
        <v>1</v>
      </c>
      <c r="G234" t="inlineStr">
        <is>
          <t>Functional</t>
        </is>
      </c>
      <c r="H234" t="inlineStr">
        <is>
          <t>Yes</t>
        </is>
      </c>
      <c r="I234" t="inlineStr">
        <is>
          <t>2021-04-07</t>
        </is>
      </c>
    </row>
    <row r="235">
      <c r="A235" t="n">
        <v/>
      </c>
      <c r="B235" t="n">
        <v>1027666</v>
      </c>
      <c r="C235" t="inlineStr">
        <is>
          <t>Frontend (Angular / TypeScript)</t>
        </is>
      </c>
      <c r="D235" t="inlineStr">
        <is>
          <t>Primary</t>
        </is>
      </c>
      <c r="E235" t="inlineStr">
        <is>
          <t>Advanced</t>
        </is>
      </c>
      <c r="F235" t="n">
        <v>7</v>
      </c>
      <c r="G235" t="inlineStr">
        <is>
          <t>Technical</t>
        </is>
      </c>
      <c r="H235" t="inlineStr">
        <is>
          <t>Yes</t>
        </is>
      </c>
      <c r="I235" t="inlineStr">
        <is>
          <t>2021-12-15</t>
        </is>
      </c>
    </row>
    <row r="236">
      <c r="A236" t="n">
        <v/>
      </c>
      <c r="B236" t="n">
        <v>1027666</v>
      </c>
      <c r="C236" t="inlineStr">
        <is>
          <t>TypeScript</t>
        </is>
      </c>
      <c r="D236" t="inlineStr">
        <is>
          <t>Secondary</t>
        </is>
      </c>
      <c r="E236" t="inlineStr">
        <is>
          <t>Intermediate</t>
        </is>
      </c>
      <c r="F236" t="n">
        <v>4.2</v>
      </c>
      <c r="G236" t="inlineStr">
        <is>
          <t>Technical</t>
        </is>
      </c>
      <c r="H236" t="inlineStr">
        <is>
          <t>Yes</t>
        </is>
      </c>
      <c r="I236" t="inlineStr">
        <is>
          <t>2021-12-15</t>
        </is>
      </c>
    </row>
    <row r="237">
      <c r="A237" t="n">
        <v/>
      </c>
      <c r="B237" t="n">
        <v>1027666</v>
      </c>
      <c r="C237" t="inlineStr">
        <is>
          <t>JavaScript</t>
        </is>
      </c>
      <c r="D237" t="inlineStr">
        <is>
          <t>Secondary</t>
        </is>
      </c>
      <c r="E237" t="inlineStr">
        <is>
          <t>Intermediate</t>
        </is>
      </c>
      <c r="F237" t="n">
        <v>3.1</v>
      </c>
      <c r="G237" t="inlineStr">
        <is>
          <t>Technical</t>
        </is>
      </c>
      <c r="H237" t="inlineStr">
        <is>
          <t>Yes</t>
        </is>
      </c>
      <c r="I237" t="inlineStr">
        <is>
          <t>2021-12-15</t>
        </is>
      </c>
    </row>
    <row r="238">
      <c r="A238" t="n">
        <v/>
      </c>
      <c r="B238" t="n">
        <v>1027666</v>
      </c>
      <c r="C238" t="inlineStr">
        <is>
          <t>HTML5</t>
        </is>
      </c>
      <c r="D238" t="inlineStr">
        <is>
          <t>Secondary</t>
        </is>
      </c>
      <c r="E238" t="inlineStr">
        <is>
          <t>Intermediate</t>
        </is>
      </c>
      <c r="F238" t="n">
        <v>2.1</v>
      </c>
      <c r="G238" t="inlineStr">
        <is>
          <t>Technical</t>
        </is>
      </c>
      <c r="H238" t="inlineStr">
        <is>
          <t>Yes</t>
        </is>
      </c>
      <c r="I238" t="inlineStr">
        <is>
          <t>2021-12-15</t>
        </is>
      </c>
    </row>
    <row r="239">
      <c r="A239" t="n">
        <v/>
      </c>
      <c r="B239" t="n">
        <v>1025129</v>
      </c>
      <c r="C239" t="inlineStr">
        <is>
          <t>Project &amp; Delivery Management</t>
        </is>
      </c>
      <c r="D239" t="inlineStr">
        <is>
          <t>Primary</t>
        </is>
      </c>
      <c r="E239" t="inlineStr">
        <is>
          <t>Advanced</t>
        </is>
      </c>
      <c r="F239" t="n">
        <v>3.1</v>
      </c>
      <c r="G239" t="inlineStr">
        <is>
          <t>Functional</t>
        </is>
      </c>
      <c r="H239" t="inlineStr">
        <is>
          <t>Yes</t>
        </is>
      </c>
      <c r="I239" t="inlineStr">
        <is>
          <t>2021-04-26</t>
        </is>
      </c>
    </row>
    <row r="240">
      <c r="A240" t="n">
        <v/>
      </c>
      <c r="B240" t="n">
        <v>1025129</v>
      </c>
      <c r="C240" t="inlineStr">
        <is>
          <t>Agile / Scrum</t>
        </is>
      </c>
      <c r="D240" t="inlineStr">
        <is>
          <t>Secondary</t>
        </is>
      </c>
      <c r="E240" t="inlineStr">
        <is>
          <t>Intermediate</t>
        </is>
      </c>
      <c r="F240" t="n">
        <v>1.9</v>
      </c>
      <c r="G240" t="inlineStr">
        <is>
          <t>Functional</t>
        </is>
      </c>
      <c r="H240" t="inlineStr">
        <is>
          <t>Yes</t>
        </is>
      </c>
      <c r="I240" t="inlineStr">
        <is>
          <t>2021-04-26</t>
        </is>
      </c>
    </row>
    <row r="241">
      <c r="A241" t="n">
        <v/>
      </c>
      <c r="B241" t="n">
        <v>1025129</v>
      </c>
      <c r="C241" t="inlineStr">
        <is>
          <t>Stakeholder Management</t>
        </is>
      </c>
      <c r="D241" t="inlineStr">
        <is>
          <t>Secondary</t>
        </is>
      </c>
      <c r="E241" t="inlineStr">
        <is>
          <t>Beginner</t>
        </is>
      </c>
      <c r="F241" t="n">
        <v>1.4</v>
      </c>
      <c r="G241" t="inlineStr">
        <is>
          <t>Functional</t>
        </is>
      </c>
      <c r="H241" t="inlineStr">
        <is>
          <t>Yes</t>
        </is>
      </c>
      <c r="I241" t="inlineStr">
        <is>
          <t>2021-04-26</t>
        </is>
      </c>
    </row>
    <row r="242">
      <c r="A242" t="n">
        <v/>
      </c>
      <c r="B242" t="n">
        <v>1025129</v>
      </c>
      <c r="C242" t="inlineStr">
        <is>
          <t>Resource Planning</t>
        </is>
      </c>
      <c r="D242" t="inlineStr">
        <is>
          <t>Secondary</t>
        </is>
      </c>
      <c r="E242" t="inlineStr">
        <is>
          <t>Beginner</t>
        </is>
      </c>
      <c r="F242" t="n">
        <v>0.9</v>
      </c>
      <c r="G242" t="inlineStr">
        <is>
          <t>Functional</t>
        </is>
      </c>
      <c r="H242" t="inlineStr">
        <is>
          <t>Yes</t>
        </is>
      </c>
      <c r="I242" t="inlineStr">
        <is>
          <t>2021-04-26</t>
        </is>
      </c>
    </row>
    <row r="243">
      <c r="A243" t="n">
        <v/>
      </c>
      <c r="B243" t="n">
        <v>1025395</v>
      </c>
      <c r="C243" t="inlineStr">
        <is>
          <t>Python / Data Engineering</t>
        </is>
      </c>
      <c r="D243" t="inlineStr">
        <is>
          <t>Primary</t>
        </is>
      </c>
      <c r="E243" t="inlineStr">
        <is>
          <t>Advanced</t>
        </is>
      </c>
      <c r="F243" t="n">
        <v>9.300000000000001</v>
      </c>
      <c r="G243" t="inlineStr">
        <is>
          <t>Technical</t>
        </is>
      </c>
      <c r="H243" t="inlineStr">
        <is>
          <t>Yes</t>
        </is>
      </c>
      <c r="I243" t="inlineStr">
        <is>
          <t>2021-05-31</t>
        </is>
      </c>
    </row>
    <row r="244">
      <c r="A244" t="n">
        <v/>
      </c>
      <c r="B244" t="n">
        <v>1025395</v>
      </c>
      <c r="C244" t="inlineStr">
        <is>
          <t>SQL</t>
        </is>
      </c>
      <c r="D244" t="inlineStr">
        <is>
          <t>Secondary</t>
        </is>
      </c>
      <c r="E244" t="inlineStr">
        <is>
          <t>Advanced</t>
        </is>
      </c>
      <c r="F244" t="n">
        <v>5.6</v>
      </c>
      <c r="G244" t="inlineStr">
        <is>
          <t>Technical</t>
        </is>
      </c>
      <c r="H244" t="inlineStr">
        <is>
          <t>Yes</t>
        </is>
      </c>
      <c r="I244" t="inlineStr">
        <is>
          <t>2021-05-31</t>
        </is>
      </c>
    </row>
    <row r="245">
      <c r="A245" t="n">
        <v/>
      </c>
      <c r="B245" t="n">
        <v>1025395</v>
      </c>
      <c r="C245" t="inlineStr">
        <is>
          <t>Docker</t>
        </is>
      </c>
      <c r="D245" t="inlineStr">
        <is>
          <t>Secondary</t>
        </is>
      </c>
      <c r="E245" t="inlineStr">
        <is>
          <t>Intermediate</t>
        </is>
      </c>
      <c r="F245" t="n">
        <v>4.2</v>
      </c>
      <c r="G245" t="inlineStr">
        <is>
          <t>Technical</t>
        </is>
      </c>
      <c r="H245" t="inlineStr">
        <is>
          <t>Yes</t>
        </is>
      </c>
      <c r="I245" t="inlineStr">
        <is>
          <t>2021-05-31</t>
        </is>
      </c>
    </row>
    <row r="246">
      <c r="A246" t="n">
        <v/>
      </c>
      <c r="B246" t="n">
        <v>1025395</v>
      </c>
      <c r="C246" t="inlineStr">
        <is>
          <t>Pandas</t>
        </is>
      </c>
      <c r="D246" t="inlineStr">
        <is>
          <t>Secondary</t>
        </is>
      </c>
      <c r="E246" t="inlineStr">
        <is>
          <t>Intermediate</t>
        </is>
      </c>
      <c r="F246" t="n">
        <v>2.8</v>
      </c>
      <c r="G246" t="inlineStr">
        <is>
          <t>Technical</t>
        </is>
      </c>
      <c r="H246" t="inlineStr">
        <is>
          <t>Yes</t>
        </is>
      </c>
      <c r="I246" t="inlineStr">
        <is>
          <t>2021-05-31</t>
        </is>
      </c>
    </row>
    <row r="247">
      <c r="A247" t="n">
        <v/>
      </c>
      <c r="B247" t="n">
        <v>1031856</v>
      </c>
      <c r="C247" t="inlineStr">
        <is>
          <t>Project &amp; Delivery Management</t>
        </is>
      </c>
      <c r="D247" t="inlineStr">
        <is>
          <t>Primary</t>
        </is>
      </c>
      <c r="E247" t="inlineStr">
        <is>
          <t>Advanced</t>
        </is>
      </c>
      <c r="F247" t="n">
        <v>12.4</v>
      </c>
      <c r="G247" t="inlineStr">
        <is>
          <t>Functional</t>
        </is>
      </c>
      <c r="H247" t="inlineStr">
        <is>
          <t>Yes</t>
        </is>
      </c>
      <c r="I247" t="inlineStr">
        <is>
          <t>2022-12-19</t>
        </is>
      </c>
    </row>
    <row r="248">
      <c r="A248" t="n">
        <v/>
      </c>
      <c r="B248" t="n">
        <v>1031856</v>
      </c>
      <c r="C248" t="inlineStr">
        <is>
          <t>Agile / Scrum</t>
        </is>
      </c>
      <c r="D248" t="inlineStr">
        <is>
          <t>Secondary</t>
        </is>
      </c>
      <c r="E248" t="inlineStr">
        <is>
          <t>Advanced</t>
        </is>
      </c>
      <c r="F248" t="n">
        <v>7.4</v>
      </c>
      <c r="G248" t="inlineStr">
        <is>
          <t>Functional</t>
        </is>
      </c>
      <c r="H248" t="inlineStr">
        <is>
          <t>Yes</t>
        </is>
      </c>
      <c r="I248" t="inlineStr">
        <is>
          <t>2022-12-19</t>
        </is>
      </c>
    </row>
    <row r="249">
      <c r="A249" t="n">
        <v/>
      </c>
      <c r="B249" t="n">
        <v>1031856</v>
      </c>
      <c r="C249" t="inlineStr">
        <is>
          <t>Stakeholder Management</t>
        </is>
      </c>
      <c r="D249" t="inlineStr">
        <is>
          <t>Secondary</t>
        </is>
      </c>
      <c r="E249" t="inlineStr">
        <is>
          <t>Advanced</t>
        </is>
      </c>
      <c r="F249" t="n">
        <v>5.6</v>
      </c>
      <c r="G249" t="inlineStr">
        <is>
          <t>Functional</t>
        </is>
      </c>
      <c r="H249" t="inlineStr">
        <is>
          <t>Yes</t>
        </is>
      </c>
      <c r="I249" t="inlineStr">
        <is>
          <t>2022-12-19</t>
        </is>
      </c>
    </row>
    <row r="250">
      <c r="A250" t="n">
        <v/>
      </c>
      <c r="B250" t="n">
        <v>1031856</v>
      </c>
      <c r="C250" t="inlineStr">
        <is>
          <t>Resource Planning</t>
        </is>
      </c>
      <c r="D250" t="inlineStr">
        <is>
          <t>Secondary</t>
        </is>
      </c>
      <c r="E250" t="inlineStr">
        <is>
          <t>Intermediate</t>
        </is>
      </c>
      <c r="F250" t="n">
        <v>3.7</v>
      </c>
      <c r="G250" t="inlineStr">
        <is>
          <t>Functional</t>
        </is>
      </c>
      <c r="H250" t="inlineStr">
        <is>
          <t>Yes</t>
        </is>
      </c>
      <c r="I250" t="inlineStr">
        <is>
          <t>2022-12-19</t>
        </is>
      </c>
    </row>
    <row r="251">
      <c r="A251" t="n">
        <v/>
      </c>
      <c r="B251" t="n">
        <v>1025421</v>
      </c>
      <c r="C251" t="inlineStr">
        <is>
          <t>Project &amp; Delivery Management</t>
        </is>
      </c>
      <c r="D251" t="inlineStr">
        <is>
          <t>Primary</t>
        </is>
      </c>
      <c r="E251" t="inlineStr">
        <is>
          <t>Advanced</t>
        </is>
      </c>
      <c r="F251" t="n">
        <v>9.300000000000001</v>
      </c>
      <c r="G251" t="inlineStr">
        <is>
          <t>Functional</t>
        </is>
      </c>
      <c r="H251" t="inlineStr">
        <is>
          <t>Yes</t>
        </is>
      </c>
      <c r="I251" t="inlineStr">
        <is>
          <t>2021-06-02</t>
        </is>
      </c>
    </row>
    <row r="252">
      <c r="A252" t="n">
        <v/>
      </c>
      <c r="B252" t="n">
        <v>1025421</v>
      </c>
      <c r="C252" t="inlineStr">
        <is>
          <t>Agile / Scrum</t>
        </is>
      </c>
      <c r="D252" t="inlineStr">
        <is>
          <t>Secondary</t>
        </is>
      </c>
      <c r="E252" t="inlineStr">
        <is>
          <t>Advanced</t>
        </is>
      </c>
      <c r="F252" t="n">
        <v>5.6</v>
      </c>
      <c r="G252" t="inlineStr">
        <is>
          <t>Functional</t>
        </is>
      </c>
      <c r="H252" t="inlineStr">
        <is>
          <t>Yes</t>
        </is>
      </c>
      <c r="I252" t="inlineStr">
        <is>
          <t>2021-06-02</t>
        </is>
      </c>
    </row>
    <row r="253">
      <c r="A253" t="n">
        <v/>
      </c>
      <c r="B253" t="n">
        <v>1025421</v>
      </c>
      <c r="C253" t="inlineStr">
        <is>
          <t>Stakeholder Management</t>
        </is>
      </c>
      <c r="D253" t="inlineStr">
        <is>
          <t>Secondary</t>
        </is>
      </c>
      <c r="E253" t="inlineStr">
        <is>
          <t>Intermediate</t>
        </is>
      </c>
      <c r="F253" t="n">
        <v>4.2</v>
      </c>
      <c r="G253" t="inlineStr">
        <is>
          <t>Functional</t>
        </is>
      </c>
      <c r="H253" t="inlineStr">
        <is>
          <t>Yes</t>
        </is>
      </c>
      <c r="I253" t="inlineStr">
        <is>
          <t>2021-06-02</t>
        </is>
      </c>
    </row>
    <row r="254">
      <c r="A254" t="n">
        <v/>
      </c>
      <c r="B254" t="n">
        <v>1025421</v>
      </c>
      <c r="C254" t="inlineStr">
        <is>
          <t>Resource Planning</t>
        </is>
      </c>
      <c r="D254" t="inlineStr">
        <is>
          <t>Secondary</t>
        </is>
      </c>
      <c r="E254" t="inlineStr">
        <is>
          <t>Intermediate</t>
        </is>
      </c>
      <c r="F254" t="n">
        <v>2.8</v>
      </c>
      <c r="G254" t="inlineStr">
        <is>
          <t>Functional</t>
        </is>
      </c>
      <c r="H254" t="inlineStr">
        <is>
          <t>Yes</t>
        </is>
      </c>
      <c r="I254" t="inlineStr">
        <is>
          <t>2021-06-02</t>
        </is>
      </c>
    </row>
    <row r="255">
      <c r="A255" t="n">
        <v/>
      </c>
      <c r="B255" t="n">
        <v>1017141</v>
      </c>
      <c r="C255" t="inlineStr">
        <is>
          <t>QA Automation / SDET</t>
        </is>
      </c>
      <c r="D255" t="inlineStr">
        <is>
          <t>Primary</t>
        </is>
      </c>
      <c r="E255" t="inlineStr">
        <is>
          <t>Advanced</t>
        </is>
      </c>
      <c r="F255" t="n">
        <v>14.8</v>
      </c>
      <c r="G255" t="inlineStr">
        <is>
          <t>Technical</t>
        </is>
      </c>
      <c r="H255" t="inlineStr">
        <is>
          <t>Yes</t>
        </is>
      </c>
      <c r="I255" t="inlineStr">
        <is>
          <t>2015-05-21</t>
        </is>
      </c>
    </row>
    <row r="256">
      <c r="A256" t="n">
        <v/>
      </c>
      <c r="B256" t="n">
        <v>1017141</v>
      </c>
      <c r="C256" t="inlineStr">
        <is>
          <t>Selenium</t>
        </is>
      </c>
      <c r="D256" t="inlineStr">
        <is>
          <t>Secondary</t>
        </is>
      </c>
      <c r="E256" t="inlineStr">
        <is>
          <t>Advanced</t>
        </is>
      </c>
      <c r="F256" t="n">
        <v>8.9</v>
      </c>
      <c r="G256" t="inlineStr">
        <is>
          <t>Technical</t>
        </is>
      </c>
      <c r="H256" t="inlineStr">
        <is>
          <t>Yes</t>
        </is>
      </c>
      <c r="I256" t="inlineStr">
        <is>
          <t>2015-05-21</t>
        </is>
      </c>
    </row>
    <row r="257">
      <c r="A257" t="n">
        <v/>
      </c>
      <c r="B257" t="n">
        <v>1017141</v>
      </c>
      <c r="C257" t="inlineStr">
        <is>
          <t>API Testing (Postman)</t>
        </is>
      </c>
      <c r="D257" t="inlineStr">
        <is>
          <t>Secondary</t>
        </is>
      </c>
      <c r="E257" t="inlineStr">
        <is>
          <t>Advanced</t>
        </is>
      </c>
      <c r="F257" t="n">
        <v>6.7</v>
      </c>
      <c r="G257" t="inlineStr">
        <is>
          <t>Technical</t>
        </is>
      </c>
      <c r="H257" t="inlineStr">
        <is>
          <t>Yes</t>
        </is>
      </c>
      <c r="I257" t="inlineStr">
        <is>
          <t>2015-05-21</t>
        </is>
      </c>
    </row>
    <row r="258">
      <c r="A258" t="n">
        <v/>
      </c>
      <c r="B258" t="n">
        <v>1017141</v>
      </c>
      <c r="C258" t="inlineStr">
        <is>
          <t>TestNG</t>
        </is>
      </c>
      <c r="D258" t="inlineStr">
        <is>
          <t>Secondary</t>
        </is>
      </c>
      <c r="E258" t="inlineStr">
        <is>
          <t>Intermediate</t>
        </is>
      </c>
      <c r="F258" t="n">
        <v>4.4</v>
      </c>
      <c r="G258" t="inlineStr">
        <is>
          <t>Technical</t>
        </is>
      </c>
      <c r="H258" t="inlineStr">
        <is>
          <t>Yes</t>
        </is>
      </c>
      <c r="I258" t="inlineStr">
        <is>
          <t>2015-05-21</t>
        </is>
      </c>
    </row>
    <row r="259">
      <c r="A259" t="n">
        <v/>
      </c>
      <c r="B259" t="n">
        <v>1027866</v>
      </c>
      <c r="C259" t="inlineStr">
        <is>
          <t>QA Automation / SDET</t>
        </is>
      </c>
      <c r="D259" t="inlineStr">
        <is>
          <t>Primary</t>
        </is>
      </c>
      <c r="E259" t="inlineStr">
        <is>
          <t>Advanced</t>
        </is>
      </c>
      <c r="F259" t="n">
        <v>5.2</v>
      </c>
      <c r="G259" t="inlineStr">
        <is>
          <t>Technical</t>
        </is>
      </c>
      <c r="H259" t="inlineStr">
        <is>
          <t>Yes</t>
        </is>
      </c>
      <c r="I259" t="inlineStr">
        <is>
          <t>2022-01-03</t>
        </is>
      </c>
    </row>
    <row r="260">
      <c r="A260" t="n">
        <v/>
      </c>
      <c r="B260" t="n">
        <v>1027866</v>
      </c>
      <c r="C260" t="inlineStr">
        <is>
          <t>Selenium</t>
        </is>
      </c>
      <c r="D260" t="inlineStr">
        <is>
          <t>Secondary</t>
        </is>
      </c>
      <c r="E260" t="inlineStr">
        <is>
          <t>Intermediate</t>
        </is>
      </c>
      <c r="F260" t="n">
        <v>3.1</v>
      </c>
      <c r="G260" t="inlineStr">
        <is>
          <t>Technical</t>
        </is>
      </c>
      <c r="H260" t="inlineStr">
        <is>
          <t>Yes</t>
        </is>
      </c>
      <c r="I260" t="inlineStr">
        <is>
          <t>2022-01-03</t>
        </is>
      </c>
    </row>
    <row r="261">
      <c r="A261" t="n">
        <v/>
      </c>
      <c r="B261" t="n">
        <v>1027866</v>
      </c>
      <c r="C261" t="inlineStr">
        <is>
          <t>API Testing (Postman)</t>
        </is>
      </c>
      <c r="D261" t="inlineStr">
        <is>
          <t>Secondary</t>
        </is>
      </c>
      <c r="E261" t="inlineStr">
        <is>
          <t>Intermediate</t>
        </is>
      </c>
      <c r="F261" t="n">
        <v>2.3</v>
      </c>
      <c r="G261" t="inlineStr">
        <is>
          <t>Technical</t>
        </is>
      </c>
      <c r="H261" t="inlineStr">
        <is>
          <t>Yes</t>
        </is>
      </c>
      <c r="I261" t="inlineStr">
        <is>
          <t>2022-01-03</t>
        </is>
      </c>
    </row>
    <row r="262">
      <c r="A262" t="n">
        <v/>
      </c>
      <c r="B262" t="n">
        <v>1027866</v>
      </c>
      <c r="C262" t="inlineStr">
        <is>
          <t>TestNG</t>
        </is>
      </c>
      <c r="D262" t="inlineStr">
        <is>
          <t>Secondary</t>
        </is>
      </c>
      <c r="E262" t="inlineStr">
        <is>
          <t>Intermediate</t>
        </is>
      </c>
      <c r="F262" t="n">
        <v>1.6</v>
      </c>
      <c r="G262" t="inlineStr">
        <is>
          <t>Technical</t>
        </is>
      </c>
      <c r="H262" t="inlineStr">
        <is>
          <t>Yes</t>
        </is>
      </c>
      <c r="I262" t="inlineStr">
        <is>
          <t>2022-01-03</t>
        </is>
      </c>
    </row>
    <row r="263">
      <c r="A263" t="n">
        <v/>
      </c>
      <c r="B263" t="n">
        <v>1004641</v>
      </c>
      <c r="C263" t="inlineStr">
        <is>
          <t>Project &amp; Delivery Management</t>
        </is>
      </c>
      <c r="D263" t="inlineStr">
        <is>
          <t>Primary</t>
        </is>
      </c>
      <c r="E263" t="inlineStr">
        <is>
          <t>Advanced</t>
        </is>
      </c>
      <c r="F263" t="n">
        <v>14.4</v>
      </c>
      <c r="G263" t="inlineStr">
        <is>
          <t>Functional</t>
        </is>
      </c>
      <c r="H263" t="inlineStr">
        <is>
          <t>Yes</t>
        </is>
      </c>
      <c r="I263" t="inlineStr">
        <is>
          <t>2008-10-30</t>
        </is>
      </c>
    </row>
    <row r="264">
      <c r="A264" t="n">
        <v/>
      </c>
      <c r="B264" t="n">
        <v>1004641</v>
      </c>
      <c r="C264" t="inlineStr">
        <is>
          <t>Agile / Scrum</t>
        </is>
      </c>
      <c r="D264" t="inlineStr">
        <is>
          <t>Secondary</t>
        </is>
      </c>
      <c r="E264" t="inlineStr">
        <is>
          <t>Advanced</t>
        </is>
      </c>
      <c r="F264" t="n">
        <v>8.6</v>
      </c>
      <c r="G264" t="inlineStr">
        <is>
          <t>Functional</t>
        </is>
      </c>
      <c r="H264" t="inlineStr">
        <is>
          <t>Yes</t>
        </is>
      </c>
      <c r="I264" t="inlineStr">
        <is>
          <t>2008-10-30</t>
        </is>
      </c>
    </row>
    <row r="265">
      <c r="A265" t="n">
        <v/>
      </c>
      <c r="B265" t="n">
        <v>1004641</v>
      </c>
      <c r="C265" t="inlineStr">
        <is>
          <t>Stakeholder Management</t>
        </is>
      </c>
      <c r="D265" t="inlineStr">
        <is>
          <t>Secondary</t>
        </is>
      </c>
      <c r="E265" t="inlineStr">
        <is>
          <t>Advanced</t>
        </is>
      </c>
      <c r="F265" t="n">
        <v>6.5</v>
      </c>
      <c r="G265" t="inlineStr">
        <is>
          <t>Functional</t>
        </is>
      </c>
      <c r="H265" t="inlineStr">
        <is>
          <t>Yes</t>
        </is>
      </c>
      <c r="I265" t="inlineStr">
        <is>
          <t>2008-10-30</t>
        </is>
      </c>
    </row>
    <row r="266">
      <c r="A266" t="n">
        <v/>
      </c>
      <c r="B266" t="n">
        <v>1004641</v>
      </c>
      <c r="C266" t="inlineStr">
        <is>
          <t>Resource Planning</t>
        </is>
      </c>
      <c r="D266" t="inlineStr">
        <is>
          <t>Secondary</t>
        </is>
      </c>
      <c r="E266" t="inlineStr">
        <is>
          <t>Intermediate</t>
        </is>
      </c>
      <c r="F266" t="n">
        <v>4.3</v>
      </c>
      <c r="G266" t="inlineStr">
        <is>
          <t>Functional</t>
        </is>
      </c>
      <c r="H266" t="inlineStr">
        <is>
          <t>Yes</t>
        </is>
      </c>
      <c r="I266" t="inlineStr">
        <is>
          <t>2008-10-30</t>
        </is>
      </c>
    </row>
    <row r="267">
      <c r="A267" t="n">
        <v/>
      </c>
      <c r="B267" t="n">
        <v>1022868</v>
      </c>
      <c r="C267" t="inlineStr">
        <is>
          <t>Project &amp; Delivery Management</t>
        </is>
      </c>
      <c r="D267" t="inlineStr">
        <is>
          <t>Primary</t>
        </is>
      </c>
      <c r="E267" t="inlineStr">
        <is>
          <t>Beginner</t>
        </is>
      </c>
      <c r="F267" t="n">
        <v>0.5</v>
      </c>
      <c r="G267" t="inlineStr">
        <is>
          <t>Functional</t>
        </is>
      </c>
      <c r="H267" t="inlineStr">
        <is>
          <t>Yes</t>
        </is>
      </c>
      <c r="I267" t="inlineStr">
        <is>
          <t>2019-11-25</t>
        </is>
      </c>
    </row>
    <row r="268">
      <c r="A268" t="n">
        <v/>
      </c>
      <c r="B268" t="n">
        <v>1022868</v>
      </c>
      <c r="C268" t="inlineStr">
        <is>
          <t>Agile / Scrum</t>
        </is>
      </c>
      <c r="D268" t="inlineStr">
        <is>
          <t>Secondary</t>
        </is>
      </c>
      <c r="E268" t="inlineStr">
        <is>
          <t>Beginner</t>
        </is>
      </c>
      <c r="F268" t="n">
        <v>0.5</v>
      </c>
      <c r="G268" t="inlineStr">
        <is>
          <t>Functional</t>
        </is>
      </c>
      <c r="H268" t="inlineStr">
        <is>
          <t>Yes</t>
        </is>
      </c>
      <c r="I268" t="inlineStr">
        <is>
          <t>2019-11-25</t>
        </is>
      </c>
    </row>
    <row r="269">
      <c r="A269" t="n">
        <v/>
      </c>
      <c r="B269" t="n">
        <v>1022868</v>
      </c>
      <c r="C269" t="inlineStr">
        <is>
          <t>Stakeholder Management</t>
        </is>
      </c>
      <c r="D269" t="inlineStr">
        <is>
          <t>Secondary</t>
        </is>
      </c>
      <c r="E269" t="inlineStr">
        <is>
          <t>Beginner</t>
        </is>
      </c>
      <c r="F269" t="n">
        <v>0.5</v>
      </c>
      <c r="G269" t="inlineStr">
        <is>
          <t>Functional</t>
        </is>
      </c>
      <c r="H269" t="inlineStr">
        <is>
          <t>Yes</t>
        </is>
      </c>
      <c r="I269" t="inlineStr">
        <is>
          <t>2019-11-25</t>
        </is>
      </c>
    </row>
    <row r="270">
      <c r="A270" t="n">
        <v/>
      </c>
      <c r="B270" t="n">
        <v>1032377</v>
      </c>
      <c r="C270" t="inlineStr">
        <is>
          <t>Fullstack Web (React / Node)</t>
        </is>
      </c>
      <c r="D270" t="inlineStr">
        <is>
          <t>Primary</t>
        </is>
      </c>
      <c r="E270" t="inlineStr">
        <is>
          <t>Advanced</t>
        </is>
      </c>
      <c r="F270" t="n">
        <v>5.9</v>
      </c>
      <c r="G270" t="inlineStr">
        <is>
          <t>Technical</t>
        </is>
      </c>
      <c r="H270" t="inlineStr">
        <is>
          <t>Yes</t>
        </is>
      </c>
      <c r="I270" t="inlineStr">
        <is>
          <t>2023-03-10</t>
        </is>
      </c>
    </row>
    <row r="271">
      <c r="A271" t="n">
        <v/>
      </c>
      <c r="B271" t="n">
        <v>1032377</v>
      </c>
      <c r="C271" t="inlineStr">
        <is>
          <t>JavaScript</t>
        </is>
      </c>
      <c r="D271" t="inlineStr">
        <is>
          <t>Secondary</t>
        </is>
      </c>
      <c r="E271" t="inlineStr">
        <is>
          <t>Intermediate</t>
        </is>
      </c>
      <c r="F271" t="n">
        <v>3.5</v>
      </c>
      <c r="G271" t="inlineStr">
        <is>
          <t>Technical</t>
        </is>
      </c>
      <c r="H271" t="inlineStr">
        <is>
          <t>Yes</t>
        </is>
      </c>
      <c r="I271" t="inlineStr">
        <is>
          <t>2023-03-10</t>
        </is>
      </c>
    </row>
    <row r="272">
      <c r="A272" t="n">
        <v/>
      </c>
      <c r="B272" t="n">
        <v>1032377</v>
      </c>
      <c r="C272" t="inlineStr">
        <is>
          <t>TypeScript</t>
        </is>
      </c>
      <c r="D272" t="inlineStr">
        <is>
          <t>Secondary</t>
        </is>
      </c>
      <c r="E272" t="inlineStr">
        <is>
          <t>Intermediate</t>
        </is>
      </c>
      <c r="F272" t="n">
        <v>2.7</v>
      </c>
      <c r="G272" t="inlineStr">
        <is>
          <t>Technical</t>
        </is>
      </c>
      <c r="H272" t="inlineStr">
        <is>
          <t>Yes</t>
        </is>
      </c>
      <c r="I272" t="inlineStr">
        <is>
          <t>2023-03-10</t>
        </is>
      </c>
    </row>
    <row r="273">
      <c r="A273" t="n">
        <v/>
      </c>
      <c r="B273" t="n">
        <v>1032377</v>
      </c>
      <c r="C273" t="inlineStr">
        <is>
          <t>CSS/HTML</t>
        </is>
      </c>
      <c r="D273" t="inlineStr">
        <is>
          <t>Secondary</t>
        </is>
      </c>
      <c r="E273" t="inlineStr">
        <is>
          <t>Intermediate</t>
        </is>
      </c>
      <c r="F273" t="n">
        <v>1.8</v>
      </c>
      <c r="G273" t="inlineStr">
        <is>
          <t>Technical</t>
        </is>
      </c>
      <c r="H273" t="inlineStr">
        <is>
          <t>Yes</t>
        </is>
      </c>
      <c r="I273" t="inlineStr">
        <is>
          <t>2023-03-10</t>
        </is>
      </c>
    </row>
    <row r="274">
      <c r="A274" t="n">
        <v/>
      </c>
      <c r="B274" t="n">
        <v>1024396</v>
      </c>
      <c r="C274" t="inlineStr">
        <is>
          <t>Frontend (Angular / TypeScript)</t>
        </is>
      </c>
      <c r="D274" t="inlineStr">
        <is>
          <t>Primary</t>
        </is>
      </c>
      <c r="E274" t="inlineStr">
        <is>
          <t>Advanced</t>
        </is>
      </c>
      <c r="F274" t="n">
        <v>7.8</v>
      </c>
      <c r="G274" t="inlineStr">
        <is>
          <t>Technical</t>
        </is>
      </c>
      <c r="H274" t="inlineStr">
        <is>
          <t>Yes</t>
        </is>
      </c>
      <c r="I274" t="inlineStr">
        <is>
          <t>2021-01-27</t>
        </is>
      </c>
    </row>
    <row r="275">
      <c r="A275" t="n">
        <v/>
      </c>
      <c r="B275" t="n">
        <v>1024396</v>
      </c>
      <c r="C275" t="inlineStr">
        <is>
          <t>TypeScript</t>
        </is>
      </c>
      <c r="D275" t="inlineStr">
        <is>
          <t>Secondary</t>
        </is>
      </c>
      <c r="E275" t="inlineStr">
        <is>
          <t>Intermediate</t>
        </is>
      </c>
      <c r="F275" t="n">
        <v>4.7</v>
      </c>
      <c r="G275" t="inlineStr">
        <is>
          <t>Technical</t>
        </is>
      </c>
      <c r="H275" t="inlineStr">
        <is>
          <t>Yes</t>
        </is>
      </c>
      <c r="I275" t="inlineStr">
        <is>
          <t>2021-01-27</t>
        </is>
      </c>
    </row>
    <row r="276">
      <c r="A276" t="n">
        <v/>
      </c>
      <c r="B276" t="n">
        <v>1024396</v>
      </c>
      <c r="C276" t="inlineStr">
        <is>
          <t>JavaScript</t>
        </is>
      </c>
      <c r="D276" t="inlineStr">
        <is>
          <t>Secondary</t>
        </is>
      </c>
      <c r="E276" t="inlineStr">
        <is>
          <t>Intermediate</t>
        </is>
      </c>
      <c r="F276" t="n">
        <v>3.5</v>
      </c>
      <c r="G276" t="inlineStr">
        <is>
          <t>Technical</t>
        </is>
      </c>
      <c r="H276" t="inlineStr">
        <is>
          <t>Yes</t>
        </is>
      </c>
      <c r="I276" t="inlineStr">
        <is>
          <t>2021-01-27</t>
        </is>
      </c>
    </row>
    <row r="277">
      <c r="A277" t="n">
        <v/>
      </c>
      <c r="B277" t="n">
        <v>1024396</v>
      </c>
      <c r="C277" t="inlineStr">
        <is>
          <t>HTML5</t>
        </is>
      </c>
      <c r="D277" t="inlineStr">
        <is>
          <t>Secondary</t>
        </is>
      </c>
      <c r="E277" t="inlineStr">
        <is>
          <t>Intermediate</t>
        </is>
      </c>
      <c r="F277" t="n">
        <v>2.3</v>
      </c>
      <c r="G277" t="inlineStr">
        <is>
          <t>Technical</t>
        </is>
      </c>
      <c r="H277" t="inlineStr">
        <is>
          <t>Yes</t>
        </is>
      </c>
      <c r="I277" t="inlineStr">
        <is>
          <t>2021-01-27</t>
        </is>
      </c>
    </row>
    <row r="278">
      <c r="A278" t="n">
        <v/>
      </c>
      <c r="B278" t="n">
        <v>1027391</v>
      </c>
      <c r="C278" t="inlineStr">
        <is>
          <t>Frontend (Angular / TypeScript)</t>
        </is>
      </c>
      <c r="D278" t="inlineStr">
        <is>
          <t>Primary</t>
        </is>
      </c>
      <c r="E278" t="inlineStr">
        <is>
          <t>Advanced</t>
        </is>
      </c>
      <c r="F278" t="n">
        <v>7.1</v>
      </c>
      <c r="G278" t="inlineStr">
        <is>
          <t>Technical</t>
        </is>
      </c>
      <c r="H278" t="inlineStr">
        <is>
          <t>Yes</t>
        </is>
      </c>
      <c r="I278" t="inlineStr">
        <is>
          <t>2021-11-29</t>
        </is>
      </c>
    </row>
    <row r="279">
      <c r="A279" t="n">
        <v/>
      </c>
      <c r="B279" t="n">
        <v>1027391</v>
      </c>
      <c r="C279" t="inlineStr">
        <is>
          <t>TypeScript</t>
        </is>
      </c>
      <c r="D279" t="inlineStr">
        <is>
          <t>Secondary</t>
        </is>
      </c>
      <c r="E279" t="inlineStr">
        <is>
          <t>Intermediate</t>
        </is>
      </c>
      <c r="F279" t="n">
        <v>4.3</v>
      </c>
      <c r="G279" t="inlineStr">
        <is>
          <t>Technical</t>
        </is>
      </c>
      <c r="H279" t="inlineStr">
        <is>
          <t>Yes</t>
        </is>
      </c>
      <c r="I279" t="inlineStr">
        <is>
          <t>2021-11-29</t>
        </is>
      </c>
    </row>
    <row r="280">
      <c r="A280" t="n">
        <v/>
      </c>
      <c r="B280" t="n">
        <v>1027391</v>
      </c>
      <c r="C280" t="inlineStr">
        <is>
          <t>JavaScript</t>
        </is>
      </c>
      <c r="D280" t="inlineStr">
        <is>
          <t>Secondary</t>
        </is>
      </c>
      <c r="E280" t="inlineStr">
        <is>
          <t>Intermediate</t>
        </is>
      </c>
      <c r="F280" t="n">
        <v>3.2</v>
      </c>
      <c r="G280" t="inlineStr">
        <is>
          <t>Technical</t>
        </is>
      </c>
      <c r="H280" t="inlineStr">
        <is>
          <t>Yes</t>
        </is>
      </c>
      <c r="I280" t="inlineStr">
        <is>
          <t>2021-11-29</t>
        </is>
      </c>
    </row>
    <row r="281">
      <c r="A281" t="n">
        <v/>
      </c>
      <c r="B281" t="n">
        <v>1027391</v>
      </c>
      <c r="C281" t="inlineStr">
        <is>
          <t>HTML5</t>
        </is>
      </c>
      <c r="D281" t="inlineStr">
        <is>
          <t>Secondary</t>
        </is>
      </c>
      <c r="E281" t="inlineStr">
        <is>
          <t>Intermediate</t>
        </is>
      </c>
      <c r="F281" t="n">
        <v>2.1</v>
      </c>
      <c r="G281" t="inlineStr">
        <is>
          <t>Technical</t>
        </is>
      </c>
      <c r="H281" t="inlineStr">
        <is>
          <t>Yes</t>
        </is>
      </c>
      <c r="I281" t="inlineStr">
        <is>
          <t>2021-11-29</t>
        </is>
      </c>
    </row>
    <row r="282">
      <c r="A282" t="n">
        <v/>
      </c>
      <c r="B282" t="n">
        <v>1018072</v>
      </c>
      <c r="C282" t="inlineStr">
        <is>
          <t>Business Analysis &amp; Healthcare Domain</t>
        </is>
      </c>
      <c r="D282" t="inlineStr">
        <is>
          <t>Primary</t>
        </is>
      </c>
      <c r="E282" t="inlineStr">
        <is>
          <t>Advanced</t>
        </is>
      </c>
      <c r="F282" t="n">
        <v>10.6</v>
      </c>
      <c r="G282" t="inlineStr">
        <is>
          <t>Functional</t>
        </is>
      </c>
      <c r="H282" t="inlineStr">
        <is>
          <t>Yes</t>
        </is>
      </c>
      <c r="I282" t="inlineStr">
        <is>
          <t>2016-02-29</t>
        </is>
      </c>
    </row>
    <row r="283">
      <c r="A283" t="n">
        <v/>
      </c>
      <c r="B283" t="n">
        <v>1018072</v>
      </c>
      <c r="C283" t="inlineStr">
        <is>
          <t>Requirements Gathering</t>
        </is>
      </c>
      <c r="D283" t="inlineStr">
        <is>
          <t>Secondary</t>
        </is>
      </c>
      <c r="E283" t="inlineStr">
        <is>
          <t>Advanced</t>
        </is>
      </c>
      <c r="F283" t="n">
        <v>6.4</v>
      </c>
      <c r="G283" t="inlineStr">
        <is>
          <t>Functional</t>
        </is>
      </c>
      <c r="H283" t="inlineStr">
        <is>
          <t>Yes</t>
        </is>
      </c>
      <c r="I283" t="inlineStr">
        <is>
          <t>2016-02-29</t>
        </is>
      </c>
    </row>
    <row r="284">
      <c r="A284" t="n">
        <v/>
      </c>
      <c r="B284" t="n">
        <v>1018072</v>
      </c>
      <c r="C284" t="inlineStr">
        <is>
          <t>MMIS Workflows</t>
        </is>
      </c>
      <c r="D284" t="inlineStr">
        <is>
          <t>Secondary</t>
        </is>
      </c>
      <c r="E284" t="inlineStr">
        <is>
          <t>Intermediate</t>
        </is>
      </c>
      <c r="F284" t="n">
        <v>4.8</v>
      </c>
      <c r="G284" t="inlineStr">
        <is>
          <t>Functional</t>
        </is>
      </c>
      <c r="H284" t="inlineStr">
        <is>
          <t>Yes</t>
        </is>
      </c>
      <c r="I284" t="inlineStr">
        <is>
          <t>2016-02-29</t>
        </is>
      </c>
    </row>
    <row r="285">
      <c r="A285" t="n">
        <v/>
      </c>
      <c r="B285" t="n">
        <v>1018072</v>
      </c>
      <c r="C285" t="inlineStr">
        <is>
          <t>SQL</t>
        </is>
      </c>
      <c r="D285" t="inlineStr">
        <is>
          <t>Secondary</t>
        </is>
      </c>
      <c r="E285" t="inlineStr">
        <is>
          <t>Intermediate</t>
        </is>
      </c>
      <c r="F285" t="n">
        <v>3.2</v>
      </c>
      <c r="G285" t="inlineStr">
        <is>
          <t>Functional</t>
        </is>
      </c>
      <c r="H285" t="inlineStr">
        <is>
          <t>Yes</t>
        </is>
      </c>
      <c r="I285" t="inlineStr">
        <is>
          <t>2016-02-29</t>
        </is>
      </c>
    </row>
    <row r="286">
      <c r="A286" t="n">
        <v/>
      </c>
      <c r="B286" t="n">
        <v>1024491</v>
      </c>
      <c r="C286" t="inlineStr">
        <is>
          <t>Project &amp; Delivery Management</t>
        </is>
      </c>
      <c r="D286" t="inlineStr">
        <is>
          <t>Primary</t>
        </is>
      </c>
      <c r="E286" t="inlineStr">
        <is>
          <t>Advanced</t>
        </is>
      </c>
      <c r="F286" t="n">
        <v>7.8</v>
      </c>
      <c r="G286" t="inlineStr">
        <is>
          <t>Functional</t>
        </is>
      </c>
      <c r="H286" t="inlineStr">
        <is>
          <t>Yes</t>
        </is>
      </c>
      <c r="I286" t="inlineStr">
        <is>
          <t>2021-02-10</t>
        </is>
      </c>
    </row>
    <row r="287">
      <c r="A287" t="n">
        <v/>
      </c>
      <c r="B287" t="n">
        <v>1024491</v>
      </c>
      <c r="C287" t="inlineStr">
        <is>
          <t>Agile / Scrum</t>
        </is>
      </c>
      <c r="D287" t="inlineStr">
        <is>
          <t>Secondary</t>
        </is>
      </c>
      <c r="E287" t="inlineStr">
        <is>
          <t>Intermediate</t>
        </is>
      </c>
      <c r="F287" t="n">
        <v>4.7</v>
      </c>
      <c r="G287" t="inlineStr">
        <is>
          <t>Functional</t>
        </is>
      </c>
      <c r="H287" t="inlineStr">
        <is>
          <t>Yes</t>
        </is>
      </c>
      <c r="I287" t="inlineStr">
        <is>
          <t>2021-02-10</t>
        </is>
      </c>
    </row>
    <row r="288">
      <c r="A288" t="n">
        <v/>
      </c>
      <c r="B288" t="n">
        <v>1024491</v>
      </c>
      <c r="C288" t="inlineStr">
        <is>
          <t>Stakeholder Management</t>
        </is>
      </c>
      <c r="D288" t="inlineStr">
        <is>
          <t>Secondary</t>
        </is>
      </c>
      <c r="E288" t="inlineStr">
        <is>
          <t>Intermediate</t>
        </is>
      </c>
      <c r="F288" t="n">
        <v>3.5</v>
      </c>
      <c r="G288" t="inlineStr">
        <is>
          <t>Functional</t>
        </is>
      </c>
      <c r="H288" t="inlineStr">
        <is>
          <t>Yes</t>
        </is>
      </c>
      <c r="I288" t="inlineStr">
        <is>
          <t>2021-02-10</t>
        </is>
      </c>
    </row>
    <row r="289">
      <c r="A289" t="n">
        <v/>
      </c>
      <c r="B289" t="n">
        <v>1024491</v>
      </c>
      <c r="C289" t="inlineStr">
        <is>
          <t>Resource Planning</t>
        </is>
      </c>
      <c r="D289" t="inlineStr">
        <is>
          <t>Secondary</t>
        </is>
      </c>
      <c r="E289" t="inlineStr">
        <is>
          <t>Intermediate</t>
        </is>
      </c>
      <c r="F289" t="n">
        <v>2.3</v>
      </c>
      <c r="G289" t="inlineStr">
        <is>
          <t>Functional</t>
        </is>
      </c>
      <c r="H289" t="inlineStr">
        <is>
          <t>Yes</t>
        </is>
      </c>
      <c r="I289" t="inlineStr">
        <is>
          <t>2021-02-10</t>
        </is>
      </c>
    </row>
    <row r="290">
      <c r="A290" t="n">
        <v/>
      </c>
      <c r="B290" t="n">
        <v>1029038</v>
      </c>
      <c r="C290" t="inlineStr">
        <is>
          <t>Project &amp; Delivery Management</t>
        </is>
      </c>
      <c r="D290" t="inlineStr">
        <is>
          <t>Primary</t>
        </is>
      </c>
      <c r="E290" t="inlineStr">
        <is>
          <t>Advanced</t>
        </is>
      </c>
      <c r="F290" t="n">
        <v>8.5</v>
      </c>
      <c r="G290" t="inlineStr">
        <is>
          <t>Functional</t>
        </is>
      </c>
      <c r="H290" t="inlineStr">
        <is>
          <t>Yes</t>
        </is>
      </c>
      <c r="I290" t="inlineStr">
        <is>
          <t>2022-05-11</t>
        </is>
      </c>
    </row>
    <row r="291">
      <c r="A291" t="n">
        <v/>
      </c>
      <c r="B291" t="n">
        <v>1029038</v>
      </c>
      <c r="C291" t="inlineStr">
        <is>
          <t>Agile / Scrum</t>
        </is>
      </c>
      <c r="D291" t="inlineStr">
        <is>
          <t>Secondary</t>
        </is>
      </c>
      <c r="E291" t="inlineStr">
        <is>
          <t>Advanced</t>
        </is>
      </c>
      <c r="F291" t="n">
        <v>5.1</v>
      </c>
      <c r="G291" t="inlineStr">
        <is>
          <t>Functional</t>
        </is>
      </c>
      <c r="H291" t="inlineStr">
        <is>
          <t>Yes</t>
        </is>
      </c>
      <c r="I291" t="inlineStr">
        <is>
          <t>2022-05-11</t>
        </is>
      </c>
    </row>
    <row r="292">
      <c r="A292" t="n">
        <v/>
      </c>
      <c r="B292" t="n">
        <v>1029038</v>
      </c>
      <c r="C292" t="inlineStr">
        <is>
          <t>Stakeholder Management</t>
        </is>
      </c>
      <c r="D292" t="inlineStr">
        <is>
          <t>Secondary</t>
        </is>
      </c>
      <c r="E292" t="inlineStr">
        <is>
          <t>Intermediate</t>
        </is>
      </c>
      <c r="F292" t="n">
        <v>3.8</v>
      </c>
      <c r="G292" t="inlineStr">
        <is>
          <t>Functional</t>
        </is>
      </c>
      <c r="H292" t="inlineStr">
        <is>
          <t>Yes</t>
        </is>
      </c>
      <c r="I292" t="inlineStr">
        <is>
          <t>2022-05-11</t>
        </is>
      </c>
    </row>
    <row r="293">
      <c r="A293" t="n">
        <v/>
      </c>
      <c r="B293" t="n">
        <v>1029038</v>
      </c>
      <c r="C293" t="inlineStr">
        <is>
          <t>Resource Planning</t>
        </is>
      </c>
      <c r="D293" t="inlineStr">
        <is>
          <t>Secondary</t>
        </is>
      </c>
      <c r="E293" t="inlineStr">
        <is>
          <t>Intermediate</t>
        </is>
      </c>
      <c r="F293" t="n">
        <v>2.5</v>
      </c>
      <c r="G293" t="inlineStr">
        <is>
          <t>Functional</t>
        </is>
      </c>
      <c r="H293" t="inlineStr">
        <is>
          <t>Yes</t>
        </is>
      </c>
      <c r="I293" t="inlineStr">
        <is>
          <t>2022-05-11</t>
        </is>
      </c>
    </row>
    <row r="294">
      <c r="A294" t="n">
        <v/>
      </c>
      <c r="B294" t="n">
        <v>1031865</v>
      </c>
      <c r="C294" t="inlineStr">
        <is>
          <t>Project &amp; Delivery Management</t>
        </is>
      </c>
      <c r="D294" t="inlineStr">
        <is>
          <t>Primary</t>
        </is>
      </c>
      <c r="E294" t="inlineStr">
        <is>
          <t>Advanced</t>
        </is>
      </c>
      <c r="F294" t="n">
        <v>7.9</v>
      </c>
      <c r="G294" t="inlineStr">
        <is>
          <t>Functional</t>
        </is>
      </c>
      <c r="H294" t="inlineStr">
        <is>
          <t>Yes</t>
        </is>
      </c>
      <c r="I294" t="inlineStr">
        <is>
          <t>2022-12-19</t>
        </is>
      </c>
    </row>
    <row r="295">
      <c r="A295" t="n">
        <v/>
      </c>
      <c r="B295" t="n">
        <v>1031865</v>
      </c>
      <c r="C295" t="inlineStr">
        <is>
          <t>Agile / Scrum</t>
        </is>
      </c>
      <c r="D295" t="inlineStr">
        <is>
          <t>Secondary</t>
        </is>
      </c>
      <c r="E295" t="inlineStr">
        <is>
          <t>Intermediate</t>
        </is>
      </c>
      <c r="F295" t="n">
        <v>4.7</v>
      </c>
      <c r="G295" t="inlineStr">
        <is>
          <t>Functional</t>
        </is>
      </c>
      <c r="H295" t="inlineStr">
        <is>
          <t>Yes</t>
        </is>
      </c>
      <c r="I295" t="inlineStr">
        <is>
          <t>2022-12-19</t>
        </is>
      </c>
    </row>
    <row r="296">
      <c r="A296" t="n">
        <v/>
      </c>
      <c r="B296" t="n">
        <v>1031865</v>
      </c>
      <c r="C296" t="inlineStr">
        <is>
          <t>Stakeholder Management</t>
        </is>
      </c>
      <c r="D296" t="inlineStr">
        <is>
          <t>Secondary</t>
        </is>
      </c>
      <c r="E296" t="inlineStr">
        <is>
          <t>Intermediate</t>
        </is>
      </c>
      <c r="F296" t="n">
        <v>3.6</v>
      </c>
      <c r="G296" t="inlineStr">
        <is>
          <t>Functional</t>
        </is>
      </c>
      <c r="H296" t="inlineStr">
        <is>
          <t>Yes</t>
        </is>
      </c>
      <c r="I296" t="inlineStr">
        <is>
          <t>2022-12-19</t>
        </is>
      </c>
    </row>
    <row r="297">
      <c r="A297" t="n">
        <v/>
      </c>
      <c r="B297" t="n">
        <v>1031865</v>
      </c>
      <c r="C297" t="inlineStr">
        <is>
          <t>Resource Planning</t>
        </is>
      </c>
      <c r="D297" t="inlineStr">
        <is>
          <t>Secondary</t>
        </is>
      </c>
      <c r="E297" t="inlineStr">
        <is>
          <t>Intermediate</t>
        </is>
      </c>
      <c r="F297" t="n">
        <v>2.4</v>
      </c>
      <c r="G297" t="inlineStr">
        <is>
          <t>Functional</t>
        </is>
      </c>
      <c r="H297" t="inlineStr">
        <is>
          <t>Yes</t>
        </is>
      </c>
      <c r="I297" t="inlineStr">
        <is>
          <t>2022-12-19</t>
        </is>
      </c>
    </row>
    <row r="298">
      <c r="A298" t="n">
        <v/>
      </c>
      <c r="B298" t="n">
        <v>1031846</v>
      </c>
      <c r="C298" t="inlineStr">
        <is>
          <t>QA Automation / SDET</t>
        </is>
      </c>
      <c r="D298" t="inlineStr">
        <is>
          <t>Primary</t>
        </is>
      </c>
      <c r="E298" t="inlineStr">
        <is>
          <t>Advanced</t>
        </is>
      </c>
      <c r="F298" t="n">
        <v>7.9</v>
      </c>
      <c r="G298" t="inlineStr">
        <is>
          <t>Technical</t>
        </is>
      </c>
      <c r="H298" t="inlineStr">
        <is>
          <t>Yes</t>
        </is>
      </c>
      <c r="I298" t="inlineStr">
        <is>
          <t>2022-12-19</t>
        </is>
      </c>
    </row>
    <row r="299">
      <c r="A299" t="n">
        <v/>
      </c>
      <c r="B299" t="n">
        <v>1031846</v>
      </c>
      <c r="C299" t="inlineStr">
        <is>
          <t>Selenium</t>
        </is>
      </c>
      <c r="D299" t="inlineStr">
        <is>
          <t>Secondary</t>
        </is>
      </c>
      <c r="E299" t="inlineStr">
        <is>
          <t>Intermediate</t>
        </is>
      </c>
      <c r="F299" t="n">
        <v>4.7</v>
      </c>
      <c r="G299" t="inlineStr">
        <is>
          <t>Technical</t>
        </is>
      </c>
      <c r="H299" t="inlineStr">
        <is>
          <t>Yes</t>
        </is>
      </c>
      <c r="I299" t="inlineStr">
        <is>
          <t>2022-12-19</t>
        </is>
      </c>
    </row>
    <row r="300">
      <c r="A300" t="n">
        <v/>
      </c>
      <c r="B300" t="n">
        <v>1031846</v>
      </c>
      <c r="C300" t="inlineStr">
        <is>
          <t>API Testing (Postman)</t>
        </is>
      </c>
      <c r="D300" t="inlineStr">
        <is>
          <t>Secondary</t>
        </is>
      </c>
      <c r="E300" t="inlineStr">
        <is>
          <t>Intermediate</t>
        </is>
      </c>
      <c r="F300" t="n">
        <v>3.6</v>
      </c>
      <c r="G300" t="inlineStr">
        <is>
          <t>Technical</t>
        </is>
      </c>
      <c r="H300" t="inlineStr">
        <is>
          <t>Yes</t>
        </is>
      </c>
      <c r="I300" t="inlineStr">
        <is>
          <t>2022-12-19</t>
        </is>
      </c>
    </row>
    <row r="301">
      <c r="A301" t="n">
        <v/>
      </c>
      <c r="B301" t="n">
        <v>1031846</v>
      </c>
      <c r="C301" t="inlineStr">
        <is>
          <t>TestNG</t>
        </is>
      </c>
      <c r="D301" t="inlineStr">
        <is>
          <t>Secondary</t>
        </is>
      </c>
      <c r="E301" t="inlineStr">
        <is>
          <t>Intermediate</t>
        </is>
      </c>
      <c r="F301" t="n">
        <v>2.4</v>
      </c>
      <c r="G301" t="inlineStr">
        <is>
          <t>Technical</t>
        </is>
      </c>
      <c r="H301" t="inlineStr">
        <is>
          <t>Yes</t>
        </is>
      </c>
      <c r="I301" t="inlineStr">
        <is>
          <t>2022-12-19</t>
        </is>
      </c>
    </row>
    <row r="302">
      <c r="A302" t="n">
        <v/>
      </c>
      <c r="B302" t="n">
        <v>1033432</v>
      </c>
      <c r="C302" t="inlineStr">
        <is>
          <t>Business Analysis &amp; Healthcare Domain</t>
        </is>
      </c>
      <c r="D302" t="inlineStr">
        <is>
          <t>Primary</t>
        </is>
      </c>
      <c r="E302" t="inlineStr">
        <is>
          <t>Advanced</t>
        </is>
      </c>
      <c r="F302" t="n">
        <v>7.3</v>
      </c>
      <c r="G302" t="inlineStr">
        <is>
          <t>Functional</t>
        </is>
      </c>
      <c r="H302" t="inlineStr">
        <is>
          <t>Yes</t>
        </is>
      </c>
      <c r="I302" t="inlineStr">
        <is>
          <t>2023-08-30</t>
        </is>
      </c>
    </row>
    <row r="303">
      <c r="A303" t="n">
        <v/>
      </c>
      <c r="B303" t="n">
        <v>1033432</v>
      </c>
      <c r="C303" t="inlineStr">
        <is>
          <t>Requirements Gathering</t>
        </is>
      </c>
      <c r="D303" t="inlineStr">
        <is>
          <t>Secondary</t>
        </is>
      </c>
      <c r="E303" t="inlineStr">
        <is>
          <t>Intermediate</t>
        </is>
      </c>
      <c r="F303" t="n">
        <v>4.4</v>
      </c>
      <c r="G303" t="inlineStr">
        <is>
          <t>Functional</t>
        </is>
      </c>
      <c r="H303" t="inlineStr">
        <is>
          <t>Yes</t>
        </is>
      </c>
      <c r="I303" t="inlineStr">
        <is>
          <t>2023-08-30</t>
        </is>
      </c>
    </row>
    <row r="304">
      <c r="A304" t="n">
        <v/>
      </c>
      <c r="B304" t="n">
        <v>1033432</v>
      </c>
      <c r="C304" t="inlineStr">
        <is>
          <t>MMIS Workflows</t>
        </is>
      </c>
      <c r="D304" t="inlineStr">
        <is>
          <t>Secondary</t>
        </is>
      </c>
      <c r="E304" t="inlineStr">
        <is>
          <t>Intermediate</t>
        </is>
      </c>
      <c r="F304" t="n">
        <v>3.3</v>
      </c>
      <c r="G304" t="inlineStr">
        <is>
          <t>Functional</t>
        </is>
      </c>
      <c r="H304" t="inlineStr">
        <is>
          <t>Yes</t>
        </is>
      </c>
      <c r="I304" t="inlineStr">
        <is>
          <t>2023-08-30</t>
        </is>
      </c>
    </row>
    <row r="305">
      <c r="A305" t="n">
        <v/>
      </c>
      <c r="B305" t="n">
        <v>1033432</v>
      </c>
      <c r="C305" t="inlineStr">
        <is>
          <t>SQL</t>
        </is>
      </c>
      <c r="D305" t="inlineStr">
        <is>
          <t>Secondary</t>
        </is>
      </c>
      <c r="E305" t="inlineStr">
        <is>
          <t>Intermediate</t>
        </is>
      </c>
      <c r="F305" t="n">
        <v>2.2</v>
      </c>
      <c r="G305" t="inlineStr">
        <is>
          <t>Functional</t>
        </is>
      </c>
      <c r="H305" t="inlineStr">
        <is>
          <t>Yes</t>
        </is>
      </c>
      <c r="I305" t="inlineStr">
        <is>
          <t>2023-08-30</t>
        </is>
      </c>
    </row>
    <row r="306">
      <c r="A306" t="n">
        <v/>
      </c>
      <c r="B306" t="n">
        <v>1020173</v>
      </c>
      <c r="C306" t="inlineStr">
        <is>
          <t>Database &amp; SQL Architecture</t>
        </is>
      </c>
      <c r="D306" t="inlineStr">
        <is>
          <t>Primary</t>
        </is>
      </c>
      <c r="E306" t="inlineStr">
        <is>
          <t>Advanced</t>
        </is>
      </c>
      <c r="F306" t="n">
        <v>12.3</v>
      </c>
      <c r="G306" t="inlineStr">
        <is>
          <t>Technical</t>
        </is>
      </c>
      <c r="H306" t="inlineStr">
        <is>
          <t>Yes</t>
        </is>
      </c>
      <c r="I306" t="inlineStr">
        <is>
          <t>2018-01-22</t>
        </is>
      </c>
    </row>
    <row r="307">
      <c r="A307" t="n">
        <v/>
      </c>
      <c r="B307" t="n">
        <v>1020173</v>
      </c>
      <c r="C307" t="inlineStr">
        <is>
          <t>PostgreSQL</t>
        </is>
      </c>
      <c r="D307" t="inlineStr">
        <is>
          <t>Secondary</t>
        </is>
      </c>
      <c r="E307" t="inlineStr">
        <is>
          <t>Advanced</t>
        </is>
      </c>
      <c r="F307" t="n">
        <v>7.4</v>
      </c>
      <c r="G307" t="inlineStr">
        <is>
          <t>Technical</t>
        </is>
      </c>
      <c r="H307" t="inlineStr">
        <is>
          <t>Yes</t>
        </is>
      </c>
      <c r="I307" t="inlineStr">
        <is>
          <t>2018-01-22</t>
        </is>
      </c>
    </row>
    <row r="308">
      <c r="A308" t="n">
        <v/>
      </c>
      <c r="B308" t="n">
        <v>1020173</v>
      </c>
      <c r="C308" t="inlineStr">
        <is>
          <t>Oracle</t>
        </is>
      </c>
      <c r="D308" t="inlineStr">
        <is>
          <t>Secondary</t>
        </is>
      </c>
      <c r="E308" t="inlineStr">
        <is>
          <t>Advanced</t>
        </is>
      </c>
      <c r="F308" t="n">
        <v>5.5</v>
      </c>
      <c r="G308" t="inlineStr">
        <is>
          <t>Technical</t>
        </is>
      </c>
      <c r="H308" t="inlineStr">
        <is>
          <t>Yes</t>
        </is>
      </c>
      <c r="I308" t="inlineStr">
        <is>
          <t>2018-01-22</t>
        </is>
      </c>
    </row>
    <row r="309">
      <c r="A309" t="n">
        <v/>
      </c>
      <c r="B309" t="n">
        <v>1020173</v>
      </c>
      <c r="C309" t="inlineStr">
        <is>
          <t>Performance Tuning</t>
        </is>
      </c>
      <c r="D309" t="inlineStr">
        <is>
          <t>Secondary</t>
        </is>
      </c>
      <c r="E309" t="inlineStr">
        <is>
          <t>Intermediate</t>
        </is>
      </c>
      <c r="F309" t="n">
        <v>3.7</v>
      </c>
      <c r="G309" t="inlineStr">
        <is>
          <t>Technical</t>
        </is>
      </c>
      <c r="H309" t="inlineStr">
        <is>
          <t>Yes</t>
        </is>
      </c>
      <c r="I309" t="inlineStr">
        <is>
          <t>2018-01-22</t>
        </is>
      </c>
    </row>
    <row r="310">
      <c r="A310" t="n">
        <v/>
      </c>
      <c r="B310" t="n">
        <v>1028539</v>
      </c>
      <c r="C310" t="inlineStr">
        <is>
          <t>Cloud &amp; DevOps (AWS / K8s)</t>
        </is>
      </c>
      <c r="D310" t="inlineStr">
        <is>
          <t>Primary</t>
        </is>
      </c>
      <c r="E310" t="inlineStr">
        <is>
          <t>Advanced</t>
        </is>
      </c>
      <c r="F310" t="n">
        <v>8.6</v>
      </c>
      <c r="G310" t="inlineStr">
        <is>
          <t>Technical</t>
        </is>
      </c>
      <c r="H310" t="inlineStr">
        <is>
          <t>Yes</t>
        </is>
      </c>
      <c r="I310" t="inlineStr">
        <is>
          <t>2022-03-08</t>
        </is>
      </c>
    </row>
    <row r="311">
      <c r="A311" t="n">
        <v/>
      </c>
      <c r="B311" t="n">
        <v>1028539</v>
      </c>
      <c r="C311" t="inlineStr">
        <is>
          <t>Docker</t>
        </is>
      </c>
      <c r="D311" t="inlineStr">
        <is>
          <t>Secondary</t>
        </is>
      </c>
      <c r="E311" t="inlineStr">
        <is>
          <t>Advanced</t>
        </is>
      </c>
      <c r="F311" t="n">
        <v>5.2</v>
      </c>
      <c r="G311" t="inlineStr">
        <is>
          <t>Technical</t>
        </is>
      </c>
      <c r="H311" t="inlineStr">
        <is>
          <t>Yes</t>
        </is>
      </c>
      <c r="I311" t="inlineStr">
        <is>
          <t>2022-03-08</t>
        </is>
      </c>
    </row>
    <row r="312">
      <c r="A312" t="n">
        <v/>
      </c>
      <c r="B312" t="n">
        <v>1028539</v>
      </c>
      <c r="C312" t="inlineStr">
        <is>
          <t>Kubernetes</t>
        </is>
      </c>
      <c r="D312" t="inlineStr">
        <is>
          <t>Secondary</t>
        </is>
      </c>
      <c r="E312" t="inlineStr">
        <is>
          <t>Intermediate</t>
        </is>
      </c>
      <c r="F312" t="n">
        <v>3.9</v>
      </c>
      <c r="G312" t="inlineStr">
        <is>
          <t>Technical</t>
        </is>
      </c>
      <c r="H312" t="inlineStr">
        <is>
          <t>Yes</t>
        </is>
      </c>
      <c r="I312" t="inlineStr">
        <is>
          <t>2022-03-08</t>
        </is>
      </c>
    </row>
    <row r="313">
      <c r="A313" t="n">
        <v/>
      </c>
      <c r="B313" t="n">
        <v>1028539</v>
      </c>
      <c r="C313" t="inlineStr">
        <is>
          <t>Linux</t>
        </is>
      </c>
      <c r="D313" t="inlineStr">
        <is>
          <t>Secondary</t>
        </is>
      </c>
      <c r="E313" t="inlineStr">
        <is>
          <t>Intermediate</t>
        </is>
      </c>
      <c r="F313" t="n">
        <v>2.6</v>
      </c>
      <c r="G313" t="inlineStr">
        <is>
          <t>Technical</t>
        </is>
      </c>
      <c r="H313" t="inlineStr">
        <is>
          <t>Yes</t>
        </is>
      </c>
      <c r="I313" t="inlineStr">
        <is>
          <t>2022-03-08</t>
        </is>
      </c>
    </row>
    <row r="314">
      <c r="A314" t="n">
        <v/>
      </c>
      <c r="B314" t="n">
        <v>1029717</v>
      </c>
      <c r="C314" t="inlineStr">
        <is>
          <t>Fullstack Web (React / Node)</t>
        </is>
      </c>
      <c r="D314" t="inlineStr">
        <is>
          <t>Primary</t>
        </is>
      </c>
      <c r="E314" t="inlineStr">
        <is>
          <t>Advanced</t>
        </is>
      </c>
      <c r="F314" t="n">
        <v>2</v>
      </c>
      <c r="G314" t="inlineStr">
        <is>
          <t>Technical</t>
        </is>
      </c>
      <c r="H314" t="inlineStr">
        <is>
          <t>Yes</t>
        </is>
      </c>
      <c r="I314" t="inlineStr">
        <is>
          <t>2022-08-03</t>
        </is>
      </c>
    </row>
    <row r="315">
      <c r="A315" t="n">
        <v/>
      </c>
      <c r="B315" t="n">
        <v>1029717</v>
      </c>
      <c r="C315" t="inlineStr">
        <is>
          <t>JavaScript</t>
        </is>
      </c>
      <c r="D315" t="inlineStr">
        <is>
          <t>Secondary</t>
        </is>
      </c>
      <c r="E315" t="inlineStr">
        <is>
          <t>Beginner</t>
        </is>
      </c>
      <c r="F315" t="n">
        <v>1.2</v>
      </c>
      <c r="G315" t="inlineStr">
        <is>
          <t>Technical</t>
        </is>
      </c>
      <c r="H315" t="inlineStr">
        <is>
          <t>Yes</t>
        </is>
      </c>
      <c r="I315" t="inlineStr">
        <is>
          <t>2022-08-03</t>
        </is>
      </c>
    </row>
    <row r="316">
      <c r="A316" t="n">
        <v/>
      </c>
      <c r="B316" t="n">
        <v>1029717</v>
      </c>
      <c r="C316" t="inlineStr">
        <is>
          <t>TypeScript</t>
        </is>
      </c>
      <c r="D316" t="inlineStr">
        <is>
          <t>Secondary</t>
        </is>
      </c>
      <c r="E316" t="inlineStr">
        <is>
          <t>Beginner</t>
        </is>
      </c>
      <c r="F316" t="n">
        <v>0.9</v>
      </c>
      <c r="G316" t="inlineStr">
        <is>
          <t>Technical</t>
        </is>
      </c>
      <c r="H316" t="inlineStr">
        <is>
          <t>Yes</t>
        </is>
      </c>
      <c r="I316" t="inlineStr">
        <is>
          <t>2022-08-03</t>
        </is>
      </c>
    </row>
    <row r="317">
      <c r="A317" t="n">
        <v/>
      </c>
      <c r="B317" t="n">
        <v>1023397</v>
      </c>
      <c r="C317" t="inlineStr">
        <is>
          <t>Fullstack Web (React / Node)</t>
        </is>
      </c>
      <c r="D317" t="inlineStr">
        <is>
          <t>Primary</t>
        </is>
      </c>
      <c r="E317" t="inlineStr">
        <is>
          <t>Advanced</t>
        </is>
      </c>
      <c r="F317" t="n">
        <v>8.4</v>
      </c>
      <c r="G317" t="inlineStr">
        <is>
          <t>Technical</t>
        </is>
      </c>
      <c r="H317" t="inlineStr">
        <is>
          <t>Yes</t>
        </is>
      </c>
      <c r="I317" t="inlineStr">
        <is>
          <t>2020-06-24</t>
        </is>
      </c>
    </row>
    <row r="318">
      <c r="A318" t="n">
        <v/>
      </c>
      <c r="B318" t="n">
        <v>1023397</v>
      </c>
      <c r="C318" t="inlineStr">
        <is>
          <t>JavaScript</t>
        </is>
      </c>
      <c r="D318" t="inlineStr">
        <is>
          <t>Secondary</t>
        </is>
      </c>
      <c r="E318" t="inlineStr">
        <is>
          <t>Advanced</t>
        </is>
      </c>
      <c r="F318" t="n">
        <v>5</v>
      </c>
      <c r="G318" t="inlineStr">
        <is>
          <t>Technical</t>
        </is>
      </c>
      <c r="H318" t="inlineStr">
        <is>
          <t>Yes</t>
        </is>
      </c>
      <c r="I318" t="inlineStr">
        <is>
          <t>2020-06-24</t>
        </is>
      </c>
    </row>
    <row r="319">
      <c r="A319" t="n">
        <v/>
      </c>
      <c r="B319" t="n">
        <v>1023397</v>
      </c>
      <c r="C319" t="inlineStr">
        <is>
          <t>TypeScript</t>
        </is>
      </c>
      <c r="D319" t="inlineStr">
        <is>
          <t>Secondary</t>
        </is>
      </c>
      <c r="E319" t="inlineStr">
        <is>
          <t>Intermediate</t>
        </is>
      </c>
      <c r="F319" t="n">
        <v>3.8</v>
      </c>
      <c r="G319" t="inlineStr">
        <is>
          <t>Technical</t>
        </is>
      </c>
      <c r="H319" t="inlineStr">
        <is>
          <t>Yes</t>
        </is>
      </c>
      <c r="I319" t="inlineStr">
        <is>
          <t>2020-06-24</t>
        </is>
      </c>
    </row>
    <row r="320">
      <c r="A320" t="n">
        <v/>
      </c>
      <c r="B320" t="n">
        <v>1023397</v>
      </c>
      <c r="C320" t="inlineStr">
        <is>
          <t>CSS/HTML</t>
        </is>
      </c>
      <c r="D320" t="inlineStr">
        <is>
          <t>Secondary</t>
        </is>
      </c>
      <c r="E320" t="inlineStr">
        <is>
          <t>Intermediate</t>
        </is>
      </c>
      <c r="F320" t="n">
        <v>2.5</v>
      </c>
      <c r="G320" t="inlineStr">
        <is>
          <t>Technical</t>
        </is>
      </c>
      <c r="H320" t="inlineStr">
        <is>
          <t>Yes</t>
        </is>
      </c>
      <c r="I320" t="inlineStr">
        <is>
          <t>2020-06-24</t>
        </is>
      </c>
    </row>
    <row r="321">
      <c r="A321" t="n">
        <v/>
      </c>
      <c r="B321" t="n">
        <v>1031852</v>
      </c>
      <c r="C321" t="inlineStr">
        <is>
          <t>Project &amp; Delivery Management</t>
        </is>
      </c>
      <c r="D321" t="inlineStr">
        <is>
          <t>Primary</t>
        </is>
      </c>
      <c r="E321" t="inlineStr">
        <is>
          <t>Advanced</t>
        </is>
      </c>
      <c r="F321" t="n">
        <v>1.6</v>
      </c>
      <c r="G321" t="inlineStr">
        <is>
          <t>Functional</t>
        </is>
      </c>
      <c r="H321" t="inlineStr">
        <is>
          <t>Yes</t>
        </is>
      </c>
      <c r="I321" t="inlineStr">
        <is>
          <t>2022-12-19</t>
        </is>
      </c>
    </row>
    <row r="322">
      <c r="A322" t="n">
        <v/>
      </c>
      <c r="B322" t="n">
        <v>1031852</v>
      </c>
      <c r="C322" t="inlineStr">
        <is>
          <t>Agile / Scrum</t>
        </is>
      </c>
      <c r="D322" t="inlineStr">
        <is>
          <t>Secondary</t>
        </is>
      </c>
      <c r="E322" t="inlineStr">
        <is>
          <t>Beginner</t>
        </is>
      </c>
      <c r="F322" t="n">
        <v>1</v>
      </c>
      <c r="G322" t="inlineStr">
        <is>
          <t>Functional</t>
        </is>
      </c>
      <c r="H322" t="inlineStr">
        <is>
          <t>Yes</t>
        </is>
      </c>
      <c r="I322" t="inlineStr">
        <is>
          <t>2022-12-19</t>
        </is>
      </c>
    </row>
    <row r="323">
      <c r="A323" t="n">
        <v/>
      </c>
      <c r="B323" t="n">
        <v>1031852</v>
      </c>
      <c r="C323" t="inlineStr">
        <is>
          <t>Stakeholder Management</t>
        </is>
      </c>
      <c r="D323" t="inlineStr">
        <is>
          <t>Secondary</t>
        </is>
      </c>
      <c r="E323" t="inlineStr">
        <is>
          <t>Beginner</t>
        </is>
      </c>
      <c r="F323" t="n">
        <v>0.7</v>
      </c>
      <c r="G323" t="inlineStr">
        <is>
          <t>Functional</t>
        </is>
      </c>
      <c r="H323" t="inlineStr">
        <is>
          <t>Yes</t>
        </is>
      </c>
      <c r="I323" t="inlineStr">
        <is>
          <t>2022-12-19</t>
        </is>
      </c>
    </row>
    <row r="324">
      <c r="A324" t="n">
        <v/>
      </c>
      <c r="B324" t="n">
        <v>1031768</v>
      </c>
      <c r="C324" t="inlineStr">
        <is>
          <t>Informatica ETL</t>
        </is>
      </c>
      <c r="D324" t="inlineStr">
        <is>
          <t>Primary</t>
        </is>
      </c>
      <c r="E324" t="inlineStr">
        <is>
          <t>Advanced</t>
        </is>
      </c>
      <c r="F324" t="n">
        <v>8</v>
      </c>
      <c r="G324" t="inlineStr">
        <is>
          <t>Technical</t>
        </is>
      </c>
      <c r="H324" t="inlineStr">
        <is>
          <t>Yes</t>
        </is>
      </c>
      <c r="I324" t="inlineStr">
        <is>
          <t>2022-12-07</t>
        </is>
      </c>
    </row>
    <row r="325">
      <c r="A325" t="n">
        <v/>
      </c>
      <c r="B325" t="n">
        <v>1031768</v>
      </c>
      <c r="C325" t="inlineStr">
        <is>
          <t>Informatica PowerCenter</t>
        </is>
      </c>
      <c r="D325" t="inlineStr">
        <is>
          <t>Secondary</t>
        </is>
      </c>
      <c r="E325" t="inlineStr">
        <is>
          <t>Intermediate</t>
        </is>
      </c>
      <c r="F325" t="n">
        <v>4.8</v>
      </c>
      <c r="G325" t="inlineStr">
        <is>
          <t>Technical</t>
        </is>
      </c>
      <c r="H325" t="inlineStr">
        <is>
          <t>Yes</t>
        </is>
      </c>
      <c r="I325" t="inlineStr">
        <is>
          <t>2022-12-07</t>
        </is>
      </c>
    </row>
    <row r="326">
      <c r="A326" t="n">
        <v/>
      </c>
      <c r="B326" t="n">
        <v>1031768</v>
      </c>
      <c r="C326" t="inlineStr">
        <is>
          <t>SQL</t>
        </is>
      </c>
      <c r="D326" t="inlineStr">
        <is>
          <t>Secondary</t>
        </is>
      </c>
      <c r="E326" t="inlineStr">
        <is>
          <t>Intermediate</t>
        </is>
      </c>
      <c r="F326" t="n">
        <v>3.6</v>
      </c>
      <c r="G326" t="inlineStr">
        <is>
          <t>Technical</t>
        </is>
      </c>
      <c r="H326" t="inlineStr">
        <is>
          <t>Yes</t>
        </is>
      </c>
      <c r="I326" t="inlineStr">
        <is>
          <t>2022-12-07</t>
        </is>
      </c>
    </row>
    <row r="327">
      <c r="A327" t="n">
        <v/>
      </c>
      <c r="B327" t="n">
        <v>1031768</v>
      </c>
      <c r="C327" t="inlineStr">
        <is>
          <t>Data Warehousing</t>
        </is>
      </c>
      <c r="D327" t="inlineStr">
        <is>
          <t>Secondary</t>
        </is>
      </c>
      <c r="E327" t="inlineStr">
        <is>
          <t>Intermediate</t>
        </is>
      </c>
      <c r="F327" t="n">
        <v>2.4</v>
      </c>
      <c r="G327" t="inlineStr">
        <is>
          <t>Technical</t>
        </is>
      </c>
      <c r="H327" t="inlineStr">
        <is>
          <t>Yes</t>
        </is>
      </c>
      <c r="I327" t="inlineStr">
        <is>
          <t>2022-12-07</t>
        </is>
      </c>
    </row>
    <row r="328">
      <c r="A328" t="n">
        <v/>
      </c>
      <c r="B328" t="n">
        <v>1029362</v>
      </c>
      <c r="C328" t="inlineStr">
        <is>
          <t>Fullstack Web (React / Node)</t>
        </is>
      </c>
      <c r="D328" t="inlineStr">
        <is>
          <t>Primary</t>
        </is>
      </c>
      <c r="E328" t="inlineStr">
        <is>
          <t>Advanced</t>
        </is>
      </c>
      <c r="F328" t="n">
        <v>8.4</v>
      </c>
      <c r="G328" t="inlineStr">
        <is>
          <t>Technical</t>
        </is>
      </c>
      <c r="H328" t="inlineStr">
        <is>
          <t>Yes</t>
        </is>
      </c>
      <c r="I328" t="inlineStr">
        <is>
          <t>2022-06-23</t>
        </is>
      </c>
    </row>
    <row r="329">
      <c r="A329" t="n">
        <v/>
      </c>
      <c r="B329" t="n">
        <v>1029362</v>
      </c>
      <c r="C329" t="inlineStr">
        <is>
          <t>JavaScript</t>
        </is>
      </c>
      <c r="D329" t="inlineStr">
        <is>
          <t>Secondary</t>
        </is>
      </c>
      <c r="E329" t="inlineStr">
        <is>
          <t>Advanced</t>
        </is>
      </c>
      <c r="F329" t="n">
        <v>5</v>
      </c>
      <c r="G329" t="inlineStr">
        <is>
          <t>Technical</t>
        </is>
      </c>
      <c r="H329" t="inlineStr">
        <is>
          <t>Yes</t>
        </is>
      </c>
      <c r="I329" t="inlineStr">
        <is>
          <t>2022-06-23</t>
        </is>
      </c>
    </row>
    <row r="330">
      <c r="A330" t="n">
        <v/>
      </c>
      <c r="B330" t="n">
        <v>1029362</v>
      </c>
      <c r="C330" t="inlineStr">
        <is>
          <t>TypeScript</t>
        </is>
      </c>
      <c r="D330" t="inlineStr">
        <is>
          <t>Secondary</t>
        </is>
      </c>
      <c r="E330" t="inlineStr">
        <is>
          <t>Intermediate</t>
        </is>
      </c>
      <c r="F330" t="n">
        <v>3.8</v>
      </c>
      <c r="G330" t="inlineStr">
        <is>
          <t>Technical</t>
        </is>
      </c>
      <c r="H330" t="inlineStr">
        <is>
          <t>Yes</t>
        </is>
      </c>
      <c r="I330" t="inlineStr">
        <is>
          <t>2022-06-23</t>
        </is>
      </c>
    </row>
    <row r="331">
      <c r="A331" t="n">
        <v/>
      </c>
      <c r="B331" t="n">
        <v>1029362</v>
      </c>
      <c r="C331" t="inlineStr">
        <is>
          <t>CSS/HTML</t>
        </is>
      </c>
      <c r="D331" t="inlineStr">
        <is>
          <t>Secondary</t>
        </is>
      </c>
      <c r="E331" t="inlineStr">
        <is>
          <t>Intermediate</t>
        </is>
      </c>
      <c r="F331" t="n">
        <v>2.5</v>
      </c>
      <c r="G331" t="inlineStr">
        <is>
          <t>Technical</t>
        </is>
      </c>
      <c r="H331" t="inlineStr">
        <is>
          <t>Yes</t>
        </is>
      </c>
      <c r="I331" t="inlineStr">
        <is>
          <t>2022-06-23</t>
        </is>
      </c>
    </row>
    <row r="332">
      <c r="A332" t="n">
        <v/>
      </c>
      <c r="B332" t="n">
        <v>1013703</v>
      </c>
      <c r="C332" t="inlineStr">
        <is>
          <t>Project &amp; Delivery Management</t>
        </is>
      </c>
      <c r="D332" t="inlineStr">
        <is>
          <t>Primary</t>
        </is>
      </c>
      <c r="E332" t="inlineStr">
        <is>
          <t>Advanced</t>
        </is>
      </c>
      <c r="F332" t="n">
        <v>28.8</v>
      </c>
      <c r="G332" t="inlineStr">
        <is>
          <t>Functional</t>
        </is>
      </c>
      <c r="H332" t="inlineStr">
        <is>
          <t>Yes</t>
        </is>
      </c>
      <c r="I332" t="inlineStr">
        <is>
          <t>2013-10-01</t>
        </is>
      </c>
    </row>
    <row r="333">
      <c r="A333" t="n">
        <v/>
      </c>
      <c r="B333" t="n">
        <v>1013703</v>
      </c>
      <c r="C333" t="inlineStr">
        <is>
          <t>Agile / Scrum</t>
        </is>
      </c>
      <c r="D333" t="inlineStr">
        <is>
          <t>Secondary</t>
        </is>
      </c>
      <c r="E333" t="inlineStr">
        <is>
          <t>Advanced</t>
        </is>
      </c>
      <c r="F333" t="n">
        <v>17.3</v>
      </c>
      <c r="G333" t="inlineStr">
        <is>
          <t>Functional</t>
        </is>
      </c>
      <c r="H333" t="inlineStr">
        <is>
          <t>Yes</t>
        </is>
      </c>
      <c r="I333" t="inlineStr">
        <is>
          <t>2013-10-01</t>
        </is>
      </c>
    </row>
    <row r="334">
      <c r="A334" t="n">
        <v/>
      </c>
      <c r="B334" t="n">
        <v>1013703</v>
      </c>
      <c r="C334" t="inlineStr">
        <is>
          <t>Stakeholder Management</t>
        </is>
      </c>
      <c r="D334" t="inlineStr">
        <is>
          <t>Secondary</t>
        </is>
      </c>
      <c r="E334" t="inlineStr">
        <is>
          <t>Advanced</t>
        </is>
      </c>
      <c r="F334" t="n">
        <v>13</v>
      </c>
      <c r="G334" t="inlineStr">
        <is>
          <t>Functional</t>
        </is>
      </c>
      <c r="H334" t="inlineStr">
        <is>
          <t>Yes</t>
        </is>
      </c>
      <c r="I334" t="inlineStr">
        <is>
          <t>2013-10-01</t>
        </is>
      </c>
    </row>
    <row r="335">
      <c r="A335" t="n">
        <v/>
      </c>
      <c r="B335" t="n">
        <v>1013703</v>
      </c>
      <c r="C335" t="inlineStr">
        <is>
          <t>Resource Planning</t>
        </is>
      </c>
      <c r="D335" t="inlineStr">
        <is>
          <t>Secondary</t>
        </is>
      </c>
      <c r="E335" t="inlineStr">
        <is>
          <t>Advanced</t>
        </is>
      </c>
      <c r="F335" t="n">
        <v>8.6</v>
      </c>
      <c r="G335" t="inlineStr">
        <is>
          <t>Functional</t>
        </is>
      </c>
      <c r="H335" t="inlineStr">
        <is>
          <t>Yes</t>
        </is>
      </c>
      <c r="I335" t="inlineStr">
        <is>
          <t>2013-10-01</t>
        </is>
      </c>
    </row>
    <row r="336">
      <c r="A336" t="n">
        <v/>
      </c>
      <c r="B336" t="n">
        <v>1022795</v>
      </c>
      <c r="C336" t="inlineStr">
        <is>
          <t>Project &amp; Delivery Management</t>
        </is>
      </c>
      <c r="D336" t="inlineStr">
        <is>
          <t>Primary</t>
        </is>
      </c>
      <c r="E336" t="inlineStr">
        <is>
          <t>Advanced</t>
        </is>
      </c>
      <c r="F336" t="n">
        <v>10.7</v>
      </c>
      <c r="G336" t="inlineStr">
        <is>
          <t>Functional</t>
        </is>
      </c>
      <c r="H336" t="inlineStr">
        <is>
          <t>Yes</t>
        </is>
      </c>
      <c r="I336" t="inlineStr">
        <is>
          <t>2019-11-04</t>
        </is>
      </c>
    </row>
    <row r="337">
      <c r="A337" t="n">
        <v/>
      </c>
      <c r="B337" t="n">
        <v>1022795</v>
      </c>
      <c r="C337" t="inlineStr">
        <is>
          <t>Agile / Scrum</t>
        </is>
      </c>
      <c r="D337" t="inlineStr">
        <is>
          <t>Secondary</t>
        </is>
      </c>
      <c r="E337" t="inlineStr">
        <is>
          <t>Advanced</t>
        </is>
      </c>
      <c r="F337" t="n">
        <v>6.4</v>
      </c>
      <c r="G337" t="inlineStr">
        <is>
          <t>Functional</t>
        </is>
      </c>
      <c r="H337" t="inlineStr">
        <is>
          <t>Yes</t>
        </is>
      </c>
      <c r="I337" t="inlineStr">
        <is>
          <t>2019-11-04</t>
        </is>
      </c>
    </row>
    <row r="338">
      <c r="A338" t="n">
        <v/>
      </c>
      <c r="B338" t="n">
        <v>1022795</v>
      </c>
      <c r="C338" t="inlineStr">
        <is>
          <t>Stakeholder Management</t>
        </is>
      </c>
      <c r="D338" t="inlineStr">
        <is>
          <t>Secondary</t>
        </is>
      </c>
      <c r="E338" t="inlineStr">
        <is>
          <t>Intermediate</t>
        </is>
      </c>
      <c r="F338" t="n">
        <v>4.8</v>
      </c>
      <c r="G338" t="inlineStr">
        <is>
          <t>Functional</t>
        </is>
      </c>
      <c r="H338" t="inlineStr">
        <is>
          <t>Yes</t>
        </is>
      </c>
      <c r="I338" t="inlineStr">
        <is>
          <t>2019-11-04</t>
        </is>
      </c>
    </row>
    <row r="339">
      <c r="A339" t="n">
        <v/>
      </c>
      <c r="B339" t="n">
        <v>1022795</v>
      </c>
      <c r="C339" t="inlineStr">
        <is>
          <t>Resource Planning</t>
        </is>
      </c>
      <c r="D339" t="inlineStr">
        <is>
          <t>Secondary</t>
        </is>
      </c>
      <c r="E339" t="inlineStr">
        <is>
          <t>Intermediate</t>
        </is>
      </c>
      <c r="F339" t="n">
        <v>3.2</v>
      </c>
      <c r="G339" t="inlineStr">
        <is>
          <t>Functional</t>
        </is>
      </c>
      <c r="H339" t="inlineStr">
        <is>
          <t>Yes</t>
        </is>
      </c>
      <c r="I339" t="inlineStr">
        <is>
          <t>2019-11-04</t>
        </is>
      </c>
    </row>
    <row r="340">
      <c r="A340" t="n">
        <v/>
      </c>
      <c r="B340" t="n">
        <v>1027682</v>
      </c>
      <c r="C340" t="inlineStr">
        <is>
          <t>Cloud &amp; DevOps (AWS / K8s)</t>
        </is>
      </c>
      <c r="D340" t="inlineStr">
        <is>
          <t>Primary</t>
        </is>
      </c>
      <c r="E340" t="inlineStr">
        <is>
          <t>Advanced</t>
        </is>
      </c>
      <c r="F340" t="n">
        <v>7</v>
      </c>
      <c r="G340" t="inlineStr">
        <is>
          <t>Technical</t>
        </is>
      </c>
      <c r="H340" t="inlineStr">
        <is>
          <t>Yes</t>
        </is>
      </c>
      <c r="I340" t="inlineStr">
        <is>
          <t>2021-12-17</t>
        </is>
      </c>
    </row>
    <row r="341">
      <c r="A341" t="n">
        <v/>
      </c>
      <c r="B341" t="n">
        <v>1027682</v>
      </c>
      <c r="C341" t="inlineStr">
        <is>
          <t>Linux</t>
        </is>
      </c>
      <c r="D341" t="inlineStr">
        <is>
          <t>Secondary</t>
        </is>
      </c>
      <c r="E341" t="inlineStr">
        <is>
          <t>Intermediate</t>
        </is>
      </c>
      <c r="F341" t="n">
        <v>4.2</v>
      </c>
      <c r="G341" t="inlineStr">
        <is>
          <t>Technical</t>
        </is>
      </c>
      <c r="H341" t="inlineStr">
        <is>
          <t>Yes</t>
        </is>
      </c>
      <c r="I341" t="inlineStr">
        <is>
          <t>2021-12-17</t>
        </is>
      </c>
    </row>
    <row r="342">
      <c r="A342" t="n">
        <v/>
      </c>
      <c r="B342" t="n">
        <v>1027682</v>
      </c>
      <c r="C342" t="inlineStr">
        <is>
          <t>Docker</t>
        </is>
      </c>
      <c r="D342" t="inlineStr">
        <is>
          <t>Secondary</t>
        </is>
      </c>
      <c r="E342" t="inlineStr">
        <is>
          <t>Intermediate</t>
        </is>
      </c>
      <c r="F342" t="n">
        <v>3.1</v>
      </c>
      <c r="G342" t="inlineStr">
        <is>
          <t>Technical</t>
        </is>
      </c>
      <c r="H342" t="inlineStr">
        <is>
          <t>Yes</t>
        </is>
      </c>
      <c r="I342" t="inlineStr">
        <is>
          <t>2021-12-17</t>
        </is>
      </c>
    </row>
    <row r="343">
      <c r="A343" t="n">
        <v/>
      </c>
      <c r="B343" t="n">
        <v>1027682</v>
      </c>
      <c r="C343" t="inlineStr">
        <is>
          <t>Kubernetes</t>
        </is>
      </c>
      <c r="D343" t="inlineStr">
        <is>
          <t>Secondary</t>
        </is>
      </c>
      <c r="E343" t="inlineStr">
        <is>
          <t>Intermediate</t>
        </is>
      </c>
      <c r="F343" t="n">
        <v>2.1</v>
      </c>
      <c r="G343" t="inlineStr">
        <is>
          <t>Technical</t>
        </is>
      </c>
      <c r="H343" t="inlineStr">
        <is>
          <t>Yes</t>
        </is>
      </c>
      <c r="I343" t="inlineStr">
        <is>
          <t>2021-12-17</t>
        </is>
      </c>
    </row>
    <row r="344">
      <c r="A344" t="n">
        <v/>
      </c>
      <c r="B344" t="n">
        <v>1029823</v>
      </c>
      <c r="C344" t="inlineStr">
        <is>
          <t>Database &amp; SQL Architecture</t>
        </is>
      </c>
      <c r="D344" t="inlineStr">
        <is>
          <t>Primary</t>
        </is>
      </c>
      <c r="E344" t="inlineStr">
        <is>
          <t>Advanced</t>
        </is>
      </c>
      <c r="F344" t="n">
        <v>8.199999999999999</v>
      </c>
      <c r="G344" t="inlineStr">
        <is>
          <t>Technical</t>
        </is>
      </c>
      <c r="H344" t="inlineStr">
        <is>
          <t>Yes</t>
        </is>
      </c>
      <c r="I344" t="inlineStr">
        <is>
          <t>2022-08-12</t>
        </is>
      </c>
    </row>
    <row r="345">
      <c r="A345" t="n">
        <v/>
      </c>
      <c r="B345" t="n">
        <v>1029823</v>
      </c>
      <c r="C345" t="inlineStr">
        <is>
          <t>PostgreSQL</t>
        </is>
      </c>
      <c r="D345" t="inlineStr">
        <is>
          <t>Secondary</t>
        </is>
      </c>
      <c r="E345" t="inlineStr">
        <is>
          <t>Intermediate</t>
        </is>
      </c>
      <c r="F345" t="n">
        <v>4.9</v>
      </c>
      <c r="G345" t="inlineStr">
        <is>
          <t>Technical</t>
        </is>
      </c>
      <c r="H345" t="inlineStr">
        <is>
          <t>Yes</t>
        </is>
      </c>
      <c r="I345" t="inlineStr">
        <is>
          <t>2022-08-12</t>
        </is>
      </c>
    </row>
    <row r="346">
      <c r="A346" t="n">
        <v/>
      </c>
      <c r="B346" t="n">
        <v>1029823</v>
      </c>
      <c r="C346" t="inlineStr">
        <is>
          <t>Oracle</t>
        </is>
      </c>
      <c r="D346" t="inlineStr">
        <is>
          <t>Secondary</t>
        </is>
      </c>
      <c r="E346" t="inlineStr">
        <is>
          <t>Intermediate</t>
        </is>
      </c>
      <c r="F346" t="n">
        <v>3.7</v>
      </c>
      <c r="G346" t="inlineStr">
        <is>
          <t>Technical</t>
        </is>
      </c>
      <c r="H346" t="inlineStr">
        <is>
          <t>Yes</t>
        </is>
      </c>
      <c r="I346" t="inlineStr">
        <is>
          <t>2022-08-12</t>
        </is>
      </c>
    </row>
    <row r="347">
      <c r="A347" t="n">
        <v/>
      </c>
      <c r="B347" t="n">
        <v>1029823</v>
      </c>
      <c r="C347" t="inlineStr">
        <is>
          <t>Performance Tuning</t>
        </is>
      </c>
      <c r="D347" t="inlineStr">
        <is>
          <t>Secondary</t>
        </is>
      </c>
      <c r="E347" t="inlineStr">
        <is>
          <t>Intermediate</t>
        </is>
      </c>
      <c r="F347" t="n">
        <v>2.5</v>
      </c>
      <c r="G347" t="inlineStr">
        <is>
          <t>Technical</t>
        </is>
      </c>
      <c r="H347" t="inlineStr">
        <is>
          <t>Yes</t>
        </is>
      </c>
      <c r="I347" t="inlineStr">
        <is>
          <t>2022-08-12</t>
        </is>
      </c>
    </row>
    <row r="348">
      <c r="A348" t="n">
        <v/>
      </c>
      <c r="B348" t="n">
        <v>1029154</v>
      </c>
      <c r="C348" t="inlineStr">
        <is>
          <t>Cloud &amp; DevOps (AWS / K8s)</t>
        </is>
      </c>
      <c r="D348" t="inlineStr">
        <is>
          <t>Primary</t>
        </is>
      </c>
      <c r="E348" t="inlineStr">
        <is>
          <t>Advanced</t>
        </is>
      </c>
      <c r="F348" t="n">
        <v>6.6</v>
      </c>
      <c r="G348" t="inlineStr">
        <is>
          <t>Technical</t>
        </is>
      </c>
      <c r="H348" t="inlineStr">
        <is>
          <t>Yes</t>
        </is>
      </c>
      <c r="I348" t="inlineStr">
        <is>
          <t>2022-05-30</t>
        </is>
      </c>
    </row>
    <row r="349">
      <c r="A349" t="n">
        <v/>
      </c>
      <c r="B349" t="n">
        <v>1029154</v>
      </c>
      <c r="C349" t="inlineStr">
        <is>
          <t>Docker</t>
        </is>
      </c>
      <c r="D349" t="inlineStr">
        <is>
          <t>Secondary</t>
        </is>
      </c>
      <c r="E349" t="inlineStr">
        <is>
          <t>Intermediate</t>
        </is>
      </c>
      <c r="F349" t="n">
        <v>4</v>
      </c>
      <c r="G349" t="inlineStr">
        <is>
          <t>Technical</t>
        </is>
      </c>
      <c r="H349" t="inlineStr">
        <is>
          <t>Yes</t>
        </is>
      </c>
      <c r="I349" t="inlineStr">
        <is>
          <t>2022-05-30</t>
        </is>
      </c>
    </row>
    <row r="350">
      <c r="A350" t="n">
        <v/>
      </c>
      <c r="B350" t="n">
        <v>1029154</v>
      </c>
      <c r="C350" t="inlineStr">
        <is>
          <t>Kubernetes</t>
        </is>
      </c>
      <c r="D350" t="inlineStr">
        <is>
          <t>Secondary</t>
        </is>
      </c>
      <c r="E350" t="inlineStr">
        <is>
          <t>Intermediate</t>
        </is>
      </c>
      <c r="F350" t="n">
        <v>3</v>
      </c>
      <c r="G350" t="inlineStr">
        <is>
          <t>Technical</t>
        </is>
      </c>
      <c r="H350" t="inlineStr">
        <is>
          <t>Yes</t>
        </is>
      </c>
      <c r="I350" t="inlineStr">
        <is>
          <t>2022-05-30</t>
        </is>
      </c>
    </row>
    <row r="351">
      <c r="A351" t="n">
        <v/>
      </c>
      <c r="B351" t="n">
        <v>1029154</v>
      </c>
      <c r="C351" t="inlineStr">
        <is>
          <t>Linux</t>
        </is>
      </c>
      <c r="D351" t="inlineStr">
        <is>
          <t>Secondary</t>
        </is>
      </c>
      <c r="E351" t="inlineStr">
        <is>
          <t>Intermediate</t>
        </is>
      </c>
      <c r="F351" t="n">
        <v>2</v>
      </c>
      <c r="G351" t="inlineStr">
        <is>
          <t>Technical</t>
        </is>
      </c>
      <c r="H351" t="inlineStr">
        <is>
          <t>Yes</t>
        </is>
      </c>
      <c r="I351" t="inlineStr">
        <is>
          <t>2022-05-30</t>
        </is>
      </c>
    </row>
    <row r="352">
      <c r="A352" t="n">
        <v/>
      </c>
      <c r="B352" t="n">
        <v>1020135</v>
      </c>
      <c r="C352" t="inlineStr">
        <is>
          <t>Project &amp; Delivery Management</t>
        </is>
      </c>
      <c r="D352" t="inlineStr">
        <is>
          <t>Primary</t>
        </is>
      </c>
      <c r="E352" t="inlineStr">
        <is>
          <t>Advanced</t>
        </is>
      </c>
      <c r="F352" t="n">
        <v>12.4</v>
      </c>
      <c r="G352" t="inlineStr">
        <is>
          <t>Functional</t>
        </is>
      </c>
      <c r="H352" t="inlineStr">
        <is>
          <t>Yes</t>
        </is>
      </c>
      <c r="I352" t="inlineStr">
        <is>
          <t>2018-01-08</t>
        </is>
      </c>
    </row>
    <row r="353">
      <c r="A353" t="n">
        <v/>
      </c>
      <c r="B353" t="n">
        <v>1020135</v>
      </c>
      <c r="C353" t="inlineStr">
        <is>
          <t>Agile / Scrum</t>
        </is>
      </c>
      <c r="D353" t="inlineStr">
        <is>
          <t>Secondary</t>
        </is>
      </c>
      <c r="E353" t="inlineStr">
        <is>
          <t>Advanced</t>
        </is>
      </c>
      <c r="F353" t="n">
        <v>7.4</v>
      </c>
      <c r="G353" t="inlineStr">
        <is>
          <t>Functional</t>
        </is>
      </c>
      <c r="H353" t="inlineStr">
        <is>
          <t>Yes</t>
        </is>
      </c>
      <c r="I353" t="inlineStr">
        <is>
          <t>2018-01-08</t>
        </is>
      </c>
    </row>
    <row r="354">
      <c r="A354" t="n">
        <v/>
      </c>
      <c r="B354" t="n">
        <v>1020135</v>
      </c>
      <c r="C354" t="inlineStr">
        <is>
          <t>Stakeholder Management</t>
        </is>
      </c>
      <c r="D354" t="inlineStr">
        <is>
          <t>Secondary</t>
        </is>
      </c>
      <c r="E354" t="inlineStr">
        <is>
          <t>Advanced</t>
        </is>
      </c>
      <c r="F354" t="n">
        <v>5.6</v>
      </c>
      <c r="G354" t="inlineStr">
        <is>
          <t>Functional</t>
        </is>
      </c>
      <c r="H354" t="inlineStr">
        <is>
          <t>Yes</t>
        </is>
      </c>
      <c r="I354" t="inlineStr">
        <is>
          <t>2018-01-08</t>
        </is>
      </c>
    </row>
    <row r="355">
      <c r="A355" t="n">
        <v/>
      </c>
      <c r="B355" t="n">
        <v>1020135</v>
      </c>
      <c r="C355" t="inlineStr">
        <is>
          <t>Resource Planning</t>
        </is>
      </c>
      <c r="D355" t="inlineStr">
        <is>
          <t>Secondary</t>
        </is>
      </c>
      <c r="E355" t="inlineStr">
        <is>
          <t>Intermediate</t>
        </is>
      </c>
      <c r="F355" t="n">
        <v>3.7</v>
      </c>
      <c r="G355" t="inlineStr">
        <is>
          <t>Functional</t>
        </is>
      </c>
      <c r="H355" t="inlineStr">
        <is>
          <t>Yes</t>
        </is>
      </c>
      <c r="I355" t="inlineStr">
        <is>
          <t>2018-01-08</t>
        </is>
      </c>
    </row>
    <row r="356">
      <c r="A356" t="n">
        <v/>
      </c>
      <c r="B356" t="n">
        <v>1020047</v>
      </c>
      <c r="C356" t="inlineStr">
        <is>
          <t>Fullstack Web (React / Node)</t>
        </is>
      </c>
      <c r="D356" t="inlineStr">
        <is>
          <t>Primary</t>
        </is>
      </c>
      <c r="E356" t="inlineStr">
        <is>
          <t>Advanced</t>
        </is>
      </c>
      <c r="F356" t="n">
        <v>7.2</v>
      </c>
      <c r="G356" t="inlineStr">
        <is>
          <t>Technical</t>
        </is>
      </c>
      <c r="H356" t="inlineStr">
        <is>
          <t>Yes</t>
        </is>
      </c>
      <c r="I356" t="inlineStr">
        <is>
          <t>2017-12-11</t>
        </is>
      </c>
    </row>
    <row r="357">
      <c r="A357" t="n">
        <v/>
      </c>
      <c r="B357" t="n">
        <v>1020047</v>
      </c>
      <c r="C357" t="inlineStr">
        <is>
          <t>JavaScript</t>
        </is>
      </c>
      <c r="D357" t="inlineStr">
        <is>
          <t>Secondary</t>
        </is>
      </c>
      <c r="E357" t="inlineStr">
        <is>
          <t>Intermediate</t>
        </is>
      </c>
      <c r="F357" t="n">
        <v>4.3</v>
      </c>
      <c r="G357" t="inlineStr">
        <is>
          <t>Technical</t>
        </is>
      </c>
      <c r="H357" t="inlineStr">
        <is>
          <t>Yes</t>
        </is>
      </c>
      <c r="I357" t="inlineStr">
        <is>
          <t>2017-12-11</t>
        </is>
      </c>
    </row>
    <row r="358">
      <c r="A358" t="n">
        <v/>
      </c>
      <c r="B358" t="n">
        <v>1020047</v>
      </c>
      <c r="C358" t="inlineStr">
        <is>
          <t>TypeScript</t>
        </is>
      </c>
      <c r="D358" t="inlineStr">
        <is>
          <t>Secondary</t>
        </is>
      </c>
      <c r="E358" t="inlineStr">
        <is>
          <t>Intermediate</t>
        </is>
      </c>
      <c r="F358" t="n">
        <v>3.2</v>
      </c>
      <c r="G358" t="inlineStr">
        <is>
          <t>Technical</t>
        </is>
      </c>
      <c r="H358" t="inlineStr">
        <is>
          <t>Yes</t>
        </is>
      </c>
      <c r="I358" t="inlineStr">
        <is>
          <t>2017-12-11</t>
        </is>
      </c>
    </row>
    <row r="359">
      <c r="A359" t="n">
        <v/>
      </c>
      <c r="B359" t="n">
        <v>1020047</v>
      </c>
      <c r="C359" t="inlineStr">
        <is>
          <t>CSS/HTML</t>
        </is>
      </c>
      <c r="D359" t="inlineStr">
        <is>
          <t>Secondary</t>
        </is>
      </c>
      <c r="E359" t="inlineStr">
        <is>
          <t>Intermediate</t>
        </is>
      </c>
      <c r="F359" t="n">
        <v>2.2</v>
      </c>
      <c r="G359" t="inlineStr">
        <is>
          <t>Technical</t>
        </is>
      </c>
      <c r="H359" t="inlineStr">
        <is>
          <t>Yes</t>
        </is>
      </c>
      <c r="I359" t="inlineStr">
        <is>
          <t>2017-12-11</t>
        </is>
      </c>
    </row>
    <row r="360">
      <c r="A360" t="n">
        <v/>
      </c>
      <c r="B360" t="n">
        <v>1028690</v>
      </c>
      <c r="C360" t="inlineStr">
        <is>
          <t>Project &amp; Delivery Management</t>
        </is>
      </c>
      <c r="D360" t="inlineStr">
        <is>
          <t>Primary</t>
        </is>
      </c>
      <c r="E360" t="inlineStr">
        <is>
          <t>Advanced</t>
        </is>
      </c>
      <c r="F360" t="n">
        <v>8.6</v>
      </c>
      <c r="G360" t="inlineStr">
        <is>
          <t>Functional</t>
        </is>
      </c>
      <c r="H360" t="inlineStr">
        <is>
          <t>Yes</t>
        </is>
      </c>
      <c r="I360" t="inlineStr">
        <is>
          <t>2022-03-28</t>
        </is>
      </c>
    </row>
    <row r="361">
      <c r="A361" t="n">
        <v/>
      </c>
      <c r="B361" t="n">
        <v>1028690</v>
      </c>
      <c r="C361" t="inlineStr">
        <is>
          <t>Agile / Scrum</t>
        </is>
      </c>
      <c r="D361" t="inlineStr">
        <is>
          <t>Secondary</t>
        </is>
      </c>
      <c r="E361" t="inlineStr">
        <is>
          <t>Advanced</t>
        </is>
      </c>
      <c r="F361" t="n">
        <v>5.2</v>
      </c>
      <c r="G361" t="inlineStr">
        <is>
          <t>Functional</t>
        </is>
      </c>
      <c r="H361" t="inlineStr">
        <is>
          <t>Yes</t>
        </is>
      </c>
      <c r="I361" t="inlineStr">
        <is>
          <t>2022-03-28</t>
        </is>
      </c>
    </row>
    <row r="362">
      <c r="A362" t="n">
        <v/>
      </c>
      <c r="B362" t="n">
        <v>1028690</v>
      </c>
      <c r="C362" t="inlineStr">
        <is>
          <t>Stakeholder Management</t>
        </is>
      </c>
      <c r="D362" t="inlineStr">
        <is>
          <t>Secondary</t>
        </is>
      </c>
      <c r="E362" t="inlineStr">
        <is>
          <t>Intermediate</t>
        </is>
      </c>
      <c r="F362" t="n">
        <v>3.9</v>
      </c>
      <c r="G362" t="inlineStr">
        <is>
          <t>Functional</t>
        </is>
      </c>
      <c r="H362" t="inlineStr">
        <is>
          <t>Yes</t>
        </is>
      </c>
      <c r="I362" t="inlineStr">
        <is>
          <t>2022-03-28</t>
        </is>
      </c>
    </row>
    <row r="363">
      <c r="A363" t="n">
        <v/>
      </c>
      <c r="B363" t="n">
        <v>1028690</v>
      </c>
      <c r="C363" t="inlineStr">
        <is>
          <t>Resource Planning</t>
        </is>
      </c>
      <c r="D363" t="inlineStr">
        <is>
          <t>Secondary</t>
        </is>
      </c>
      <c r="E363" t="inlineStr">
        <is>
          <t>Intermediate</t>
        </is>
      </c>
      <c r="F363" t="n">
        <v>2.6</v>
      </c>
      <c r="G363" t="inlineStr">
        <is>
          <t>Functional</t>
        </is>
      </c>
      <c r="H363" t="inlineStr">
        <is>
          <t>Yes</t>
        </is>
      </c>
      <c r="I363" t="inlineStr">
        <is>
          <t>2022-03-28</t>
        </is>
      </c>
    </row>
    <row r="364">
      <c r="A364" t="n">
        <v/>
      </c>
      <c r="B364" t="n">
        <v>1026170</v>
      </c>
      <c r="C364" t="inlineStr">
        <is>
          <t>Project &amp; Delivery Management</t>
        </is>
      </c>
      <c r="D364" t="inlineStr">
        <is>
          <t>Primary</t>
        </is>
      </c>
      <c r="E364" t="inlineStr">
        <is>
          <t>Advanced</t>
        </is>
      </c>
      <c r="F364" t="n">
        <v>9.1</v>
      </c>
      <c r="G364" t="inlineStr">
        <is>
          <t>Functional</t>
        </is>
      </c>
      <c r="H364" t="inlineStr">
        <is>
          <t>Yes</t>
        </is>
      </c>
      <c r="I364" t="inlineStr">
        <is>
          <t>2021-08-18</t>
        </is>
      </c>
    </row>
    <row r="365">
      <c r="A365" t="n">
        <v/>
      </c>
      <c r="B365" t="n">
        <v>1026170</v>
      </c>
      <c r="C365" t="inlineStr">
        <is>
          <t>Agile / Scrum</t>
        </is>
      </c>
      <c r="D365" t="inlineStr">
        <is>
          <t>Secondary</t>
        </is>
      </c>
      <c r="E365" t="inlineStr">
        <is>
          <t>Advanced</t>
        </is>
      </c>
      <c r="F365" t="n">
        <v>5.5</v>
      </c>
      <c r="G365" t="inlineStr">
        <is>
          <t>Functional</t>
        </is>
      </c>
      <c r="H365" t="inlineStr">
        <is>
          <t>Yes</t>
        </is>
      </c>
      <c r="I365" t="inlineStr">
        <is>
          <t>2021-08-18</t>
        </is>
      </c>
    </row>
    <row r="366">
      <c r="A366" t="n">
        <v/>
      </c>
      <c r="B366" t="n">
        <v>1026170</v>
      </c>
      <c r="C366" t="inlineStr">
        <is>
          <t>Stakeholder Management</t>
        </is>
      </c>
      <c r="D366" t="inlineStr">
        <is>
          <t>Secondary</t>
        </is>
      </c>
      <c r="E366" t="inlineStr">
        <is>
          <t>Intermediate</t>
        </is>
      </c>
      <c r="F366" t="n">
        <v>4.1</v>
      </c>
      <c r="G366" t="inlineStr">
        <is>
          <t>Functional</t>
        </is>
      </c>
      <c r="H366" t="inlineStr">
        <is>
          <t>Yes</t>
        </is>
      </c>
      <c r="I366" t="inlineStr">
        <is>
          <t>2021-08-18</t>
        </is>
      </c>
    </row>
    <row r="367">
      <c r="A367" t="n">
        <v/>
      </c>
      <c r="B367" t="n">
        <v>1026170</v>
      </c>
      <c r="C367" t="inlineStr">
        <is>
          <t>Resource Planning</t>
        </is>
      </c>
      <c r="D367" t="inlineStr">
        <is>
          <t>Secondary</t>
        </is>
      </c>
      <c r="E367" t="inlineStr">
        <is>
          <t>Intermediate</t>
        </is>
      </c>
      <c r="F367" t="n">
        <v>2.7</v>
      </c>
      <c r="G367" t="inlineStr">
        <is>
          <t>Functional</t>
        </is>
      </c>
      <c r="H367" t="inlineStr">
        <is>
          <t>Yes</t>
        </is>
      </c>
      <c r="I367" t="inlineStr">
        <is>
          <t>2021-08-18</t>
        </is>
      </c>
    </row>
    <row r="368">
      <c r="A368" t="n">
        <v/>
      </c>
      <c r="B368" t="n">
        <v>1033985</v>
      </c>
      <c r="C368" t="inlineStr">
        <is>
          <t>Project &amp; Delivery Management</t>
        </is>
      </c>
      <c r="D368" t="inlineStr">
        <is>
          <t>Primary</t>
        </is>
      </c>
      <c r="E368" t="inlineStr">
        <is>
          <t>Beginner</t>
        </is>
      </c>
      <c r="F368" t="n">
        <v>0.8</v>
      </c>
      <c r="G368" t="inlineStr">
        <is>
          <t>Functional</t>
        </is>
      </c>
      <c r="H368" t="inlineStr">
        <is>
          <t>Yes</t>
        </is>
      </c>
      <c r="I368" t="inlineStr">
        <is>
          <t>2023-12-01</t>
        </is>
      </c>
    </row>
    <row r="369">
      <c r="A369" t="n">
        <v/>
      </c>
      <c r="B369" t="n">
        <v>1033985</v>
      </c>
      <c r="C369" t="inlineStr">
        <is>
          <t>Agile / Scrum</t>
        </is>
      </c>
      <c r="D369" t="inlineStr">
        <is>
          <t>Secondary</t>
        </is>
      </c>
      <c r="E369" t="inlineStr">
        <is>
          <t>Beginner</t>
        </is>
      </c>
      <c r="F369" t="n">
        <v>0.5</v>
      </c>
      <c r="G369" t="inlineStr">
        <is>
          <t>Functional</t>
        </is>
      </c>
      <c r="H369" t="inlineStr">
        <is>
          <t>Yes</t>
        </is>
      </c>
      <c r="I369" t="inlineStr">
        <is>
          <t>2023-12-01</t>
        </is>
      </c>
    </row>
    <row r="370">
      <c r="A370" t="n">
        <v/>
      </c>
      <c r="B370" t="n">
        <v>1033985</v>
      </c>
      <c r="C370" t="inlineStr">
        <is>
          <t>Stakeholder Management</t>
        </is>
      </c>
      <c r="D370" t="inlineStr">
        <is>
          <t>Secondary</t>
        </is>
      </c>
      <c r="E370" t="inlineStr">
        <is>
          <t>Beginner</t>
        </is>
      </c>
      <c r="F370" t="n">
        <v>0.5</v>
      </c>
      <c r="G370" t="inlineStr">
        <is>
          <t>Functional</t>
        </is>
      </c>
      <c r="H370" t="inlineStr">
        <is>
          <t>Yes</t>
        </is>
      </c>
      <c r="I370" t="inlineStr">
        <is>
          <t>2023-12-01</t>
        </is>
      </c>
    </row>
    <row r="371">
      <c r="A371" t="n">
        <v/>
      </c>
      <c r="B371" t="n">
        <v>1028375</v>
      </c>
      <c r="C371" t="inlineStr">
        <is>
          <t>Project &amp; Delivery Management</t>
        </is>
      </c>
      <c r="D371" t="inlineStr">
        <is>
          <t>Primary</t>
        </is>
      </c>
      <c r="E371" t="inlineStr">
        <is>
          <t>Advanced</t>
        </is>
      </c>
      <c r="F371" t="n">
        <v>8.699999999999999</v>
      </c>
      <c r="G371" t="inlineStr">
        <is>
          <t>Functional</t>
        </is>
      </c>
      <c r="H371" t="inlineStr">
        <is>
          <t>Yes</t>
        </is>
      </c>
      <c r="I371" t="inlineStr">
        <is>
          <t>2022-02-18</t>
        </is>
      </c>
    </row>
    <row r="372">
      <c r="A372" t="n">
        <v/>
      </c>
      <c r="B372" t="n">
        <v>1028375</v>
      </c>
      <c r="C372" t="inlineStr">
        <is>
          <t>Agile / Scrum</t>
        </is>
      </c>
      <c r="D372" t="inlineStr">
        <is>
          <t>Secondary</t>
        </is>
      </c>
      <c r="E372" t="inlineStr">
        <is>
          <t>Advanced</t>
        </is>
      </c>
      <c r="F372" t="n">
        <v>5.2</v>
      </c>
      <c r="G372" t="inlineStr">
        <is>
          <t>Functional</t>
        </is>
      </c>
      <c r="H372" t="inlineStr">
        <is>
          <t>Yes</t>
        </is>
      </c>
      <c r="I372" t="inlineStr">
        <is>
          <t>2022-02-18</t>
        </is>
      </c>
    </row>
    <row r="373">
      <c r="A373" t="n">
        <v/>
      </c>
      <c r="B373" t="n">
        <v>1028375</v>
      </c>
      <c r="C373" t="inlineStr">
        <is>
          <t>Stakeholder Management</t>
        </is>
      </c>
      <c r="D373" t="inlineStr">
        <is>
          <t>Secondary</t>
        </is>
      </c>
      <c r="E373" t="inlineStr">
        <is>
          <t>Intermediate</t>
        </is>
      </c>
      <c r="F373" t="n">
        <v>3.9</v>
      </c>
      <c r="G373" t="inlineStr">
        <is>
          <t>Functional</t>
        </is>
      </c>
      <c r="H373" t="inlineStr">
        <is>
          <t>Yes</t>
        </is>
      </c>
      <c r="I373" t="inlineStr">
        <is>
          <t>2022-02-18</t>
        </is>
      </c>
    </row>
    <row r="374">
      <c r="A374" t="n">
        <v/>
      </c>
      <c r="B374" t="n">
        <v>1028375</v>
      </c>
      <c r="C374" t="inlineStr">
        <is>
          <t>Resource Planning</t>
        </is>
      </c>
      <c r="D374" t="inlineStr">
        <is>
          <t>Secondary</t>
        </is>
      </c>
      <c r="E374" t="inlineStr">
        <is>
          <t>Intermediate</t>
        </is>
      </c>
      <c r="F374" t="n">
        <v>2.6</v>
      </c>
      <c r="G374" t="inlineStr">
        <is>
          <t>Functional</t>
        </is>
      </c>
      <c r="H374" t="inlineStr">
        <is>
          <t>Yes</t>
        </is>
      </c>
      <c r="I374" t="inlineStr">
        <is>
          <t>2022-02-18</t>
        </is>
      </c>
    </row>
    <row r="375">
      <c r="A375" t="n">
        <v/>
      </c>
      <c r="B375" t="n">
        <v>1017913</v>
      </c>
      <c r="C375" t="inlineStr">
        <is>
          <t>Business Analysis &amp; Healthcare Domain</t>
        </is>
      </c>
      <c r="D375" t="inlineStr">
        <is>
          <t>Primary</t>
        </is>
      </c>
      <c r="E375" t="inlineStr">
        <is>
          <t>Advanced</t>
        </is>
      </c>
      <c r="F375" t="n">
        <v>14.2</v>
      </c>
      <c r="G375" t="inlineStr">
        <is>
          <t>Functional</t>
        </is>
      </c>
      <c r="H375" t="inlineStr">
        <is>
          <t>Yes</t>
        </is>
      </c>
      <c r="I375" t="inlineStr">
        <is>
          <t>2016-01-18</t>
        </is>
      </c>
    </row>
    <row r="376">
      <c r="A376" t="n">
        <v/>
      </c>
      <c r="B376" t="n">
        <v>1017913</v>
      </c>
      <c r="C376" t="inlineStr">
        <is>
          <t>Requirements Gathering</t>
        </is>
      </c>
      <c r="D376" t="inlineStr">
        <is>
          <t>Secondary</t>
        </is>
      </c>
      <c r="E376" t="inlineStr">
        <is>
          <t>Advanced</t>
        </is>
      </c>
      <c r="F376" t="n">
        <v>8.5</v>
      </c>
      <c r="G376" t="inlineStr">
        <is>
          <t>Functional</t>
        </is>
      </c>
      <c r="H376" t="inlineStr">
        <is>
          <t>Yes</t>
        </is>
      </c>
      <c r="I376" t="inlineStr">
        <is>
          <t>2016-01-18</t>
        </is>
      </c>
    </row>
    <row r="377">
      <c r="A377" t="n">
        <v/>
      </c>
      <c r="B377" t="n">
        <v>1017913</v>
      </c>
      <c r="C377" t="inlineStr">
        <is>
          <t>MMIS Workflows</t>
        </is>
      </c>
      <c r="D377" t="inlineStr">
        <is>
          <t>Secondary</t>
        </is>
      </c>
      <c r="E377" t="inlineStr">
        <is>
          <t>Advanced</t>
        </is>
      </c>
      <c r="F377" t="n">
        <v>6.4</v>
      </c>
      <c r="G377" t="inlineStr">
        <is>
          <t>Functional</t>
        </is>
      </c>
      <c r="H377" t="inlineStr">
        <is>
          <t>Yes</t>
        </is>
      </c>
      <c r="I377" t="inlineStr">
        <is>
          <t>2016-01-18</t>
        </is>
      </c>
    </row>
    <row r="378">
      <c r="A378" t="n">
        <v/>
      </c>
      <c r="B378" t="n">
        <v>1017913</v>
      </c>
      <c r="C378" t="inlineStr">
        <is>
          <t>SQL</t>
        </is>
      </c>
      <c r="D378" t="inlineStr">
        <is>
          <t>Secondary</t>
        </is>
      </c>
      <c r="E378" t="inlineStr">
        <is>
          <t>Intermediate</t>
        </is>
      </c>
      <c r="F378" t="n">
        <v>4.3</v>
      </c>
      <c r="G378" t="inlineStr">
        <is>
          <t>Functional</t>
        </is>
      </c>
      <c r="H378" t="inlineStr">
        <is>
          <t>Yes</t>
        </is>
      </c>
      <c r="I378" t="inlineStr">
        <is>
          <t>2016-01-18</t>
        </is>
      </c>
    </row>
    <row r="379">
      <c r="A379" t="n">
        <v/>
      </c>
      <c r="B379" t="n">
        <v>1019682</v>
      </c>
      <c r="C379" t="inlineStr">
        <is>
          <t>Java / Spring Boot</t>
        </is>
      </c>
      <c r="D379" t="inlineStr">
        <is>
          <t>Primary</t>
        </is>
      </c>
      <c r="E379" t="inlineStr">
        <is>
          <t>Advanced</t>
        </is>
      </c>
      <c r="F379" t="n">
        <v>11</v>
      </c>
      <c r="G379" t="inlineStr">
        <is>
          <t>Technical</t>
        </is>
      </c>
      <c r="H379" t="inlineStr">
        <is>
          <t>Yes</t>
        </is>
      </c>
      <c r="I379" t="inlineStr">
        <is>
          <t>2017-07-26</t>
        </is>
      </c>
      <c r="J379" t="inlineStr">
        <is>
          <t>Claims Financial</t>
        </is>
      </c>
    </row>
    <row r="380">
      <c r="A380" t="n">
        <v/>
      </c>
      <c r="B380" t="n">
        <v>1019682</v>
      </c>
      <c r="C380" t="inlineStr">
        <is>
          <t>SQL</t>
        </is>
      </c>
      <c r="D380" t="inlineStr">
        <is>
          <t>Secondary</t>
        </is>
      </c>
      <c r="E380" t="inlineStr">
        <is>
          <t>Advanced</t>
        </is>
      </c>
      <c r="F380" t="n">
        <v>6.6</v>
      </c>
      <c r="G380" t="inlineStr">
        <is>
          <t>Technical</t>
        </is>
      </c>
      <c r="H380" t="inlineStr">
        <is>
          <t>Yes</t>
        </is>
      </c>
      <c r="I380" t="inlineStr">
        <is>
          <t>2017-07-26</t>
        </is>
      </c>
      <c r="J380" t="inlineStr">
        <is>
          <t>Claims Financial</t>
        </is>
      </c>
    </row>
    <row r="381">
      <c r="A381" t="n">
        <v/>
      </c>
      <c r="B381" t="n">
        <v>1019682</v>
      </c>
      <c r="C381" t="inlineStr">
        <is>
          <t>Docker</t>
        </is>
      </c>
      <c r="D381" t="inlineStr">
        <is>
          <t>Secondary</t>
        </is>
      </c>
      <c r="E381" t="inlineStr">
        <is>
          <t>Intermediate</t>
        </is>
      </c>
      <c r="F381" t="n">
        <v>4.9</v>
      </c>
      <c r="G381" t="inlineStr">
        <is>
          <t>Technical</t>
        </is>
      </c>
      <c r="H381" t="inlineStr">
        <is>
          <t>Yes</t>
        </is>
      </c>
      <c r="I381" t="inlineStr">
        <is>
          <t>2017-07-26</t>
        </is>
      </c>
      <c r="J381" t="inlineStr">
        <is>
          <t>Claims Financial</t>
        </is>
      </c>
    </row>
    <row r="382">
      <c r="A382" t="n">
        <v/>
      </c>
      <c r="B382" t="n">
        <v>1019682</v>
      </c>
      <c r="C382" t="inlineStr">
        <is>
          <t>Git</t>
        </is>
      </c>
      <c r="D382" t="inlineStr">
        <is>
          <t>Secondary</t>
        </is>
      </c>
      <c r="E382" t="inlineStr">
        <is>
          <t>Intermediate</t>
        </is>
      </c>
      <c r="F382" t="n">
        <v>3.3</v>
      </c>
      <c r="G382" t="inlineStr">
        <is>
          <t>Technical</t>
        </is>
      </c>
      <c r="H382" t="inlineStr">
        <is>
          <t>Yes</t>
        </is>
      </c>
      <c r="I382" t="inlineStr">
        <is>
          <t>2017-07-26</t>
        </is>
      </c>
      <c r="J382" t="inlineStr">
        <is>
          <t>Claims Financial</t>
        </is>
      </c>
    </row>
    <row r="383">
      <c r="A383" t="n">
        <v/>
      </c>
      <c r="B383" t="n">
        <v>1019816</v>
      </c>
      <c r="C383" t="inlineStr">
        <is>
          <t>Informatica ETL</t>
        </is>
      </c>
      <c r="D383" t="inlineStr">
        <is>
          <t>Primary</t>
        </is>
      </c>
      <c r="E383" t="inlineStr">
        <is>
          <t>Advanced</t>
        </is>
      </c>
      <c r="F383" t="n">
        <v>7.2</v>
      </c>
      <c r="G383" t="inlineStr">
        <is>
          <t>Technical</t>
        </is>
      </c>
      <c r="H383" t="inlineStr">
        <is>
          <t>Yes</t>
        </is>
      </c>
      <c r="I383" t="inlineStr">
        <is>
          <t>2017-09-18</t>
        </is>
      </c>
    </row>
    <row r="384">
      <c r="A384" t="n">
        <v/>
      </c>
      <c r="B384" t="n">
        <v>1019816</v>
      </c>
      <c r="C384" t="inlineStr">
        <is>
          <t>Informatica PowerCenter</t>
        </is>
      </c>
      <c r="D384" t="inlineStr">
        <is>
          <t>Secondary</t>
        </is>
      </c>
      <c r="E384" t="inlineStr">
        <is>
          <t>Intermediate</t>
        </is>
      </c>
      <c r="F384" t="n">
        <v>4.3</v>
      </c>
      <c r="G384" t="inlineStr">
        <is>
          <t>Technical</t>
        </is>
      </c>
      <c r="H384" t="inlineStr">
        <is>
          <t>Yes</t>
        </is>
      </c>
      <c r="I384" t="inlineStr">
        <is>
          <t>2017-09-18</t>
        </is>
      </c>
    </row>
    <row r="385">
      <c r="A385" t="n">
        <v/>
      </c>
      <c r="B385" t="n">
        <v>1019816</v>
      </c>
      <c r="C385" t="inlineStr">
        <is>
          <t>SQL</t>
        </is>
      </c>
      <c r="D385" t="inlineStr">
        <is>
          <t>Secondary</t>
        </is>
      </c>
      <c r="E385" t="inlineStr">
        <is>
          <t>Intermediate</t>
        </is>
      </c>
      <c r="F385" t="n">
        <v>3.2</v>
      </c>
      <c r="G385" t="inlineStr">
        <is>
          <t>Technical</t>
        </is>
      </c>
      <c r="H385" t="inlineStr">
        <is>
          <t>Yes</t>
        </is>
      </c>
      <c r="I385" t="inlineStr">
        <is>
          <t>2017-09-18</t>
        </is>
      </c>
    </row>
    <row r="386">
      <c r="A386" t="n">
        <v/>
      </c>
      <c r="B386" t="n">
        <v>1019816</v>
      </c>
      <c r="C386" t="inlineStr">
        <is>
          <t>Data Warehousing</t>
        </is>
      </c>
      <c r="D386" t="inlineStr">
        <is>
          <t>Secondary</t>
        </is>
      </c>
      <c r="E386" t="inlineStr">
        <is>
          <t>Intermediate</t>
        </is>
      </c>
      <c r="F386" t="n">
        <v>2.2</v>
      </c>
      <c r="G386" t="inlineStr">
        <is>
          <t>Technical</t>
        </is>
      </c>
      <c r="H386" t="inlineStr">
        <is>
          <t>Yes</t>
        </is>
      </c>
      <c r="I386" t="inlineStr">
        <is>
          <t>2017-09-18</t>
        </is>
      </c>
    </row>
    <row r="387">
      <c r="A387" t="n">
        <v/>
      </c>
      <c r="B387" t="n">
        <v>1021404</v>
      </c>
      <c r="C387" t="inlineStr">
        <is>
          <t>Java / Spring Boot</t>
        </is>
      </c>
      <c r="D387" t="inlineStr">
        <is>
          <t>Primary</t>
        </is>
      </c>
      <c r="E387" t="inlineStr">
        <is>
          <t>Advanced</t>
        </is>
      </c>
      <c r="F387" t="n">
        <v>9.699999999999999</v>
      </c>
      <c r="G387" t="inlineStr">
        <is>
          <t>Technical</t>
        </is>
      </c>
      <c r="H387" t="inlineStr">
        <is>
          <t>Yes</t>
        </is>
      </c>
      <c r="I387" t="inlineStr">
        <is>
          <t>2019-01-07</t>
        </is>
      </c>
      <c r="J387" t="inlineStr">
        <is>
          <t>TMSIS</t>
        </is>
      </c>
    </row>
    <row r="388">
      <c r="A388" t="n">
        <v/>
      </c>
      <c r="B388" t="n">
        <v>1021404</v>
      </c>
      <c r="C388" t="inlineStr">
        <is>
          <t>SQL</t>
        </is>
      </c>
      <c r="D388" t="inlineStr">
        <is>
          <t>Secondary</t>
        </is>
      </c>
      <c r="E388" t="inlineStr">
        <is>
          <t>Advanced</t>
        </is>
      </c>
      <c r="F388" t="n">
        <v>5.8</v>
      </c>
      <c r="G388" t="inlineStr">
        <is>
          <t>Technical</t>
        </is>
      </c>
      <c r="H388" t="inlineStr">
        <is>
          <t>Yes</t>
        </is>
      </c>
      <c r="I388" t="inlineStr">
        <is>
          <t>2019-01-07</t>
        </is>
      </c>
      <c r="J388" t="inlineStr">
        <is>
          <t>TMSIS</t>
        </is>
      </c>
    </row>
    <row r="389">
      <c r="A389" t="n">
        <v/>
      </c>
      <c r="B389" t="n">
        <v>1021404</v>
      </c>
      <c r="C389" t="inlineStr">
        <is>
          <t>Docker</t>
        </is>
      </c>
      <c r="D389" t="inlineStr">
        <is>
          <t>Secondary</t>
        </is>
      </c>
      <c r="E389" t="inlineStr">
        <is>
          <t>Intermediate</t>
        </is>
      </c>
      <c r="F389" t="n">
        <v>4.4</v>
      </c>
      <c r="G389" t="inlineStr">
        <is>
          <t>Technical</t>
        </is>
      </c>
      <c r="H389" t="inlineStr">
        <is>
          <t>Yes</t>
        </is>
      </c>
      <c r="I389" t="inlineStr">
        <is>
          <t>2019-01-07</t>
        </is>
      </c>
      <c r="J389" t="inlineStr">
        <is>
          <t>TMSIS</t>
        </is>
      </c>
    </row>
    <row r="390">
      <c r="A390" t="n">
        <v/>
      </c>
      <c r="B390" t="n">
        <v>1021404</v>
      </c>
      <c r="C390" t="inlineStr">
        <is>
          <t>Git</t>
        </is>
      </c>
      <c r="D390" t="inlineStr">
        <is>
          <t>Secondary</t>
        </is>
      </c>
      <c r="E390" t="inlineStr">
        <is>
          <t>Intermediate</t>
        </is>
      </c>
      <c r="F390" t="n">
        <v>2.9</v>
      </c>
      <c r="G390" t="inlineStr">
        <is>
          <t>Technical</t>
        </is>
      </c>
      <c r="H390" t="inlineStr">
        <is>
          <t>Yes</t>
        </is>
      </c>
      <c r="I390" t="inlineStr">
        <is>
          <t>2019-01-07</t>
        </is>
      </c>
      <c r="J390" t="inlineStr">
        <is>
          <t>TMSIS</t>
        </is>
      </c>
    </row>
    <row r="391">
      <c r="A391" t="n">
        <v/>
      </c>
      <c r="B391" t="n">
        <v>1017149</v>
      </c>
      <c r="C391" t="inlineStr">
        <is>
          <t>Informatica ETL</t>
        </is>
      </c>
      <c r="D391" t="inlineStr">
        <is>
          <t>Primary</t>
        </is>
      </c>
      <c r="E391" t="inlineStr">
        <is>
          <t>Advanced</t>
        </is>
      </c>
      <c r="F391" t="n">
        <v>12.9</v>
      </c>
      <c r="G391" t="inlineStr">
        <is>
          <t>Technical</t>
        </is>
      </c>
      <c r="H391" t="inlineStr">
        <is>
          <t>Yes</t>
        </is>
      </c>
      <c r="I391" t="inlineStr">
        <is>
          <t>2015-05-25</t>
        </is>
      </c>
    </row>
    <row r="392">
      <c r="A392" t="n">
        <v/>
      </c>
      <c r="B392" t="n">
        <v>1017149</v>
      </c>
      <c r="C392" t="inlineStr">
        <is>
          <t>Informatica PowerCenter</t>
        </is>
      </c>
      <c r="D392" t="inlineStr">
        <is>
          <t>Secondary</t>
        </is>
      </c>
      <c r="E392" t="inlineStr">
        <is>
          <t>Advanced</t>
        </is>
      </c>
      <c r="F392" t="n">
        <v>7.7</v>
      </c>
      <c r="G392" t="inlineStr">
        <is>
          <t>Technical</t>
        </is>
      </c>
      <c r="H392" t="inlineStr">
        <is>
          <t>Yes</t>
        </is>
      </c>
      <c r="I392" t="inlineStr">
        <is>
          <t>2015-05-25</t>
        </is>
      </c>
    </row>
    <row r="393">
      <c r="A393" t="n">
        <v/>
      </c>
      <c r="B393" t="n">
        <v>1017149</v>
      </c>
      <c r="C393" t="inlineStr">
        <is>
          <t>SQL</t>
        </is>
      </c>
      <c r="D393" t="inlineStr">
        <is>
          <t>Secondary</t>
        </is>
      </c>
      <c r="E393" t="inlineStr">
        <is>
          <t>Advanced</t>
        </is>
      </c>
      <c r="F393" t="n">
        <v>5.8</v>
      </c>
      <c r="G393" t="inlineStr">
        <is>
          <t>Technical</t>
        </is>
      </c>
      <c r="H393" t="inlineStr">
        <is>
          <t>Yes</t>
        </is>
      </c>
      <c r="I393" t="inlineStr">
        <is>
          <t>2015-05-25</t>
        </is>
      </c>
    </row>
    <row r="394">
      <c r="A394" t="n">
        <v/>
      </c>
      <c r="B394" t="n">
        <v>1017149</v>
      </c>
      <c r="C394" t="inlineStr">
        <is>
          <t>Data Warehousing</t>
        </is>
      </c>
      <c r="D394" t="inlineStr">
        <is>
          <t>Secondary</t>
        </is>
      </c>
      <c r="E394" t="inlineStr">
        <is>
          <t>Intermediate</t>
        </is>
      </c>
      <c r="F394" t="n">
        <v>3.9</v>
      </c>
      <c r="G394" t="inlineStr">
        <is>
          <t>Technical</t>
        </is>
      </c>
      <c r="H394" t="inlineStr">
        <is>
          <t>Yes</t>
        </is>
      </c>
      <c r="I394" t="inlineStr">
        <is>
          <t>2015-05-25</t>
        </is>
      </c>
    </row>
    <row r="395">
      <c r="A395" t="n">
        <v/>
      </c>
      <c r="B395" t="n">
        <v>1027985</v>
      </c>
      <c r="C395" t="inlineStr">
        <is>
          <t>Project &amp; Delivery Management</t>
        </is>
      </c>
      <c r="D395" t="inlineStr">
        <is>
          <t>Primary</t>
        </is>
      </c>
      <c r="E395" t="inlineStr">
        <is>
          <t>Advanced</t>
        </is>
      </c>
      <c r="F395" t="n">
        <v>7</v>
      </c>
      <c r="G395" t="inlineStr">
        <is>
          <t>Functional</t>
        </is>
      </c>
      <c r="H395" t="inlineStr">
        <is>
          <t>Yes</t>
        </is>
      </c>
      <c r="I395" t="inlineStr">
        <is>
          <t>2022-01-10</t>
        </is>
      </c>
    </row>
    <row r="396">
      <c r="A396" t="n">
        <v/>
      </c>
      <c r="B396" t="n">
        <v>1027985</v>
      </c>
      <c r="C396" t="inlineStr">
        <is>
          <t>Agile / Scrum</t>
        </is>
      </c>
      <c r="D396" t="inlineStr">
        <is>
          <t>Secondary</t>
        </is>
      </c>
      <c r="E396" t="inlineStr">
        <is>
          <t>Intermediate</t>
        </is>
      </c>
      <c r="F396" t="n">
        <v>4.2</v>
      </c>
      <c r="G396" t="inlineStr">
        <is>
          <t>Functional</t>
        </is>
      </c>
      <c r="H396" t="inlineStr">
        <is>
          <t>Yes</t>
        </is>
      </c>
      <c r="I396" t="inlineStr">
        <is>
          <t>2022-01-10</t>
        </is>
      </c>
    </row>
    <row r="397">
      <c r="A397" t="n">
        <v/>
      </c>
      <c r="B397" t="n">
        <v>1027985</v>
      </c>
      <c r="C397" t="inlineStr">
        <is>
          <t>Stakeholder Management</t>
        </is>
      </c>
      <c r="D397" t="inlineStr">
        <is>
          <t>Secondary</t>
        </is>
      </c>
      <c r="E397" t="inlineStr">
        <is>
          <t>Intermediate</t>
        </is>
      </c>
      <c r="F397" t="n">
        <v>3.1</v>
      </c>
      <c r="G397" t="inlineStr">
        <is>
          <t>Functional</t>
        </is>
      </c>
      <c r="H397" t="inlineStr">
        <is>
          <t>Yes</t>
        </is>
      </c>
      <c r="I397" t="inlineStr">
        <is>
          <t>2022-01-10</t>
        </is>
      </c>
    </row>
    <row r="398">
      <c r="A398" t="n">
        <v/>
      </c>
      <c r="B398" t="n">
        <v>1027985</v>
      </c>
      <c r="C398" t="inlineStr">
        <is>
          <t>Resource Planning</t>
        </is>
      </c>
      <c r="D398" t="inlineStr">
        <is>
          <t>Secondary</t>
        </is>
      </c>
      <c r="E398" t="inlineStr">
        <is>
          <t>Intermediate</t>
        </is>
      </c>
      <c r="F398" t="n">
        <v>2.1</v>
      </c>
      <c r="G398" t="inlineStr">
        <is>
          <t>Functional</t>
        </is>
      </c>
      <c r="H398" t="inlineStr">
        <is>
          <t>Yes</t>
        </is>
      </c>
      <c r="I398" t="inlineStr">
        <is>
          <t>2022-01-10</t>
        </is>
      </c>
    </row>
    <row r="399">
      <c r="A399" t="n">
        <v/>
      </c>
      <c r="B399" t="n">
        <v>1027169</v>
      </c>
      <c r="C399" t="inlineStr">
        <is>
          <t>Business Analysis &amp; Healthcare Domain</t>
        </is>
      </c>
      <c r="D399" t="inlineStr">
        <is>
          <t>Primary</t>
        </is>
      </c>
      <c r="E399" t="inlineStr">
        <is>
          <t>Advanced</t>
        </is>
      </c>
      <c r="F399" t="n">
        <v>8.9</v>
      </c>
      <c r="G399" t="inlineStr">
        <is>
          <t>Functional</t>
        </is>
      </c>
      <c r="H399" t="inlineStr">
        <is>
          <t>Yes</t>
        </is>
      </c>
      <c r="I399" t="inlineStr">
        <is>
          <t>2021-11-12</t>
        </is>
      </c>
    </row>
    <row r="400">
      <c r="A400" t="n">
        <v/>
      </c>
      <c r="B400" t="n">
        <v>1027169</v>
      </c>
      <c r="C400" t="inlineStr">
        <is>
          <t>Requirements Gathering</t>
        </is>
      </c>
      <c r="D400" t="inlineStr">
        <is>
          <t>Secondary</t>
        </is>
      </c>
      <c r="E400" t="inlineStr">
        <is>
          <t>Advanced</t>
        </is>
      </c>
      <c r="F400" t="n">
        <v>5.3</v>
      </c>
      <c r="G400" t="inlineStr">
        <is>
          <t>Functional</t>
        </is>
      </c>
      <c r="H400" t="inlineStr">
        <is>
          <t>Yes</t>
        </is>
      </c>
      <c r="I400" t="inlineStr">
        <is>
          <t>2021-11-12</t>
        </is>
      </c>
    </row>
    <row r="401">
      <c r="A401" t="n">
        <v/>
      </c>
      <c r="B401" t="n">
        <v>1027169</v>
      </c>
      <c r="C401" t="inlineStr">
        <is>
          <t>MMIS Workflows</t>
        </is>
      </c>
      <c r="D401" t="inlineStr">
        <is>
          <t>Secondary</t>
        </is>
      </c>
      <c r="E401" t="inlineStr">
        <is>
          <t>Intermediate</t>
        </is>
      </c>
      <c r="F401" t="n">
        <v>4</v>
      </c>
      <c r="G401" t="inlineStr">
        <is>
          <t>Functional</t>
        </is>
      </c>
      <c r="H401" t="inlineStr">
        <is>
          <t>Yes</t>
        </is>
      </c>
      <c r="I401" t="inlineStr">
        <is>
          <t>2021-11-12</t>
        </is>
      </c>
    </row>
    <row r="402">
      <c r="A402" t="n">
        <v/>
      </c>
      <c r="B402" t="n">
        <v>1027169</v>
      </c>
      <c r="C402" t="inlineStr">
        <is>
          <t>SQL</t>
        </is>
      </c>
      <c r="D402" t="inlineStr">
        <is>
          <t>Secondary</t>
        </is>
      </c>
      <c r="E402" t="inlineStr">
        <is>
          <t>Intermediate</t>
        </is>
      </c>
      <c r="F402" t="n">
        <v>2.7</v>
      </c>
      <c r="G402" t="inlineStr">
        <is>
          <t>Functional</t>
        </is>
      </c>
      <c r="H402" t="inlineStr">
        <is>
          <t>Yes</t>
        </is>
      </c>
      <c r="I402" t="inlineStr">
        <is>
          <t>2021-11-12</t>
        </is>
      </c>
    </row>
    <row r="403">
      <c r="A403" t="n">
        <v/>
      </c>
      <c r="B403" t="n">
        <v>1033186</v>
      </c>
      <c r="C403" t="inlineStr">
        <is>
          <t>Business Analysis &amp; Healthcare Domain</t>
        </is>
      </c>
      <c r="D403" t="inlineStr">
        <is>
          <t>Primary</t>
        </is>
      </c>
      <c r="E403" t="inlineStr">
        <is>
          <t>Advanced</t>
        </is>
      </c>
      <c r="F403" t="n">
        <v>3.7</v>
      </c>
      <c r="G403" t="inlineStr">
        <is>
          <t>Functional</t>
        </is>
      </c>
      <c r="H403" t="inlineStr">
        <is>
          <t>Yes</t>
        </is>
      </c>
      <c r="I403" t="inlineStr">
        <is>
          <t>2023-08-14</t>
        </is>
      </c>
    </row>
    <row r="404">
      <c r="A404" t="n">
        <v/>
      </c>
      <c r="B404" t="n">
        <v>1033186</v>
      </c>
      <c r="C404" t="inlineStr">
        <is>
          <t>Requirements Gathering</t>
        </is>
      </c>
      <c r="D404" t="inlineStr">
        <is>
          <t>Secondary</t>
        </is>
      </c>
      <c r="E404" t="inlineStr">
        <is>
          <t>Intermediate</t>
        </is>
      </c>
      <c r="F404" t="n">
        <v>2.2</v>
      </c>
      <c r="G404" t="inlineStr">
        <is>
          <t>Functional</t>
        </is>
      </c>
      <c r="H404" t="inlineStr">
        <is>
          <t>Yes</t>
        </is>
      </c>
      <c r="I404" t="inlineStr">
        <is>
          <t>2023-08-14</t>
        </is>
      </c>
    </row>
    <row r="405">
      <c r="A405" t="n">
        <v/>
      </c>
      <c r="B405" t="n">
        <v>1033186</v>
      </c>
      <c r="C405" t="inlineStr">
        <is>
          <t>MMIS Workflows</t>
        </is>
      </c>
      <c r="D405" t="inlineStr">
        <is>
          <t>Secondary</t>
        </is>
      </c>
      <c r="E405" t="inlineStr">
        <is>
          <t>Intermediate</t>
        </is>
      </c>
      <c r="F405" t="n">
        <v>1.7</v>
      </c>
      <c r="G405" t="inlineStr">
        <is>
          <t>Functional</t>
        </is>
      </c>
      <c r="H405" t="inlineStr">
        <is>
          <t>Yes</t>
        </is>
      </c>
      <c r="I405" t="inlineStr">
        <is>
          <t>2023-08-14</t>
        </is>
      </c>
    </row>
    <row r="406">
      <c r="A406" t="n">
        <v/>
      </c>
      <c r="B406" t="n">
        <v>1033186</v>
      </c>
      <c r="C406" t="inlineStr">
        <is>
          <t>SQL</t>
        </is>
      </c>
      <c r="D406" t="inlineStr">
        <is>
          <t>Secondary</t>
        </is>
      </c>
      <c r="E406" t="inlineStr">
        <is>
          <t>Beginner</t>
        </is>
      </c>
      <c r="F406" t="n">
        <v>1.1</v>
      </c>
      <c r="G406" t="inlineStr">
        <is>
          <t>Functional</t>
        </is>
      </c>
      <c r="H406" t="inlineStr">
        <is>
          <t>Yes</t>
        </is>
      </c>
      <c r="I406" t="inlineStr">
        <is>
          <t>2023-08-14</t>
        </is>
      </c>
    </row>
    <row r="407">
      <c r="A407" t="n">
        <v/>
      </c>
      <c r="B407" t="n">
        <v>1023066</v>
      </c>
      <c r="C407" t="inlineStr">
        <is>
          <t>Project &amp; Delivery Management</t>
        </is>
      </c>
      <c r="D407" t="inlineStr">
        <is>
          <t>Primary</t>
        </is>
      </c>
      <c r="E407" t="inlineStr">
        <is>
          <t>Advanced</t>
        </is>
      </c>
      <c r="F407" t="n">
        <v>10.5</v>
      </c>
      <c r="G407" t="inlineStr">
        <is>
          <t>Functional</t>
        </is>
      </c>
      <c r="H407" t="inlineStr">
        <is>
          <t>Yes</t>
        </is>
      </c>
      <c r="I407" t="inlineStr">
        <is>
          <t>2020-02-12</t>
        </is>
      </c>
    </row>
    <row r="408">
      <c r="A408" t="n">
        <v/>
      </c>
      <c r="B408" t="n">
        <v>1023066</v>
      </c>
      <c r="C408" t="inlineStr">
        <is>
          <t>Agile / Scrum</t>
        </is>
      </c>
      <c r="D408" t="inlineStr">
        <is>
          <t>Secondary</t>
        </is>
      </c>
      <c r="E408" t="inlineStr">
        <is>
          <t>Advanced</t>
        </is>
      </c>
      <c r="F408" t="n">
        <v>6.3</v>
      </c>
      <c r="G408" t="inlineStr">
        <is>
          <t>Functional</t>
        </is>
      </c>
      <c r="H408" t="inlineStr">
        <is>
          <t>Yes</t>
        </is>
      </c>
      <c r="I408" t="inlineStr">
        <is>
          <t>2020-02-12</t>
        </is>
      </c>
    </row>
    <row r="409">
      <c r="A409" t="n">
        <v/>
      </c>
      <c r="B409" t="n">
        <v>1023066</v>
      </c>
      <c r="C409" t="inlineStr">
        <is>
          <t>Stakeholder Management</t>
        </is>
      </c>
      <c r="D409" t="inlineStr">
        <is>
          <t>Secondary</t>
        </is>
      </c>
      <c r="E409" t="inlineStr">
        <is>
          <t>Intermediate</t>
        </is>
      </c>
      <c r="F409" t="n">
        <v>4.7</v>
      </c>
      <c r="G409" t="inlineStr">
        <is>
          <t>Functional</t>
        </is>
      </c>
      <c r="H409" t="inlineStr">
        <is>
          <t>Yes</t>
        </is>
      </c>
      <c r="I409" t="inlineStr">
        <is>
          <t>2020-02-12</t>
        </is>
      </c>
    </row>
    <row r="410">
      <c r="A410" t="n">
        <v/>
      </c>
      <c r="B410" t="n">
        <v>1023066</v>
      </c>
      <c r="C410" t="inlineStr">
        <is>
          <t>Resource Planning</t>
        </is>
      </c>
      <c r="D410" t="inlineStr">
        <is>
          <t>Secondary</t>
        </is>
      </c>
      <c r="E410" t="inlineStr">
        <is>
          <t>Intermediate</t>
        </is>
      </c>
      <c r="F410" t="n">
        <v>3.1</v>
      </c>
      <c r="G410" t="inlineStr">
        <is>
          <t>Functional</t>
        </is>
      </c>
      <c r="H410" t="inlineStr">
        <is>
          <t>Yes</t>
        </is>
      </c>
      <c r="I410" t="inlineStr">
        <is>
          <t>2020-02-12</t>
        </is>
      </c>
    </row>
    <row r="411">
      <c r="A411" t="n">
        <v/>
      </c>
      <c r="B411" t="n">
        <v>1021469</v>
      </c>
      <c r="C411" t="inlineStr">
        <is>
          <t>QA Automation / SDET</t>
        </is>
      </c>
      <c r="D411" t="inlineStr">
        <is>
          <t>Primary</t>
        </is>
      </c>
      <c r="E411" t="inlineStr">
        <is>
          <t>Advanced</t>
        </is>
      </c>
      <c r="F411" t="n">
        <v>9.6</v>
      </c>
      <c r="G411" t="inlineStr">
        <is>
          <t>Technical</t>
        </is>
      </c>
      <c r="H411" t="inlineStr">
        <is>
          <t>Yes</t>
        </is>
      </c>
      <c r="I411" t="inlineStr">
        <is>
          <t>2019-01-23</t>
        </is>
      </c>
    </row>
    <row r="412">
      <c r="A412" t="n">
        <v/>
      </c>
      <c r="B412" t="n">
        <v>1021469</v>
      </c>
      <c r="C412" t="inlineStr">
        <is>
          <t>Selenium</t>
        </is>
      </c>
      <c r="D412" t="inlineStr">
        <is>
          <t>Secondary</t>
        </is>
      </c>
      <c r="E412" t="inlineStr">
        <is>
          <t>Advanced</t>
        </is>
      </c>
      <c r="F412" t="n">
        <v>5.8</v>
      </c>
      <c r="G412" t="inlineStr">
        <is>
          <t>Technical</t>
        </is>
      </c>
      <c r="H412" t="inlineStr">
        <is>
          <t>Yes</t>
        </is>
      </c>
      <c r="I412" t="inlineStr">
        <is>
          <t>2019-01-23</t>
        </is>
      </c>
    </row>
    <row r="413">
      <c r="A413" t="n">
        <v/>
      </c>
      <c r="B413" t="n">
        <v>1021469</v>
      </c>
      <c r="C413" t="inlineStr">
        <is>
          <t>API Testing (Postman)</t>
        </is>
      </c>
      <c r="D413" t="inlineStr">
        <is>
          <t>Secondary</t>
        </is>
      </c>
      <c r="E413" t="inlineStr">
        <is>
          <t>Intermediate</t>
        </is>
      </c>
      <c r="F413" t="n">
        <v>4.3</v>
      </c>
      <c r="G413" t="inlineStr">
        <is>
          <t>Technical</t>
        </is>
      </c>
      <c r="H413" t="inlineStr">
        <is>
          <t>Yes</t>
        </is>
      </c>
      <c r="I413" t="inlineStr">
        <is>
          <t>2019-01-23</t>
        </is>
      </c>
    </row>
    <row r="414">
      <c r="A414" t="n">
        <v/>
      </c>
      <c r="B414" t="n">
        <v>1021469</v>
      </c>
      <c r="C414" t="inlineStr">
        <is>
          <t>TestNG</t>
        </is>
      </c>
      <c r="D414" t="inlineStr">
        <is>
          <t>Secondary</t>
        </is>
      </c>
      <c r="E414" t="inlineStr">
        <is>
          <t>Intermediate</t>
        </is>
      </c>
      <c r="F414" t="n">
        <v>2.9</v>
      </c>
      <c r="G414" t="inlineStr">
        <is>
          <t>Technical</t>
        </is>
      </c>
      <c r="H414" t="inlineStr">
        <is>
          <t>Yes</t>
        </is>
      </c>
      <c r="I414" t="inlineStr">
        <is>
          <t>2019-01-23</t>
        </is>
      </c>
    </row>
    <row r="415">
      <c r="A415" t="n">
        <v/>
      </c>
      <c r="B415" t="n">
        <v>1023573</v>
      </c>
      <c r="C415" t="inlineStr">
        <is>
          <t>Database &amp; SQL Architecture</t>
        </is>
      </c>
      <c r="D415" t="inlineStr">
        <is>
          <t>Primary</t>
        </is>
      </c>
      <c r="E415" t="inlineStr">
        <is>
          <t>Advanced</t>
        </is>
      </c>
      <c r="F415" t="n">
        <v>10.1</v>
      </c>
      <c r="G415" t="inlineStr">
        <is>
          <t>Technical</t>
        </is>
      </c>
      <c r="H415" t="inlineStr">
        <is>
          <t>Yes</t>
        </is>
      </c>
      <c r="I415" t="inlineStr">
        <is>
          <t>2020-08-03</t>
        </is>
      </c>
    </row>
    <row r="416">
      <c r="A416" t="n">
        <v/>
      </c>
      <c r="B416" t="n">
        <v>1023573</v>
      </c>
      <c r="C416" t="inlineStr">
        <is>
          <t>PostgreSQL</t>
        </is>
      </c>
      <c r="D416" t="inlineStr">
        <is>
          <t>Secondary</t>
        </is>
      </c>
      <c r="E416" t="inlineStr">
        <is>
          <t>Advanced</t>
        </is>
      </c>
      <c r="F416" t="n">
        <v>6.1</v>
      </c>
      <c r="G416" t="inlineStr">
        <is>
          <t>Technical</t>
        </is>
      </c>
      <c r="H416" t="inlineStr">
        <is>
          <t>Yes</t>
        </is>
      </c>
      <c r="I416" t="inlineStr">
        <is>
          <t>2020-08-03</t>
        </is>
      </c>
    </row>
    <row r="417">
      <c r="A417" t="n">
        <v/>
      </c>
      <c r="B417" t="n">
        <v>1023573</v>
      </c>
      <c r="C417" t="inlineStr">
        <is>
          <t>Oracle</t>
        </is>
      </c>
      <c r="D417" t="inlineStr">
        <is>
          <t>Secondary</t>
        </is>
      </c>
      <c r="E417" t="inlineStr">
        <is>
          <t>Intermediate</t>
        </is>
      </c>
      <c r="F417" t="n">
        <v>4.5</v>
      </c>
      <c r="G417" t="inlineStr">
        <is>
          <t>Technical</t>
        </is>
      </c>
      <c r="H417" t="inlineStr">
        <is>
          <t>Yes</t>
        </is>
      </c>
      <c r="I417" t="inlineStr">
        <is>
          <t>2020-08-03</t>
        </is>
      </c>
    </row>
    <row r="418">
      <c r="A418" t="n">
        <v/>
      </c>
      <c r="B418" t="n">
        <v>1023573</v>
      </c>
      <c r="C418" t="inlineStr">
        <is>
          <t>Performance Tuning</t>
        </is>
      </c>
      <c r="D418" t="inlineStr">
        <is>
          <t>Secondary</t>
        </is>
      </c>
      <c r="E418" t="inlineStr">
        <is>
          <t>Intermediate</t>
        </is>
      </c>
      <c r="F418" t="n">
        <v>3</v>
      </c>
      <c r="G418" t="inlineStr">
        <is>
          <t>Technical</t>
        </is>
      </c>
      <c r="H418" t="inlineStr">
        <is>
          <t>Yes</t>
        </is>
      </c>
      <c r="I418" t="inlineStr">
        <is>
          <t>2020-08-03</t>
        </is>
      </c>
    </row>
    <row r="419">
      <c r="A419" t="n">
        <v/>
      </c>
      <c r="B419" t="n">
        <v>1033071</v>
      </c>
      <c r="C419" t="inlineStr">
        <is>
          <t>Project &amp; Delivery Management</t>
        </is>
      </c>
      <c r="D419" t="inlineStr">
        <is>
          <t>Primary</t>
        </is>
      </c>
      <c r="E419" t="inlineStr">
        <is>
          <t>Advanced</t>
        </is>
      </c>
      <c r="F419" t="n">
        <v>7.4</v>
      </c>
      <c r="G419" t="inlineStr">
        <is>
          <t>Functional</t>
        </is>
      </c>
      <c r="H419" t="inlineStr">
        <is>
          <t>Yes</t>
        </is>
      </c>
      <c r="I419" t="inlineStr">
        <is>
          <t>2023-07-19</t>
        </is>
      </c>
    </row>
    <row r="420">
      <c r="A420" t="n">
        <v/>
      </c>
      <c r="B420" t="n">
        <v>1033071</v>
      </c>
      <c r="C420" t="inlineStr">
        <is>
          <t>Agile / Scrum</t>
        </is>
      </c>
      <c r="D420" t="inlineStr">
        <is>
          <t>Secondary</t>
        </is>
      </c>
      <c r="E420" t="inlineStr">
        <is>
          <t>Intermediate</t>
        </is>
      </c>
      <c r="F420" t="n">
        <v>4.4</v>
      </c>
      <c r="G420" t="inlineStr">
        <is>
          <t>Functional</t>
        </is>
      </c>
      <c r="H420" t="inlineStr">
        <is>
          <t>Yes</t>
        </is>
      </c>
      <c r="I420" t="inlineStr">
        <is>
          <t>2023-07-19</t>
        </is>
      </c>
    </row>
    <row r="421">
      <c r="A421" t="n">
        <v/>
      </c>
      <c r="B421" t="n">
        <v>1033071</v>
      </c>
      <c r="C421" t="inlineStr">
        <is>
          <t>Stakeholder Management</t>
        </is>
      </c>
      <c r="D421" t="inlineStr">
        <is>
          <t>Secondary</t>
        </is>
      </c>
      <c r="E421" t="inlineStr">
        <is>
          <t>Intermediate</t>
        </is>
      </c>
      <c r="F421" t="n">
        <v>3.3</v>
      </c>
      <c r="G421" t="inlineStr">
        <is>
          <t>Functional</t>
        </is>
      </c>
      <c r="H421" t="inlineStr">
        <is>
          <t>Yes</t>
        </is>
      </c>
      <c r="I421" t="inlineStr">
        <is>
          <t>2023-07-19</t>
        </is>
      </c>
    </row>
    <row r="422">
      <c r="A422" t="n">
        <v/>
      </c>
      <c r="B422" t="n">
        <v>1033071</v>
      </c>
      <c r="C422" t="inlineStr">
        <is>
          <t>Resource Planning</t>
        </is>
      </c>
      <c r="D422" t="inlineStr">
        <is>
          <t>Secondary</t>
        </is>
      </c>
      <c r="E422" t="inlineStr">
        <is>
          <t>Intermediate</t>
        </is>
      </c>
      <c r="F422" t="n">
        <v>2.2</v>
      </c>
      <c r="G422" t="inlineStr">
        <is>
          <t>Functional</t>
        </is>
      </c>
      <c r="H422" t="inlineStr">
        <is>
          <t>Yes</t>
        </is>
      </c>
      <c r="I422" t="inlineStr">
        <is>
          <t>2023-07-19</t>
        </is>
      </c>
    </row>
    <row r="423">
      <c r="A423" t="n">
        <v/>
      </c>
      <c r="B423" t="n">
        <v>1025164</v>
      </c>
      <c r="C423" t="inlineStr">
        <is>
          <t>Java / Spring Boot</t>
        </is>
      </c>
      <c r="D423" t="inlineStr">
        <is>
          <t>Primary</t>
        </is>
      </c>
      <c r="E423" t="inlineStr">
        <is>
          <t>Advanced</t>
        </is>
      </c>
      <c r="F423" t="n">
        <v>5.8</v>
      </c>
      <c r="G423" t="inlineStr">
        <is>
          <t>Technical</t>
        </is>
      </c>
      <c r="H423" t="inlineStr">
        <is>
          <t>Yes</t>
        </is>
      </c>
      <c r="I423" t="inlineStr">
        <is>
          <t>2021-05-03</t>
        </is>
      </c>
      <c r="J423" t="inlineStr">
        <is>
          <t>Provider</t>
        </is>
      </c>
    </row>
    <row r="424">
      <c r="A424" t="n">
        <v/>
      </c>
      <c r="B424" t="n">
        <v>1025164</v>
      </c>
      <c r="C424" t="inlineStr">
        <is>
          <t>SQL</t>
        </is>
      </c>
      <c r="D424" t="inlineStr">
        <is>
          <t>Secondary</t>
        </is>
      </c>
      <c r="E424" t="inlineStr">
        <is>
          <t>Intermediate</t>
        </is>
      </c>
      <c r="F424" t="n">
        <v>3.5</v>
      </c>
      <c r="G424" t="inlineStr">
        <is>
          <t>Technical</t>
        </is>
      </c>
      <c r="H424" t="inlineStr">
        <is>
          <t>Yes</t>
        </is>
      </c>
      <c r="I424" t="inlineStr">
        <is>
          <t>2021-05-03</t>
        </is>
      </c>
      <c r="J424" t="inlineStr">
        <is>
          <t>Provider</t>
        </is>
      </c>
    </row>
    <row r="425">
      <c r="A425" t="n">
        <v/>
      </c>
      <c r="B425" t="n">
        <v>1025164</v>
      </c>
      <c r="C425" t="inlineStr">
        <is>
          <t>Docker</t>
        </is>
      </c>
      <c r="D425" t="inlineStr">
        <is>
          <t>Secondary</t>
        </is>
      </c>
      <c r="E425" t="inlineStr">
        <is>
          <t>Intermediate</t>
        </is>
      </c>
      <c r="F425" t="n">
        <v>2.6</v>
      </c>
      <c r="G425" t="inlineStr">
        <is>
          <t>Technical</t>
        </is>
      </c>
      <c r="H425" t="inlineStr">
        <is>
          <t>Yes</t>
        </is>
      </c>
      <c r="I425" t="inlineStr">
        <is>
          <t>2021-05-03</t>
        </is>
      </c>
      <c r="J425" t="inlineStr">
        <is>
          <t>Provider</t>
        </is>
      </c>
    </row>
    <row r="426">
      <c r="A426" t="n">
        <v/>
      </c>
      <c r="B426" t="n">
        <v>1025164</v>
      </c>
      <c r="C426" t="inlineStr">
        <is>
          <t>Git</t>
        </is>
      </c>
      <c r="D426" t="inlineStr">
        <is>
          <t>Secondary</t>
        </is>
      </c>
      <c r="E426" t="inlineStr">
        <is>
          <t>Intermediate</t>
        </is>
      </c>
      <c r="F426" t="n">
        <v>1.7</v>
      </c>
      <c r="G426" t="inlineStr">
        <is>
          <t>Technical</t>
        </is>
      </c>
      <c r="H426" t="inlineStr">
        <is>
          <t>Yes</t>
        </is>
      </c>
      <c r="I426" t="inlineStr">
        <is>
          <t>2021-05-03</t>
        </is>
      </c>
      <c r="J426" t="inlineStr">
        <is>
          <t>Provider</t>
        </is>
      </c>
    </row>
    <row r="427">
      <c r="A427" t="n">
        <v/>
      </c>
      <c r="B427" t="n">
        <v>1031855</v>
      </c>
      <c r="C427" t="inlineStr">
        <is>
          <t>Python / Data Engineering</t>
        </is>
      </c>
      <c r="D427" t="inlineStr">
        <is>
          <t>Primary</t>
        </is>
      </c>
      <c r="E427" t="inlineStr">
        <is>
          <t>Advanced</t>
        </is>
      </c>
      <c r="F427" t="n">
        <v>7.9</v>
      </c>
      <c r="G427" t="inlineStr">
        <is>
          <t>Technical</t>
        </is>
      </c>
      <c r="H427" t="inlineStr">
        <is>
          <t>Yes</t>
        </is>
      </c>
      <c r="I427" t="inlineStr">
        <is>
          <t>2022-12-19</t>
        </is>
      </c>
    </row>
    <row r="428">
      <c r="A428" t="n">
        <v/>
      </c>
      <c r="B428" t="n">
        <v>1031855</v>
      </c>
      <c r="C428" t="inlineStr">
        <is>
          <t>SQL</t>
        </is>
      </c>
      <c r="D428" t="inlineStr">
        <is>
          <t>Secondary</t>
        </is>
      </c>
      <c r="E428" t="inlineStr">
        <is>
          <t>Intermediate</t>
        </is>
      </c>
      <c r="F428" t="n">
        <v>4.7</v>
      </c>
      <c r="G428" t="inlineStr">
        <is>
          <t>Technical</t>
        </is>
      </c>
      <c r="H428" t="inlineStr">
        <is>
          <t>Yes</t>
        </is>
      </c>
      <c r="I428" t="inlineStr">
        <is>
          <t>2022-12-19</t>
        </is>
      </c>
    </row>
    <row r="429">
      <c r="A429" t="n">
        <v/>
      </c>
      <c r="B429" t="n">
        <v>1031855</v>
      </c>
      <c r="C429" t="inlineStr">
        <is>
          <t>Docker</t>
        </is>
      </c>
      <c r="D429" t="inlineStr">
        <is>
          <t>Secondary</t>
        </is>
      </c>
      <c r="E429" t="inlineStr">
        <is>
          <t>Intermediate</t>
        </is>
      </c>
      <c r="F429" t="n">
        <v>3.6</v>
      </c>
      <c r="G429" t="inlineStr">
        <is>
          <t>Technical</t>
        </is>
      </c>
      <c r="H429" t="inlineStr">
        <is>
          <t>Yes</t>
        </is>
      </c>
      <c r="I429" t="inlineStr">
        <is>
          <t>2022-12-19</t>
        </is>
      </c>
    </row>
    <row r="430">
      <c r="A430" t="n">
        <v/>
      </c>
      <c r="B430" t="n">
        <v>1031855</v>
      </c>
      <c r="C430" t="inlineStr">
        <is>
          <t>Pandas</t>
        </is>
      </c>
      <c r="D430" t="inlineStr">
        <is>
          <t>Secondary</t>
        </is>
      </c>
      <c r="E430" t="inlineStr">
        <is>
          <t>Intermediate</t>
        </is>
      </c>
      <c r="F430" t="n">
        <v>2.4</v>
      </c>
      <c r="G430" t="inlineStr">
        <is>
          <t>Technical</t>
        </is>
      </c>
      <c r="H430" t="inlineStr">
        <is>
          <t>Yes</t>
        </is>
      </c>
      <c r="I430" t="inlineStr">
        <is>
          <t>2022-12-19</t>
        </is>
      </c>
    </row>
    <row r="431">
      <c r="A431" t="n">
        <v/>
      </c>
      <c r="B431" t="n">
        <v>1031866</v>
      </c>
      <c r="C431" t="inlineStr">
        <is>
          <t>Frontend (Angular / TypeScript)</t>
        </is>
      </c>
      <c r="D431" t="inlineStr">
        <is>
          <t>Primary</t>
        </is>
      </c>
      <c r="E431" t="inlineStr">
        <is>
          <t>Advanced</t>
        </is>
      </c>
      <c r="F431" t="n">
        <v>7.9</v>
      </c>
      <c r="G431" t="inlineStr">
        <is>
          <t>Technical</t>
        </is>
      </c>
      <c r="H431" t="inlineStr">
        <is>
          <t>Yes</t>
        </is>
      </c>
      <c r="I431" t="inlineStr">
        <is>
          <t>2022-12-19</t>
        </is>
      </c>
    </row>
    <row r="432">
      <c r="A432" t="n">
        <v/>
      </c>
      <c r="B432" t="n">
        <v>1031866</v>
      </c>
      <c r="C432" t="inlineStr">
        <is>
          <t>TypeScript</t>
        </is>
      </c>
      <c r="D432" t="inlineStr">
        <is>
          <t>Secondary</t>
        </is>
      </c>
      <c r="E432" t="inlineStr">
        <is>
          <t>Intermediate</t>
        </is>
      </c>
      <c r="F432" t="n">
        <v>4.7</v>
      </c>
      <c r="G432" t="inlineStr">
        <is>
          <t>Technical</t>
        </is>
      </c>
      <c r="H432" t="inlineStr">
        <is>
          <t>Yes</t>
        </is>
      </c>
      <c r="I432" t="inlineStr">
        <is>
          <t>2022-12-19</t>
        </is>
      </c>
    </row>
    <row r="433">
      <c r="A433" t="n">
        <v/>
      </c>
      <c r="B433" t="n">
        <v>1031866</v>
      </c>
      <c r="C433" t="inlineStr">
        <is>
          <t>JavaScript</t>
        </is>
      </c>
      <c r="D433" t="inlineStr">
        <is>
          <t>Secondary</t>
        </is>
      </c>
      <c r="E433" t="inlineStr">
        <is>
          <t>Intermediate</t>
        </is>
      </c>
      <c r="F433" t="n">
        <v>3.6</v>
      </c>
      <c r="G433" t="inlineStr">
        <is>
          <t>Technical</t>
        </is>
      </c>
      <c r="H433" t="inlineStr">
        <is>
          <t>Yes</t>
        </is>
      </c>
      <c r="I433" t="inlineStr">
        <is>
          <t>2022-12-19</t>
        </is>
      </c>
    </row>
    <row r="434">
      <c r="A434" t="n">
        <v/>
      </c>
      <c r="B434" t="n">
        <v>1031866</v>
      </c>
      <c r="C434" t="inlineStr">
        <is>
          <t>HTML5</t>
        </is>
      </c>
      <c r="D434" t="inlineStr">
        <is>
          <t>Secondary</t>
        </is>
      </c>
      <c r="E434" t="inlineStr">
        <is>
          <t>Intermediate</t>
        </is>
      </c>
      <c r="F434" t="n">
        <v>2.4</v>
      </c>
      <c r="G434" t="inlineStr">
        <is>
          <t>Technical</t>
        </is>
      </c>
      <c r="H434" t="inlineStr">
        <is>
          <t>Yes</t>
        </is>
      </c>
      <c r="I434" t="inlineStr">
        <is>
          <t>2022-12-19</t>
        </is>
      </c>
    </row>
    <row r="435">
      <c r="A435" t="n">
        <v/>
      </c>
      <c r="B435" t="n">
        <v>1007892</v>
      </c>
      <c r="C435" t="inlineStr">
        <is>
          <t>Java / Spring Boot</t>
        </is>
      </c>
      <c r="D435" t="inlineStr">
        <is>
          <t>Primary</t>
        </is>
      </c>
      <c r="E435" t="inlineStr">
        <is>
          <t>Advanced</t>
        </is>
      </c>
      <c r="F435" t="n">
        <v>18.9</v>
      </c>
      <c r="G435" t="inlineStr">
        <is>
          <t>Technical</t>
        </is>
      </c>
      <c r="H435" t="inlineStr">
        <is>
          <t>Yes</t>
        </is>
      </c>
      <c r="I435" t="inlineStr">
        <is>
          <t>2010-09-27</t>
        </is>
      </c>
      <c r="J435" t="inlineStr">
        <is>
          <t>Global</t>
        </is>
      </c>
    </row>
    <row r="436">
      <c r="A436" t="n">
        <v/>
      </c>
      <c r="B436" t="n">
        <v>1007892</v>
      </c>
      <c r="C436" t="inlineStr">
        <is>
          <t>SQL</t>
        </is>
      </c>
      <c r="D436" t="inlineStr">
        <is>
          <t>Secondary</t>
        </is>
      </c>
      <c r="E436" t="inlineStr">
        <is>
          <t>Advanced</t>
        </is>
      </c>
      <c r="F436" t="n">
        <v>11.3</v>
      </c>
      <c r="G436" t="inlineStr">
        <is>
          <t>Technical</t>
        </is>
      </c>
      <c r="H436" t="inlineStr">
        <is>
          <t>Yes</t>
        </is>
      </c>
      <c r="I436" t="inlineStr">
        <is>
          <t>2010-09-27</t>
        </is>
      </c>
      <c r="J436" t="inlineStr">
        <is>
          <t>Global</t>
        </is>
      </c>
    </row>
    <row r="437">
      <c r="A437" t="n">
        <v/>
      </c>
      <c r="B437" t="n">
        <v>1007892</v>
      </c>
      <c r="C437" t="inlineStr">
        <is>
          <t>Docker</t>
        </is>
      </c>
      <c r="D437" t="inlineStr">
        <is>
          <t>Secondary</t>
        </is>
      </c>
      <c r="E437" t="inlineStr">
        <is>
          <t>Advanced</t>
        </is>
      </c>
      <c r="F437" t="n">
        <v>8.5</v>
      </c>
      <c r="G437" t="inlineStr">
        <is>
          <t>Technical</t>
        </is>
      </c>
      <c r="H437" t="inlineStr">
        <is>
          <t>Yes</t>
        </is>
      </c>
      <c r="I437" t="inlineStr">
        <is>
          <t>2010-09-27</t>
        </is>
      </c>
      <c r="J437" t="inlineStr">
        <is>
          <t>Global</t>
        </is>
      </c>
    </row>
    <row r="438">
      <c r="A438" t="n">
        <v/>
      </c>
      <c r="B438" t="n">
        <v>1007892</v>
      </c>
      <c r="C438" t="inlineStr">
        <is>
          <t>Git</t>
        </is>
      </c>
      <c r="D438" t="inlineStr">
        <is>
          <t>Secondary</t>
        </is>
      </c>
      <c r="E438" t="inlineStr">
        <is>
          <t>Advanced</t>
        </is>
      </c>
      <c r="F438" t="n">
        <v>5.7</v>
      </c>
      <c r="G438" t="inlineStr">
        <is>
          <t>Technical</t>
        </is>
      </c>
      <c r="H438" t="inlineStr">
        <is>
          <t>Yes</t>
        </is>
      </c>
      <c r="I438" t="inlineStr">
        <is>
          <t>2010-09-27</t>
        </is>
      </c>
      <c r="J438" t="inlineStr">
        <is>
          <t>Global</t>
        </is>
      </c>
    </row>
    <row r="439">
      <c r="A439" t="n">
        <v/>
      </c>
      <c r="B439" t="n">
        <v>1031864</v>
      </c>
      <c r="C439" t="inlineStr">
        <is>
          <t>Cloud &amp; DevOps (AWS / K8s)</t>
        </is>
      </c>
      <c r="D439" t="inlineStr">
        <is>
          <t>Primary</t>
        </is>
      </c>
      <c r="E439" t="inlineStr">
        <is>
          <t>Advanced</t>
        </is>
      </c>
      <c r="F439" t="n">
        <v>7.9</v>
      </c>
      <c r="G439" t="inlineStr">
        <is>
          <t>Technical</t>
        </is>
      </c>
      <c r="H439" t="inlineStr">
        <is>
          <t>Yes</t>
        </is>
      </c>
      <c r="I439" t="inlineStr">
        <is>
          <t>2022-12-19</t>
        </is>
      </c>
    </row>
    <row r="440">
      <c r="A440" t="n">
        <v/>
      </c>
      <c r="B440" t="n">
        <v>1031864</v>
      </c>
      <c r="C440" t="inlineStr">
        <is>
          <t>Docker</t>
        </is>
      </c>
      <c r="D440" t="inlineStr">
        <is>
          <t>Secondary</t>
        </is>
      </c>
      <c r="E440" t="inlineStr">
        <is>
          <t>Intermediate</t>
        </is>
      </c>
      <c r="F440" t="n">
        <v>4.7</v>
      </c>
      <c r="G440" t="inlineStr">
        <is>
          <t>Technical</t>
        </is>
      </c>
      <c r="H440" t="inlineStr">
        <is>
          <t>Yes</t>
        </is>
      </c>
      <c r="I440" t="inlineStr">
        <is>
          <t>2022-12-19</t>
        </is>
      </c>
    </row>
    <row r="441">
      <c r="A441" t="n">
        <v/>
      </c>
      <c r="B441" t="n">
        <v>1031864</v>
      </c>
      <c r="C441" t="inlineStr">
        <is>
          <t>Kubernetes</t>
        </is>
      </c>
      <c r="D441" t="inlineStr">
        <is>
          <t>Secondary</t>
        </is>
      </c>
      <c r="E441" t="inlineStr">
        <is>
          <t>Intermediate</t>
        </is>
      </c>
      <c r="F441" t="n">
        <v>3.6</v>
      </c>
      <c r="G441" t="inlineStr">
        <is>
          <t>Technical</t>
        </is>
      </c>
      <c r="H441" t="inlineStr">
        <is>
          <t>Yes</t>
        </is>
      </c>
      <c r="I441" t="inlineStr">
        <is>
          <t>2022-12-19</t>
        </is>
      </c>
    </row>
    <row r="442">
      <c r="A442" t="n">
        <v/>
      </c>
      <c r="B442" t="n">
        <v>1031864</v>
      </c>
      <c r="C442" t="inlineStr">
        <is>
          <t>Linux</t>
        </is>
      </c>
      <c r="D442" t="inlineStr">
        <is>
          <t>Secondary</t>
        </is>
      </c>
      <c r="E442" t="inlineStr">
        <is>
          <t>Intermediate</t>
        </is>
      </c>
      <c r="F442" t="n">
        <v>2.4</v>
      </c>
      <c r="G442" t="inlineStr">
        <is>
          <t>Technical</t>
        </is>
      </c>
      <c r="H442" t="inlineStr">
        <is>
          <t>Yes</t>
        </is>
      </c>
      <c r="I442" t="inlineStr">
        <is>
          <t>2022-12-19</t>
        </is>
      </c>
    </row>
    <row r="443">
      <c r="A443" t="n">
        <v/>
      </c>
      <c r="B443" t="n">
        <v>1025901</v>
      </c>
      <c r="C443" t="inlineStr">
        <is>
          <t>Frontend (Angular / TypeScript)</t>
        </is>
      </c>
      <c r="D443" t="inlineStr">
        <is>
          <t>Primary</t>
        </is>
      </c>
      <c r="E443" t="inlineStr">
        <is>
          <t>Advanced</t>
        </is>
      </c>
      <c r="F443" t="n">
        <v>7.4</v>
      </c>
      <c r="G443" t="inlineStr">
        <is>
          <t>Technical</t>
        </is>
      </c>
      <c r="H443" t="inlineStr">
        <is>
          <t>Yes</t>
        </is>
      </c>
      <c r="I443" t="inlineStr">
        <is>
          <t>2021-07-23</t>
        </is>
      </c>
    </row>
    <row r="444">
      <c r="A444" t="n">
        <v/>
      </c>
      <c r="B444" t="n">
        <v>1025901</v>
      </c>
      <c r="C444" t="inlineStr">
        <is>
          <t>TypeScript</t>
        </is>
      </c>
      <c r="D444" t="inlineStr">
        <is>
          <t>Secondary</t>
        </is>
      </c>
      <c r="E444" t="inlineStr">
        <is>
          <t>Intermediate</t>
        </is>
      </c>
      <c r="F444" t="n">
        <v>4.4</v>
      </c>
      <c r="G444" t="inlineStr">
        <is>
          <t>Technical</t>
        </is>
      </c>
      <c r="H444" t="inlineStr">
        <is>
          <t>Yes</t>
        </is>
      </c>
      <c r="I444" t="inlineStr">
        <is>
          <t>2021-07-23</t>
        </is>
      </c>
    </row>
    <row r="445">
      <c r="A445" t="n">
        <v/>
      </c>
      <c r="B445" t="n">
        <v>1025901</v>
      </c>
      <c r="C445" t="inlineStr">
        <is>
          <t>JavaScript</t>
        </is>
      </c>
      <c r="D445" t="inlineStr">
        <is>
          <t>Secondary</t>
        </is>
      </c>
      <c r="E445" t="inlineStr">
        <is>
          <t>Intermediate</t>
        </is>
      </c>
      <c r="F445" t="n">
        <v>3.3</v>
      </c>
      <c r="G445" t="inlineStr">
        <is>
          <t>Technical</t>
        </is>
      </c>
      <c r="H445" t="inlineStr">
        <is>
          <t>Yes</t>
        </is>
      </c>
      <c r="I445" t="inlineStr">
        <is>
          <t>2021-07-23</t>
        </is>
      </c>
    </row>
    <row r="446">
      <c r="A446" t="n">
        <v/>
      </c>
      <c r="B446" t="n">
        <v>1025901</v>
      </c>
      <c r="C446" t="inlineStr">
        <is>
          <t>HTML5</t>
        </is>
      </c>
      <c r="D446" t="inlineStr">
        <is>
          <t>Secondary</t>
        </is>
      </c>
      <c r="E446" t="inlineStr">
        <is>
          <t>Intermediate</t>
        </is>
      </c>
      <c r="F446" t="n">
        <v>2.2</v>
      </c>
      <c r="G446" t="inlineStr">
        <is>
          <t>Technical</t>
        </is>
      </c>
      <c r="H446" t="inlineStr">
        <is>
          <t>Yes</t>
        </is>
      </c>
      <c r="I446" t="inlineStr">
        <is>
          <t>2021-07-23</t>
        </is>
      </c>
    </row>
    <row r="447">
      <c r="A447" t="n">
        <v/>
      </c>
      <c r="B447" t="n">
        <v>1028288</v>
      </c>
      <c r="C447" t="inlineStr">
        <is>
          <t>Database &amp; SQL Architecture</t>
        </is>
      </c>
      <c r="D447" t="inlineStr">
        <is>
          <t>Primary</t>
        </is>
      </c>
      <c r="E447" t="inlineStr">
        <is>
          <t>Advanced</t>
        </is>
      </c>
      <c r="F447" t="n">
        <v>8.699999999999999</v>
      </c>
      <c r="G447" t="inlineStr">
        <is>
          <t>Technical</t>
        </is>
      </c>
      <c r="H447" t="inlineStr">
        <is>
          <t>Yes</t>
        </is>
      </c>
      <c r="I447" t="inlineStr">
        <is>
          <t>2022-02-08</t>
        </is>
      </c>
    </row>
    <row r="448">
      <c r="A448" t="n">
        <v/>
      </c>
      <c r="B448" t="n">
        <v>1028288</v>
      </c>
      <c r="C448" t="inlineStr">
        <is>
          <t>PostgreSQL</t>
        </is>
      </c>
      <c r="D448" t="inlineStr">
        <is>
          <t>Secondary</t>
        </is>
      </c>
      <c r="E448" t="inlineStr">
        <is>
          <t>Advanced</t>
        </is>
      </c>
      <c r="F448" t="n">
        <v>5.2</v>
      </c>
      <c r="G448" t="inlineStr">
        <is>
          <t>Technical</t>
        </is>
      </c>
      <c r="H448" t="inlineStr">
        <is>
          <t>Yes</t>
        </is>
      </c>
      <c r="I448" t="inlineStr">
        <is>
          <t>2022-02-08</t>
        </is>
      </c>
    </row>
    <row r="449">
      <c r="A449" t="n">
        <v/>
      </c>
      <c r="B449" t="n">
        <v>1028288</v>
      </c>
      <c r="C449" t="inlineStr">
        <is>
          <t>Oracle</t>
        </is>
      </c>
      <c r="D449" t="inlineStr">
        <is>
          <t>Secondary</t>
        </is>
      </c>
      <c r="E449" t="inlineStr">
        <is>
          <t>Intermediate</t>
        </is>
      </c>
      <c r="F449" t="n">
        <v>3.9</v>
      </c>
      <c r="G449" t="inlineStr">
        <is>
          <t>Technical</t>
        </is>
      </c>
      <c r="H449" t="inlineStr">
        <is>
          <t>Yes</t>
        </is>
      </c>
      <c r="I449" t="inlineStr">
        <is>
          <t>2022-02-08</t>
        </is>
      </c>
    </row>
    <row r="450">
      <c r="A450" t="n">
        <v/>
      </c>
      <c r="B450" t="n">
        <v>1028288</v>
      </c>
      <c r="C450" t="inlineStr">
        <is>
          <t>Performance Tuning</t>
        </is>
      </c>
      <c r="D450" t="inlineStr">
        <is>
          <t>Secondary</t>
        </is>
      </c>
      <c r="E450" t="inlineStr">
        <is>
          <t>Intermediate</t>
        </is>
      </c>
      <c r="F450" t="n">
        <v>2.6</v>
      </c>
      <c r="G450" t="inlineStr">
        <is>
          <t>Technical</t>
        </is>
      </c>
      <c r="H450" t="inlineStr">
        <is>
          <t>Yes</t>
        </is>
      </c>
      <c r="I450" t="inlineStr">
        <is>
          <t>2022-02-08</t>
        </is>
      </c>
    </row>
    <row r="451">
      <c r="A451" t="n">
        <v/>
      </c>
      <c r="B451" t="n">
        <v>1031811</v>
      </c>
      <c r="C451" t="inlineStr">
        <is>
          <t>Java / Spring Boot</t>
        </is>
      </c>
      <c r="D451" t="inlineStr">
        <is>
          <t>Primary</t>
        </is>
      </c>
      <c r="E451" t="inlineStr">
        <is>
          <t>Advanced</t>
        </is>
      </c>
      <c r="F451" t="n">
        <v>4.3</v>
      </c>
      <c r="G451" t="inlineStr">
        <is>
          <t>Technical</t>
        </is>
      </c>
      <c r="H451" t="inlineStr">
        <is>
          <t>Yes</t>
        </is>
      </c>
      <c r="I451" t="inlineStr">
        <is>
          <t>2022-12-14</t>
        </is>
      </c>
      <c r="J451" t="inlineStr">
        <is>
          <t>Global</t>
        </is>
      </c>
    </row>
    <row r="452">
      <c r="A452" t="n">
        <v/>
      </c>
      <c r="B452" t="n">
        <v>1031811</v>
      </c>
      <c r="C452" t="inlineStr">
        <is>
          <t>SQL</t>
        </is>
      </c>
      <c r="D452" t="inlineStr">
        <is>
          <t>Secondary</t>
        </is>
      </c>
      <c r="E452" t="inlineStr">
        <is>
          <t>Intermediate</t>
        </is>
      </c>
      <c r="F452" t="n">
        <v>2.6</v>
      </c>
      <c r="G452" t="inlineStr">
        <is>
          <t>Technical</t>
        </is>
      </c>
      <c r="H452" t="inlineStr">
        <is>
          <t>Yes</t>
        </is>
      </c>
      <c r="I452" t="inlineStr">
        <is>
          <t>2022-12-14</t>
        </is>
      </c>
      <c r="J452" t="inlineStr">
        <is>
          <t>Global</t>
        </is>
      </c>
    </row>
    <row r="453">
      <c r="A453" t="n">
        <v/>
      </c>
      <c r="B453" t="n">
        <v>1031811</v>
      </c>
      <c r="C453" t="inlineStr">
        <is>
          <t>Docker</t>
        </is>
      </c>
      <c r="D453" t="inlineStr">
        <is>
          <t>Secondary</t>
        </is>
      </c>
      <c r="E453" t="inlineStr">
        <is>
          <t>Intermediate</t>
        </is>
      </c>
      <c r="F453" t="n">
        <v>1.9</v>
      </c>
      <c r="G453" t="inlineStr">
        <is>
          <t>Technical</t>
        </is>
      </c>
      <c r="H453" t="inlineStr">
        <is>
          <t>Yes</t>
        </is>
      </c>
      <c r="I453" t="inlineStr">
        <is>
          <t>2022-12-14</t>
        </is>
      </c>
      <c r="J453" t="inlineStr">
        <is>
          <t>Global</t>
        </is>
      </c>
    </row>
    <row r="454">
      <c r="A454" t="n">
        <v/>
      </c>
      <c r="B454" t="n">
        <v>1031811</v>
      </c>
      <c r="C454" t="inlineStr">
        <is>
          <t>Git</t>
        </is>
      </c>
      <c r="D454" t="inlineStr">
        <is>
          <t>Secondary</t>
        </is>
      </c>
      <c r="E454" t="inlineStr">
        <is>
          <t>Beginner</t>
        </is>
      </c>
      <c r="F454" t="n">
        <v>1.3</v>
      </c>
      <c r="G454" t="inlineStr">
        <is>
          <t>Technical</t>
        </is>
      </c>
      <c r="H454" t="inlineStr">
        <is>
          <t>Yes</t>
        </is>
      </c>
      <c r="I454" t="inlineStr">
        <is>
          <t>2022-12-14</t>
        </is>
      </c>
      <c r="J454" t="inlineStr">
        <is>
          <t>Global</t>
        </is>
      </c>
    </row>
    <row r="455">
      <c r="A455" t="n">
        <v/>
      </c>
      <c r="B455" t="n">
        <v>1033419</v>
      </c>
      <c r="C455" t="inlineStr">
        <is>
          <t>Java / Spring Boot</t>
        </is>
      </c>
      <c r="D455" t="inlineStr">
        <is>
          <t>Primary</t>
        </is>
      </c>
      <c r="E455" t="inlineStr">
        <is>
          <t>Advanced</t>
        </is>
      </c>
      <c r="F455" t="n">
        <v>3.7</v>
      </c>
      <c r="G455" t="inlineStr">
        <is>
          <t>Technical</t>
        </is>
      </c>
      <c r="H455" t="inlineStr">
        <is>
          <t>Yes</t>
        </is>
      </c>
      <c r="I455" t="inlineStr">
        <is>
          <t>2023-08-25</t>
        </is>
      </c>
      <c r="J455" t="inlineStr">
        <is>
          <t>Global</t>
        </is>
      </c>
    </row>
    <row r="456">
      <c r="A456" t="n">
        <v/>
      </c>
      <c r="B456" t="n">
        <v>1033419</v>
      </c>
      <c r="C456" t="inlineStr">
        <is>
          <t>SQL</t>
        </is>
      </c>
      <c r="D456" t="inlineStr">
        <is>
          <t>Secondary</t>
        </is>
      </c>
      <c r="E456" t="inlineStr">
        <is>
          <t>Intermediate</t>
        </is>
      </c>
      <c r="F456" t="n">
        <v>2.2</v>
      </c>
      <c r="G456" t="inlineStr">
        <is>
          <t>Technical</t>
        </is>
      </c>
      <c r="H456" t="inlineStr">
        <is>
          <t>Yes</t>
        </is>
      </c>
      <c r="I456" t="inlineStr">
        <is>
          <t>2023-08-25</t>
        </is>
      </c>
      <c r="J456" t="inlineStr">
        <is>
          <t>Global</t>
        </is>
      </c>
    </row>
    <row r="457">
      <c r="A457" t="n">
        <v/>
      </c>
      <c r="B457" t="n">
        <v>1033419</v>
      </c>
      <c r="C457" t="inlineStr">
        <is>
          <t>Docker</t>
        </is>
      </c>
      <c r="D457" t="inlineStr">
        <is>
          <t>Secondary</t>
        </is>
      </c>
      <c r="E457" t="inlineStr">
        <is>
          <t>Intermediate</t>
        </is>
      </c>
      <c r="F457" t="n">
        <v>1.7</v>
      </c>
      <c r="G457" t="inlineStr">
        <is>
          <t>Technical</t>
        </is>
      </c>
      <c r="H457" t="inlineStr">
        <is>
          <t>Yes</t>
        </is>
      </c>
      <c r="I457" t="inlineStr">
        <is>
          <t>2023-08-25</t>
        </is>
      </c>
      <c r="J457" t="inlineStr">
        <is>
          <t>Global</t>
        </is>
      </c>
    </row>
    <row r="458">
      <c r="A458" t="n">
        <v/>
      </c>
      <c r="B458" t="n">
        <v>1033419</v>
      </c>
      <c r="C458" t="inlineStr">
        <is>
          <t>Git</t>
        </is>
      </c>
      <c r="D458" t="inlineStr">
        <is>
          <t>Secondary</t>
        </is>
      </c>
      <c r="E458" t="inlineStr">
        <is>
          <t>Beginner</t>
        </is>
      </c>
      <c r="F458" t="n">
        <v>1.1</v>
      </c>
      <c r="G458" t="inlineStr">
        <is>
          <t>Technical</t>
        </is>
      </c>
      <c r="H458" t="inlineStr">
        <is>
          <t>Yes</t>
        </is>
      </c>
      <c r="I458" t="inlineStr">
        <is>
          <t>2023-08-25</t>
        </is>
      </c>
      <c r="J458" t="inlineStr">
        <is>
          <t>Global</t>
        </is>
      </c>
    </row>
    <row r="459">
      <c r="A459" t="n">
        <v/>
      </c>
      <c r="B459" t="n">
        <v>1019250</v>
      </c>
      <c r="C459" t="inlineStr">
        <is>
          <t>Cloud &amp; DevOps (AWS / K8s)</t>
        </is>
      </c>
      <c r="D459" t="inlineStr">
        <is>
          <t>Primary</t>
        </is>
      </c>
      <c r="E459" t="inlineStr">
        <is>
          <t>Advanced</t>
        </is>
      </c>
      <c r="F459" t="n">
        <v>13.1</v>
      </c>
      <c r="G459" t="inlineStr">
        <is>
          <t>Technical</t>
        </is>
      </c>
      <c r="H459" t="inlineStr">
        <is>
          <t>Yes</t>
        </is>
      </c>
      <c r="I459" t="inlineStr">
        <is>
          <t>2017-03-15</t>
        </is>
      </c>
    </row>
    <row r="460">
      <c r="A460" t="n">
        <v/>
      </c>
      <c r="B460" t="n">
        <v>1019250</v>
      </c>
      <c r="C460" t="inlineStr">
        <is>
          <t>Linux</t>
        </is>
      </c>
      <c r="D460" t="inlineStr">
        <is>
          <t>Secondary</t>
        </is>
      </c>
      <c r="E460" t="inlineStr">
        <is>
          <t>Advanced</t>
        </is>
      </c>
      <c r="F460" t="n">
        <v>7.9</v>
      </c>
      <c r="G460" t="inlineStr">
        <is>
          <t>Technical</t>
        </is>
      </c>
      <c r="H460" t="inlineStr">
        <is>
          <t>Yes</t>
        </is>
      </c>
      <c r="I460" t="inlineStr">
        <is>
          <t>2017-03-15</t>
        </is>
      </c>
    </row>
    <row r="461">
      <c r="A461" t="n">
        <v/>
      </c>
      <c r="B461" t="n">
        <v>1019250</v>
      </c>
      <c r="C461" t="inlineStr">
        <is>
          <t>Docker</t>
        </is>
      </c>
      <c r="D461" t="inlineStr">
        <is>
          <t>Secondary</t>
        </is>
      </c>
      <c r="E461" t="inlineStr">
        <is>
          <t>Advanced</t>
        </is>
      </c>
      <c r="F461" t="n">
        <v>5.9</v>
      </c>
      <c r="G461" t="inlineStr">
        <is>
          <t>Technical</t>
        </is>
      </c>
      <c r="H461" t="inlineStr">
        <is>
          <t>Yes</t>
        </is>
      </c>
      <c r="I461" t="inlineStr">
        <is>
          <t>2017-03-15</t>
        </is>
      </c>
    </row>
    <row r="462">
      <c r="A462" t="n">
        <v/>
      </c>
      <c r="B462" t="n">
        <v>1019250</v>
      </c>
      <c r="C462" t="inlineStr">
        <is>
          <t>Kubernetes</t>
        </is>
      </c>
      <c r="D462" t="inlineStr">
        <is>
          <t>Secondary</t>
        </is>
      </c>
      <c r="E462" t="inlineStr">
        <is>
          <t>Intermediate</t>
        </is>
      </c>
      <c r="F462" t="n">
        <v>3.9</v>
      </c>
      <c r="G462" t="inlineStr">
        <is>
          <t>Technical</t>
        </is>
      </c>
      <c r="H462" t="inlineStr">
        <is>
          <t>Yes</t>
        </is>
      </c>
      <c r="I462" t="inlineStr">
        <is>
          <t>2017-03-15</t>
        </is>
      </c>
    </row>
    <row r="463">
      <c r="A463" t="n">
        <v/>
      </c>
      <c r="B463" t="n">
        <v>1029295</v>
      </c>
      <c r="C463" t="inlineStr">
        <is>
          <t>Python / Data Engineering</t>
        </is>
      </c>
      <c r="D463" t="inlineStr">
        <is>
          <t>Primary</t>
        </is>
      </c>
      <c r="E463" t="inlineStr">
        <is>
          <t>Advanced</t>
        </is>
      </c>
      <c r="F463" t="n">
        <v>4.8</v>
      </c>
      <c r="G463" t="inlineStr">
        <is>
          <t>Technical</t>
        </is>
      </c>
      <c r="H463" t="inlineStr">
        <is>
          <t>Yes</t>
        </is>
      </c>
      <c r="I463" t="inlineStr">
        <is>
          <t>2022-06-16</t>
        </is>
      </c>
    </row>
    <row r="464">
      <c r="A464" t="n">
        <v/>
      </c>
      <c r="B464" t="n">
        <v>1029295</v>
      </c>
      <c r="C464" t="inlineStr">
        <is>
          <t>SQL</t>
        </is>
      </c>
      <c r="D464" t="inlineStr">
        <is>
          <t>Secondary</t>
        </is>
      </c>
      <c r="E464" t="inlineStr">
        <is>
          <t>Intermediate</t>
        </is>
      </c>
      <c r="F464" t="n">
        <v>2.9</v>
      </c>
      <c r="G464" t="inlineStr">
        <is>
          <t>Technical</t>
        </is>
      </c>
      <c r="H464" t="inlineStr">
        <is>
          <t>Yes</t>
        </is>
      </c>
      <c r="I464" t="inlineStr">
        <is>
          <t>2022-06-16</t>
        </is>
      </c>
    </row>
    <row r="465">
      <c r="A465" t="n">
        <v/>
      </c>
      <c r="B465" t="n">
        <v>1029295</v>
      </c>
      <c r="C465" t="inlineStr">
        <is>
          <t>Docker</t>
        </is>
      </c>
      <c r="D465" t="inlineStr">
        <is>
          <t>Secondary</t>
        </is>
      </c>
      <c r="E465" t="inlineStr">
        <is>
          <t>Intermediate</t>
        </is>
      </c>
      <c r="F465" t="n">
        <v>2.2</v>
      </c>
      <c r="G465" t="inlineStr">
        <is>
          <t>Technical</t>
        </is>
      </c>
      <c r="H465" t="inlineStr">
        <is>
          <t>Yes</t>
        </is>
      </c>
      <c r="I465" t="inlineStr">
        <is>
          <t>2022-06-16</t>
        </is>
      </c>
    </row>
    <row r="466">
      <c r="A466" t="n">
        <v/>
      </c>
      <c r="B466" t="n">
        <v>1029295</v>
      </c>
      <c r="C466" t="inlineStr">
        <is>
          <t>Pandas</t>
        </is>
      </c>
      <c r="D466" t="inlineStr">
        <is>
          <t>Secondary</t>
        </is>
      </c>
      <c r="E466" t="inlineStr">
        <is>
          <t>Beginner</t>
        </is>
      </c>
      <c r="F466" t="n">
        <v>1.4</v>
      </c>
      <c r="G466" t="inlineStr">
        <is>
          <t>Technical</t>
        </is>
      </c>
      <c r="H466" t="inlineStr">
        <is>
          <t>Yes</t>
        </is>
      </c>
      <c r="I466" t="inlineStr">
        <is>
          <t>2022-06-16</t>
        </is>
      </c>
    </row>
    <row r="467">
      <c r="A467" t="n">
        <v/>
      </c>
      <c r="B467" t="n">
        <v>1021418</v>
      </c>
      <c r="C467" t="inlineStr">
        <is>
          <t>Project &amp; Delivery Management</t>
        </is>
      </c>
      <c r="D467" t="inlineStr">
        <is>
          <t>Primary</t>
        </is>
      </c>
      <c r="E467" t="inlineStr">
        <is>
          <t>Advanced</t>
        </is>
      </c>
      <c r="F467" t="n">
        <v>5.2</v>
      </c>
      <c r="G467" t="inlineStr">
        <is>
          <t>Functional</t>
        </is>
      </c>
      <c r="H467" t="inlineStr">
        <is>
          <t>Yes</t>
        </is>
      </c>
      <c r="I467" t="inlineStr">
        <is>
          <t>2019-01-09</t>
        </is>
      </c>
    </row>
    <row r="468">
      <c r="A468" t="n">
        <v/>
      </c>
      <c r="B468" t="n">
        <v>1021418</v>
      </c>
      <c r="C468" t="inlineStr">
        <is>
          <t>Agile / Scrum</t>
        </is>
      </c>
      <c r="D468" t="inlineStr">
        <is>
          <t>Secondary</t>
        </is>
      </c>
      <c r="E468" t="inlineStr">
        <is>
          <t>Intermediate</t>
        </is>
      </c>
      <c r="F468" t="n">
        <v>3.1</v>
      </c>
      <c r="G468" t="inlineStr">
        <is>
          <t>Functional</t>
        </is>
      </c>
      <c r="H468" t="inlineStr">
        <is>
          <t>Yes</t>
        </is>
      </c>
      <c r="I468" t="inlineStr">
        <is>
          <t>2019-01-09</t>
        </is>
      </c>
    </row>
    <row r="469">
      <c r="A469" t="n">
        <v/>
      </c>
      <c r="B469" t="n">
        <v>1021418</v>
      </c>
      <c r="C469" t="inlineStr">
        <is>
          <t>Stakeholder Management</t>
        </is>
      </c>
      <c r="D469" t="inlineStr">
        <is>
          <t>Secondary</t>
        </is>
      </c>
      <c r="E469" t="inlineStr">
        <is>
          <t>Intermediate</t>
        </is>
      </c>
      <c r="F469" t="n">
        <v>2.3</v>
      </c>
      <c r="G469" t="inlineStr">
        <is>
          <t>Functional</t>
        </is>
      </c>
      <c r="H469" t="inlineStr">
        <is>
          <t>Yes</t>
        </is>
      </c>
      <c r="I469" t="inlineStr">
        <is>
          <t>2019-01-09</t>
        </is>
      </c>
    </row>
    <row r="470">
      <c r="A470" t="n">
        <v/>
      </c>
      <c r="B470" t="n">
        <v>1021418</v>
      </c>
      <c r="C470" t="inlineStr">
        <is>
          <t>Resource Planning</t>
        </is>
      </c>
      <c r="D470" t="inlineStr">
        <is>
          <t>Secondary</t>
        </is>
      </c>
      <c r="E470" t="inlineStr">
        <is>
          <t>Intermediate</t>
        </is>
      </c>
      <c r="F470" t="n">
        <v>1.6</v>
      </c>
      <c r="G470" t="inlineStr">
        <is>
          <t>Functional</t>
        </is>
      </c>
      <c r="H470" t="inlineStr">
        <is>
          <t>Yes</t>
        </is>
      </c>
      <c r="I470" t="inlineStr">
        <is>
          <t>2019-01-09</t>
        </is>
      </c>
    </row>
    <row r="471">
      <c r="A471" t="n">
        <v/>
      </c>
      <c r="B471" t="n">
        <v>1020012</v>
      </c>
      <c r="C471" t="inlineStr">
        <is>
          <t>QA Automation / SDET</t>
        </is>
      </c>
      <c r="D471" t="inlineStr">
        <is>
          <t>Primary</t>
        </is>
      </c>
      <c r="E471" t="inlineStr">
        <is>
          <t>Advanced</t>
        </is>
      </c>
      <c r="F471" t="n">
        <v>12.5</v>
      </c>
      <c r="G471" t="inlineStr">
        <is>
          <t>Technical</t>
        </is>
      </c>
      <c r="H471" t="inlineStr">
        <is>
          <t>Yes</t>
        </is>
      </c>
      <c r="I471" t="inlineStr">
        <is>
          <t>2017-11-29</t>
        </is>
      </c>
    </row>
    <row r="472">
      <c r="A472" t="n">
        <v/>
      </c>
      <c r="B472" t="n">
        <v>1020012</v>
      </c>
      <c r="C472" t="inlineStr">
        <is>
          <t>Selenium</t>
        </is>
      </c>
      <c r="D472" t="inlineStr">
        <is>
          <t>Secondary</t>
        </is>
      </c>
      <c r="E472" t="inlineStr">
        <is>
          <t>Advanced</t>
        </is>
      </c>
      <c r="F472" t="n">
        <v>7.5</v>
      </c>
      <c r="G472" t="inlineStr">
        <is>
          <t>Technical</t>
        </is>
      </c>
      <c r="H472" t="inlineStr">
        <is>
          <t>Yes</t>
        </is>
      </c>
      <c r="I472" t="inlineStr">
        <is>
          <t>2017-11-29</t>
        </is>
      </c>
    </row>
    <row r="473">
      <c r="A473" t="n">
        <v/>
      </c>
      <c r="B473" t="n">
        <v>1020012</v>
      </c>
      <c r="C473" t="inlineStr">
        <is>
          <t>API Testing (Postman)</t>
        </is>
      </c>
      <c r="D473" t="inlineStr">
        <is>
          <t>Secondary</t>
        </is>
      </c>
      <c r="E473" t="inlineStr">
        <is>
          <t>Advanced</t>
        </is>
      </c>
      <c r="F473" t="n">
        <v>5.6</v>
      </c>
      <c r="G473" t="inlineStr">
        <is>
          <t>Technical</t>
        </is>
      </c>
      <c r="H473" t="inlineStr">
        <is>
          <t>Yes</t>
        </is>
      </c>
      <c r="I473" t="inlineStr">
        <is>
          <t>2017-11-29</t>
        </is>
      </c>
    </row>
    <row r="474">
      <c r="A474" t="n">
        <v/>
      </c>
      <c r="B474" t="n">
        <v>1020012</v>
      </c>
      <c r="C474" t="inlineStr">
        <is>
          <t>TestNG</t>
        </is>
      </c>
      <c r="D474" t="inlineStr">
        <is>
          <t>Secondary</t>
        </is>
      </c>
      <c r="E474" t="inlineStr">
        <is>
          <t>Intermediate</t>
        </is>
      </c>
      <c r="F474" t="n">
        <v>3.8</v>
      </c>
      <c r="G474" t="inlineStr">
        <is>
          <t>Technical</t>
        </is>
      </c>
      <c r="H474" t="inlineStr">
        <is>
          <t>Yes</t>
        </is>
      </c>
      <c r="I474" t="inlineStr">
        <is>
          <t>2017-11-29</t>
        </is>
      </c>
    </row>
    <row r="475">
      <c r="A475" t="n">
        <v/>
      </c>
      <c r="B475" t="n">
        <v>1028165</v>
      </c>
      <c r="C475" t="inlineStr">
        <is>
          <t>Python / Data Engineering</t>
        </is>
      </c>
      <c r="D475" t="inlineStr">
        <is>
          <t>Primary</t>
        </is>
      </c>
      <c r="E475" t="inlineStr">
        <is>
          <t>Advanced</t>
        </is>
      </c>
      <c r="F475" t="n">
        <v>5.1</v>
      </c>
      <c r="G475" t="inlineStr">
        <is>
          <t>Technical</t>
        </is>
      </c>
      <c r="H475" t="inlineStr">
        <is>
          <t>Yes</t>
        </is>
      </c>
      <c r="I475" t="inlineStr">
        <is>
          <t>2022-01-27</t>
        </is>
      </c>
    </row>
    <row r="476">
      <c r="A476" t="n">
        <v/>
      </c>
      <c r="B476" t="n">
        <v>1028165</v>
      </c>
      <c r="C476" t="inlineStr">
        <is>
          <t>SQL</t>
        </is>
      </c>
      <c r="D476" t="inlineStr">
        <is>
          <t>Secondary</t>
        </is>
      </c>
      <c r="E476" t="inlineStr">
        <is>
          <t>Intermediate</t>
        </is>
      </c>
      <c r="F476" t="n">
        <v>3.1</v>
      </c>
      <c r="G476" t="inlineStr">
        <is>
          <t>Technical</t>
        </is>
      </c>
      <c r="H476" t="inlineStr">
        <is>
          <t>Yes</t>
        </is>
      </c>
      <c r="I476" t="inlineStr">
        <is>
          <t>2022-01-27</t>
        </is>
      </c>
    </row>
    <row r="477">
      <c r="A477" t="n">
        <v/>
      </c>
      <c r="B477" t="n">
        <v>1028165</v>
      </c>
      <c r="C477" t="inlineStr">
        <is>
          <t>Docker</t>
        </is>
      </c>
      <c r="D477" t="inlineStr">
        <is>
          <t>Secondary</t>
        </is>
      </c>
      <c r="E477" t="inlineStr">
        <is>
          <t>Intermediate</t>
        </is>
      </c>
      <c r="F477" t="n">
        <v>2.3</v>
      </c>
      <c r="G477" t="inlineStr">
        <is>
          <t>Technical</t>
        </is>
      </c>
      <c r="H477" t="inlineStr">
        <is>
          <t>Yes</t>
        </is>
      </c>
      <c r="I477" t="inlineStr">
        <is>
          <t>2022-01-27</t>
        </is>
      </c>
    </row>
    <row r="478">
      <c r="A478" t="n">
        <v/>
      </c>
      <c r="B478" t="n">
        <v>1028165</v>
      </c>
      <c r="C478" t="inlineStr">
        <is>
          <t>Pandas</t>
        </is>
      </c>
      <c r="D478" t="inlineStr">
        <is>
          <t>Secondary</t>
        </is>
      </c>
      <c r="E478" t="inlineStr">
        <is>
          <t>Intermediate</t>
        </is>
      </c>
      <c r="F478" t="n">
        <v>1.5</v>
      </c>
      <c r="G478" t="inlineStr">
        <is>
          <t>Technical</t>
        </is>
      </c>
      <c r="H478" t="inlineStr">
        <is>
          <t>Yes</t>
        </is>
      </c>
      <c r="I478" t="inlineStr">
        <is>
          <t>2022-01-27</t>
        </is>
      </c>
    </row>
    <row r="479">
      <c r="A479" t="n">
        <v/>
      </c>
      <c r="B479" t="n">
        <v>1031860</v>
      </c>
      <c r="C479" t="inlineStr">
        <is>
          <t>Python / Data Engineering</t>
        </is>
      </c>
      <c r="D479" t="inlineStr">
        <is>
          <t>Primary</t>
        </is>
      </c>
      <c r="E479" t="inlineStr">
        <is>
          <t>Advanced</t>
        </is>
      </c>
      <c r="F479" t="n">
        <v>7.9</v>
      </c>
      <c r="G479" t="inlineStr">
        <is>
          <t>Technical</t>
        </is>
      </c>
      <c r="H479" t="inlineStr">
        <is>
          <t>Yes</t>
        </is>
      </c>
      <c r="I479" t="inlineStr">
        <is>
          <t>2022-12-19</t>
        </is>
      </c>
    </row>
    <row r="480">
      <c r="A480" t="n">
        <v/>
      </c>
      <c r="B480" t="n">
        <v>1031860</v>
      </c>
      <c r="C480" t="inlineStr">
        <is>
          <t>SQL</t>
        </is>
      </c>
      <c r="D480" t="inlineStr">
        <is>
          <t>Secondary</t>
        </is>
      </c>
      <c r="E480" t="inlineStr">
        <is>
          <t>Intermediate</t>
        </is>
      </c>
      <c r="F480" t="n">
        <v>4.7</v>
      </c>
      <c r="G480" t="inlineStr">
        <is>
          <t>Technical</t>
        </is>
      </c>
      <c r="H480" t="inlineStr">
        <is>
          <t>Yes</t>
        </is>
      </c>
      <c r="I480" t="inlineStr">
        <is>
          <t>2022-12-19</t>
        </is>
      </c>
    </row>
    <row r="481">
      <c r="A481" t="n">
        <v/>
      </c>
      <c r="B481" t="n">
        <v>1031860</v>
      </c>
      <c r="C481" t="inlineStr">
        <is>
          <t>Docker</t>
        </is>
      </c>
      <c r="D481" t="inlineStr">
        <is>
          <t>Secondary</t>
        </is>
      </c>
      <c r="E481" t="inlineStr">
        <is>
          <t>Intermediate</t>
        </is>
      </c>
      <c r="F481" t="n">
        <v>3.6</v>
      </c>
      <c r="G481" t="inlineStr">
        <is>
          <t>Technical</t>
        </is>
      </c>
      <c r="H481" t="inlineStr">
        <is>
          <t>Yes</t>
        </is>
      </c>
      <c r="I481" t="inlineStr">
        <is>
          <t>2022-12-19</t>
        </is>
      </c>
    </row>
    <row r="482">
      <c r="A482" t="n">
        <v/>
      </c>
      <c r="B482" t="n">
        <v>1031860</v>
      </c>
      <c r="C482" t="inlineStr">
        <is>
          <t>Pandas</t>
        </is>
      </c>
      <c r="D482" t="inlineStr">
        <is>
          <t>Secondary</t>
        </is>
      </c>
      <c r="E482" t="inlineStr">
        <is>
          <t>Intermediate</t>
        </is>
      </c>
      <c r="F482" t="n">
        <v>2.4</v>
      </c>
      <c r="G482" t="inlineStr">
        <is>
          <t>Technical</t>
        </is>
      </c>
      <c r="H482" t="inlineStr">
        <is>
          <t>Yes</t>
        </is>
      </c>
      <c r="I482" t="inlineStr">
        <is>
          <t>2022-12-19</t>
        </is>
      </c>
    </row>
    <row r="483">
      <c r="A483" t="n">
        <v/>
      </c>
      <c r="B483" t="n">
        <v>1015227</v>
      </c>
      <c r="C483" t="inlineStr">
        <is>
          <t>Project &amp; Delivery Management</t>
        </is>
      </c>
      <c r="D483" t="inlineStr">
        <is>
          <t>Primary</t>
        </is>
      </c>
      <c r="E483" t="inlineStr">
        <is>
          <t>Advanced</t>
        </is>
      </c>
      <c r="F483" t="n">
        <v>15.6</v>
      </c>
      <c r="G483" t="inlineStr">
        <is>
          <t>Functional</t>
        </is>
      </c>
      <c r="H483" t="inlineStr">
        <is>
          <t>Yes</t>
        </is>
      </c>
      <c r="I483" t="inlineStr">
        <is>
          <t>2014-06-05</t>
        </is>
      </c>
    </row>
    <row r="484">
      <c r="A484" t="n">
        <v/>
      </c>
      <c r="B484" t="n">
        <v>1015227</v>
      </c>
      <c r="C484" t="inlineStr">
        <is>
          <t>Agile / Scrum</t>
        </is>
      </c>
      <c r="D484" t="inlineStr">
        <is>
          <t>Secondary</t>
        </is>
      </c>
      <c r="E484" t="inlineStr">
        <is>
          <t>Advanced</t>
        </is>
      </c>
      <c r="F484" t="n">
        <v>9.4</v>
      </c>
      <c r="G484" t="inlineStr">
        <is>
          <t>Functional</t>
        </is>
      </c>
      <c r="H484" t="inlineStr">
        <is>
          <t>Yes</t>
        </is>
      </c>
      <c r="I484" t="inlineStr">
        <is>
          <t>2014-06-05</t>
        </is>
      </c>
    </row>
    <row r="485">
      <c r="A485" t="n">
        <v/>
      </c>
      <c r="B485" t="n">
        <v>1015227</v>
      </c>
      <c r="C485" t="inlineStr">
        <is>
          <t>Stakeholder Management</t>
        </is>
      </c>
      <c r="D485" t="inlineStr">
        <is>
          <t>Secondary</t>
        </is>
      </c>
      <c r="E485" t="inlineStr">
        <is>
          <t>Advanced</t>
        </is>
      </c>
      <c r="F485" t="n">
        <v>7</v>
      </c>
      <c r="G485" t="inlineStr">
        <is>
          <t>Functional</t>
        </is>
      </c>
      <c r="H485" t="inlineStr">
        <is>
          <t>Yes</t>
        </is>
      </c>
      <c r="I485" t="inlineStr">
        <is>
          <t>2014-06-05</t>
        </is>
      </c>
    </row>
    <row r="486">
      <c r="A486" t="n">
        <v/>
      </c>
      <c r="B486" t="n">
        <v>1015227</v>
      </c>
      <c r="C486" t="inlineStr">
        <is>
          <t>Resource Planning</t>
        </is>
      </c>
      <c r="D486" t="inlineStr">
        <is>
          <t>Secondary</t>
        </is>
      </c>
      <c r="E486" t="inlineStr">
        <is>
          <t>Intermediate</t>
        </is>
      </c>
      <c r="F486" t="n">
        <v>4.7</v>
      </c>
      <c r="G486" t="inlineStr">
        <is>
          <t>Functional</t>
        </is>
      </c>
      <c r="H486" t="inlineStr">
        <is>
          <t>Yes</t>
        </is>
      </c>
      <c r="I486" t="inlineStr">
        <is>
          <t>2014-06-05</t>
        </is>
      </c>
    </row>
    <row r="487">
      <c r="A487" t="n">
        <v/>
      </c>
      <c r="B487" t="n">
        <v>1029757</v>
      </c>
      <c r="C487" t="inlineStr">
        <is>
          <t>QA Automation / SDET</t>
        </is>
      </c>
      <c r="D487" t="inlineStr">
        <is>
          <t>Primary</t>
        </is>
      </c>
      <c r="E487" t="inlineStr">
        <is>
          <t>Advanced</t>
        </is>
      </c>
      <c r="F487" t="n">
        <v>4.7</v>
      </c>
      <c r="G487" t="inlineStr">
        <is>
          <t>Technical</t>
        </is>
      </c>
      <c r="H487" t="inlineStr">
        <is>
          <t>Yes</t>
        </is>
      </c>
      <c r="I487" t="inlineStr">
        <is>
          <t>2022-08-08</t>
        </is>
      </c>
    </row>
    <row r="488">
      <c r="A488" t="n">
        <v/>
      </c>
      <c r="B488" t="n">
        <v>1029757</v>
      </c>
      <c r="C488" t="inlineStr">
        <is>
          <t>Selenium</t>
        </is>
      </c>
      <c r="D488" t="inlineStr">
        <is>
          <t>Secondary</t>
        </is>
      </c>
      <c r="E488" t="inlineStr">
        <is>
          <t>Intermediate</t>
        </is>
      </c>
      <c r="F488" t="n">
        <v>2.8</v>
      </c>
      <c r="G488" t="inlineStr">
        <is>
          <t>Technical</t>
        </is>
      </c>
      <c r="H488" t="inlineStr">
        <is>
          <t>Yes</t>
        </is>
      </c>
      <c r="I488" t="inlineStr">
        <is>
          <t>2022-08-08</t>
        </is>
      </c>
    </row>
    <row r="489">
      <c r="A489" t="n">
        <v/>
      </c>
      <c r="B489" t="n">
        <v>1029757</v>
      </c>
      <c r="C489" t="inlineStr">
        <is>
          <t>API Testing (Postman)</t>
        </is>
      </c>
      <c r="D489" t="inlineStr">
        <is>
          <t>Secondary</t>
        </is>
      </c>
      <c r="E489" t="inlineStr">
        <is>
          <t>Intermediate</t>
        </is>
      </c>
      <c r="F489" t="n">
        <v>2.1</v>
      </c>
      <c r="G489" t="inlineStr">
        <is>
          <t>Technical</t>
        </is>
      </c>
      <c r="H489" t="inlineStr">
        <is>
          <t>Yes</t>
        </is>
      </c>
      <c r="I489" t="inlineStr">
        <is>
          <t>2022-08-08</t>
        </is>
      </c>
    </row>
    <row r="490">
      <c r="A490" t="n">
        <v/>
      </c>
      <c r="B490" t="n">
        <v>1029757</v>
      </c>
      <c r="C490" t="inlineStr">
        <is>
          <t>TestNG</t>
        </is>
      </c>
      <c r="D490" t="inlineStr">
        <is>
          <t>Secondary</t>
        </is>
      </c>
      <c r="E490" t="inlineStr">
        <is>
          <t>Beginner</t>
        </is>
      </c>
      <c r="F490" t="n">
        <v>1.4</v>
      </c>
      <c r="G490" t="inlineStr">
        <is>
          <t>Technical</t>
        </is>
      </c>
      <c r="H490" t="inlineStr">
        <is>
          <t>Yes</t>
        </is>
      </c>
      <c r="I490" t="inlineStr">
        <is>
          <t>2022-08-08</t>
        </is>
      </c>
    </row>
    <row r="491">
      <c r="A491" t="n">
        <v/>
      </c>
      <c r="B491" t="n">
        <v>1024704</v>
      </c>
      <c r="C491" t="inlineStr">
        <is>
          <t>QA Automation / SDET</t>
        </is>
      </c>
      <c r="D491" t="inlineStr">
        <is>
          <t>Primary</t>
        </is>
      </c>
      <c r="E491" t="inlineStr">
        <is>
          <t>Advanced</t>
        </is>
      </c>
      <c r="F491" t="n">
        <v>5.9</v>
      </c>
      <c r="G491" t="inlineStr">
        <is>
          <t>Technical</t>
        </is>
      </c>
      <c r="H491" t="inlineStr">
        <is>
          <t>Yes</t>
        </is>
      </c>
      <c r="I491" t="inlineStr">
        <is>
          <t>2021-03-03</t>
        </is>
      </c>
    </row>
    <row r="492">
      <c r="A492" t="n">
        <v/>
      </c>
      <c r="B492" t="n">
        <v>1024704</v>
      </c>
      <c r="C492" t="inlineStr">
        <is>
          <t>Selenium</t>
        </is>
      </c>
      <c r="D492" t="inlineStr">
        <is>
          <t>Secondary</t>
        </is>
      </c>
      <c r="E492" t="inlineStr">
        <is>
          <t>Intermediate</t>
        </is>
      </c>
      <c r="F492" t="n">
        <v>3.5</v>
      </c>
      <c r="G492" t="inlineStr">
        <is>
          <t>Technical</t>
        </is>
      </c>
      <c r="H492" t="inlineStr">
        <is>
          <t>Yes</t>
        </is>
      </c>
      <c r="I492" t="inlineStr">
        <is>
          <t>2021-03-03</t>
        </is>
      </c>
    </row>
    <row r="493">
      <c r="A493" t="n">
        <v/>
      </c>
      <c r="B493" t="n">
        <v>1024704</v>
      </c>
      <c r="C493" t="inlineStr">
        <is>
          <t>API Testing (Postman)</t>
        </is>
      </c>
      <c r="D493" t="inlineStr">
        <is>
          <t>Secondary</t>
        </is>
      </c>
      <c r="E493" t="inlineStr">
        <is>
          <t>Intermediate</t>
        </is>
      </c>
      <c r="F493" t="n">
        <v>2.7</v>
      </c>
      <c r="G493" t="inlineStr">
        <is>
          <t>Technical</t>
        </is>
      </c>
      <c r="H493" t="inlineStr">
        <is>
          <t>Yes</t>
        </is>
      </c>
      <c r="I493" t="inlineStr">
        <is>
          <t>2021-03-03</t>
        </is>
      </c>
    </row>
    <row r="494">
      <c r="A494" t="n">
        <v/>
      </c>
      <c r="B494" t="n">
        <v>1024704</v>
      </c>
      <c r="C494" t="inlineStr">
        <is>
          <t>TestNG</t>
        </is>
      </c>
      <c r="D494" t="inlineStr">
        <is>
          <t>Secondary</t>
        </is>
      </c>
      <c r="E494" t="inlineStr">
        <is>
          <t>Intermediate</t>
        </is>
      </c>
      <c r="F494" t="n">
        <v>1.8</v>
      </c>
      <c r="G494" t="inlineStr">
        <is>
          <t>Technical</t>
        </is>
      </c>
      <c r="H494" t="inlineStr">
        <is>
          <t>Yes</t>
        </is>
      </c>
      <c r="I494" t="inlineStr">
        <is>
          <t>2021-03-03</t>
        </is>
      </c>
    </row>
    <row r="495">
      <c r="A495" t="n">
        <v/>
      </c>
      <c r="B495" t="n">
        <v>1019349</v>
      </c>
      <c r="C495" t="inlineStr">
        <is>
          <t>Project &amp; Delivery Management</t>
        </is>
      </c>
      <c r="D495" t="inlineStr">
        <is>
          <t>Primary</t>
        </is>
      </c>
      <c r="E495" t="inlineStr">
        <is>
          <t>Advanced</t>
        </is>
      </c>
      <c r="F495" t="n">
        <v>13</v>
      </c>
      <c r="G495" t="inlineStr">
        <is>
          <t>Functional</t>
        </is>
      </c>
      <c r="H495" t="inlineStr">
        <is>
          <t>Yes</t>
        </is>
      </c>
      <c r="I495" t="inlineStr">
        <is>
          <t>2017-04-13</t>
        </is>
      </c>
    </row>
    <row r="496">
      <c r="A496" t="n">
        <v/>
      </c>
      <c r="B496" t="n">
        <v>1019349</v>
      </c>
      <c r="C496" t="inlineStr">
        <is>
          <t>Agile / Scrum</t>
        </is>
      </c>
      <c r="D496" t="inlineStr">
        <is>
          <t>Secondary</t>
        </is>
      </c>
      <c r="E496" t="inlineStr">
        <is>
          <t>Advanced</t>
        </is>
      </c>
      <c r="F496" t="n">
        <v>7.8</v>
      </c>
      <c r="G496" t="inlineStr">
        <is>
          <t>Functional</t>
        </is>
      </c>
      <c r="H496" t="inlineStr">
        <is>
          <t>Yes</t>
        </is>
      </c>
      <c r="I496" t="inlineStr">
        <is>
          <t>2017-04-13</t>
        </is>
      </c>
    </row>
    <row r="497">
      <c r="A497" t="n">
        <v/>
      </c>
      <c r="B497" t="n">
        <v>1019349</v>
      </c>
      <c r="C497" t="inlineStr">
        <is>
          <t>Stakeholder Management</t>
        </is>
      </c>
      <c r="D497" t="inlineStr">
        <is>
          <t>Secondary</t>
        </is>
      </c>
      <c r="E497" t="inlineStr">
        <is>
          <t>Advanced</t>
        </is>
      </c>
      <c r="F497" t="n">
        <v>5.8</v>
      </c>
      <c r="G497" t="inlineStr">
        <is>
          <t>Functional</t>
        </is>
      </c>
      <c r="H497" t="inlineStr">
        <is>
          <t>Yes</t>
        </is>
      </c>
      <c r="I497" t="inlineStr">
        <is>
          <t>2017-04-13</t>
        </is>
      </c>
    </row>
    <row r="498">
      <c r="A498" t="n">
        <v/>
      </c>
      <c r="B498" t="n">
        <v>1019349</v>
      </c>
      <c r="C498" t="inlineStr">
        <is>
          <t>Resource Planning</t>
        </is>
      </c>
      <c r="D498" t="inlineStr">
        <is>
          <t>Secondary</t>
        </is>
      </c>
      <c r="E498" t="inlineStr">
        <is>
          <t>Intermediate</t>
        </is>
      </c>
      <c r="F498" t="n">
        <v>3.9</v>
      </c>
      <c r="G498" t="inlineStr">
        <is>
          <t>Functional</t>
        </is>
      </c>
      <c r="H498" t="inlineStr">
        <is>
          <t>Yes</t>
        </is>
      </c>
      <c r="I498" t="inlineStr">
        <is>
          <t>2017-04-13</t>
        </is>
      </c>
    </row>
    <row r="499">
      <c r="A499" t="n">
        <v/>
      </c>
      <c r="B499" t="n">
        <v>1023926</v>
      </c>
      <c r="C499" t="inlineStr">
        <is>
          <t>Informatica ETL</t>
        </is>
      </c>
      <c r="D499" t="inlineStr">
        <is>
          <t>Primary</t>
        </is>
      </c>
      <c r="E499" t="inlineStr">
        <is>
          <t>Advanced</t>
        </is>
      </c>
      <c r="F499" t="n">
        <v>8.1</v>
      </c>
      <c r="G499" t="inlineStr">
        <is>
          <t>Technical</t>
        </is>
      </c>
      <c r="H499" t="inlineStr">
        <is>
          <t>Yes</t>
        </is>
      </c>
      <c r="I499" t="inlineStr">
        <is>
          <t>2020-10-05</t>
        </is>
      </c>
    </row>
    <row r="500">
      <c r="A500" t="n">
        <v/>
      </c>
      <c r="B500" t="n">
        <v>1023926</v>
      </c>
      <c r="C500" t="inlineStr">
        <is>
          <t>Informatica PowerCenter</t>
        </is>
      </c>
      <c r="D500" t="inlineStr">
        <is>
          <t>Secondary</t>
        </is>
      </c>
      <c r="E500" t="inlineStr">
        <is>
          <t>Intermediate</t>
        </is>
      </c>
      <c r="F500" t="n">
        <v>4.9</v>
      </c>
      <c r="G500" t="inlineStr">
        <is>
          <t>Technical</t>
        </is>
      </c>
      <c r="H500" t="inlineStr">
        <is>
          <t>Yes</t>
        </is>
      </c>
      <c r="I500" t="inlineStr">
        <is>
          <t>2020-10-05</t>
        </is>
      </c>
    </row>
    <row r="501">
      <c r="A501" t="n">
        <v/>
      </c>
      <c r="B501" t="n">
        <v>1023926</v>
      </c>
      <c r="C501" t="inlineStr">
        <is>
          <t>SQL</t>
        </is>
      </c>
      <c r="D501" t="inlineStr">
        <is>
          <t>Secondary</t>
        </is>
      </c>
      <c r="E501" t="inlineStr">
        <is>
          <t>Intermediate</t>
        </is>
      </c>
      <c r="F501" t="n">
        <v>3.6</v>
      </c>
      <c r="G501" t="inlineStr">
        <is>
          <t>Technical</t>
        </is>
      </c>
      <c r="H501" t="inlineStr">
        <is>
          <t>Yes</t>
        </is>
      </c>
      <c r="I501" t="inlineStr">
        <is>
          <t>2020-10-05</t>
        </is>
      </c>
    </row>
    <row r="502">
      <c r="A502" t="n">
        <v/>
      </c>
      <c r="B502" t="n">
        <v>1023926</v>
      </c>
      <c r="C502" t="inlineStr">
        <is>
          <t>Data Warehousing</t>
        </is>
      </c>
      <c r="D502" t="inlineStr">
        <is>
          <t>Secondary</t>
        </is>
      </c>
      <c r="E502" t="inlineStr">
        <is>
          <t>Intermediate</t>
        </is>
      </c>
      <c r="F502" t="n">
        <v>2.4</v>
      </c>
      <c r="G502" t="inlineStr">
        <is>
          <t>Technical</t>
        </is>
      </c>
      <c r="H502" t="inlineStr">
        <is>
          <t>Yes</t>
        </is>
      </c>
      <c r="I502" t="inlineStr">
        <is>
          <t>2020-10-05</t>
        </is>
      </c>
    </row>
    <row r="503">
      <c r="A503" t="n">
        <v/>
      </c>
      <c r="B503" t="n">
        <v>1031871</v>
      </c>
      <c r="C503" t="inlineStr">
        <is>
          <t>QA Automation / SDET</t>
        </is>
      </c>
      <c r="D503" t="inlineStr">
        <is>
          <t>Primary</t>
        </is>
      </c>
      <c r="E503" t="inlineStr">
        <is>
          <t>Intermediate</t>
        </is>
      </c>
      <c r="F503" t="n">
        <v>4.3</v>
      </c>
      <c r="G503" t="inlineStr">
        <is>
          <t>Technical</t>
        </is>
      </c>
      <c r="H503" t="inlineStr">
        <is>
          <t>Yes</t>
        </is>
      </c>
      <c r="I503" t="inlineStr">
        <is>
          <t>2022-12-19</t>
        </is>
      </c>
    </row>
    <row r="504">
      <c r="A504" t="n">
        <v/>
      </c>
      <c r="B504" t="n">
        <v>1031871</v>
      </c>
      <c r="C504" t="inlineStr">
        <is>
          <t>Selenium</t>
        </is>
      </c>
      <c r="D504" t="inlineStr">
        <is>
          <t>Secondary</t>
        </is>
      </c>
      <c r="E504" t="inlineStr">
        <is>
          <t>Intermediate</t>
        </is>
      </c>
      <c r="F504" t="n">
        <v>2.6</v>
      </c>
      <c r="G504" t="inlineStr">
        <is>
          <t>Technical</t>
        </is>
      </c>
      <c r="H504" t="inlineStr">
        <is>
          <t>Yes</t>
        </is>
      </c>
      <c r="I504" t="inlineStr">
        <is>
          <t>2022-12-19</t>
        </is>
      </c>
    </row>
    <row r="505">
      <c r="A505" t="n">
        <v/>
      </c>
      <c r="B505" t="n">
        <v>1031871</v>
      </c>
      <c r="C505" t="inlineStr">
        <is>
          <t>API Testing (Postman)</t>
        </is>
      </c>
      <c r="D505" t="inlineStr">
        <is>
          <t>Secondary</t>
        </is>
      </c>
      <c r="E505" t="inlineStr">
        <is>
          <t>Intermediate</t>
        </is>
      </c>
      <c r="F505" t="n">
        <v>1.9</v>
      </c>
      <c r="G505" t="inlineStr">
        <is>
          <t>Technical</t>
        </is>
      </c>
      <c r="H505" t="inlineStr">
        <is>
          <t>Yes</t>
        </is>
      </c>
      <c r="I505" t="inlineStr">
        <is>
          <t>2022-12-19</t>
        </is>
      </c>
    </row>
    <row r="506">
      <c r="A506" t="n">
        <v/>
      </c>
      <c r="B506" t="n">
        <v>1031871</v>
      </c>
      <c r="C506" t="inlineStr">
        <is>
          <t>TestNG</t>
        </is>
      </c>
      <c r="D506" t="inlineStr">
        <is>
          <t>Secondary</t>
        </is>
      </c>
      <c r="E506" t="inlineStr">
        <is>
          <t>Beginner</t>
        </is>
      </c>
      <c r="F506" t="n">
        <v>1.3</v>
      </c>
      <c r="G506" t="inlineStr">
        <is>
          <t>Technical</t>
        </is>
      </c>
      <c r="H506" t="inlineStr">
        <is>
          <t>Yes</t>
        </is>
      </c>
      <c r="I506" t="inlineStr">
        <is>
          <t>2022-12-19</t>
        </is>
      </c>
    </row>
    <row r="507">
      <c r="A507" t="n">
        <v/>
      </c>
      <c r="B507" t="n">
        <v>1023387</v>
      </c>
      <c r="C507" t="inlineStr">
        <is>
          <t>QA Automation / SDET</t>
        </is>
      </c>
      <c r="D507" t="inlineStr">
        <is>
          <t>Primary</t>
        </is>
      </c>
      <c r="E507" t="inlineStr">
        <is>
          <t>Advanced</t>
        </is>
      </c>
      <c r="F507" t="n">
        <v>10.2</v>
      </c>
      <c r="G507" t="inlineStr">
        <is>
          <t>Technical</t>
        </is>
      </c>
      <c r="H507" t="inlineStr">
        <is>
          <t>Yes</t>
        </is>
      </c>
      <c r="I507" t="inlineStr">
        <is>
          <t>2020-06-19</t>
        </is>
      </c>
    </row>
    <row r="508">
      <c r="A508" t="n">
        <v/>
      </c>
      <c r="B508" t="n">
        <v>1023387</v>
      </c>
      <c r="C508" t="inlineStr">
        <is>
          <t>Selenium</t>
        </is>
      </c>
      <c r="D508" t="inlineStr">
        <is>
          <t>Secondary</t>
        </is>
      </c>
      <c r="E508" t="inlineStr">
        <is>
          <t>Advanced</t>
        </is>
      </c>
      <c r="F508" t="n">
        <v>6.1</v>
      </c>
      <c r="G508" t="inlineStr">
        <is>
          <t>Technical</t>
        </is>
      </c>
      <c r="H508" t="inlineStr">
        <is>
          <t>Yes</t>
        </is>
      </c>
      <c r="I508" t="inlineStr">
        <is>
          <t>2020-06-19</t>
        </is>
      </c>
    </row>
    <row r="509">
      <c r="A509" t="n">
        <v/>
      </c>
      <c r="B509" t="n">
        <v>1023387</v>
      </c>
      <c r="C509" t="inlineStr">
        <is>
          <t>API Testing (Postman)</t>
        </is>
      </c>
      <c r="D509" t="inlineStr">
        <is>
          <t>Secondary</t>
        </is>
      </c>
      <c r="E509" t="inlineStr">
        <is>
          <t>Intermediate</t>
        </is>
      </c>
      <c r="F509" t="n">
        <v>4.6</v>
      </c>
      <c r="G509" t="inlineStr">
        <is>
          <t>Technical</t>
        </is>
      </c>
      <c r="H509" t="inlineStr">
        <is>
          <t>Yes</t>
        </is>
      </c>
      <c r="I509" t="inlineStr">
        <is>
          <t>2020-06-19</t>
        </is>
      </c>
    </row>
    <row r="510">
      <c r="A510" t="n">
        <v/>
      </c>
      <c r="B510" t="n">
        <v>1023387</v>
      </c>
      <c r="C510" t="inlineStr">
        <is>
          <t>TestNG</t>
        </is>
      </c>
      <c r="D510" t="inlineStr">
        <is>
          <t>Secondary</t>
        </is>
      </c>
      <c r="E510" t="inlineStr">
        <is>
          <t>Intermediate</t>
        </is>
      </c>
      <c r="F510" t="n">
        <v>3.1</v>
      </c>
      <c r="G510" t="inlineStr">
        <is>
          <t>Technical</t>
        </is>
      </c>
      <c r="H510" t="inlineStr">
        <is>
          <t>Yes</t>
        </is>
      </c>
      <c r="I510" t="inlineStr">
        <is>
          <t>2020-06-19</t>
        </is>
      </c>
    </row>
    <row r="511">
      <c r="A511" t="n">
        <v/>
      </c>
      <c r="B511" t="n">
        <v>1029753</v>
      </c>
      <c r="C511" t="inlineStr">
        <is>
          <t>Database &amp; SQL Architecture</t>
        </is>
      </c>
      <c r="D511" t="inlineStr">
        <is>
          <t>Primary</t>
        </is>
      </c>
      <c r="E511" t="inlineStr">
        <is>
          <t>Advanced</t>
        </is>
      </c>
      <c r="F511" t="n">
        <v>4.7</v>
      </c>
      <c r="G511" t="inlineStr">
        <is>
          <t>Technical</t>
        </is>
      </c>
      <c r="H511" t="inlineStr">
        <is>
          <t>Yes</t>
        </is>
      </c>
      <c r="I511" t="inlineStr">
        <is>
          <t>2022-08-08</t>
        </is>
      </c>
    </row>
    <row r="512">
      <c r="A512" t="n">
        <v/>
      </c>
      <c r="B512" t="n">
        <v>1029753</v>
      </c>
      <c r="C512" t="inlineStr">
        <is>
          <t>PostgreSQL</t>
        </is>
      </c>
      <c r="D512" t="inlineStr">
        <is>
          <t>Secondary</t>
        </is>
      </c>
      <c r="E512" t="inlineStr">
        <is>
          <t>Intermediate</t>
        </is>
      </c>
      <c r="F512" t="n">
        <v>2.8</v>
      </c>
      <c r="G512" t="inlineStr">
        <is>
          <t>Technical</t>
        </is>
      </c>
      <c r="H512" t="inlineStr">
        <is>
          <t>Yes</t>
        </is>
      </c>
      <c r="I512" t="inlineStr">
        <is>
          <t>2022-08-08</t>
        </is>
      </c>
    </row>
    <row r="513">
      <c r="A513" t="n">
        <v/>
      </c>
      <c r="B513" t="n">
        <v>1029753</v>
      </c>
      <c r="C513" t="inlineStr">
        <is>
          <t>Oracle</t>
        </is>
      </c>
      <c r="D513" t="inlineStr">
        <is>
          <t>Secondary</t>
        </is>
      </c>
      <c r="E513" t="inlineStr">
        <is>
          <t>Intermediate</t>
        </is>
      </c>
      <c r="F513" t="n">
        <v>2.1</v>
      </c>
      <c r="G513" t="inlineStr">
        <is>
          <t>Technical</t>
        </is>
      </c>
      <c r="H513" t="inlineStr">
        <is>
          <t>Yes</t>
        </is>
      </c>
      <c r="I513" t="inlineStr">
        <is>
          <t>2022-08-08</t>
        </is>
      </c>
    </row>
    <row r="514">
      <c r="A514" t="n">
        <v/>
      </c>
      <c r="B514" t="n">
        <v>1029753</v>
      </c>
      <c r="C514" t="inlineStr">
        <is>
          <t>Performance Tuning</t>
        </is>
      </c>
      <c r="D514" t="inlineStr">
        <is>
          <t>Secondary</t>
        </is>
      </c>
      <c r="E514" t="inlineStr">
        <is>
          <t>Beginner</t>
        </is>
      </c>
      <c r="F514" t="n">
        <v>1.4</v>
      </c>
      <c r="G514" t="inlineStr">
        <is>
          <t>Technical</t>
        </is>
      </c>
      <c r="H514" t="inlineStr">
        <is>
          <t>Yes</t>
        </is>
      </c>
      <c r="I514" t="inlineStr">
        <is>
          <t>2022-08-08</t>
        </is>
      </c>
    </row>
    <row r="515">
      <c r="A515" t="n">
        <v/>
      </c>
      <c r="B515" t="n">
        <v>1025863</v>
      </c>
      <c r="C515" t="inlineStr">
        <is>
          <t>Database &amp; SQL Architecture</t>
        </is>
      </c>
      <c r="D515" t="inlineStr">
        <is>
          <t>Primary</t>
        </is>
      </c>
      <c r="E515" t="inlineStr">
        <is>
          <t>Advanced</t>
        </is>
      </c>
      <c r="F515" t="n">
        <v>9.199999999999999</v>
      </c>
      <c r="G515" t="inlineStr">
        <is>
          <t>Technical</t>
        </is>
      </c>
      <c r="H515" t="inlineStr">
        <is>
          <t>Yes</t>
        </is>
      </c>
      <c r="I515" t="inlineStr">
        <is>
          <t>2021-07-19</t>
        </is>
      </c>
    </row>
    <row r="516">
      <c r="A516" t="n">
        <v/>
      </c>
      <c r="B516" t="n">
        <v>1025863</v>
      </c>
      <c r="C516" t="inlineStr">
        <is>
          <t>PostgreSQL</t>
        </is>
      </c>
      <c r="D516" t="inlineStr">
        <is>
          <t>Secondary</t>
        </is>
      </c>
      <c r="E516" t="inlineStr">
        <is>
          <t>Advanced</t>
        </is>
      </c>
      <c r="F516" t="n">
        <v>5.5</v>
      </c>
      <c r="G516" t="inlineStr">
        <is>
          <t>Technical</t>
        </is>
      </c>
      <c r="H516" t="inlineStr">
        <is>
          <t>Yes</t>
        </is>
      </c>
      <c r="I516" t="inlineStr">
        <is>
          <t>2021-07-19</t>
        </is>
      </c>
    </row>
    <row r="517">
      <c r="A517" t="n">
        <v/>
      </c>
      <c r="B517" t="n">
        <v>1025863</v>
      </c>
      <c r="C517" t="inlineStr">
        <is>
          <t>Oracle</t>
        </is>
      </c>
      <c r="D517" t="inlineStr">
        <is>
          <t>Secondary</t>
        </is>
      </c>
      <c r="E517" t="inlineStr">
        <is>
          <t>Intermediate</t>
        </is>
      </c>
      <c r="F517" t="n">
        <v>4.1</v>
      </c>
      <c r="G517" t="inlineStr">
        <is>
          <t>Technical</t>
        </is>
      </c>
      <c r="H517" t="inlineStr">
        <is>
          <t>Yes</t>
        </is>
      </c>
      <c r="I517" t="inlineStr">
        <is>
          <t>2021-07-19</t>
        </is>
      </c>
    </row>
    <row r="518">
      <c r="A518" t="n">
        <v/>
      </c>
      <c r="B518" t="n">
        <v>1025863</v>
      </c>
      <c r="C518" t="inlineStr">
        <is>
          <t>Performance Tuning</t>
        </is>
      </c>
      <c r="D518" t="inlineStr">
        <is>
          <t>Secondary</t>
        </is>
      </c>
      <c r="E518" t="inlineStr">
        <is>
          <t>Intermediate</t>
        </is>
      </c>
      <c r="F518" t="n">
        <v>2.8</v>
      </c>
      <c r="G518" t="inlineStr">
        <is>
          <t>Technical</t>
        </is>
      </c>
      <c r="H518" t="inlineStr">
        <is>
          <t>Yes</t>
        </is>
      </c>
      <c r="I518" t="inlineStr">
        <is>
          <t>2021-07-19</t>
        </is>
      </c>
    </row>
    <row r="519">
      <c r="A519" t="n">
        <v/>
      </c>
      <c r="B519" t="n">
        <v>1033465</v>
      </c>
      <c r="C519" t="inlineStr">
        <is>
          <t>Python / Data Engineering</t>
        </is>
      </c>
      <c r="D519" t="inlineStr">
        <is>
          <t>Primary</t>
        </is>
      </c>
      <c r="E519" t="inlineStr">
        <is>
          <t>Advanced</t>
        </is>
      </c>
      <c r="F519" t="n">
        <v>5.5</v>
      </c>
      <c r="G519" t="inlineStr">
        <is>
          <t>Technical</t>
        </is>
      </c>
      <c r="H519" t="inlineStr">
        <is>
          <t>Yes</t>
        </is>
      </c>
      <c r="I519" t="inlineStr">
        <is>
          <t>2023-09-01</t>
        </is>
      </c>
    </row>
    <row r="520">
      <c r="A520" t="n">
        <v/>
      </c>
      <c r="B520" t="n">
        <v>1033465</v>
      </c>
      <c r="C520" t="inlineStr">
        <is>
          <t>SQL</t>
        </is>
      </c>
      <c r="D520" t="inlineStr">
        <is>
          <t>Secondary</t>
        </is>
      </c>
      <c r="E520" t="inlineStr">
        <is>
          <t>Intermediate</t>
        </is>
      </c>
      <c r="F520" t="n">
        <v>3.3</v>
      </c>
      <c r="G520" t="inlineStr">
        <is>
          <t>Technical</t>
        </is>
      </c>
      <c r="H520" t="inlineStr">
        <is>
          <t>Yes</t>
        </is>
      </c>
      <c r="I520" t="inlineStr">
        <is>
          <t>2023-09-01</t>
        </is>
      </c>
    </row>
    <row r="521">
      <c r="A521" t="n">
        <v/>
      </c>
      <c r="B521" t="n">
        <v>1033465</v>
      </c>
      <c r="C521" t="inlineStr">
        <is>
          <t>Docker</t>
        </is>
      </c>
      <c r="D521" t="inlineStr">
        <is>
          <t>Secondary</t>
        </is>
      </c>
      <c r="E521" t="inlineStr">
        <is>
          <t>Intermediate</t>
        </is>
      </c>
      <c r="F521" t="n">
        <v>2.5</v>
      </c>
      <c r="G521" t="inlineStr">
        <is>
          <t>Technical</t>
        </is>
      </c>
      <c r="H521" t="inlineStr">
        <is>
          <t>Yes</t>
        </is>
      </c>
      <c r="I521" t="inlineStr">
        <is>
          <t>2023-09-01</t>
        </is>
      </c>
    </row>
    <row r="522">
      <c r="A522" t="n">
        <v/>
      </c>
      <c r="B522" t="n">
        <v>1033465</v>
      </c>
      <c r="C522" t="inlineStr">
        <is>
          <t>Pandas</t>
        </is>
      </c>
      <c r="D522" t="inlineStr">
        <is>
          <t>Secondary</t>
        </is>
      </c>
      <c r="E522" t="inlineStr">
        <is>
          <t>Intermediate</t>
        </is>
      </c>
      <c r="F522" t="n">
        <v>1.6</v>
      </c>
      <c r="G522" t="inlineStr">
        <is>
          <t>Technical</t>
        </is>
      </c>
      <c r="H522" t="inlineStr">
        <is>
          <t>Yes</t>
        </is>
      </c>
      <c r="I522" t="inlineStr">
        <is>
          <t>2023-09-01</t>
        </is>
      </c>
    </row>
    <row r="523">
      <c r="A523" t="n">
        <v/>
      </c>
      <c r="B523" t="n">
        <v>1025116</v>
      </c>
      <c r="C523" t="inlineStr">
        <is>
          <t>Frontend (Angular / TypeScript)</t>
        </is>
      </c>
      <c r="D523" t="inlineStr">
        <is>
          <t>Primary</t>
        </is>
      </c>
      <c r="E523" t="inlineStr">
        <is>
          <t>Advanced</t>
        </is>
      </c>
      <c r="F523" t="n">
        <v>7.6</v>
      </c>
      <c r="G523" t="inlineStr">
        <is>
          <t>Technical</t>
        </is>
      </c>
      <c r="H523" t="inlineStr">
        <is>
          <t>Yes</t>
        </is>
      </c>
      <c r="I523" t="inlineStr">
        <is>
          <t>2021-04-22</t>
        </is>
      </c>
    </row>
    <row r="524">
      <c r="A524" t="n">
        <v/>
      </c>
      <c r="B524" t="n">
        <v>1025116</v>
      </c>
      <c r="C524" t="inlineStr">
        <is>
          <t>TypeScript</t>
        </is>
      </c>
      <c r="D524" t="inlineStr">
        <is>
          <t>Secondary</t>
        </is>
      </c>
      <c r="E524" t="inlineStr">
        <is>
          <t>Intermediate</t>
        </is>
      </c>
      <c r="F524" t="n">
        <v>4.6</v>
      </c>
      <c r="G524" t="inlineStr">
        <is>
          <t>Technical</t>
        </is>
      </c>
      <c r="H524" t="inlineStr">
        <is>
          <t>Yes</t>
        </is>
      </c>
      <c r="I524" t="inlineStr">
        <is>
          <t>2021-04-22</t>
        </is>
      </c>
    </row>
    <row r="525">
      <c r="A525" t="n">
        <v/>
      </c>
      <c r="B525" t="n">
        <v>1025116</v>
      </c>
      <c r="C525" t="inlineStr">
        <is>
          <t>JavaScript</t>
        </is>
      </c>
      <c r="D525" t="inlineStr">
        <is>
          <t>Secondary</t>
        </is>
      </c>
      <c r="E525" t="inlineStr">
        <is>
          <t>Intermediate</t>
        </is>
      </c>
      <c r="F525" t="n">
        <v>3.4</v>
      </c>
      <c r="G525" t="inlineStr">
        <is>
          <t>Technical</t>
        </is>
      </c>
      <c r="H525" t="inlineStr">
        <is>
          <t>Yes</t>
        </is>
      </c>
      <c r="I525" t="inlineStr">
        <is>
          <t>2021-04-22</t>
        </is>
      </c>
    </row>
    <row r="526">
      <c r="A526" t="n">
        <v/>
      </c>
      <c r="B526" t="n">
        <v>1025116</v>
      </c>
      <c r="C526" t="inlineStr">
        <is>
          <t>HTML5</t>
        </is>
      </c>
      <c r="D526" t="inlineStr">
        <is>
          <t>Secondary</t>
        </is>
      </c>
      <c r="E526" t="inlineStr">
        <is>
          <t>Intermediate</t>
        </is>
      </c>
      <c r="F526" t="n">
        <v>2.3</v>
      </c>
      <c r="G526" t="inlineStr">
        <is>
          <t>Technical</t>
        </is>
      </c>
      <c r="H526" t="inlineStr">
        <is>
          <t>Yes</t>
        </is>
      </c>
      <c r="I526" t="inlineStr">
        <is>
          <t>2021-04-22</t>
        </is>
      </c>
    </row>
    <row r="527">
      <c r="A527" t="n">
        <v/>
      </c>
      <c r="B527" t="n">
        <v>1031879</v>
      </c>
      <c r="C527" t="inlineStr">
        <is>
          <t>Cloud &amp; DevOps (AWS / K8s)</t>
        </is>
      </c>
      <c r="D527" t="inlineStr">
        <is>
          <t>Primary</t>
        </is>
      </c>
      <c r="E527" t="inlineStr">
        <is>
          <t>Advanced</t>
        </is>
      </c>
      <c r="F527" t="n">
        <v>6.1</v>
      </c>
      <c r="G527" t="inlineStr">
        <is>
          <t>Technical</t>
        </is>
      </c>
      <c r="H527" t="inlineStr">
        <is>
          <t>Yes</t>
        </is>
      </c>
      <c r="I527" t="inlineStr">
        <is>
          <t>2022-12-19</t>
        </is>
      </c>
    </row>
    <row r="528">
      <c r="A528" t="n">
        <v/>
      </c>
      <c r="B528" t="n">
        <v>1031879</v>
      </c>
      <c r="C528" t="inlineStr">
        <is>
          <t>Docker</t>
        </is>
      </c>
      <c r="D528" t="inlineStr">
        <is>
          <t>Secondary</t>
        </is>
      </c>
      <c r="E528" t="inlineStr">
        <is>
          <t>Intermediate</t>
        </is>
      </c>
      <c r="F528" t="n">
        <v>3.7</v>
      </c>
      <c r="G528" t="inlineStr">
        <is>
          <t>Technical</t>
        </is>
      </c>
      <c r="H528" t="inlineStr">
        <is>
          <t>Yes</t>
        </is>
      </c>
      <c r="I528" t="inlineStr">
        <is>
          <t>2022-12-19</t>
        </is>
      </c>
    </row>
    <row r="529">
      <c r="A529" t="n">
        <v/>
      </c>
      <c r="B529" t="n">
        <v>1031879</v>
      </c>
      <c r="C529" t="inlineStr">
        <is>
          <t>Kubernetes</t>
        </is>
      </c>
      <c r="D529" t="inlineStr">
        <is>
          <t>Secondary</t>
        </is>
      </c>
      <c r="E529" t="inlineStr">
        <is>
          <t>Intermediate</t>
        </is>
      </c>
      <c r="F529" t="n">
        <v>2.7</v>
      </c>
      <c r="G529" t="inlineStr">
        <is>
          <t>Technical</t>
        </is>
      </c>
      <c r="H529" t="inlineStr">
        <is>
          <t>Yes</t>
        </is>
      </c>
      <c r="I529" t="inlineStr">
        <is>
          <t>2022-12-19</t>
        </is>
      </c>
    </row>
    <row r="530">
      <c r="A530" t="n">
        <v/>
      </c>
      <c r="B530" t="n">
        <v>1031879</v>
      </c>
      <c r="C530" t="inlineStr">
        <is>
          <t>Linux</t>
        </is>
      </c>
      <c r="D530" t="inlineStr">
        <is>
          <t>Secondary</t>
        </is>
      </c>
      <c r="E530" t="inlineStr">
        <is>
          <t>Intermediate</t>
        </is>
      </c>
      <c r="F530" t="n">
        <v>1.8</v>
      </c>
      <c r="G530" t="inlineStr">
        <is>
          <t>Technical</t>
        </is>
      </c>
      <c r="H530" t="inlineStr">
        <is>
          <t>Yes</t>
        </is>
      </c>
      <c r="I530" t="inlineStr">
        <is>
          <t>2022-12-19</t>
        </is>
      </c>
    </row>
    <row r="531">
      <c r="A531" t="n">
        <v/>
      </c>
      <c r="B531" t="n">
        <v>1024413</v>
      </c>
      <c r="C531" t="inlineStr">
        <is>
          <t>Informatica ETL</t>
        </is>
      </c>
      <c r="D531" t="inlineStr">
        <is>
          <t>Primary</t>
        </is>
      </c>
      <c r="E531" t="inlineStr">
        <is>
          <t>Advanced</t>
        </is>
      </c>
      <c r="F531" t="n">
        <v>7.8</v>
      </c>
      <c r="G531" t="inlineStr">
        <is>
          <t>Technical</t>
        </is>
      </c>
      <c r="H531" t="inlineStr">
        <is>
          <t>Yes</t>
        </is>
      </c>
      <c r="I531" t="inlineStr">
        <is>
          <t>2021-02-01</t>
        </is>
      </c>
    </row>
    <row r="532">
      <c r="A532" t="n">
        <v/>
      </c>
      <c r="B532" t="n">
        <v>1024413</v>
      </c>
      <c r="C532" t="inlineStr">
        <is>
          <t>Informatica PowerCenter</t>
        </is>
      </c>
      <c r="D532" t="inlineStr">
        <is>
          <t>Secondary</t>
        </is>
      </c>
      <c r="E532" t="inlineStr">
        <is>
          <t>Intermediate</t>
        </is>
      </c>
      <c r="F532" t="n">
        <v>4.7</v>
      </c>
      <c r="G532" t="inlineStr">
        <is>
          <t>Technical</t>
        </is>
      </c>
      <c r="H532" t="inlineStr">
        <is>
          <t>Yes</t>
        </is>
      </c>
      <c r="I532" t="inlineStr">
        <is>
          <t>2021-02-01</t>
        </is>
      </c>
    </row>
    <row r="533">
      <c r="A533" t="n">
        <v/>
      </c>
      <c r="B533" t="n">
        <v>1024413</v>
      </c>
      <c r="C533" t="inlineStr">
        <is>
          <t>SQL</t>
        </is>
      </c>
      <c r="D533" t="inlineStr">
        <is>
          <t>Secondary</t>
        </is>
      </c>
      <c r="E533" t="inlineStr">
        <is>
          <t>Intermediate</t>
        </is>
      </c>
      <c r="F533" t="n">
        <v>3.5</v>
      </c>
      <c r="G533" t="inlineStr">
        <is>
          <t>Technical</t>
        </is>
      </c>
      <c r="H533" t="inlineStr">
        <is>
          <t>Yes</t>
        </is>
      </c>
      <c r="I533" t="inlineStr">
        <is>
          <t>2021-02-01</t>
        </is>
      </c>
    </row>
    <row r="534">
      <c r="A534" t="n">
        <v/>
      </c>
      <c r="B534" t="n">
        <v>1024413</v>
      </c>
      <c r="C534" t="inlineStr">
        <is>
          <t>Data Warehousing</t>
        </is>
      </c>
      <c r="D534" t="inlineStr">
        <is>
          <t>Secondary</t>
        </is>
      </c>
      <c r="E534" t="inlineStr">
        <is>
          <t>Intermediate</t>
        </is>
      </c>
      <c r="F534" t="n">
        <v>2.3</v>
      </c>
      <c r="G534" t="inlineStr">
        <is>
          <t>Technical</t>
        </is>
      </c>
      <c r="H534" t="inlineStr">
        <is>
          <t>Yes</t>
        </is>
      </c>
      <c r="I534" t="inlineStr">
        <is>
          <t>2021-02-01</t>
        </is>
      </c>
    </row>
    <row r="535">
      <c r="A535" t="n">
        <v/>
      </c>
      <c r="B535" t="n">
        <v>1017291</v>
      </c>
      <c r="C535" t="inlineStr">
        <is>
          <t>Project &amp; Delivery Management</t>
        </is>
      </c>
      <c r="D535" t="inlineStr">
        <is>
          <t>Primary</t>
        </is>
      </c>
      <c r="E535" t="inlineStr">
        <is>
          <t>Advanced</t>
        </is>
      </c>
      <c r="F535" t="n">
        <v>14.7</v>
      </c>
      <c r="G535" t="inlineStr">
        <is>
          <t>Functional</t>
        </is>
      </c>
      <c r="H535" t="inlineStr">
        <is>
          <t>Yes</t>
        </is>
      </c>
      <c r="I535" t="inlineStr">
        <is>
          <t>2015-07-01</t>
        </is>
      </c>
    </row>
    <row r="536">
      <c r="A536" t="n">
        <v/>
      </c>
      <c r="B536" t="n">
        <v>1017291</v>
      </c>
      <c r="C536" t="inlineStr">
        <is>
          <t>Agile / Scrum</t>
        </is>
      </c>
      <c r="D536" t="inlineStr">
        <is>
          <t>Secondary</t>
        </is>
      </c>
      <c r="E536" t="inlineStr">
        <is>
          <t>Advanced</t>
        </is>
      </c>
      <c r="F536" t="n">
        <v>8.800000000000001</v>
      </c>
      <c r="G536" t="inlineStr">
        <is>
          <t>Functional</t>
        </is>
      </c>
      <c r="H536" t="inlineStr">
        <is>
          <t>Yes</t>
        </is>
      </c>
      <c r="I536" t="inlineStr">
        <is>
          <t>2015-07-01</t>
        </is>
      </c>
    </row>
    <row r="537">
      <c r="A537" t="n">
        <v/>
      </c>
      <c r="B537" t="n">
        <v>1017291</v>
      </c>
      <c r="C537" t="inlineStr">
        <is>
          <t>Stakeholder Management</t>
        </is>
      </c>
      <c r="D537" t="inlineStr">
        <is>
          <t>Secondary</t>
        </is>
      </c>
      <c r="E537" t="inlineStr">
        <is>
          <t>Advanced</t>
        </is>
      </c>
      <c r="F537" t="n">
        <v>6.6</v>
      </c>
      <c r="G537" t="inlineStr">
        <is>
          <t>Functional</t>
        </is>
      </c>
      <c r="H537" t="inlineStr">
        <is>
          <t>Yes</t>
        </is>
      </c>
      <c r="I537" t="inlineStr">
        <is>
          <t>2015-07-01</t>
        </is>
      </c>
    </row>
    <row r="538">
      <c r="A538" t="n">
        <v/>
      </c>
      <c r="B538" t="n">
        <v>1017291</v>
      </c>
      <c r="C538" t="inlineStr">
        <is>
          <t>Resource Planning</t>
        </is>
      </c>
      <c r="D538" t="inlineStr">
        <is>
          <t>Secondary</t>
        </is>
      </c>
      <c r="E538" t="inlineStr">
        <is>
          <t>Intermediate</t>
        </is>
      </c>
      <c r="F538" t="n">
        <v>4.4</v>
      </c>
      <c r="G538" t="inlineStr">
        <is>
          <t>Functional</t>
        </is>
      </c>
      <c r="H538" t="inlineStr">
        <is>
          <t>Yes</t>
        </is>
      </c>
      <c r="I538" t="inlineStr">
        <is>
          <t>2015-07-01</t>
        </is>
      </c>
    </row>
    <row r="539">
      <c r="A539" t="n">
        <v/>
      </c>
      <c r="B539" t="n">
        <v>1023139</v>
      </c>
      <c r="C539" t="inlineStr">
        <is>
          <t>Cloud &amp; DevOps (AWS / K8s)</t>
        </is>
      </c>
      <c r="D539" t="inlineStr">
        <is>
          <t>Primary</t>
        </is>
      </c>
      <c r="E539" t="inlineStr">
        <is>
          <t>Advanced</t>
        </is>
      </c>
      <c r="F539" t="n">
        <v>8.6</v>
      </c>
      <c r="G539" t="inlineStr">
        <is>
          <t>Technical</t>
        </is>
      </c>
      <c r="H539" t="inlineStr">
        <is>
          <t>Yes</t>
        </is>
      </c>
      <c r="I539" t="inlineStr">
        <is>
          <t>2020-03-05</t>
        </is>
      </c>
    </row>
    <row r="540">
      <c r="A540" t="n">
        <v/>
      </c>
      <c r="B540" t="n">
        <v>1023139</v>
      </c>
      <c r="C540" t="inlineStr">
        <is>
          <t>Docker</t>
        </is>
      </c>
      <c r="D540" t="inlineStr">
        <is>
          <t>Secondary</t>
        </is>
      </c>
      <c r="E540" t="inlineStr">
        <is>
          <t>Advanced</t>
        </is>
      </c>
      <c r="F540" t="n">
        <v>5.2</v>
      </c>
      <c r="G540" t="inlineStr">
        <is>
          <t>Technical</t>
        </is>
      </c>
      <c r="H540" t="inlineStr">
        <is>
          <t>Yes</t>
        </is>
      </c>
      <c r="I540" t="inlineStr">
        <is>
          <t>2020-03-05</t>
        </is>
      </c>
    </row>
    <row r="541">
      <c r="A541" t="n">
        <v/>
      </c>
      <c r="B541" t="n">
        <v>1023139</v>
      </c>
      <c r="C541" t="inlineStr">
        <is>
          <t>Kubernetes</t>
        </is>
      </c>
      <c r="D541" t="inlineStr">
        <is>
          <t>Secondary</t>
        </is>
      </c>
      <c r="E541" t="inlineStr">
        <is>
          <t>Intermediate</t>
        </is>
      </c>
      <c r="F541" t="n">
        <v>3.9</v>
      </c>
      <c r="G541" t="inlineStr">
        <is>
          <t>Technical</t>
        </is>
      </c>
      <c r="H541" t="inlineStr">
        <is>
          <t>Yes</t>
        </is>
      </c>
      <c r="I541" t="inlineStr">
        <is>
          <t>2020-03-05</t>
        </is>
      </c>
    </row>
    <row r="542">
      <c r="A542" t="n">
        <v/>
      </c>
      <c r="B542" t="n">
        <v>1023139</v>
      </c>
      <c r="C542" t="inlineStr">
        <is>
          <t>Linux</t>
        </is>
      </c>
      <c r="D542" t="inlineStr">
        <is>
          <t>Secondary</t>
        </is>
      </c>
      <c r="E542" t="inlineStr">
        <is>
          <t>Intermediate</t>
        </is>
      </c>
      <c r="F542" t="n">
        <v>2.6</v>
      </c>
      <c r="G542" t="inlineStr">
        <is>
          <t>Technical</t>
        </is>
      </c>
      <c r="H542" t="inlineStr">
        <is>
          <t>Yes</t>
        </is>
      </c>
      <c r="I542" t="inlineStr">
        <is>
          <t>2020-03-05</t>
        </is>
      </c>
    </row>
    <row r="543">
      <c r="A543" t="n">
        <v/>
      </c>
      <c r="B543" t="n">
        <v>1027972</v>
      </c>
      <c r="C543" t="inlineStr">
        <is>
          <t>QA Automation / SDET</t>
        </is>
      </c>
      <c r="D543" t="inlineStr">
        <is>
          <t>Primary</t>
        </is>
      </c>
      <c r="E543" t="inlineStr">
        <is>
          <t>Advanced</t>
        </is>
      </c>
      <c r="F543" t="n">
        <v>8.800000000000001</v>
      </c>
      <c r="G543" t="inlineStr">
        <is>
          <t>Technical</t>
        </is>
      </c>
      <c r="H543" t="inlineStr">
        <is>
          <t>Yes</t>
        </is>
      </c>
      <c r="I543" t="inlineStr">
        <is>
          <t>2022-01-10</t>
        </is>
      </c>
    </row>
    <row r="544">
      <c r="A544" t="n">
        <v/>
      </c>
      <c r="B544" t="n">
        <v>1027972</v>
      </c>
      <c r="C544" t="inlineStr">
        <is>
          <t>Selenium</t>
        </is>
      </c>
      <c r="D544" t="inlineStr">
        <is>
          <t>Secondary</t>
        </is>
      </c>
      <c r="E544" t="inlineStr">
        <is>
          <t>Advanced</t>
        </is>
      </c>
      <c r="F544" t="n">
        <v>5.3</v>
      </c>
      <c r="G544" t="inlineStr">
        <is>
          <t>Technical</t>
        </is>
      </c>
      <c r="H544" t="inlineStr">
        <is>
          <t>Yes</t>
        </is>
      </c>
      <c r="I544" t="inlineStr">
        <is>
          <t>2022-01-10</t>
        </is>
      </c>
    </row>
    <row r="545">
      <c r="A545" t="n">
        <v/>
      </c>
      <c r="B545" t="n">
        <v>1027972</v>
      </c>
      <c r="C545" t="inlineStr">
        <is>
          <t>API Testing (Postman)</t>
        </is>
      </c>
      <c r="D545" t="inlineStr">
        <is>
          <t>Secondary</t>
        </is>
      </c>
      <c r="E545" t="inlineStr">
        <is>
          <t>Intermediate</t>
        </is>
      </c>
      <c r="F545" t="n">
        <v>4</v>
      </c>
      <c r="G545" t="inlineStr">
        <is>
          <t>Technical</t>
        </is>
      </c>
      <c r="H545" t="inlineStr">
        <is>
          <t>Yes</t>
        </is>
      </c>
      <c r="I545" t="inlineStr">
        <is>
          <t>2022-01-10</t>
        </is>
      </c>
    </row>
    <row r="546">
      <c r="A546" t="n">
        <v/>
      </c>
      <c r="B546" t="n">
        <v>1027972</v>
      </c>
      <c r="C546" t="inlineStr">
        <is>
          <t>TestNG</t>
        </is>
      </c>
      <c r="D546" t="inlineStr">
        <is>
          <t>Secondary</t>
        </is>
      </c>
      <c r="E546" t="inlineStr">
        <is>
          <t>Intermediate</t>
        </is>
      </c>
      <c r="F546" t="n">
        <v>2.6</v>
      </c>
      <c r="G546" t="inlineStr">
        <is>
          <t>Technical</t>
        </is>
      </c>
      <c r="H546" t="inlineStr">
        <is>
          <t>Yes</t>
        </is>
      </c>
      <c r="I546" t="inlineStr">
        <is>
          <t>2022-01-10</t>
        </is>
      </c>
    </row>
    <row r="547">
      <c r="A547" t="n">
        <v/>
      </c>
      <c r="B547" t="n">
        <v>1029363</v>
      </c>
      <c r="C547" t="inlineStr">
        <is>
          <t>Database &amp; SQL Architecture</t>
        </is>
      </c>
      <c r="D547" t="inlineStr">
        <is>
          <t>Primary</t>
        </is>
      </c>
      <c r="E547" t="inlineStr">
        <is>
          <t>Advanced</t>
        </is>
      </c>
      <c r="F547" t="n">
        <v>6.6</v>
      </c>
      <c r="G547" t="inlineStr">
        <is>
          <t>Technical</t>
        </is>
      </c>
      <c r="H547" t="inlineStr">
        <is>
          <t>Yes</t>
        </is>
      </c>
      <c r="I547" t="inlineStr">
        <is>
          <t>2022-06-23</t>
        </is>
      </c>
    </row>
    <row r="548">
      <c r="A548" t="n">
        <v/>
      </c>
      <c r="B548" t="n">
        <v>1029363</v>
      </c>
      <c r="C548" t="inlineStr">
        <is>
          <t>PostgreSQL</t>
        </is>
      </c>
      <c r="D548" t="inlineStr">
        <is>
          <t>Secondary</t>
        </is>
      </c>
      <c r="E548" t="inlineStr">
        <is>
          <t>Intermediate</t>
        </is>
      </c>
      <c r="F548" t="n">
        <v>4</v>
      </c>
      <c r="G548" t="inlineStr">
        <is>
          <t>Technical</t>
        </is>
      </c>
      <c r="H548" t="inlineStr">
        <is>
          <t>Yes</t>
        </is>
      </c>
      <c r="I548" t="inlineStr">
        <is>
          <t>2022-06-23</t>
        </is>
      </c>
    </row>
    <row r="549">
      <c r="A549" t="n">
        <v/>
      </c>
      <c r="B549" t="n">
        <v>1029363</v>
      </c>
      <c r="C549" t="inlineStr">
        <is>
          <t>Oracle</t>
        </is>
      </c>
      <c r="D549" t="inlineStr">
        <is>
          <t>Secondary</t>
        </is>
      </c>
      <c r="E549" t="inlineStr">
        <is>
          <t>Intermediate</t>
        </is>
      </c>
      <c r="F549" t="n">
        <v>3</v>
      </c>
      <c r="G549" t="inlineStr">
        <is>
          <t>Technical</t>
        </is>
      </c>
      <c r="H549" t="inlineStr">
        <is>
          <t>Yes</t>
        </is>
      </c>
      <c r="I549" t="inlineStr">
        <is>
          <t>2022-06-23</t>
        </is>
      </c>
    </row>
    <row r="550">
      <c r="A550" t="n">
        <v/>
      </c>
      <c r="B550" t="n">
        <v>1029363</v>
      </c>
      <c r="C550" t="inlineStr">
        <is>
          <t>Performance Tuning</t>
        </is>
      </c>
      <c r="D550" t="inlineStr">
        <is>
          <t>Secondary</t>
        </is>
      </c>
      <c r="E550" t="inlineStr">
        <is>
          <t>Intermediate</t>
        </is>
      </c>
      <c r="F550" t="n">
        <v>2</v>
      </c>
      <c r="G550" t="inlineStr">
        <is>
          <t>Technical</t>
        </is>
      </c>
      <c r="H550" t="inlineStr">
        <is>
          <t>Yes</t>
        </is>
      </c>
      <c r="I550" t="inlineStr">
        <is>
          <t>2022-06-23</t>
        </is>
      </c>
    </row>
    <row r="551">
      <c r="A551" t="n">
        <v/>
      </c>
      <c r="B551" t="n">
        <v>1027065</v>
      </c>
      <c r="C551" t="inlineStr">
        <is>
          <t>Python / Data Engineering</t>
        </is>
      </c>
      <c r="D551" t="inlineStr">
        <is>
          <t>Primary</t>
        </is>
      </c>
      <c r="E551" t="inlineStr">
        <is>
          <t>Advanced</t>
        </is>
      </c>
      <c r="F551" t="n">
        <v>7.1</v>
      </c>
      <c r="G551" t="inlineStr">
        <is>
          <t>Technical</t>
        </is>
      </c>
      <c r="H551" t="inlineStr">
        <is>
          <t>Yes</t>
        </is>
      </c>
      <c r="I551" t="inlineStr">
        <is>
          <t>2021-11-05</t>
        </is>
      </c>
    </row>
    <row r="552">
      <c r="A552" t="n">
        <v/>
      </c>
      <c r="B552" t="n">
        <v>1027065</v>
      </c>
      <c r="C552" t="inlineStr">
        <is>
          <t>SQL</t>
        </is>
      </c>
      <c r="D552" t="inlineStr">
        <is>
          <t>Secondary</t>
        </is>
      </c>
      <c r="E552" t="inlineStr">
        <is>
          <t>Intermediate</t>
        </is>
      </c>
      <c r="F552" t="n">
        <v>4.3</v>
      </c>
      <c r="G552" t="inlineStr">
        <is>
          <t>Technical</t>
        </is>
      </c>
      <c r="H552" t="inlineStr">
        <is>
          <t>Yes</t>
        </is>
      </c>
      <c r="I552" t="inlineStr">
        <is>
          <t>2021-11-05</t>
        </is>
      </c>
    </row>
    <row r="553">
      <c r="A553" t="n">
        <v/>
      </c>
      <c r="B553" t="n">
        <v>1027065</v>
      </c>
      <c r="C553" t="inlineStr">
        <is>
          <t>Docker</t>
        </is>
      </c>
      <c r="D553" t="inlineStr">
        <is>
          <t>Secondary</t>
        </is>
      </c>
      <c r="E553" t="inlineStr">
        <is>
          <t>Intermediate</t>
        </is>
      </c>
      <c r="F553" t="n">
        <v>3.2</v>
      </c>
      <c r="G553" t="inlineStr">
        <is>
          <t>Technical</t>
        </is>
      </c>
      <c r="H553" t="inlineStr">
        <is>
          <t>Yes</t>
        </is>
      </c>
      <c r="I553" t="inlineStr">
        <is>
          <t>2021-11-05</t>
        </is>
      </c>
    </row>
    <row r="554">
      <c r="A554" t="n">
        <v/>
      </c>
      <c r="B554" t="n">
        <v>1027065</v>
      </c>
      <c r="C554" t="inlineStr">
        <is>
          <t>Pandas</t>
        </is>
      </c>
      <c r="D554" t="inlineStr">
        <is>
          <t>Secondary</t>
        </is>
      </c>
      <c r="E554" t="inlineStr">
        <is>
          <t>Intermediate</t>
        </is>
      </c>
      <c r="F554" t="n">
        <v>2.1</v>
      </c>
      <c r="G554" t="inlineStr">
        <is>
          <t>Technical</t>
        </is>
      </c>
      <c r="H554" t="inlineStr">
        <is>
          <t>Yes</t>
        </is>
      </c>
      <c r="I554" t="inlineStr">
        <is>
          <t>2021-11-05</t>
        </is>
      </c>
    </row>
    <row r="555">
      <c r="A555" t="n">
        <v/>
      </c>
      <c r="B555" t="n">
        <v>1033922</v>
      </c>
      <c r="C555" t="inlineStr">
        <is>
          <t>IT Application &amp; Operations Support</t>
        </is>
      </c>
      <c r="D555" t="inlineStr">
        <is>
          <t>Primary</t>
        </is>
      </c>
      <c r="E555" t="inlineStr">
        <is>
          <t>Advanced</t>
        </is>
      </c>
      <c r="F555" t="n">
        <v>5.3</v>
      </c>
      <c r="G555" t="inlineStr">
        <is>
          <t>Functional</t>
        </is>
      </c>
      <c r="H555" t="inlineStr">
        <is>
          <t>Yes</t>
        </is>
      </c>
      <c r="I555" t="inlineStr">
        <is>
          <t>2023-11-17</t>
        </is>
      </c>
    </row>
    <row r="556">
      <c r="A556" t="n">
        <v/>
      </c>
      <c r="B556" t="n">
        <v>1033922</v>
      </c>
      <c r="C556" t="inlineStr">
        <is>
          <t>Incident Management</t>
        </is>
      </c>
      <c r="D556" t="inlineStr">
        <is>
          <t>Secondary</t>
        </is>
      </c>
      <c r="E556" t="inlineStr">
        <is>
          <t>Intermediate</t>
        </is>
      </c>
      <c r="F556" t="n">
        <v>3.2</v>
      </c>
      <c r="G556" t="inlineStr">
        <is>
          <t>Functional</t>
        </is>
      </c>
      <c r="H556" t="inlineStr">
        <is>
          <t>Yes</t>
        </is>
      </c>
      <c r="I556" t="inlineStr">
        <is>
          <t>2023-11-17</t>
        </is>
      </c>
    </row>
    <row r="557">
      <c r="A557" t="n">
        <v/>
      </c>
      <c r="B557" t="n">
        <v>1033922</v>
      </c>
      <c r="C557" t="inlineStr">
        <is>
          <t>Production Support</t>
        </is>
      </c>
      <c r="D557" t="inlineStr">
        <is>
          <t>Secondary</t>
        </is>
      </c>
      <c r="E557" t="inlineStr">
        <is>
          <t>Intermediate</t>
        </is>
      </c>
      <c r="F557" t="n">
        <v>2.4</v>
      </c>
      <c r="G557" t="inlineStr">
        <is>
          <t>Functional</t>
        </is>
      </c>
      <c r="H557" t="inlineStr">
        <is>
          <t>Yes</t>
        </is>
      </c>
      <c r="I557" t="inlineStr">
        <is>
          <t>2023-11-17</t>
        </is>
      </c>
    </row>
    <row r="558">
      <c r="A558" t="n">
        <v/>
      </c>
      <c r="B558" t="n">
        <v>1033922</v>
      </c>
      <c r="C558" t="inlineStr">
        <is>
          <t>SQL</t>
        </is>
      </c>
      <c r="D558" t="inlineStr">
        <is>
          <t>Secondary</t>
        </is>
      </c>
      <c r="E558" t="inlineStr">
        <is>
          <t>Intermediate</t>
        </is>
      </c>
      <c r="F558" t="n">
        <v>1.6</v>
      </c>
      <c r="G558" t="inlineStr">
        <is>
          <t>Functional</t>
        </is>
      </c>
      <c r="H558" t="inlineStr">
        <is>
          <t>Yes</t>
        </is>
      </c>
      <c r="I558" t="inlineStr">
        <is>
          <t>2023-11-17</t>
        </is>
      </c>
    </row>
    <row r="559">
      <c r="A559" t="n">
        <v/>
      </c>
      <c r="B559" t="n">
        <v>1023417</v>
      </c>
      <c r="C559" t="inlineStr">
        <is>
          <t>Fullstack Web (React / Node)</t>
        </is>
      </c>
      <c r="D559" t="inlineStr">
        <is>
          <t>Primary</t>
        </is>
      </c>
      <c r="E559" t="inlineStr">
        <is>
          <t>Advanced</t>
        </is>
      </c>
      <c r="F559" t="n">
        <v>6.5</v>
      </c>
      <c r="G559" t="inlineStr">
        <is>
          <t>Technical</t>
        </is>
      </c>
      <c r="H559" t="inlineStr">
        <is>
          <t>Yes</t>
        </is>
      </c>
      <c r="I559" t="inlineStr">
        <is>
          <t>2020-07-02</t>
        </is>
      </c>
    </row>
    <row r="560">
      <c r="A560" t="n">
        <v/>
      </c>
      <c r="B560" t="n">
        <v>1023417</v>
      </c>
      <c r="C560" t="inlineStr">
        <is>
          <t>JavaScript</t>
        </is>
      </c>
      <c r="D560" t="inlineStr">
        <is>
          <t>Secondary</t>
        </is>
      </c>
      <c r="E560" t="inlineStr">
        <is>
          <t>Intermediate</t>
        </is>
      </c>
      <c r="F560" t="n">
        <v>3.9</v>
      </c>
      <c r="G560" t="inlineStr">
        <is>
          <t>Technical</t>
        </is>
      </c>
      <c r="H560" t="inlineStr">
        <is>
          <t>Yes</t>
        </is>
      </c>
      <c r="I560" t="inlineStr">
        <is>
          <t>2020-07-02</t>
        </is>
      </c>
    </row>
    <row r="561">
      <c r="A561" t="n">
        <v/>
      </c>
      <c r="B561" t="n">
        <v>1023417</v>
      </c>
      <c r="C561" t="inlineStr">
        <is>
          <t>TypeScript</t>
        </is>
      </c>
      <c r="D561" t="inlineStr">
        <is>
          <t>Secondary</t>
        </is>
      </c>
      <c r="E561" t="inlineStr">
        <is>
          <t>Intermediate</t>
        </is>
      </c>
      <c r="F561" t="n">
        <v>2.9</v>
      </c>
      <c r="G561" t="inlineStr">
        <is>
          <t>Technical</t>
        </is>
      </c>
      <c r="H561" t="inlineStr">
        <is>
          <t>Yes</t>
        </is>
      </c>
      <c r="I561" t="inlineStr">
        <is>
          <t>2020-07-02</t>
        </is>
      </c>
    </row>
    <row r="562">
      <c r="A562" t="n">
        <v/>
      </c>
      <c r="B562" t="n">
        <v>1023417</v>
      </c>
      <c r="C562" t="inlineStr">
        <is>
          <t>CSS/HTML</t>
        </is>
      </c>
      <c r="D562" t="inlineStr">
        <is>
          <t>Secondary</t>
        </is>
      </c>
      <c r="E562" t="inlineStr">
        <is>
          <t>Intermediate</t>
        </is>
      </c>
      <c r="F562" t="n">
        <v>1.9</v>
      </c>
      <c r="G562" t="inlineStr">
        <is>
          <t>Technical</t>
        </is>
      </c>
      <c r="H562" t="inlineStr">
        <is>
          <t>Yes</t>
        </is>
      </c>
      <c r="I562" t="inlineStr">
        <is>
          <t>2020-07-02</t>
        </is>
      </c>
    </row>
    <row r="563">
      <c r="A563" t="n">
        <v/>
      </c>
      <c r="B563" t="n">
        <v>1027017</v>
      </c>
      <c r="C563" t="inlineStr">
        <is>
          <t>Fullstack Web (React / Node)</t>
        </is>
      </c>
      <c r="D563" t="inlineStr">
        <is>
          <t>Primary</t>
        </is>
      </c>
      <c r="E563" t="inlineStr">
        <is>
          <t>Advanced</t>
        </is>
      </c>
      <c r="F563" t="n">
        <v>7.2</v>
      </c>
      <c r="G563" t="inlineStr">
        <is>
          <t>Technical</t>
        </is>
      </c>
      <c r="H563" t="inlineStr">
        <is>
          <t>Yes</t>
        </is>
      </c>
      <c r="I563" t="inlineStr">
        <is>
          <t>2021-10-29</t>
        </is>
      </c>
    </row>
    <row r="564">
      <c r="A564" t="n">
        <v/>
      </c>
      <c r="B564" t="n">
        <v>1027017</v>
      </c>
      <c r="C564" t="inlineStr">
        <is>
          <t>JavaScript</t>
        </is>
      </c>
      <c r="D564" t="inlineStr">
        <is>
          <t>Secondary</t>
        </is>
      </c>
      <c r="E564" t="inlineStr">
        <is>
          <t>Intermediate</t>
        </is>
      </c>
      <c r="F564" t="n">
        <v>4.3</v>
      </c>
      <c r="G564" t="inlineStr">
        <is>
          <t>Technical</t>
        </is>
      </c>
      <c r="H564" t="inlineStr">
        <is>
          <t>Yes</t>
        </is>
      </c>
      <c r="I564" t="inlineStr">
        <is>
          <t>2021-10-29</t>
        </is>
      </c>
    </row>
    <row r="565">
      <c r="A565" t="n">
        <v/>
      </c>
      <c r="B565" t="n">
        <v>1027017</v>
      </c>
      <c r="C565" t="inlineStr">
        <is>
          <t>TypeScript</t>
        </is>
      </c>
      <c r="D565" t="inlineStr">
        <is>
          <t>Secondary</t>
        </is>
      </c>
      <c r="E565" t="inlineStr">
        <is>
          <t>Intermediate</t>
        </is>
      </c>
      <c r="F565" t="n">
        <v>3.2</v>
      </c>
      <c r="G565" t="inlineStr">
        <is>
          <t>Technical</t>
        </is>
      </c>
      <c r="H565" t="inlineStr">
        <is>
          <t>Yes</t>
        </is>
      </c>
      <c r="I565" t="inlineStr">
        <is>
          <t>2021-10-29</t>
        </is>
      </c>
    </row>
    <row r="566">
      <c r="A566" t="n">
        <v/>
      </c>
      <c r="B566" t="n">
        <v>1027017</v>
      </c>
      <c r="C566" t="inlineStr">
        <is>
          <t>CSS/HTML</t>
        </is>
      </c>
      <c r="D566" t="inlineStr">
        <is>
          <t>Secondary</t>
        </is>
      </c>
      <c r="E566" t="inlineStr">
        <is>
          <t>Intermediate</t>
        </is>
      </c>
      <c r="F566" t="n">
        <v>2.2</v>
      </c>
      <c r="G566" t="inlineStr">
        <is>
          <t>Technical</t>
        </is>
      </c>
      <c r="H566" t="inlineStr">
        <is>
          <t>Yes</t>
        </is>
      </c>
      <c r="I566" t="inlineStr">
        <is>
          <t>2021-10-29</t>
        </is>
      </c>
    </row>
    <row r="567">
      <c r="A567" t="n">
        <v/>
      </c>
      <c r="B567" t="n">
        <v>1020308</v>
      </c>
      <c r="C567" t="inlineStr">
        <is>
          <t>Project &amp; Delivery Management</t>
        </is>
      </c>
      <c r="D567" t="inlineStr">
        <is>
          <t>Primary</t>
        </is>
      </c>
      <c r="E567" t="inlineStr">
        <is>
          <t>Advanced</t>
        </is>
      </c>
      <c r="F567" t="n">
        <v>12.2</v>
      </c>
      <c r="G567" t="inlineStr">
        <is>
          <t>Functional</t>
        </is>
      </c>
      <c r="H567" t="inlineStr">
        <is>
          <t>Yes</t>
        </is>
      </c>
      <c r="I567" t="inlineStr">
        <is>
          <t>2018-03-12</t>
        </is>
      </c>
    </row>
    <row r="568">
      <c r="A568" t="n">
        <v/>
      </c>
      <c r="B568" t="n">
        <v>1020308</v>
      </c>
      <c r="C568" t="inlineStr">
        <is>
          <t>Agile / Scrum</t>
        </is>
      </c>
      <c r="D568" t="inlineStr">
        <is>
          <t>Secondary</t>
        </is>
      </c>
      <c r="E568" t="inlineStr">
        <is>
          <t>Advanced</t>
        </is>
      </c>
      <c r="F568" t="n">
        <v>7.3</v>
      </c>
      <c r="G568" t="inlineStr">
        <is>
          <t>Functional</t>
        </is>
      </c>
      <c r="H568" t="inlineStr">
        <is>
          <t>Yes</t>
        </is>
      </c>
      <c r="I568" t="inlineStr">
        <is>
          <t>2018-03-12</t>
        </is>
      </c>
    </row>
    <row r="569">
      <c r="A569" t="n">
        <v/>
      </c>
      <c r="B569" t="n">
        <v>1020308</v>
      </c>
      <c r="C569" t="inlineStr">
        <is>
          <t>Stakeholder Management</t>
        </is>
      </c>
      <c r="D569" t="inlineStr">
        <is>
          <t>Secondary</t>
        </is>
      </c>
      <c r="E569" t="inlineStr">
        <is>
          <t>Advanced</t>
        </is>
      </c>
      <c r="F569" t="n">
        <v>5.5</v>
      </c>
      <c r="G569" t="inlineStr">
        <is>
          <t>Functional</t>
        </is>
      </c>
      <c r="H569" t="inlineStr">
        <is>
          <t>Yes</t>
        </is>
      </c>
      <c r="I569" t="inlineStr">
        <is>
          <t>2018-03-12</t>
        </is>
      </c>
    </row>
    <row r="570">
      <c r="A570" t="n">
        <v/>
      </c>
      <c r="B570" t="n">
        <v>1020308</v>
      </c>
      <c r="C570" t="inlineStr">
        <is>
          <t>Resource Planning</t>
        </is>
      </c>
      <c r="D570" t="inlineStr">
        <is>
          <t>Secondary</t>
        </is>
      </c>
      <c r="E570" t="inlineStr">
        <is>
          <t>Intermediate</t>
        </is>
      </c>
      <c r="F570" t="n">
        <v>3.7</v>
      </c>
      <c r="G570" t="inlineStr">
        <is>
          <t>Functional</t>
        </is>
      </c>
      <c r="H570" t="inlineStr">
        <is>
          <t>Yes</t>
        </is>
      </c>
      <c r="I570" t="inlineStr">
        <is>
          <t>2018-03-12</t>
        </is>
      </c>
    </row>
    <row r="571">
      <c r="A571" t="n">
        <v/>
      </c>
      <c r="B571" t="n">
        <v>1026567</v>
      </c>
      <c r="C571" t="inlineStr">
        <is>
          <t>QA Automation / SDET</t>
        </is>
      </c>
      <c r="D571" t="inlineStr">
        <is>
          <t>Primary</t>
        </is>
      </c>
      <c r="E571" t="inlineStr">
        <is>
          <t>Advanced</t>
        </is>
      </c>
      <c r="F571" t="n">
        <v>5.4</v>
      </c>
      <c r="G571" t="inlineStr">
        <is>
          <t>Technical</t>
        </is>
      </c>
      <c r="H571" t="inlineStr">
        <is>
          <t>Yes</t>
        </is>
      </c>
      <c r="I571" t="inlineStr">
        <is>
          <t>2021-09-27</t>
        </is>
      </c>
    </row>
    <row r="572">
      <c r="A572" t="n">
        <v/>
      </c>
      <c r="B572" t="n">
        <v>1026567</v>
      </c>
      <c r="C572" t="inlineStr">
        <is>
          <t>Selenium</t>
        </is>
      </c>
      <c r="D572" t="inlineStr">
        <is>
          <t>Secondary</t>
        </is>
      </c>
      <c r="E572" t="inlineStr">
        <is>
          <t>Intermediate</t>
        </is>
      </c>
      <c r="F572" t="n">
        <v>3.2</v>
      </c>
      <c r="G572" t="inlineStr">
        <is>
          <t>Technical</t>
        </is>
      </c>
      <c r="H572" t="inlineStr">
        <is>
          <t>Yes</t>
        </is>
      </c>
      <c r="I572" t="inlineStr">
        <is>
          <t>2021-09-27</t>
        </is>
      </c>
    </row>
    <row r="573">
      <c r="A573" t="n">
        <v/>
      </c>
      <c r="B573" t="n">
        <v>1026567</v>
      </c>
      <c r="C573" t="inlineStr">
        <is>
          <t>API Testing (Postman)</t>
        </is>
      </c>
      <c r="D573" t="inlineStr">
        <is>
          <t>Secondary</t>
        </is>
      </c>
      <c r="E573" t="inlineStr">
        <is>
          <t>Intermediate</t>
        </is>
      </c>
      <c r="F573" t="n">
        <v>2.4</v>
      </c>
      <c r="G573" t="inlineStr">
        <is>
          <t>Technical</t>
        </is>
      </c>
      <c r="H573" t="inlineStr">
        <is>
          <t>Yes</t>
        </is>
      </c>
      <c r="I573" t="inlineStr">
        <is>
          <t>2021-09-27</t>
        </is>
      </c>
    </row>
    <row r="574">
      <c r="A574" t="n">
        <v/>
      </c>
      <c r="B574" t="n">
        <v>1026567</v>
      </c>
      <c r="C574" t="inlineStr">
        <is>
          <t>TestNG</t>
        </is>
      </c>
      <c r="D574" t="inlineStr">
        <is>
          <t>Secondary</t>
        </is>
      </c>
      <c r="E574" t="inlineStr">
        <is>
          <t>Intermediate</t>
        </is>
      </c>
      <c r="F574" t="n">
        <v>1.6</v>
      </c>
      <c r="G574" t="inlineStr">
        <is>
          <t>Technical</t>
        </is>
      </c>
      <c r="H574" t="inlineStr">
        <is>
          <t>Yes</t>
        </is>
      </c>
      <c r="I574" t="inlineStr">
        <is>
          <t>2021-09-27</t>
        </is>
      </c>
    </row>
    <row r="575">
      <c r="A575" t="n">
        <v/>
      </c>
      <c r="B575" t="n">
        <v>1030686</v>
      </c>
      <c r="C575" t="inlineStr">
        <is>
          <t>Java / Spring Boot</t>
        </is>
      </c>
      <c r="D575" t="inlineStr">
        <is>
          <t>Primary</t>
        </is>
      </c>
      <c r="E575" t="inlineStr">
        <is>
          <t>Advanced</t>
        </is>
      </c>
      <c r="F575" t="n">
        <v>4.5</v>
      </c>
      <c r="G575" t="inlineStr">
        <is>
          <t>Technical</t>
        </is>
      </c>
      <c r="H575" t="inlineStr">
        <is>
          <t>Yes</t>
        </is>
      </c>
      <c r="I575" t="inlineStr">
        <is>
          <t>2022-10-19</t>
        </is>
      </c>
      <c r="J575" t="inlineStr">
        <is>
          <t>ARS</t>
        </is>
      </c>
    </row>
    <row r="576">
      <c r="A576" t="n">
        <v/>
      </c>
      <c r="B576" t="n">
        <v>1030686</v>
      </c>
      <c r="C576" t="inlineStr">
        <is>
          <t>SQL</t>
        </is>
      </c>
      <c r="D576" t="inlineStr">
        <is>
          <t>Secondary</t>
        </is>
      </c>
      <c r="E576" t="inlineStr">
        <is>
          <t>Intermediate</t>
        </is>
      </c>
      <c r="F576" t="n">
        <v>2.7</v>
      </c>
      <c r="G576" t="inlineStr">
        <is>
          <t>Technical</t>
        </is>
      </c>
      <c r="H576" t="inlineStr">
        <is>
          <t>Yes</t>
        </is>
      </c>
      <c r="I576" t="inlineStr">
        <is>
          <t>2022-10-19</t>
        </is>
      </c>
      <c r="J576" t="inlineStr">
        <is>
          <t>ARS</t>
        </is>
      </c>
    </row>
    <row r="577">
      <c r="A577" t="n">
        <v/>
      </c>
      <c r="B577" t="n">
        <v>1030686</v>
      </c>
      <c r="C577" t="inlineStr">
        <is>
          <t>Docker</t>
        </is>
      </c>
      <c r="D577" t="inlineStr">
        <is>
          <t>Secondary</t>
        </is>
      </c>
      <c r="E577" t="inlineStr">
        <is>
          <t>Intermediate</t>
        </is>
      </c>
      <c r="F577" t="n">
        <v>2</v>
      </c>
      <c r="G577" t="inlineStr">
        <is>
          <t>Technical</t>
        </is>
      </c>
      <c r="H577" t="inlineStr">
        <is>
          <t>Yes</t>
        </is>
      </c>
      <c r="I577" t="inlineStr">
        <is>
          <t>2022-10-19</t>
        </is>
      </c>
      <c r="J577" t="inlineStr">
        <is>
          <t>ARS</t>
        </is>
      </c>
    </row>
    <row r="578">
      <c r="A578" t="n">
        <v/>
      </c>
      <c r="B578" t="n">
        <v>1030686</v>
      </c>
      <c r="C578" t="inlineStr">
        <is>
          <t>Git</t>
        </is>
      </c>
      <c r="D578" t="inlineStr">
        <is>
          <t>Secondary</t>
        </is>
      </c>
      <c r="E578" t="inlineStr">
        <is>
          <t>Beginner</t>
        </is>
      </c>
      <c r="F578" t="n">
        <v>1.3</v>
      </c>
      <c r="G578" t="inlineStr">
        <is>
          <t>Technical</t>
        </is>
      </c>
      <c r="H578" t="inlineStr">
        <is>
          <t>Yes</t>
        </is>
      </c>
      <c r="I578" t="inlineStr">
        <is>
          <t>2022-10-19</t>
        </is>
      </c>
      <c r="J578" t="inlineStr">
        <is>
          <t>ARS</t>
        </is>
      </c>
    </row>
    <row r="579">
      <c r="A579" t="n">
        <v/>
      </c>
      <c r="B579" t="n">
        <v>1032730</v>
      </c>
      <c r="C579" t="inlineStr">
        <is>
          <t>Operations &amp; IT Support</t>
        </is>
      </c>
      <c r="D579" t="inlineStr">
        <is>
          <t>Primary</t>
        </is>
      </c>
      <c r="E579" t="inlineStr">
        <is>
          <t>Advanced</t>
        </is>
      </c>
      <c r="F579" t="n">
        <v>4</v>
      </c>
      <c r="G579" t="inlineStr">
        <is>
          <t>Functional</t>
        </is>
      </c>
      <c r="H579" t="inlineStr">
        <is>
          <t>Yes</t>
        </is>
      </c>
      <c r="I579" t="inlineStr">
        <is>
          <t>2023-05-11</t>
        </is>
      </c>
    </row>
    <row r="580">
      <c r="A580" t="n">
        <v/>
      </c>
      <c r="B580" t="n">
        <v>1032730</v>
      </c>
      <c r="C580" t="inlineStr">
        <is>
          <t>IT Service Management</t>
        </is>
      </c>
      <c r="D580" t="inlineStr">
        <is>
          <t>Secondary</t>
        </is>
      </c>
      <c r="E580" t="inlineStr">
        <is>
          <t>Intermediate</t>
        </is>
      </c>
      <c r="F580" t="n">
        <v>2.4</v>
      </c>
      <c r="G580" t="inlineStr">
        <is>
          <t>Functional</t>
        </is>
      </c>
      <c r="H580" t="inlineStr">
        <is>
          <t>Yes</t>
        </is>
      </c>
      <c r="I580" t="inlineStr">
        <is>
          <t>2023-05-11</t>
        </is>
      </c>
    </row>
    <row r="581">
      <c r="A581" t="n">
        <v/>
      </c>
      <c r="B581" t="n">
        <v>1032730</v>
      </c>
      <c r="C581" t="inlineStr">
        <is>
          <t>Reporting</t>
        </is>
      </c>
      <c r="D581" t="inlineStr">
        <is>
          <t>Secondary</t>
        </is>
      </c>
      <c r="E581" t="inlineStr">
        <is>
          <t>Intermediate</t>
        </is>
      </c>
      <c r="F581" t="n">
        <v>1.8</v>
      </c>
      <c r="G581" t="inlineStr">
        <is>
          <t>Functional</t>
        </is>
      </c>
      <c r="H581" t="inlineStr">
        <is>
          <t>Yes</t>
        </is>
      </c>
      <c r="I581" t="inlineStr">
        <is>
          <t>2023-05-11</t>
        </is>
      </c>
    </row>
    <row r="582">
      <c r="A582" t="n">
        <v/>
      </c>
      <c r="B582" t="n">
        <v>1032730</v>
      </c>
      <c r="C582" t="inlineStr">
        <is>
          <t>Excel</t>
        </is>
      </c>
      <c r="D582" t="inlineStr">
        <is>
          <t>Secondary</t>
        </is>
      </c>
      <c r="E582" t="inlineStr">
        <is>
          <t>Beginner</t>
        </is>
      </c>
      <c r="F582" t="n">
        <v>1.2</v>
      </c>
      <c r="G582" t="inlineStr">
        <is>
          <t>Functional</t>
        </is>
      </c>
      <c r="H582" t="inlineStr">
        <is>
          <t>Yes</t>
        </is>
      </c>
      <c r="I582" t="inlineStr">
        <is>
          <t>2023-05-11</t>
        </is>
      </c>
    </row>
    <row r="583">
      <c r="A583" t="n">
        <v/>
      </c>
      <c r="B583" t="n">
        <v>1021537</v>
      </c>
      <c r="C583" t="inlineStr">
        <is>
          <t>Cloud &amp; DevOps (AWS / K8s)</t>
        </is>
      </c>
      <c r="D583" t="inlineStr">
        <is>
          <t>Primary</t>
        </is>
      </c>
      <c r="E583" t="inlineStr">
        <is>
          <t>Advanced</t>
        </is>
      </c>
      <c r="F583" t="n">
        <v>9.6</v>
      </c>
      <c r="G583" t="inlineStr">
        <is>
          <t>Technical</t>
        </is>
      </c>
      <c r="H583" t="inlineStr">
        <is>
          <t>Yes</t>
        </is>
      </c>
      <c r="I583" t="inlineStr">
        <is>
          <t>2019-02-11</t>
        </is>
      </c>
    </row>
    <row r="584">
      <c r="A584" t="n">
        <v/>
      </c>
      <c r="B584" t="n">
        <v>1021537</v>
      </c>
      <c r="C584" t="inlineStr">
        <is>
          <t>Linux</t>
        </is>
      </c>
      <c r="D584" t="inlineStr">
        <is>
          <t>Secondary</t>
        </is>
      </c>
      <c r="E584" t="inlineStr">
        <is>
          <t>Advanced</t>
        </is>
      </c>
      <c r="F584" t="n">
        <v>5.8</v>
      </c>
      <c r="G584" t="inlineStr">
        <is>
          <t>Technical</t>
        </is>
      </c>
      <c r="H584" t="inlineStr">
        <is>
          <t>Yes</t>
        </is>
      </c>
      <c r="I584" t="inlineStr">
        <is>
          <t>2019-02-11</t>
        </is>
      </c>
    </row>
    <row r="585">
      <c r="A585" t="n">
        <v/>
      </c>
      <c r="B585" t="n">
        <v>1021537</v>
      </c>
      <c r="C585" t="inlineStr">
        <is>
          <t>Docker</t>
        </is>
      </c>
      <c r="D585" t="inlineStr">
        <is>
          <t>Secondary</t>
        </is>
      </c>
      <c r="E585" t="inlineStr">
        <is>
          <t>Intermediate</t>
        </is>
      </c>
      <c r="F585" t="n">
        <v>4.3</v>
      </c>
      <c r="G585" t="inlineStr">
        <is>
          <t>Technical</t>
        </is>
      </c>
      <c r="H585" t="inlineStr">
        <is>
          <t>Yes</t>
        </is>
      </c>
      <c r="I585" t="inlineStr">
        <is>
          <t>2019-02-11</t>
        </is>
      </c>
    </row>
    <row r="586">
      <c r="A586" t="n">
        <v/>
      </c>
      <c r="B586" t="n">
        <v>1021537</v>
      </c>
      <c r="C586" t="inlineStr">
        <is>
          <t>Kubernetes</t>
        </is>
      </c>
      <c r="D586" t="inlineStr">
        <is>
          <t>Secondary</t>
        </is>
      </c>
      <c r="E586" t="inlineStr">
        <is>
          <t>Intermediate</t>
        </is>
      </c>
      <c r="F586" t="n">
        <v>2.9</v>
      </c>
      <c r="G586" t="inlineStr">
        <is>
          <t>Technical</t>
        </is>
      </c>
      <c r="H586" t="inlineStr">
        <is>
          <t>Yes</t>
        </is>
      </c>
      <c r="I586" t="inlineStr">
        <is>
          <t>2019-02-11</t>
        </is>
      </c>
    </row>
    <row r="587">
      <c r="A587" t="n">
        <v/>
      </c>
      <c r="B587" t="n">
        <v>1031050</v>
      </c>
      <c r="C587" t="inlineStr">
        <is>
          <t>Java / Spring Boot</t>
        </is>
      </c>
      <c r="D587" t="inlineStr">
        <is>
          <t>Primary</t>
        </is>
      </c>
      <c r="E587" t="inlineStr">
        <is>
          <t>Intermediate</t>
        </is>
      </c>
      <c r="F587" t="n">
        <v>1.7</v>
      </c>
      <c r="G587" t="inlineStr">
        <is>
          <t>Technical</t>
        </is>
      </c>
      <c r="H587" t="inlineStr">
        <is>
          <t>Yes</t>
        </is>
      </c>
      <c r="I587" t="inlineStr">
        <is>
          <t>2022-11-24</t>
        </is>
      </c>
      <c r="J587" t="inlineStr">
        <is>
          <t>Member</t>
        </is>
      </c>
    </row>
    <row r="588">
      <c r="A588" t="n">
        <v/>
      </c>
      <c r="B588" t="n">
        <v>1031050</v>
      </c>
      <c r="C588" t="inlineStr">
        <is>
          <t>SQL</t>
        </is>
      </c>
      <c r="D588" t="inlineStr">
        <is>
          <t>Secondary</t>
        </is>
      </c>
      <c r="E588" t="inlineStr">
        <is>
          <t>Beginner</t>
        </is>
      </c>
      <c r="F588" t="n">
        <v>1</v>
      </c>
      <c r="G588" t="inlineStr">
        <is>
          <t>Technical</t>
        </is>
      </c>
      <c r="H588" t="inlineStr">
        <is>
          <t>Yes</t>
        </is>
      </c>
      <c r="I588" t="inlineStr">
        <is>
          <t>2022-11-24</t>
        </is>
      </c>
      <c r="J588" t="inlineStr">
        <is>
          <t>Member</t>
        </is>
      </c>
    </row>
    <row r="589">
      <c r="A589" t="n">
        <v/>
      </c>
      <c r="B589" t="n">
        <v>1031050</v>
      </c>
      <c r="C589" t="inlineStr">
        <is>
          <t>Docker</t>
        </is>
      </c>
      <c r="D589" t="inlineStr">
        <is>
          <t>Secondary</t>
        </is>
      </c>
      <c r="E589" t="inlineStr">
        <is>
          <t>Beginner</t>
        </is>
      </c>
      <c r="F589" t="n">
        <v>0.8</v>
      </c>
      <c r="G589" t="inlineStr">
        <is>
          <t>Technical</t>
        </is>
      </c>
      <c r="H589" t="inlineStr">
        <is>
          <t>Yes</t>
        </is>
      </c>
      <c r="I589" t="inlineStr">
        <is>
          <t>2022-11-24</t>
        </is>
      </c>
      <c r="J589" t="inlineStr">
        <is>
          <t>Member</t>
        </is>
      </c>
    </row>
    <row r="590">
      <c r="A590" t="n">
        <v/>
      </c>
      <c r="B590" t="n">
        <v>1028789</v>
      </c>
      <c r="C590" t="inlineStr">
        <is>
          <t>Cloud &amp; DevOps (AWS / K8s)</t>
        </is>
      </c>
      <c r="D590" t="inlineStr">
        <is>
          <t>Primary</t>
        </is>
      </c>
      <c r="E590" t="inlineStr">
        <is>
          <t>Advanced</t>
        </is>
      </c>
      <c r="F590" t="n">
        <v>6.8</v>
      </c>
      <c r="G590" t="inlineStr">
        <is>
          <t>Technical</t>
        </is>
      </c>
      <c r="H590" t="inlineStr">
        <is>
          <t>Yes</t>
        </is>
      </c>
      <c r="I590" t="inlineStr">
        <is>
          <t>2022-04-08</t>
        </is>
      </c>
    </row>
    <row r="591">
      <c r="A591" t="n">
        <v/>
      </c>
      <c r="B591" t="n">
        <v>1028789</v>
      </c>
      <c r="C591" t="inlineStr">
        <is>
          <t>Docker</t>
        </is>
      </c>
      <c r="D591" t="inlineStr">
        <is>
          <t>Secondary</t>
        </is>
      </c>
      <c r="E591" t="inlineStr">
        <is>
          <t>Intermediate</t>
        </is>
      </c>
      <c r="F591" t="n">
        <v>4.1</v>
      </c>
      <c r="G591" t="inlineStr">
        <is>
          <t>Technical</t>
        </is>
      </c>
      <c r="H591" t="inlineStr">
        <is>
          <t>Yes</t>
        </is>
      </c>
      <c r="I591" t="inlineStr">
        <is>
          <t>2022-04-08</t>
        </is>
      </c>
    </row>
    <row r="592">
      <c r="A592" t="n">
        <v/>
      </c>
      <c r="B592" t="n">
        <v>1028789</v>
      </c>
      <c r="C592" t="inlineStr">
        <is>
          <t>Kubernetes</t>
        </is>
      </c>
      <c r="D592" t="inlineStr">
        <is>
          <t>Secondary</t>
        </is>
      </c>
      <c r="E592" t="inlineStr">
        <is>
          <t>Intermediate</t>
        </is>
      </c>
      <c r="F592" t="n">
        <v>3.1</v>
      </c>
      <c r="G592" t="inlineStr">
        <is>
          <t>Technical</t>
        </is>
      </c>
      <c r="H592" t="inlineStr">
        <is>
          <t>Yes</t>
        </is>
      </c>
      <c r="I592" t="inlineStr">
        <is>
          <t>2022-04-08</t>
        </is>
      </c>
    </row>
    <row r="593">
      <c r="A593" t="n">
        <v/>
      </c>
      <c r="B593" t="n">
        <v>1028789</v>
      </c>
      <c r="C593" t="inlineStr">
        <is>
          <t>Linux</t>
        </is>
      </c>
      <c r="D593" t="inlineStr">
        <is>
          <t>Secondary</t>
        </is>
      </c>
      <c r="E593" t="inlineStr">
        <is>
          <t>Intermediate</t>
        </is>
      </c>
      <c r="F593" t="n">
        <v>2</v>
      </c>
      <c r="G593" t="inlineStr">
        <is>
          <t>Technical</t>
        </is>
      </c>
      <c r="H593" t="inlineStr">
        <is>
          <t>Yes</t>
        </is>
      </c>
      <c r="I593" t="inlineStr">
        <is>
          <t>2022-04-08</t>
        </is>
      </c>
    </row>
    <row r="594">
      <c r="A594" t="n">
        <v/>
      </c>
      <c r="B594" t="n">
        <v>1031849</v>
      </c>
      <c r="C594" t="inlineStr">
        <is>
          <t>Cloud &amp; DevOps (AWS / K8s)</t>
        </is>
      </c>
      <c r="D594" t="inlineStr">
        <is>
          <t>Primary</t>
        </is>
      </c>
      <c r="E594" t="inlineStr">
        <is>
          <t>Advanced</t>
        </is>
      </c>
      <c r="F594" t="n">
        <v>6.1</v>
      </c>
      <c r="G594" t="inlineStr">
        <is>
          <t>Technical</t>
        </is>
      </c>
      <c r="H594" t="inlineStr">
        <is>
          <t>Yes</t>
        </is>
      </c>
      <c r="I594" t="inlineStr">
        <is>
          <t>2022-12-19</t>
        </is>
      </c>
    </row>
    <row r="595">
      <c r="A595" t="n">
        <v/>
      </c>
      <c r="B595" t="n">
        <v>1031849</v>
      </c>
      <c r="C595" t="inlineStr">
        <is>
          <t>Docker</t>
        </is>
      </c>
      <c r="D595" t="inlineStr">
        <is>
          <t>Secondary</t>
        </is>
      </c>
      <c r="E595" t="inlineStr">
        <is>
          <t>Intermediate</t>
        </is>
      </c>
      <c r="F595" t="n">
        <v>3.7</v>
      </c>
      <c r="G595" t="inlineStr">
        <is>
          <t>Technical</t>
        </is>
      </c>
      <c r="H595" t="inlineStr">
        <is>
          <t>Yes</t>
        </is>
      </c>
      <c r="I595" t="inlineStr">
        <is>
          <t>2022-12-19</t>
        </is>
      </c>
    </row>
    <row r="596">
      <c r="A596" t="n">
        <v/>
      </c>
      <c r="B596" t="n">
        <v>1031849</v>
      </c>
      <c r="C596" t="inlineStr">
        <is>
          <t>Kubernetes</t>
        </is>
      </c>
      <c r="D596" t="inlineStr">
        <is>
          <t>Secondary</t>
        </is>
      </c>
      <c r="E596" t="inlineStr">
        <is>
          <t>Intermediate</t>
        </is>
      </c>
      <c r="F596" t="n">
        <v>2.7</v>
      </c>
      <c r="G596" t="inlineStr">
        <is>
          <t>Technical</t>
        </is>
      </c>
      <c r="H596" t="inlineStr">
        <is>
          <t>Yes</t>
        </is>
      </c>
      <c r="I596" t="inlineStr">
        <is>
          <t>2022-12-19</t>
        </is>
      </c>
    </row>
    <row r="597">
      <c r="A597" t="n">
        <v/>
      </c>
      <c r="B597" t="n">
        <v>1031849</v>
      </c>
      <c r="C597" t="inlineStr">
        <is>
          <t>Linux</t>
        </is>
      </c>
      <c r="D597" t="inlineStr">
        <is>
          <t>Secondary</t>
        </is>
      </c>
      <c r="E597" t="inlineStr">
        <is>
          <t>Intermediate</t>
        </is>
      </c>
      <c r="F597" t="n">
        <v>1.8</v>
      </c>
      <c r="G597" t="inlineStr">
        <is>
          <t>Technical</t>
        </is>
      </c>
      <c r="H597" t="inlineStr">
        <is>
          <t>Yes</t>
        </is>
      </c>
      <c r="I597" t="inlineStr">
        <is>
          <t>2022-12-19</t>
        </is>
      </c>
    </row>
    <row r="598">
      <c r="A598" t="n">
        <v/>
      </c>
      <c r="B598" t="n">
        <v>1033995</v>
      </c>
      <c r="C598" t="inlineStr">
        <is>
          <t>Python / Data Engineering</t>
        </is>
      </c>
      <c r="D598" t="inlineStr">
        <is>
          <t>Primary</t>
        </is>
      </c>
      <c r="E598" t="inlineStr">
        <is>
          <t>Advanced</t>
        </is>
      </c>
      <c r="F598" t="n">
        <v>5.3</v>
      </c>
      <c r="G598" t="inlineStr">
        <is>
          <t>Technical</t>
        </is>
      </c>
      <c r="H598" t="inlineStr">
        <is>
          <t>Yes</t>
        </is>
      </c>
      <c r="I598" t="inlineStr">
        <is>
          <t>2023-12-04</t>
        </is>
      </c>
    </row>
    <row r="599">
      <c r="A599" t="n">
        <v/>
      </c>
      <c r="B599" t="n">
        <v>1033995</v>
      </c>
      <c r="C599" t="inlineStr">
        <is>
          <t>SQL</t>
        </is>
      </c>
      <c r="D599" t="inlineStr">
        <is>
          <t>Secondary</t>
        </is>
      </c>
      <c r="E599" t="inlineStr">
        <is>
          <t>Intermediate</t>
        </is>
      </c>
      <c r="F599" t="n">
        <v>3.2</v>
      </c>
      <c r="G599" t="inlineStr">
        <is>
          <t>Technical</t>
        </is>
      </c>
      <c r="H599" t="inlineStr">
        <is>
          <t>Yes</t>
        </is>
      </c>
      <c r="I599" t="inlineStr">
        <is>
          <t>2023-12-04</t>
        </is>
      </c>
    </row>
    <row r="600">
      <c r="A600" t="n">
        <v/>
      </c>
      <c r="B600" t="n">
        <v>1033995</v>
      </c>
      <c r="C600" t="inlineStr">
        <is>
          <t>Docker</t>
        </is>
      </c>
      <c r="D600" t="inlineStr">
        <is>
          <t>Secondary</t>
        </is>
      </c>
      <c r="E600" t="inlineStr">
        <is>
          <t>Intermediate</t>
        </is>
      </c>
      <c r="F600" t="n">
        <v>2.4</v>
      </c>
      <c r="G600" t="inlineStr">
        <is>
          <t>Technical</t>
        </is>
      </c>
      <c r="H600" t="inlineStr">
        <is>
          <t>Yes</t>
        </is>
      </c>
      <c r="I600" t="inlineStr">
        <is>
          <t>2023-12-04</t>
        </is>
      </c>
    </row>
    <row r="601">
      <c r="A601" t="n">
        <v/>
      </c>
      <c r="B601" t="n">
        <v>1033995</v>
      </c>
      <c r="C601" t="inlineStr">
        <is>
          <t>Pandas</t>
        </is>
      </c>
      <c r="D601" t="inlineStr">
        <is>
          <t>Secondary</t>
        </is>
      </c>
      <c r="E601" t="inlineStr">
        <is>
          <t>Intermediate</t>
        </is>
      </c>
      <c r="F601" t="n">
        <v>1.6</v>
      </c>
      <c r="G601" t="inlineStr">
        <is>
          <t>Technical</t>
        </is>
      </c>
      <c r="H601" t="inlineStr">
        <is>
          <t>Yes</t>
        </is>
      </c>
      <c r="I601" t="inlineStr">
        <is>
          <t>2023-12-04</t>
        </is>
      </c>
    </row>
    <row r="602">
      <c r="A602" t="n">
        <v/>
      </c>
      <c r="B602" t="n">
        <v>1022282</v>
      </c>
      <c r="C602" t="inlineStr">
        <is>
          <t>Fullstack Web (React / Node)</t>
        </is>
      </c>
      <c r="D602" t="inlineStr">
        <is>
          <t>Primary</t>
        </is>
      </c>
      <c r="E602" t="inlineStr">
        <is>
          <t>Advanced</t>
        </is>
      </c>
      <c r="F602" t="n">
        <v>7.5</v>
      </c>
      <c r="G602" t="inlineStr">
        <is>
          <t>Technical</t>
        </is>
      </c>
      <c r="H602" t="inlineStr">
        <is>
          <t>Yes</t>
        </is>
      </c>
      <c r="I602" t="inlineStr">
        <is>
          <t>2019-06-26</t>
        </is>
      </c>
    </row>
    <row r="603">
      <c r="A603" t="n">
        <v/>
      </c>
      <c r="B603" t="n">
        <v>1022282</v>
      </c>
      <c r="C603" t="inlineStr">
        <is>
          <t>JavaScript</t>
        </is>
      </c>
      <c r="D603" t="inlineStr">
        <is>
          <t>Secondary</t>
        </is>
      </c>
      <c r="E603" t="inlineStr">
        <is>
          <t>Intermediate</t>
        </is>
      </c>
      <c r="F603" t="n">
        <v>4.5</v>
      </c>
      <c r="G603" t="inlineStr">
        <is>
          <t>Technical</t>
        </is>
      </c>
      <c r="H603" t="inlineStr">
        <is>
          <t>Yes</t>
        </is>
      </c>
      <c r="I603" t="inlineStr">
        <is>
          <t>2019-06-26</t>
        </is>
      </c>
    </row>
    <row r="604">
      <c r="A604" t="n">
        <v/>
      </c>
      <c r="B604" t="n">
        <v>1022282</v>
      </c>
      <c r="C604" t="inlineStr">
        <is>
          <t>TypeScript</t>
        </is>
      </c>
      <c r="D604" t="inlineStr">
        <is>
          <t>Secondary</t>
        </is>
      </c>
      <c r="E604" t="inlineStr">
        <is>
          <t>Intermediate</t>
        </is>
      </c>
      <c r="F604" t="n">
        <v>3.4</v>
      </c>
      <c r="G604" t="inlineStr">
        <is>
          <t>Technical</t>
        </is>
      </c>
      <c r="H604" t="inlineStr">
        <is>
          <t>Yes</t>
        </is>
      </c>
      <c r="I604" t="inlineStr">
        <is>
          <t>2019-06-26</t>
        </is>
      </c>
    </row>
    <row r="605">
      <c r="A605" t="n">
        <v/>
      </c>
      <c r="B605" t="n">
        <v>1022282</v>
      </c>
      <c r="C605" t="inlineStr">
        <is>
          <t>CSS/HTML</t>
        </is>
      </c>
      <c r="D605" t="inlineStr">
        <is>
          <t>Secondary</t>
        </is>
      </c>
      <c r="E605" t="inlineStr">
        <is>
          <t>Intermediate</t>
        </is>
      </c>
      <c r="F605" t="n">
        <v>2.2</v>
      </c>
      <c r="G605" t="inlineStr">
        <is>
          <t>Technical</t>
        </is>
      </c>
      <c r="H605" t="inlineStr">
        <is>
          <t>Yes</t>
        </is>
      </c>
      <c r="I605" t="inlineStr">
        <is>
          <t>2019-06-26</t>
        </is>
      </c>
    </row>
    <row r="606">
      <c r="A606" t="n">
        <v/>
      </c>
      <c r="B606" t="n">
        <v>1030165</v>
      </c>
      <c r="C606" t="inlineStr">
        <is>
          <t>Python / Data Engineering</t>
        </is>
      </c>
      <c r="D606" t="inlineStr">
        <is>
          <t>Primary</t>
        </is>
      </c>
      <c r="E606" t="inlineStr">
        <is>
          <t>Advanced</t>
        </is>
      </c>
      <c r="F606" t="n">
        <v>6.4</v>
      </c>
      <c r="G606" t="inlineStr">
        <is>
          <t>Technical</t>
        </is>
      </c>
      <c r="H606" t="inlineStr">
        <is>
          <t>Yes</t>
        </is>
      </c>
      <c r="I606" t="inlineStr">
        <is>
          <t>2022-09-09</t>
        </is>
      </c>
    </row>
    <row r="607">
      <c r="A607" t="n">
        <v/>
      </c>
      <c r="B607" t="n">
        <v>1030165</v>
      </c>
      <c r="C607" t="inlineStr">
        <is>
          <t>SQL</t>
        </is>
      </c>
      <c r="D607" t="inlineStr">
        <is>
          <t>Secondary</t>
        </is>
      </c>
      <c r="E607" t="inlineStr">
        <is>
          <t>Intermediate</t>
        </is>
      </c>
      <c r="F607" t="n">
        <v>3.8</v>
      </c>
      <c r="G607" t="inlineStr">
        <is>
          <t>Technical</t>
        </is>
      </c>
      <c r="H607" t="inlineStr">
        <is>
          <t>Yes</t>
        </is>
      </c>
      <c r="I607" t="inlineStr">
        <is>
          <t>2022-09-09</t>
        </is>
      </c>
    </row>
    <row r="608">
      <c r="A608" t="n">
        <v/>
      </c>
      <c r="B608" t="n">
        <v>1030165</v>
      </c>
      <c r="C608" t="inlineStr">
        <is>
          <t>Docker</t>
        </is>
      </c>
      <c r="D608" t="inlineStr">
        <is>
          <t>Secondary</t>
        </is>
      </c>
      <c r="E608" t="inlineStr">
        <is>
          <t>Intermediate</t>
        </is>
      </c>
      <c r="F608" t="n">
        <v>2.9</v>
      </c>
      <c r="G608" t="inlineStr">
        <is>
          <t>Technical</t>
        </is>
      </c>
      <c r="H608" t="inlineStr">
        <is>
          <t>Yes</t>
        </is>
      </c>
      <c r="I608" t="inlineStr">
        <is>
          <t>2022-09-09</t>
        </is>
      </c>
    </row>
    <row r="609">
      <c r="A609" t="n">
        <v/>
      </c>
      <c r="B609" t="n">
        <v>1030165</v>
      </c>
      <c r="C609" t="inlineStr">
        <is>
          <t>Pandas</t>
        </is>
      </c>
      <c r="D609" t="inlineStr">
        <is>
          <t>Secondary</t>
        </is>
      </c>
      <c r="E609" t="inlineStr">
        <is>
          <t>Intermediate</t>
        </is>
      </c>
      <c r="F609" t="n">
        <v>1.9</v>
      </c>
      <c r="G609" t="inlineStr">
        <is>
          <t>Technical</t>
        </is>
      </c>
      <c r="H609" t="inlineStr">
        <is>
          <t>Yes</t>
        </is>
      </c>
      <c r="I609" t="inlineStr">
        <is>
          <t>2022-09-09</t>
        </is>
      </c>
    </row>
    <row r="610">
      <c r="A610" t="n">
        <v/>
      </c>
      <c r="B610" t="n">
        <v>1029042</v>
      </c>
      <c r="C610" t="inlineStr">
        <is>
          <t>Java / Spring Boot</t>
        </is>
      </c>
      <c r="D610" t="inlineStr">
        <is>
          <t>Primary</t>
        </is>
      </c>
      <c r="E610" t="inlineStr">
        <is>
          <t>Advanced</t>
        </is>
      </c>
      <c r="F610" t="n">
        <v>4.9</v>
      </c>
      <c r="G610" t="inlineStr">
        <is>
          <t>Technical</t>
        </is>
      </c>
      <c r="H610" t="inlineStr">
        <is>
          <t>Yes</t>
        </is>
      </c>
      <c r="I610" t="inlineStr">
        <is>
          <t>2022-05-12</t>
        </is>
      </c>
      <c r="J610" t="inlineStr">
        <is>
          <t>EPSDT</t>
        </is>
      </c>
    </row>
    <row r="611">
      <c r="A611" t="n">
        <v/>
      </c>
      <c r="B611" t="n">
        <v>1029042</v>
      </c>
      <c r="C611" t="inlineStr">
        <is>
          <t>SQL</t>
        </is>
      </c>
      <c r="D611" t="inlineStr">
        <is>
          <t>Secondary</t>
        </is>
      </c>
      <c r="E611" t="inlineStr">
        <is>
          <t>Intermediate</t>
        </is>
      </c>
      <c r="F611" t="n">
        <v>2.9</v>
      </c>
      <c r="G611" t="inlineStr">
        <is>
          <t>Technical</t>
        </is>
      </c>
      <c r="H611" t="inlineStr">
        <is>
          <t>Yes</t>
        </is>
      </c>
      <c r="I611" t="inlineStr">
        <is>
          <t>2022-05-12</t>
        </is>
      </c>
      <c r="J611" t="inlineStr">
        <is>
          <t>EPSDT</t>
        </is>
      </c>
    </row>
    <row r="612">
      <c r="A612" t="n">
        <v/>
      </c>
      <c r="B612" t="n">
        <v>1029042</v>
      </c>
      <c r="C612" t="inlineStr">
        <is>
          <t>Docker</t>
        </is>
      </c>
      <c r="D612" t="inlineStr">
        <is>
          <t>Secondary</t>
        </is>
      </c>
      <c r="E612" t="inlineStr">
        <is>
          <t>Intermediate</t>
        </is>
      </c>
      <c r="F612" t="n">
        <v>2.2</v>
      </c>
      <c r="G612" t="inlineStr">
        <is>
          <t>Technical</t>
        </is>
      </c>
      <c r="H612" t="inlineStr">
        <is>
          <t>Yes</t>
        </is>
      </c>
      <c r="I612" t="inlineStr">
        <is>
          <t>2022-05-12</t>
        </is>
      </c>
      <c r="J612" t="inlineStr">
        <is>
          <t>EPSDT</t>
        </is>
      </c>
    </row>
    <row r="613">
      <c r="A613" t="n">
        <v/>
      </c>
      <c r="B613" t="n">
        <v>1029042</v>
      </c>
      <c r="C613" t="inlineStr">
        <is>
          <t>Git</t>
        </is>
      </c>
      <c r="D613" t="inlineStr">
        <is>
          <t>Secondary</t>
        </is>
      </c>
      <c r="E613" t="inlineStr">
        <is>
          <t>Intermediate</t>
        </is>
      </c>
      <c r="F613" t="n">
        <v>1.5</v>
      </c>
      <c r="G613" t="inlineStr">
        <is>
          <t>Technical</t>
        </is>
      </c>
      <c r="H613" t="inlineStr">
        <is>
          <t>Yes</t>
        </is>
      </c>
      <c r="I613" t="inlineStr">
        <is>
          <t>2022-05-12</t>
        </is>
      </c>
      <c r="J613" t="inlineStr">
        <is>
          <t>EPSDT</t>
        </is>
      </c>
    </row>
    <row r="614">
      <c r="A614" t="n">
        <v/>
      </c>
      <c r="B614" t="n">
        <v>1031845</v>
      </c>
      <c r="C614" t="inlineStr">
        <is>
          <t>QA Automation / SDET</t>
        </is>
      </c>
      <c r="D614" t="inlineStr">
        <is>
          <t>Primary</t>
        </is>
      </c>
      <c r="E614" t="inlineStr">
        <is>
          <t>Intermediate</t>
        </is>
      </c>
      <c r="F614" t="n">
        <v>4.3</v>
      </c>
      <c r="G614" t="inlineStr">
        <is>
          <t>Technical</t>
        </is>
      </c>
      <c r="H614" t="inlineStr">
        <is>
          <t>Yes</t>
        </is>
      </c>
      <c r="I614" t="inlineStr">
        <is>
          <t>2022-12-19</t>
        </is>
      </c>
    </row>
    <row r="615">
      <c r="A615" t="n">
        <v/>
      </c>
      <c r="B615" t="n">
        <v>1031845</v>
      </c>
      <c r="C615" t="inlineStr">
        <is>
          <t>Selenium</t>
        </is>
      </c>
      <c r="D615" t="inlineStr">
        <is>
          <t>Secondary</t>
        </is>
      </c>
      <c r="E615" t="inlineStr">
        <is>
          <t>Intermediate</t>
        </is>
      </c>
      <c r="F615" t="n">
        <v>2.6</v>
      </c>
      <c r="G615" t="inlineStr">
        <is>
          <t>Technical</t>
        </is>
      </c>
      <c r="H615" t="inlineStr">
        <is>
          <t>Yes</t>
        </is>
      </c>
      <c r="I615" t="inlineStr">
        <is>
          <t>2022-12-19</t>
        </is>
      </c>
    </row>
    <row r="616">
      <c r="A616" t="n">
        <v/>
      </c>
      <c r="B616" t="n">
        <v>1031845</v>
      </c>
      <c r="C616" t="inlineStr">
        <is>
          <t>API Testing (Postman)</t>
        </is>
      </c>
      <c r="D616" t="inlineStr">
        <is>
          <t>Secondary</t>
        </is>
      </c>
      <c r="E616" t="inlineStr">
        <is>
          <t>Intermediate</t>
        </is>
      </c>
      <c r="F616" t="n">
        <v>1.9</v>
      </c>
      <c r="G616" t="inlineStr">
        <is>
          <t>Technical</t>
        </is>
      </c>
      <c r="H616" t="inlineStr">
        <is>
          <t>Yes</t>
        </is>
      </c>
      <c r="I616" t="inlineStr">
        <is>
          <t>2022-12-19</t>
        </is>
      </c>
    </row>
    <row r="617">
      <c r="A617" t="n">
        <v/>
      </c>
      <c r="B617" t="n">
        <v>1031845</v>
      </c>
      <c r="C617" t="inlineStr">
        <is>
          <t>TestNG</t>
        </is>
      </c>
      <c r="D617" t="inlineStr">
        <is>
          <t>Secondary</t>
        </is>
      </c>
      <c r="E617" t="inlineStr">
        <is>
          <t>Beginner</t>
        </is>
      </c>
      <c r="F617" t="n">
        <v>1.3</v>
      </c>
      <c r="G617" t="inlineStr">
        <is>
          <t>Technical</t>
        </is>
      </c>
      <c r="H617" t="inlineStr">
        <is>
          <t>Yes</t>
        </is>
      </c>
      <c r="I617" t="inlineStr">
        <is>
          <t>2022-12-19</t>
        </is>
      </c>
    </row>
    <row r="618">
      <c r="A618" t="n">
        <v/>
      </c>
      <c r="B618" t="n">
        <v>1026741</v>
      </c>
      <c r="C618" t="inlineStr">
        <is>
          <t>Cloud &amp; DevOps (AWS / K8s)</t>
        </is>
      </c>
      <c r="D618" t="inlineStr">
        <is>
          <t>Primary</t>
        </is>
      </c>
      <c r="E618" t="inlineStr">
        <is>
          <t>Advanced</t>
        </is>
      </c>
      <c r="F618" t="n">
        <v>5.4</v>
      </c>
      <c r="G618" t="inlineStr">
        <is>
          <t>Technical</t>
        </is>
      </c>
      <c r="H618" t="inlineStr">
        <is>
          <t>Yes</t>
        </is>
      </c>
      <c r="I618" t="inlineStr">
        <is>
          <t>2021-10-01</t>
        </is>
      </c>
    </row>
    <row r="619">
      <c r="A619" t="n">
        <v/>
      </c>
      <c r="B619" t="n">
        <v>1026741</v>
      </c>
      <c r="C619" t="inlineStr">
        <is>
          <t>Linux</t>
        </is>
      </c>
      <c r="D619" t="inlineStr">
        <is>
          <t>Secondary</t>
        </is>
      </c>
      <c r="E619" t="inlineStr">
        <is>
          <t>Intermediate</t>
        </is>
      </c>
      <c r="F619" t="n">
        <v>3.2</v>
      </c>
      <c r="G619" t="inlineStr">
        <is>
          <t>Technical</t>
        </is>
      </c>
      <c r="H619" t="inlineStr">
        <is>
          <t>Yes</t>
        </is>
      </c>
      <c r="I619" t="inlineStr">
        <is>
          <t>2021-10-01</t>
        </is>
      </c>
    </row>
    <row r="620">
      <c r="A620" t="n">
        <v/>
      </c>
      <c r="B620" t="n">
        <v>1026741</v>
      </c>
      <c r="C620" t="inlineStr">
        <is>
          <t>Docker</t>
        </is>
      </c>
      <c r="D620" t="inlineStr">
        <is>
          <t>Secondary</t>
        </is>
      </c>
      <c r="E620" t="inlineStr">
        <is>
          <t>Intermediate</t>
        </is>
      </c>
      <c r="F620" t="n">
        <v>2.4</v>
      </c>
      <c r="G620" t="inlineStr">
        <is>
          <t>Technical</t>
        </is>
      </c>
      <c r="H620" t="inlineStr">
        <is>
          <t>Yes</t>
        </is>
      </c>
      <c r="I620" t="inlineStr">
        <is>
          <t>2021-10-01</t>
        </is>
      </c>
    </row>
    <row r="621">
      <c r="A621" t="n">
        <v/>
      </c>
      <c r="B621" t="n">
        <v>1026741</v>
      </c>
      <c r="C621" t="inlineStr">
        <is>
          <t>Kubernetes</t>
        </is>
      </c>
      <c r="D621" t="inlineStr">
        <is>
          <t>Secondary</t>
        </is>
      </c>
      <c r="E621" t="inlineStr">
        <is>
          <t>Intermediate</t>
        </is>
      </c>
      <c r="F621" t="n">
        <v>1.6</v>
      </c>
      <c r="G621" t="inlineStr">
        <is>
          <t>Technical</t>
        </is>
      </c>
      <c r="H621" t="inlineStr">
        <is>
          <t>Yes</t>
        </is>
      </c>
      <c r="I621" t="inlineStr">
        <is>
          <t>2021-10-01</t>
        </is>
      </c>
    </row>
    <row r="622">
      <c r="A622" t="n">
        <v/>
      </c>
      <c r="B622" t="n">
        <v>1024184</v>
      </c>
      <c r="C622" t="inlineStr">
        <is>
          <t>IT Application &amp; Operations Support</t>
        </is>
      </c>
      <c r="D622" t="inlineStr">
        <is>
          <t>Primary</t>
        </is>
      </c>
      <c r="E622" t="inlineStr">
        <is>
          <t>Advanced</t>
        </is>
      </c>
      <c r="F622" t="n">
        <v>7.9</v>
      </c>
      <c r="G622" t="inlineStr">
        <is>
          <t>Functional</t>
        </is>
      </c>
      <c r="H622" t="inlineStr">
        <is>
          <t>Yes</t>
        </is>
      </c>
      <c r="I622" t="inlineStr">
        <is>
          <t>2020-12-14</t>
        </is>
      </c>
    </row>
    <row r="623">
      <c r="A623" t="n">
        <v/>
      </c>
      <c r="B623" t="n">
        <v>1024184</v>
      </c>
      <c r="C623" t="inlineStr">
        <is>
          <t>Incident Management</t>
        </is>
      </c>
      <c r="D623" t="inlineStr">
        <is>
          <t>Secondary</t>
        </is>
      </c>
      <c r="E623" t="inlineStr">
        <is>
          <t>Intermediate</t>
        </is>
      </c>
      <c r="F623" t="n">
        <v>4.7</v>
      </c>
      <c r="G623" t="inlineStr">
        <is>
          <t>Functional</t>
        </is>
      </c>
      <c r="H623" t="inlineStr">
        <is>
          <t>Yes</t>
        </is>
      </c>
      <c r="I623" t="inlineStr">
        <is>
          <t>2020-12-14</t>
        </is>
      </c>
    </row>
    <row r="624">
      <c r="A624" t="n">
        <v/>
      </c>
      <c r="B624" t="n">
        <v>1024184</v>
      </c>
      <c r="C624" t="inlineStr">
        <is>
          <t>Production Support</t>
        </is>
      </c>
      <c r="D624" t="inlineStr">
        <is>
          <t>Secondary</t>
        </is>
      </c>
      <c r="E624" t="inlineStr">
        <is>
          <t>Intermediate</t>
        </is>
      </c>
      <c r="F624" t="n">
        <v>3.6</v>
      </c>
      <c r="G624" t="inlineStr">
        <is>
          <t>Functional</t>
        </is>
      </c>
      <c r="H624" t="inlineStr">
        <is>
          <t>Yes</t>
        </is>
      </c>
      <c r="I624" t="inlineStr">
        <is>
          <t>2020-12-14</t>
        </is>
      </c>
    </row>
    <row r="625">
      <c r="A625" t="n">
        <v/>
      </c>
      <c r="B625" t="n">
        <v>1024184</v>
      </c>
      <c r="C625" t="inlineStr">
        <is>
          <t>SQL</t>
        </is>
      </c>
      <c r="D625" t="inlineStr">
        <is>
          <t>Secondary</t>
        </is>
      </c>
      <c r="E625" t="inlineStr">
        <is>
          <t>Intermediate</t>
        </is>
      </c>
      <c r="F625" t="n">
        <v>2.4</v>
      </c>
      <c r="G625" t="inlineStr">
        <is>
          <t>Functional</t>
        </is>
      </c>
      <c r="H625" t="inlineStr">
        <is>
          <t>Yes</t>
        </is>
      </c>
      <c r="I625" t="inlineStr">
        <is>
          <t>2020-12-14</t>
        </is>
      </c>
    </row>
    <row r="626">
      <c r="A626" t="n">
        <v/>
      </c>
      <c r="B626" t="n">
        <v>1030579</v>
      </c>
      <c r="C626" t="inlineStr">
        <is>
          <t>QA Automation / SDET</t>
        </is>
      </c>
      <c r="D626" t="inlineStr">
        <is>
          <t>Primary</t>
        </is>
      </c>
      <c r="E626" t="inlineStr">
        <is>
          <t>Advanced</t>
        </is>
      </c>
      <c r="F626" t="n">
        <v>6.3</v>
      </c>
      <c r="G626" t="inlineStr">
        <is>
          <t>Technical</t>
        </is>
      </c>
      <c r="H626" t="inlineStr">
        <is>
          <t>Yes</t>
        </is>
      </c>
      <c r="I626" t="inlineStr">
        <is>
          <t>2022-10-10</t>
        </is>
      </c>
    </row>
    <row r="627">
      <c r="A627" t="n">
        <v/>
      </c>
      <c r="B627" t="n">
        <v>1030579</v>
      </c>
      <c r="C627" t="inlineStr">
        <is>
          <t>Selenium</t>
        </is>
      </c>
      <c r="D627" t="inlineStr">
        <is>
          <t>Secondary</t>
        </is>
      </c>
      <c r="E627" t="inlineStr">
        <is>
          <t>Intermediate</t>
        </is>
      </c>
      <c r="F627" t="n">
        <v>3.8</v>
      </c>
      <c r="G627" t="inlineStr">
        <is>
          <t>Technical</t>
        </is>
      </c>
      <c r="H627" t="inlineStr">
        <is>
          <t>Yes</t>
        </is>
      </c>
      <c r="I627" t="inlineStr">
        <is>
          <t>2022-10-10</t>
        </is>
      </c>
    </row>
    <row r="628">
      <c r="A628" t="n">
        <v/>
      </c>
      <c r="B628" t="n">
        <v>1030579</v>
      </c>
      <c r="C628" t="inlineStr">
        <is>
          <t>API Testing (Postman)</t>
        </is>
      </c>
      <c r="D628" t="inlineStr">
        <is>
          <t>Secondary</t>
        </is>
      </c>
      <c r="E628" t="inlineStr">
        <is>
          <t>Intermediate</t>
        </is>
      </c>
      <c r="F628" t="n">
        <v>2.8</v>
      </c>
      <c r="G628" t="inlineStr">
        <is>
          <t>Technical</t>
        </is>
      </c>
      <c r="H628" t="inlineStr">
        <is>
          <t>Yes</t>
        </is>
      </c>
      <c r="I628" t="inlineStr">
        <is>
          <t>2022-10-10</t>
        </is>
      </c>
    </row>
    <row r="629">
      <c r="A629" t="n">
        <v/>
      </c>
      <c r="B629" t="n">
        <v>1030579</v>
      </c>
      <c r="C629" t="inlineStr">
        <is>
          <t>TestNG</t>
        </is>
      </c>
      <c r="D629" t="inlineStr">
        <is>
          <t>Secondary</t>
        </is>
      </c>
      <c r="E629" t="inlineStr">
        <is>
          <t>Intermediate</t>
        </is>
      </c>
      <c r="F629" t="n">
        <v>1.9</v>
      </c>
      <c r="G629" t="inlineStr">
        <is>
          <t>Technical</t>
        </is>
      </c>
      <c r="H629" t="inlineStr">
        <is>
          <t>Yes</t>
        </is>
      </c>
      <c r="I629" t="inlineStr">
        <is>
          <t>2022-10-10</t>
        </is>
      </c>
    </row>
    <row r="630">
      <c r="A630" t="n">
        <v/>
      </c>
      <c r="B630" t="n">
        <v>1031862</v>
      </c>
      <c r="C630" t="inlineStr">
        <is>
          <t>QA Automation / SDET</t>
        </is>
      </c>
      <c r="D630" t="inlineStr">
        <is>
          <t>Primary</t>
        </is>
      </c>
      <c r="E630" t="inlineStr">
        <is>
          <t>Advanced</t>
        </is>
      </c>
      <c r="F630" t="n">
        <v>6.1</v>
      </c>
      <c r="G630" t="inlineStr">
        <is>
          <t>Technical</t>
        </is>
      </c>
      <c r="H630" t="inlineStr">
        <is>
          <t>Yes</t>
        </is>
      </c>
      <c r="I630" t="inlineStr">
        <is>
          <t>2022-12-19</t>
        </is>
      </c>
    </row>
    <row r="631">
      <c r="A631" t="n">
        <v/>
      </c>
      <c r="B631" t="n">
        <v>1031862</v>
      </c>
      <c r="C631" t="inlineStr">
        <is>
          <t>Selenium</t>
        </is>
      </c>
      <c r="D631" t="inlineStr">
        <is>
          <t>Secondary</t>
        </is>
      </c>
      <c r="E631" t="inlineStr">
        <is>
          <t>Intermediate</t>
        </is>
      </c>
      <c r="F631" t="n">
        <v>3.7</v>
      </c>
      <c r="G631" t="inlineStr">
        <is>
          <t>Technical</t>
        </is>
      </c>
      <c r="H631" t="inlineStr">
        <is>
          <t>Yes</t>
        </is>
      </c>
      <c r="I631" t="inlineStr">
        <is>
          <t>2022-12-19</t>
        </is>
      </c>
    </row>
    <row r="632">
      <c r="A632" t="n">
        <v/>
      </c>
      <c r="B632" t="n">
        <v>1031862</v>
      </c>
      <c r="C632" t="inlineStr">
        <is>
          <t>API Testing (Postman)</t>
        </is>
      </c>
      <c r="D632" t="inlineStr">
        <is>
          <t>Secondary</t>
        </is>
      </c>
      <c r="E632" t="inlineStr">
        <is>
          <t>Intermediate</t>
        </is>
      </c>
      <c r="F632" t="n">
        <v>2.7</v>
      </c>
      <c r="G632" t="inlineStr">
        <is>
          <t>Technical</t>
        </is>
      </c>
      <c r="H632" t="inlineStr">
        <is>
          <t>Yes</t>
        </is>
      </c>
      <c r="I632" t="inlineStr">
        <is>
          <t>2022-12-19</t>
        </is>
      </c>
    </row>
    <row r="633">
      <c r="A633" t="n">
        <v/>
      </c>
      <c r="B633" t="n">
        <v>1031862</v>
      </c>
      <c r="C633" t="inlineStr">
        <is>
          <t>TestNG</t>
        </is>
      </c>
      <c r="D633" t="inlineStr">
        <is>
          <t>Secondary</t>
        </is>
      </c>
      <c r="E633" t="inlineStr">
        <is>
          <t>Intermediate</t>
        </is>
      </c>
      <c r="F633" t="n">
        <v>1.8</v>
      </c>
      <c r="G633" t="inlineStr">
        <is>
          <t>Technical</t>
        </is>
      </c>
      <c r="H633" t="inlineStr">
        <is>
          <t>Yes</t>
        </is>
      </c>
      <c r="I633" t="inlineStr">
        <is>
          <t>2022-12-19</t>
        </is>
      </c>
    </row>
    <row r="634">
      <c r="A634" t="n">
        <v/>
      </c>
      <c r="B634" t="n">
        <v>1026219</v>
      </c>
      <c r="C634" t="inlineStr">
        <is>
          <t>Business Analysis &amp; Healthcare Domain</t>
        </is>
      </c>
      <c r="D634" t="inlineStr">
        <is>
          <t>Primary</t>
        </is>
      </c>
      <c r="E634" t="inlineStr">
        <is>
          <t>Advanced</t>
        </is>
      </c>
      <c r="F634" t="n">
        <v>5.5</v>
      </c>
      <c r="G634" t="inlineStr">
        <is>
          <t>Functional</t>
        </is>
      </c>
      <c r="H634" t="inlineStr">
        <is>
          <t>Yes</t>
        </is>
      </c>
      <c r="I634" t="inlineStr">
        <is>
          <t>2021-08-23</t>
        </is>
      </c>
    </row>
    <row r="635">
      <c r="A635" t="n">
        <v/>
      </c>
      <c r="B635" t="n">
        <v>1026219</v>
      </c>
      <c r="C635" t="inlineStr">
        <is>
          <t>Requirements Gathering</t>
        </is>
      </c>
      <c r="D635" t="inlineStr">
        <is>
          <t>Secondary</t>
        </is>
      </c>
      <c r="E635" t="inlineStr">
        <is>
          <t>Intermediate</t>
        </is>
      </c>
      <c r="F635" t="n">
        <v>3.3</v>
      </c>
      <c r="G635" t="inlineStr">
        <is>
          <t>Functional</t>
        </is>
      </c>
      <c r="H635" t="inlineStr">
        <is>
          <t>Yes</t>
        </is>
      </c>
      <c r="I635" t="inlineStr">
        <is>
          <t>2021-08-23</t>
        </is>
      </c>
    </row>
    <row r="636">
      <c r="A636" t="n">
        <v/>
      </c>
      <c r="B636" t="n">
        <v>1026219</v>
      </c>
      <c r="C636" t="inlineStr">
        <is>
          <t>MMIS Workflows</t>
        </is>
      </c>
      <c r="D636" t="inlineStr">
        <is>
          <t>Secondary</t>
        </is>
      </c>
      <c r="E636" t="inlineStr">
        <is>
          <t>Intermediate</t>
        </is>
      </c>
      <c r="F636" t="n">
        <v>2.5</v>
      </c>
      <c r="G636" t="inlineStr">
        <is>
          <t>Functional</t>
        </is>
      </c>
      <c r="H636" t="inlineStr">
        <is>
          <t>Yes</t>
        </is>
      </c>
      <c r="I636" t="inlineStr">
        <is>
          <t>2021-08-23</t>
        </is>
      </c>
    </row>
    <row r="637">
      <c r="A637" t="n">
        <v/>
      </c>
      <c r="B637" t="n">
        <v>1026219</v>
      </c>
      <c r="C637" t="inlineStr">
        <is>
          <t>SQL</t>
        </is>
      </c>
      <c r="D637" t="inlineStr">
        <is>
          <t>Secondary</t>
        </is>
      </c>
      <c r="E637" t="inlineStr">
        <is>
          <t>Intermediate</t>
        </is>
      </c>
      <c r="F637" t="n">
        <v>1.6</v>
      </c>
      <c r="G637" t="inlineStr">
        <is>
          <t>Functional</t>
        </is>
      </c>
      <c r="H637" t="inlineStr">
        <is>
          <t>Yes</t>
        </is>
      </c>
      <c r="I637" t="inlineStr">
        <is>
          <t>2021-08-23</t>
        </is>
      </c>
    </row>
    <row r="638">
      <c r="A638" t="n">
        <v/>
      </c>
      <c r="B638" t="n">
        <v>1030719</v>
      </c>
      <c r="C638" t="inlineStr">
        <is>
          <t>Cloud &amp; DevOps (AWS / K8s)</t>
        </is>
      </c>
      <c r="D638" t="inlineStr">
        <is>
          <t>Primary</t>
        </is>
      </c>
      <c r="E638" t="inlineStr">
        <is>
          <t>Advanced</t>
        </is>
      </c>
      <c r="F638" t="n">
        <v>4.5</v>
      </c>
      <c r="G638" t="inlineStr">
        <is>
          <t>Technical</t>
        </is>
      </c>
      <c r="H638" t="inlineStr">
        <is>
          <t>Yes</t>
        </is>
      </c>
      <c r="I638" t="inlineStr">
        <is>
          <t>2022-10-25</t>
        </is>
      </c>
    </row>
    <row r="639">
      <c r="A639" t="n">
        <v/>
      </c>
      <c r="B639" t="n">
        <v>1030719</v>
      </c>
      <c r="C639" t="inlineStr">
        <is>
          <t>Docker</t>
        </is>
      </c>
      <c r="D639" t="inlineStr">
        <is>
          <t>Secondary</t>
        </is>
      </c>
      <c r="E639" t="inlineStr">
        <is>
          <t>Intermediate</t>
        </is>
      </c>
      <c r="F639" t="n">
        <v>2.7</v>
      </c>
      <c r="G639" t="inlineStr">
        <is>
          <t>Technical</t>
        </is>
      </c>
      <c r="H639" t="inlineStr">
        <is>
          <t>Yes</t>
        </is>
      </c>
      <c r="I639" t="inlineStr">
        <is>
          <t>2022-10-25</t>
        </is>
      </c>
    </row>
    <row r="640">
      <c r="A640" t="n">
        <v/>
      </c>
      <c r="B640" t="n">
        <v>1030719</v>
      </c>
      <c r="C640" t="inlineStr">
        <is>
          <t>Kubernetes</t>
        </is>
      </c>
      <c r="D640" t="inlineStr">
        <is>
          <t>Secondary</t>
        </is>
      </c>
      <c r="E640" t="inlineStr">
        <is>
          <t>Intermediate</t>
        </is>
      </c>
      <c r="F640" t="n">
        <v>2</v>
      </c>
      <c r="G640" t="inlineStr">
        <is>
          <t>Technical</t>
        </is>
      </c>
      <c r="H640" t="inlineStr">
        <is>
          <t>Yes</t>
        </is>
      </c>
      <c r="I640" t="inlineStr">
        <is>
          <t>2022-10-25</t>
        </is>
      </c>
    </row>
    <row r="641">
      <c r="A641" t="n">
        <v/>
      </c>
      <c r="B641" t="n">
        <v>1030719</v>
      </c>
      <c r="C641" t="inlineStr">
        <is>
          <t>Linux</t>
        </is>
      </c>
      <c r="D641" t="inlineStr">
        <is>
          <t>Secondary</t>
        </is>
      </c>
      <c r="E641" t="inlineStr">
        <is>
          <t>Beginner</t>
        </is>
      </c>
      <c r="F641" t="n">
        <v>1.3</v>
      </c>
      <c r="G641" t="inlineStr">
        <is>
          <t>Technical</t>
        </is>
      </c>
      <c r="H641" t="inlineStr">
        <is>
          <t>Yes</t>
        </is>
      </c>
      <c r="I641" t="inlineStr">
        <is>
          <t>2022-10-25</t>
        </is>
      </c>
    </row>
    <row r="642">
      <c r="A642" t="n">
        <v/>
      </c>
      <c r="B642" t="n">
        <v>1031857</v>
      </c>
      <c r="C642" t="inlineStr">
        <is>
          <t>QA Automation / SDET</t>
        </is>
      </c>
      <c r="D642" t="inlineStr">
        <is>
          <t>Primary</t>
        </is>
      </c>
      <c r="E642" t="inlineStr">
        <is>
          <t>Advanced</t>
        </is>
      </c>
      <c r="F642" t="n">
        <v>6.1</v>
      </c>
      <c r="G642" t="inlineStr">
        <is>
          <t>Technical</t>
        </is>
      </c>
      <c r="H642" t="inlineStr">
        <is>
          <t>Yes</t>
        </is>
      </c>
      <c r="I642" t="inlineStr">
        <is>
          <t>2022-12-19</t>
        </is>
      </c>
    </row>
    <row r="643">
      <c r="A643" t="n">
        <v/>
      </c>
      <c r="B643" t="n">
        <v>1031857</v>
      </c>
      <c r="C643" t="inlineStr">
        <is>
          <t>Selenium</t>
        </is>
      </c>
      <c r="D643" t="inlineStr">
        <is>
          <t>Secondary</t>
        </is>
      </c>
      <c r="E643" t="inlineStr">
        <is>
          <t>Intermediate</t>
        </is>
      </c>
      <c r="F643" t="n">
        <v>3.7</v>
      </c>
      <c r="G643" t="inlineStr">
        <is>
          <t>Technical</t>
        </is>
      </c>
      <c r="H643" t="inlineStr">
        <is>
          <t>Yes</t>
        </is>
      </c>
      <c r="I643" t="inlineStr">
        <is>
          <t>2022-12-19</t>
        </is>
      </c>
    </row>
    <row r="644">
      <c r="A644" t="n">
        <v/>
      </c>
      <c r="B644" t="n">
        <v>1031857</v>
      </c>
      <c r="C644" t="inlineStr">
        <is>
          <t>API Testing (Postman)</t>
        </is>
      </c>
      <c r="D644" t="inlineStr">
        <is>
          <t>Secondary</t>
        </is>
      </c>
      <c r="E644" t="inlineStr">
        <is>
          <t>Intermediate</t>
        </is>
      </c>
      <c r="F644" t="n">
        <v>2.7</v>
      </c>
      <c r="G644" t="inlineStr">
        <is>
          <t>Technical</t>
        </is>
      </c>
      <c r="H644" t="inlineStr">
        <is>
          <t>Yes</t>
        </is>
      </c>
      <c r="I644" t="inlineStr">
        <is>
          <t>2022-12-19</t>
        </is>
      </c>
    </row>
    <row r="645">
      <c r="A645" t="n">
        <v/>
      </c>
      <c r="B645" t="n">
        <v>1031857</v>
      </c>
      <c r="C645" t="inlineStr">
        <is>
          <t>TestNG</t>
        </is>
      </c>
      <c r="D645" t="inlineStr">
        <is>
          <t>Secondary</t>
        </is>
      </c>
      <c r="E645" t="inlineStr">
        <is>
          <t>Intermediate</t>
        </is>
      </c>
      <c r="F645" t="n">
        <v>1.8</v>
      </c>
      <c r="G645" t="inlineStr">
        <is>
          <t>Technical</t>
        </is>
      </c>
      <c r="H645" t="inlineStr">
        <is>
          <t>Yes</t>
        </is>
      </c>
      <c r="I645" t="inlineStr">
        <is>
          <t>2022-12-19</t>
        </is>
      </c>
    </row>
    <row r="646">
      <c r="A646" t="n">
        <v/>
      </c>
      <c r="B646" t="n">
        <v>1031863</v>
      </c>
      <c r="C646" t="inlineStr">
        <is>
          <t>Database &amp; SQL Architecture</t>
        </is>
      </c>
      <c r="D646" t="inlineStr">
        <is>
          <t>Primary</t>
        </is>
      </c>
      <c r="E646" t="inlineStr">
        <is>
          <t>Advanced</t>
        </is>
      </c>
      <c r="F646" t="n">
        <v>4.3</v>
      </c>
      <c r="G646" t="inlineStr">
        <is>
          <t>Technical</t>
        </is>
      </c>
      <c r="H646" t="inlineStr">
        <is>
          <t>Yes</t>
        </is>
      </c>
      <c r="I646" t="inlineStr">
        <is>
          <t>2022-12-19</t>
        </is>
      </c>
    </row>
    <row r="647">
      <c r="A647" t="n">
        <v/>
      </c>
      <c r="B647" t="n">
        <v>1031863</v>
      </c>
      <c r="C647" t="inlineStr">
        <is>
          <t>PostgreSQL</t>
        </is>
      </c>
      <c r="D647" t="inlineStr">
        <is>
          <t>Secondary</t>
        </is>
      </c>
      <c r="E647" t="inlineStr">
        <is>
          <t>Intermediate</t>
        </is>
      </c>
      <c r="F647" t="n">
        <v>2.6</v>
      </c>
      <c r="G647" t="inlineStr">
        <is>
          <t>Technical</t>
        </is>
      </c>
      <c r="H647" t="inlineStr">
        <is>
          <t>Yes</t>
        </is>
      </c>
      <c r="I647" t="inlineStr">
        <is>
          <t>2022-12-19</t>
        </is>
      </c>
    </row>
    <row r="648">
      <c r="A648" t="n">
        <v/>
      </c>
      <c r="B648" t="n">
        <v>1031863</v>
      </c>
      <c r="C648" t="inlineStr">
        <is>
          <t>Oracle</t>
        </is>
      </c>
      <c r="D648" t="inlineStr">
        <is>
          <t>Secondary</t>
        </is>
      </c>
      <c r="E648" t="inlineStr">
        <is>
          <t>Intermediate</t>
        </is>
      </c>
      <c r="F648" t="n">
        <v>1.9</v>
      </c>
      <c r="G648" t="inlineStr">
        <is>
          <t>Technical</t>
        </is>
      </c>
      <c r="H648" t="inlineStr">
        <is>
          <t>Yes</t>
        </is>
      </c>
      <c r="I648" t="inlineStr">
        <is>
          <t>2022-12-19</t>
        </is>
      </c>
    </row>
    <row r="649">
      <c r="A649" t="n">
        <v/>
      </c>
      <c r="B649" t="n">
        <v>1031863</v>
      </c>
      <c r="C649" t="inlineStr">
        <is>
          <t>Performance Tuning</t>
        </is>
      </c>
      <c r="D649" t="inlineStr">
        <is>
          <t>Secondary</t>
        </is>
      </c>
      <c r="E649" t="inlineStr">
        <is>
          <t>Beginner</t>
        </is>
      </c>
      <c r="F649" t="n">
        <v>1.3</v>
      </c>
      <c r="G649" t="inlineStr">
        <is>
          <t>Technical</t>
        </is>
      </c>
      <c r="H649" t="inlineStr">
        <is>
          <t>Yes</t>
        </is>
      </c>
      <c r="I649" t="inlineStr">
        <is>
          <t>2022-12-19</t>
        </is>
      </c>
    </row>
    <row r="650">
      <c r="A650" t="n">
        <v/>
      </c>
      <c r="B650" t="n">
        <v>1029925</v>
      </c>
      <c r="C650" t="inlineStr">
        <is>
          <t>QA Automation / SDET</t>
        </is>
      </c>
      <c r="D650" t="inlineStr">
        <is>
          <t>Primary</t>
        </is>
      </c>
      <c r="E650" t="inlineStr">
        <is>
          <t>Advanced</t>
        </is>
      </c>
      <c r="F650" t="n">
        <v>4.6</v>
      </c>
      <c r="G650" t="inlineStr">
        <is>
          <t>Technical</t>
        </is>
      </c>
      <c r="H650" t="inlineStr">
        <is>
          <t>Yes</t>
        </is>
      </c>
      <c r="I650" t="inlineStr">
        <is>
          <t>2022-08-19</t>
        </is>
      </c>
    </row>
    <row r="651">
      <c r="A651" t="n">
        <v/>
      </c>
      <c r="B651" t="n">
        <v>1029925</v>
      </c>
      <c r="C651" t="inlineStr">
        <is>
          <t>Selenium</t>
        </is>
      </c>
      <c r="D651" t="inlineStr">
        <is>
          <t>Secondary</t>
        </is>
      </c>
      <c r="E651" t="inlineStr">
        <is>
          <t>Intermediate</t>
        </is>
      </c>
      <c r="F651" t="n">
        <v>2.8</v>
      </c>
      <c r="G651" t="inlineStr">
        <is>
          <t>Technical</t>
        </is>
      </c>
      <c r="H651" t="inlineStr">
        <is>
          <t>Yes</t>
        </is>
      </c>
      <c r="I651" t="inlineStr">
        <is>
          <t>2022-08-19</t>
        </is>
      </c>
    </row>
    <row r="652">
      <c r="A652" t="n">
        <v/>
      </c>
      <c r="B652" t="n">
        <v>1029925</v>
      </c>
      <c r="C652" t="inlineStr">
        <is>
          <t>API Testing (Postman)</t>
        </is>
      </c>
      <c r="D652" t="inlineStr">
        <is>
          <t>Secondary</t>
        </is>
      </c>
      <c r="E652" t="inlineStr">
        <is>
          <t>Intermediate</t>
        </is>
      </c>
      <c r="F652" t="n">
        <v>2.1</v>
      </c>
      <c r="G652" t="inlineStr">
        <is>
          <t>Technical</t>
        </is>
      </c>
      <c r="H652" t="inlineStr">
        <is>
          <t>Yes</t>
        </is>
      </c>
      <c r="I652" t="inlineStr">
        <is>
          <t>2022-08-19</t>
        </is>
      </c>
    </row>
    <row r="653">
      <c r="A653" t="n">
        <v/>
      </c>
      <c r="B653" t="n">
        <v>1029925</v>
      </c>
      <c r="C653" t="inlineStr">
        <is>
          <t>TestNG</t>
        </is>
      </c>
      <c r="D653" t="inlineStr">
        <is>
          <t>Secondary</t>
        </is>
      </c>
      <c r="E653" t="inlineStr">
        <is>
          <t>Beginner</t>
        </is>
      </c>
      <c r="F653" t="n">
        <v>1.4</v>
      </c>
      <c r="G653" t="inlineStr">
        <is>
          <t>Technical</t>
        </is>
      </c>
      <c r="H653" t="inlineStr">
        <is>
          <t>Yes</t>
        </is>
      </c>
      <c r="I653" t="inlineStr">
        <is>
          <t>2022-08-19</t>
        </is>
      </c>
    </row>
    <row r="654">
      <c r="A654" t="n">
        <v/>
      </c>
      <c r="B654" t="n">
        <v>1028007</v>
      </c>
      <c r="C654" t="inlineStr">
        <is>
          <t>Informatica ETL</t>
        </is>
      </c>
      <c r="D654" t="inlineStr">
        <is>
          <t>Primary</t>
        </is>
      </c>
      <c r="E654" t="inlineStr">
        <is>
          <t>Advanced</t>
        </is>
      </c>
      <c r="F654" t="n">
        <v>7</v>
      </c>
      <c r="G654" t="inlineStr">
        <is>
          <t>Technical</t>
        </is>
      </c>
      <c r="H654" t="inlineStr">
        <is>
          <t>Yes</t>
        </is>
      </c>
      <c r="I654" t="inlineStr">
        <is>
          <t>2022-01-12</t>
        </is>
      </c>
    </row>
    <row r="655">
      <c r="A655" t="n">
        <v/>
      </c>
      <c r="B655" t="n">
        <v>1028007</v>
      </c>
      <c r="C655" t="inlineStr">
        <is>
          <t>Informatica PowerCenter</t>
        </is>
      </c>
      <c r="D655" t="inlineStr">
        <is>
          <t>Secondary</t>
        </is>
      </c>
      <c r="E655" t="inlineStr">
        <is>
          <t>Intermediate</t>
        </is>
      </c>
      <c r="F655" t="n">
        <v>4.2</v>
      </c>
      <c r="G655" t="inlineStr">
        <is>
          <t>Technical</t>
        </is>
      </c>
      <c r="H655" t="inlineStr">
        <is>
          <t>Yes</t>
        </is>
      </c>
      <c r="I655" t="inlineStr">
        <is>
          <t>2022-01-12</t>
        </is>
      </c>
    </row>
    <row r="656">
      <c r="A656" t="n">
        <v/>
      </c>
      <c r="B656" t="n">
        <v>1028007</v>
      </c>
      <c r="C656" t="inlineStr">
        <is>
          <t>SQL</t>
        </is>
      </c>
      <c r="D656" t="inlineStr">
        <is>
          <t>Secondary</t>
        </is>
      </c>
      <c r="E656" t="inlineStr">
        <is>
          <t>Intermediate</t>
        </is>
      </c>
      <c r="F656" t="n">
        <v>3.1</v>
      </c>
      <c r="G656" t="inlineStr">
        <is>
          <t>Technical</t>
        </is>
      </c>
      <c r="H656" t="inlineStr">
        <is>
          <t>Yes</t>
        </is>
      </c>
      <c r="I656" t="inlineStr">
        <is>
          <t>2022-01-12</t>
        </is>
      </c>
    </row>
    <row r="657">
      <c r="A657" t="n">
        <v/>
      </c>
      <c r="B657" t="n">
        <v>1028007</v>
      </c>
      <c r="C657" t="inlineStr">
        <is>
          <t>Data Warehousing</t>
        </is>
      </c>
      <c r="D657" t="inlineStr">
        <is>
          <t>Secondary</t>
        </is>
      </c>
      <c r="E657" t="inlineStr">
        <is>
          <t>Intermediate</t>
        </is>
      </c>
      <c r="F657" t="n">
        <v>2.1</v>
      </c>
      <c r="G657" t="inlineStr">
        <is>
          <t>Technical</t>
        </is>
      </c>
      <c r="H657" t="inlineStr">
        <is>
          <t>Yes</t>
        </is>
      </c>
      <c r="I657" t="inlineStr">
        <is>
          <t>2022-01-12</t>
        </is>
      </c>
    </row>
    <row r="658">
      <c r="A658" t="n">
        <v/>
      </c>
      <c r="B658" t="n">
        <v>1029181</v>
      </c>
      <c r="C658" t="inlineStr">
        <is>
          <t>Frontend (Angular / TypeScript)</t>
        </is>
      </c>
      <c r="D658" t="inlineStr">
        <is>
          <t>Primary</t>
        </is>
      </c>
      <c r="E658" t="inlineStr">
        <is>
          <t>Advanced</t>
        </is>
      </c>
      <c r="F658" t="n">
        <v>4.8</v>
      </c>
      <c r="G658" t="inlineStr">
        <is>
          <t>Technical</t>
        </is>
      </c>
      <c r="H658" t="inlineStr">
        <is>
          <t>Yes</t>
        </is>
      </c>
      <c r="I658" t="inlineStr">
        <is>
          <t>2022-06-01</t>
        </is>
      </c>
    </row>
    <row r="659">
      <c r="A659" t="n">
        <v/>
      </c>
      <c r="B659" t="n">
        <v>1029181</v>
      </c>
      <c r="C659" t="inlineStr">
        <is>
          <t>TypeScript</t>
        </is>
      </c>
      <c r="D659" t="inlineStr">
        <is>
          <t>Secondary</t>
        </is>
      </c>
      <c r="E659" t="inlineStr">
        <is>
          <t>Intermediate</t>
        </is>
      </c>
      <c r="F659" t="n">
        <v>2.9</v>
      </c>
      <c r="G659" t="inlineStr">
        <is>
          <t>Technical</t>
        </is>
      </c>
      <c r="H659" t="inlineStr">
        <is>
          <t>Yes</t>
        </is>
      </c>
      <c r="I659" t="inlineStr">
        <is>
          <t>2022-06-01</t>
        </is>
      </c>
    </row>
    <row r="660">
      <c r="A660" t="n">
        <v/>
      </c>
      <c r="B660" t="n">
        <v>1029181</v>
      </c>
      <c r="C660" t="inlineStr">
        <is>
          <t>JavaScript</t>
        </is>
      </c>
      <c r="D660" t="inlineStr">
        <is>
          <t>Secondary</t>
        </is>
      </c>
      <c r="E660" t="inlineStr">
        <is>
          <t>Intermediate</t>
        </is>
      </c>
      <c r="F660" t="n">
        <v>2.2</v>
      </c>
      <c r="G660" t="inlineStr">
        <is>
          <t>Technical</t>
        </is>
      </c>
      <c r="H660" t="inlineStr">
        <is>
          <t>Yes</t>
        </is>
      </c>
      <c r="I660" t="inlineStr">
        <is>
          <t>2022-06-01</t>
        </is>
      </c>
    </row>
    <row r="661">
      <c r="A661" t="n">
        <v/>
      </c>
      <c r="B661" t="n">
        <v>1029181</v>
      </c>
      <c r="C661" t="inlineStr">
        <is>
          <t>HTML5</t>
        </is>
      </c>
      <c r="D661" t="inlineStr">
        <is>
          <t>Secondary</t>
        </is>
      </c>
      <c r="E661" t="inlineStr">
        <is>
          <t>Beginner</t>
        </is>
      </c>
      <c r="F661" t="n">
        <v>1.4</v>
      </c>
      <c r="G661" t="inlineStr">
        <is>
          <t>Technical</t>
        </is>
      </c>
      <c r="H661" t="inlineStr">
        <is>
          <t>Yes</t>
        </is>
      </c>
      <c r="I661" t="inlineStr">
        <is>
          <t>2022-06-01</t>
        </is>
      </c>
    </row>
    <row r="662">
      <c r="A662" t="n">
        <v/>
      </c>
      <c r="B662" t="n">
        <v>1028321</v>
      </c>
      <c r="C662" t="inlineStr">
        <is>
          <t>Frontend (Angular / TypeScript)</t>
        </is>
      </c>
      <c r="D662" t="inlineStr">
        <is>
          <t>Primary</t>
        </is>
      </c>
      <c r="E662" t="inlineStr">
        <is>
          <t>Advanced</t>
        </is>
      </c>
      <c r="F662" t="n">
        <v>5.1</v>
      </c>
      <c r="G662" t="inlineStr">
        <is>
          <t>Technical</t>
        </is>
      </c>
      <c r="H662" t="inlineStr">
        <is>
          <t>Yes</t>
        </is>
      </c>
      <c r="I662" t="inlineStr">
        <is>
          <t>2022-02-11</t>
        </is>
      </c>
    </row>
    <row r="663">
      <c r="A663" t="n">
        <v/>
      </c>
      <c r="B663" t="n">
        <v>1028321</v>
      </c>
      <c r="C663" t="inlineStr">
        <is>
          <t>TypeScript</t>
        </is>
      </c>
      <c r="D663" t="inlineStr">
        <is>
          <t>Secondary</t>
        </is>
      </c>
      <c r="E663" t="inlineStr">
        <is>
          <t>Intermediate</t>
        </is>
      </c>
      <c r="F663" t="n">
        <v>3.1</v>
      </c>
      <c r="G663" t="inlineStr">
        <is>
          <t>Technical</t>
        </is>
      </c>
      <c r="H663" t="inlineStr">
        <is>
          <t>Yes</t>
        </is>
      </c>
      <c r="I663" t="inlineStr">
        <is>
          <t>2022-02-11</t>
        </is>
      </c>
    </row>
    <row r="664">
      <c r="A664" t="n">
        <v/>
      </c>
      <c r="B664" t="n">
        <v>1028321</v>
      </c>
      <c r="C664" t="inlineStr">
        <is>
          <t>JavaScript</t>
        </is>
      </c>
      <c r="D664" t="inlineStr">
        <is>
          <t>Secondary</t>
        </is>
      </c>
      <c r="E664" t="inlineStr">
        <is>
          <t>Intermediate</t>
        </is>
      </c>
      <c r="F664" t="n">
        <v>2.3</v>
      </c>
      <c r="G664" t="inlineStr">
        <is>
          <t>Technical</t>
        </is>
      </c>
      <c r="H664" t="inlineStr">
        <is>
          <t>Yes</t>
        </is>
      </c>
      <c r="I664" t="inlineStr">
        <is>
          <t>2022-02-11</t>
        </is>
      </c>
    </row>
    <row r="665">
      <c r="A665" t="n">
        <v/>
      </c>
      <c r="B665" t="n">
        <v>1028321</v>
      </c>
      <c r="C665" t="inlineStr">
        <is>
          <t>HTML5</t>
        </is>
      </c>
      <c r="D665" t="inlineStr">
        <is>
          <t>Secondary</t>
        </is>
      </c>
      <c r="E665" t="inlineStr">
        <is>
          <t>Intermediate</t>
        </is>
      </c>
      <c r="F665" t="n">
        <v>1.5</v>
      </c>
      <c r="G665" t="inlineStr">
        <is>
          <t>Technical</t>
        </is>
      </c>
      <c r="H665" t="inlineStr">
        <is>
          <t>Yes</t>
        </is>
      </c>
      <c r="I665" t="inlineStr">
        <is>
          <t>2022-02-11</t>
        </is>
      </c>
    </row>
    <row r="666">
      <c r="A666" t="n">
        <v/>
      </c>
      <c r="B666" t="n">
        <v>1033992</v>
      </c>
      <c r="C666" t="inlineStr">
        <is>
          <t>Java / Spring Boot</t>
        </is>
      </c>
      <c r="D666" t="inlineStr">
        <is>
          <t>Primary</t>
        </is>
      </c>
      <c r="E666" t="inlineStr">
        <is>
          <t>Advanced</t>
        </is>
      </c>
      <c r="F666" t="n">
        <v>5.3</v>
      </c>
      <c r="G666" t="inlineStr">
        <is>
          <t>Technical</t>
        </is>
      </c>
      <c r="H666" t="inlineStr">
        <is>
          <t>Yes</t>
        </is>
      </c>
      <c r="I666" t="inlineStr">
        <is>
          <t>2023-12-04</t>
        </is>
      </c>
      <c r="J666" t="inlineStr">
        <is>
          <t>Benefit Plan</t>
        </is>
      </c>
    </row>
    <row r="667">
      <c r="A667" t="n">
        <v/>
      </c>
      <c r="B667" t="n">
        <v>1033992</v>
      </c>
      <c r="C667" t="inlineStr">
        <is>
          <t>SQL</t>
        </is>
      </c>
      <c r="D667" t="inlineStr">
        <is>
          <t>Secondary</t>
        </is>
      </c>
      <c r="E667" t="inlineStr">
        <is>
          <t>Intermediate</t>
        </is>
      </c>
      <c r="F667" t="n">
        <v>3.2</v>
      </c>
      <c r="G667" t="inlineStr">
        <is>
          <t>Technical</t>
        </is>
      </c>
      <c r="H667" t="inlineStr">
        <is>
          <t>Yes</t>
        </is>
      </c>
      <c r="I667" t="inlineStr">
        <is>
          <t>2023-12-04</t>
        </is>
      </c>
      <c r="J667" t="inlineStr">
        <is>
          <t>Benefit Plan</t>
        </is>
      </c>
    </row>
    <row r="668">
      <c r="A668" t="n">
        <v/>
      </c>
      <c r="B668" t="n">
        <v>1033992</v>
      </c>
      <c r="C668" t="inlineStr">
        <is>
          <t>Docker</t>
        </is>
      </c>
      <c r="D668" t="inlineStr">
        <is>
          <t>Secondary</t>
        </is>
      </c>
      <c r="E668" t="inlineStr">
        <is>
          <t>Intermediate</t>
        </is>
      </c>
      <c r="F668" t="n">
        <v>2.4</v>
      </c>
      <c r="G668" t="inlineStr">
        <is>
          <t>Technical</t>
        </is>
      </c>
      <c r="H668" t="inlineStr">
        <is>
          <t>Yes</t>
        </is>
      </c>
      <c r="I668" t="inlineStr">
        <is>
          <t>2023-12-04</t>
        </is>
      </c>
      <c r="J668" t="inlineStr">
        <is>
          <t>Benefit Plan</t>
        </is>
      </c>
    </row>
    <row r="669">
      <c r="A669" t="n">
        <v/>
      </c>
      <c r="B669" t="n">
        <v>1033992</v>
      </c>
      <c r="C669" t="inlineStr">
        <is>
          <t>Git</t>
        </is>
      </c>
      <c r="D669" t="inlineStr">
        <is>
          <t>Secondary</t>
        </is>
      </c>
      <c r="E669" t="inlineStr">
        <is>
          <t>Intermediate</t>
        </is>
      </c>
      <c r="F669" t="n">
        <v>1.6</v>
      </c>
      <c r="G669" t="inlineStr">
        <is>
          <t>Technical</t>
        </is>
      </c>
      <c r="H669" t="inlineStr">
        <is>
          <t>Yes</t>
        </is>
      </c>
      <c r="I669" t="inlineStr">
        <is>
          <t>2023-12-04</t>
        </is>
      </c>
      <c r="J669" t="inlineStr">
        <is>
          <t>Benefit Plan</t>
        </is>
      </c>
    </row>
    <row r="670">
      <c r="A670" t="n">
        <v/>
      </c>
      <c r="B670" t="n">
        <v>1016264</v>
      </c>
      <c r="C670" t="inlineStr">
        <is>
          <t>Cloud &amp; DevOps (AWS / K8s)</t>
        </is>
      </c>
      <c r="D670" t="inlineStr">
        <is>
          <t>Primary</t>
        </is>
      </c>
      <c r="E670" t="inlineStr">
        <is>
          <t>Advanced</t>
        </is>
      </c>
      <c r="F670" t="n">
        <v>15.2</v>
      </c>
      <c r="G670" t="inlineStr">
        <is>
          <t>Technical</t>
        </is>
      </c>
      <c r="H670" t="inlineStr">
        <is>
          <t>Yes</t>
        </is>
      </c>
      <c r="I670" t="inlineStr">
        <is>
          <t>2014-11-27</t>
        </is>
      </c>
    </row>
    <row r="671">
      <c r="A671" t="n">
        <v/>
      </c>
      <c r="B671" t="n">
        <v>1016264</v>
      </c>
      <c r="C671" t="inlineStr">
        <is>
          <t>Docker</t>
        </is>
      </c>
      <c r="D671" t="inlineStr">
        <is>
          <t>Secondary</t>
        </is>
      </c>
      <c r="E671" t="inlineStr">
        <is>
          <t>Advanced</t>
        </is>
      </c>
      <c r="F671" t="n">
        <v>9.1</v>
      </c>
      <c r="G671" t="inlineStr">
        <is>
          <t>Technical</t>
        </is>
      </c>
      <c r="H671" t="inlineStr">
        <is>
          <t>Yes</t>
        </is>
      </c>
      <c r="I671" t="inlineStr">
        <is>
          <t>2014-11-27</t>
        </is>
      </c>
    </row>
    <row r="672">
      <c r="A672" t="n">
        <v/>
      </c>
      <c r="B672" t="n">
        <v>1016264</v>
      </c>
      <c r="C672" t="inlineStr">
        <is>
          <t>Kubernetes</t>
        </is>
      </c>
      <c r="D672" t="inlineStr">
        <is>
          <t>Secondary</t>
        </is>
      </c>
      <c r="E672" t="inlineStr">
        <is>
          <t>Advanced</t>
        </is>
      </c>
      <c r="F672" t="n">
        <v>6.8</v>
      </c>
      <c r="G672" t="inlineStr">
        <is>
          <t>Technical</t>
        </is>
      </c>
      <c r="H672" t="inlineStr">
        <is>
          <t>Yes</t>
        </is>
      </c>
      <c r="I672" t="inlineStr">
        <is>
          <t>2014-11-27</t>
        </is>
      </c>
    </row>
    <row r="673">
      <c r="A673" t="n">
        <v/>
      </c>
      <c r="B673" t="n">
        <v>1016264</v>
      </c>
      <c r="C673" t="inlineStr">
        <is>
          <t>Linux</t>
        </is>
      </c>
      <c r="D673" t="inlineStr">
        <is>
          <t>Secondary</t>
        </is>
      </c>
      <c r="E673" t="inlineStr">
        <is>
          <t>Intermediate</t>
        </is>
      </c>
      <c r="F673" t="n">
        <v>4.6</v>
      </c>
      <c r="G673" t="inlineStr">
        <is>
          <t>Technical</t>
        </is>
      </c>
      <c r="H673" t="inlineStr">
        <is>
          <t>Yes</t>
        </is>
      </c>
      <c r="I673" t="inlineStr">
        <is>
          <t>2014-11-27</t>
        </is>
      </c>
    </row>
    <row r="674">
      <c r="A674" t="n">
        <v/>
      </c>
      <c r="B674" t="n">
        <v>1028929</v>
      </c>
      <c r="C674" t="inlineStr">
        <is>
          <t>Cloud &amp; DevOps (AWS / K8s)</t>
        </is>
      </c>
      <c r="D674" t="inlineStr">
        <is>
          <t>Primary</t>
        </is>
      </c>
      <c r="E674" t="inlineStr">
        <is>
          <t>Advanced</t>
        </is>
      </c>
      <c r="F674" t="n">
        <v>4.9</v>
      </c>
      <c r="G674" t="inlineStr">
        <is>
          <t>Technical</t>
        </is>
      </c>
      <c r="H674" t="inlineStr">
        <is>
          <t>Yes</t>
        </is>
      </c>
      <c r="I674" t="inlineStr">
        <is>
          <t>2022-04-25</t>
        </is>
      </c>
    </row>
    <row r="675">
      <c r="A675" t="n">
        <v/>
      </c>
      <c r="B675" t="n">
        <v>1028929</v>
      </c>
      <c r="C675" t="inlineStr">
        <is>
          <t>Docker</t>
        </is>
      </c>
      <c r="D675" t="inlineStr">
        <is>
          <t>Secondary</t>
        </is>
      </c>
      <c r="E675" t="inlineStr">
        <is>
          <t>Intermediate</t>
        </is>
      </c>
      <c r="F675" t="n">
        <v>2.9</v>
      </c>
      <c r="G675" t="inlineStr">
        <is>
          <t>Technical</t>
        </is>
      </c>
      <c r="H675" t="inlineStr">
        <is>
          <t>Yes</t>
        </is>
      </c>
      <c r="I675" t="inlineStr">
        <is>
          <t>2022-04-25</t>
        </is>
      </c>
    </row>
    <row r="676">
      <c r="A676" t="n">
        <v/>
      </c>
      <c r="B676" t="n">
        <v>1028929</v>
      </c>
      <c r="C676" t="inlineStr">
        <is>
          <t>Kubernetes</t>
        </is>
      </c>
      <c r="D676" t="inlineStr">
        <is>
          <t>Secondary</t>
        </is>
      </c>
      <c r="E676" t="inlineStr">
        <is>
          <t>Intermediate</t>
        </is>
      </c>
      <c r="F676" t="n">
        <v>2.2</v>
      </c>
      <c r="G676" t="inlineStr">
        <is>
          <t>Technical</t>
        </is>
      </c>
      <c r="H676" t="inlineStr">
        <is>
          <t>Yes</t>
        </is>
      </c>
      <c r="I676" t="inlineStr">
        <is>
          <t>2022-04-25</t>
        </is>
      </c>
    </row>
    <row r="677">
      <c r="A677" t="n">
        <v/>
      </c>
      <c r="B677" t="n">
        <v>1028929</v>
      </c>
      <c r="C677" t="inlineStr">
        <is>
          <t>Linux</t>
        </is>
      </c>
      <c r="D677" t="inlineStr">
        <is>
          <t>Secondary</t>
        </is>
      </c>
      <c r="E677" t="inlineStr">
        <is>
          <t>Intermediate</t>
        </is>
      </c>
      <c r="F677" t="n">
        <v>1.5</v>
      </c>
      <c r="G677" t="inlineStr">
        <is>
          <t>Technical</t>
        </is>
      </c>
      <c r="H677" t="inlineStr">
        <is>
          <t>Yes</t>
        </is>
      </c>
      <c r="I677" t="inlineStr">
        <is>
          <t>2022-04-25</t>
        </is>
      </c>
    </row>
    <row r="678">
      <c r="A678" t="n">
        <v/>
      </c>
      <c r="B678" t="n">
        <v>1029820</v>
      </c>
      <c r="C678" t="inlineStr">
        <is>
          <t>QA Automation / SDET</t>
        </is>
      </c>
      <c r="D678" t="inlineStr">
        <is>
          <t>Primary</t>
        </is>
      </c>
      <c r="E678" t="inlineStr">
        <is>
          <t>Advanced</t>
        </is>
      </c>
      <c r="F678" t="n">
        <v>4.6</v>
      </c>
      <c r="G678" t="inlineStr">
        <is>
          <t>Technical</t>
        </is>
      </c>
      <c r="H678" t="inlineStr">
        <is>
          <t>Yes</t>
        </is>
      </c>
      <c r="I678" t="inlineStr">
        <is>
          <t>2022-08-12</t>
        </is>
      </c>
    </row>
    <row r="679">
      <c r="A679" t="n">
        <v/>
      </c>
      <c r="B679" t="n">
        <v>1029820</v>
      </c>
      <c r="C679" t="inlineStr">
        <is>
          <t>Selenium</t>
        </is>
      </c>
      <c r="D679" t="inlineStr">
        <is>
          <t>Secondary</t>
        </is>
      </c>
      <c r="E679" t="inlineStr">
        <is>
          <t>Intermediate</t>
        </is>
      </c>
      <c r="F679" t="n">
        <v>2.8</v>
      </c>
      <c r="G679" t="inlineStr">
        <is>
          <t>Technical</t>
        </is>
      </c>
      <c r="H679" t="inlineStr">
        <is>
          <t>Yes</t>
        </is>
      </c>
      <c r="I679" t="inlineStr">
        <is>
          <t>2022-08-12</t>
        </is>
      </c>
    </row>
    <row r="680">
      <c r="A680" t="n">
        <v/>
      </c>
      <c r="B680" t="n">
        <v>1029820</v>
      </c>
      <c r="C680" t="inlineStr">
        <is>
          <t>API Testing (Postman)</t>
        </is>
      </c>
      <c r="D680" t="inlineStr">
        <is>
          <t>Secondary</t>
        </is>
      </c>
      <c r="E680" t="inlineStr">
        <is>
          <t>Intermediate</t>
        </is>
      </c>
      <c r="F680" t="n">
        <v>2.1</v>
      </c>
      <c r="G680" t="inlineStr">
        <is>
          <t>Technical</t>
        </is>
      </c>
      <c r="H680" t="inlineStr">
        <is>
          <t>Yes</t>
        </is>
      </c>
      <c r="I680" t="inlineStr">
        <is>
          <t>2022-08-12</t>
        </is>
      </c>
    </row>
    <row r="681">
      <c r="A681" t="n">
        <v/>
      </c>
      <c r="B681" t="n">
        <v>1029820</v>
      </c>
      <c r="C681" t="inlineStr">
        <is>
          <t>TestNG</t>
        </is>
      </c>
      <c r="D681" t="inlineStr">
        <is>
          <t>Secondary</t>
        </is>
      </c>
      <c r="E681" t="inlineStr">
        <is>
          <t>Beginner</t>
        </is>
      </c>
      <c r="F681" t="n">
        <v>1.4</v>
      </c>
      <c r="G681" t="inlineStr">
        <is>
          <t>Technical</t>
        </is>
      </c>
      <c r="H681" t="inlineStr">
        <is>
          <t>Yes</t>
        </is>
      </c>
      <c r="I681" t="inlineStr">
        <is>
          <t>2022-08-12</t>
        </is>
      </c>
    </row>
    <row r="682">
      <c r="A682" t="n">
        <v/>
      </c>
      <c r="B682" t="n">
        <v>1025177</v>
      </c>
      <c r="C682" t="inlineStr">
        <is>
          <t>QA Automation / SDET</t>
        </is>
      </c>
      <c r="D682" t="inlineStr">
        <is>
          <t>Primary</t>
        </is>
      </c>
      <c r="E682" t="inlineStr">
        <is>
          <t>Advanced</t>
        </is>
      </c>
      <c r="F682" t="n">
        <v>7.6</v>
      </c>
      <c r="G682" t="inlineStr">
        <is>
          <t>Technical</t>
        </is>
      </c>
      <c r="H682" t="inlineStr">
        <is>
          <t>Yes</t>
        </is>
      </c>
      <c r="I682" t="inlineStr">
        <is>
          <t>2021-05-03</t>
        </is>
      </c>
    </row>
    <row r="683">
      <c r="A683" t="n">
        <v/>
      </c>
      <c r="B683" t="n">
        <v>1025177</v>
      </c>
      <c r="C683" t="inlineStr">
        <is>
          <t>Selenium</t>
        </is>
      </c>
      <c r="D683" t="inlineStr">
        <is>
          <t>Secondary</t>
        </is>
      </c>
      <c r="E683" t="inlineStr">
        <is>
          <t>Intermediate</t>
        </is>
      </c>
      <c r="F683" t="n">
        <v>4.6</v>
      </c>
      <c r="G683" t="inlineStr">
        <is>
          <t>Technical</t>
        </is>
      </c>
      <c r="H683" t="inlineStr">
        <is>
          <t>Yes</t>
        </is>
      </c>
      <c r="I683" t="inlineStr">
        <is>
          <t>2021-05-03</t>
        </is>
      </c>
    </row>
    <row r="684">
      <c r="A684" t="n">
        <v/>
      </c>
      <c r="B684" t="n">
        <v>1025177</v>
      </c>
      <c r="C684" t="inlineStr">
        <is>
          <t>API Testing (Postman)</t>
        </is>
      </c>
      <c r="D684" t="inlineStr">
        <is>
          <t>Secondary</t>
        </is>
      </c>
      <c r="E684" t="inlineStr">
        <is>
          <t>Intermediate</t>
        </is>
      </c>
      <c r="F684" t="n">
        <v>3.4</v>
      </c>
      <c r="G684" t="inlineStr">
        <is>
          <t>Technical</t>
        </is>
      </c>
      <c r="H684" t="inlineStr">
        <is>
          <t>Yes</t>
        </is>
      </c>
      <c r="I684" t="inlineStr">
        <is>
          <t>2021-05-03</t>
        </is>
      </c>
    </row>
    <row r="685">
      <c r="A685" t="n">
        <v/>
      </c>
      <c r="B685" t="n">
        <v>1025177</v>
      </c>
      <c r="C685" t="inlineStr">
        <is>
          <t>TestNG</t>
        </is>
      </c>
      <c r="D685" t="inlineStr">
        <is>
          <t>Secondary</t>
        </is>
      </c>
      <c r="E685" t="inlineStr">
        <is>
          <t>Intermediate</t>
        </is>
      </c>
      <c r="F685" t="n">
        <v>2.3</v>
      </c>
      <c r="G685" t="inlineStr">
        <is>
          <t>Technical</t>
        </is>
      </c>
      <c r="H685" t="inlineStr">
        <is>
          <t>Yes</t>
        </is>
      </c>
      <c r="I685" t="inlineStr">
        <is>
          <t>2021-05-03</t>
        </is>
      </c>
    </row>
    <row r="686">
      <c r="A686" t="n">
        <v/>
      </c>
      <c r="B686" t="n">
        <v>1025043</v>
      </c>
      <c r="C686" t="inlineStr">
        <is>
          <t>Database &amp; SQL Architecture</t>
        </is>
      </c>
      <c r="D686" t="inlineStr">
        <is>
          <t>Primary</t>
        </is>
      </c>
      <c r="E686" t="inlineStr">
        <is>
          <t>Advanced</t>
        </is>
      </c>
      <c r="F686" t="n">
        <v>9.4</v>
      </c>
      <c r="G686" t="inlineStr">
        <is>
          <t>Technical</t>
        </is>
      </c>
      <c r="H686" t="inlineStr">
        <is>
          <t>Yes</t>
        </is>
      </c>
      <c r="I686" t="inlineStr">
        <is>
          <t>2021-04-14</t>
        </is>
      </c>
    </row>
    <row r="687">
      <c r="A687" t="n">
        <v/>
      </c>
      <c r="B687" t="n">
        <v>1025043</v>
      </c>
      <c r="C687" t="inlineStr">
        <is>
          <t>PostgreSQL</t>
        </is>
      </c>
      <c r="D687" t="inlineStr">
        <is>
          <t>Secondary</t>
        </is>
      </c>
      <c r="E687" t="inlineStr">
        <is>
          <t>Advanced</t>
        </is>
      </c>
      <c r="F687" t="n">
        <v>5.6</v>
      </c>
      <c r="G687" t="inlineStr">
        <is>
          <t>Technical</t>
        </is>
      </c>
      <c r="H687" t="inlineStr">
        <is>
          <t>Yes</t>
        </is>
      </c>
      <c r="I687" t="inlineStr">
        <is>
          <t>2021-04-14</t>
        </is>
      </c>
    </row>
    <row r="688">
      <c r="A688" t="n">
        <v/>
      </c>
      <c r="B688" t="n">
        <v>1025043</v>
      </c>
      <c r="C688" t="inlineStr">
        <is>
          <t>Oracle</t>
        </is>
      </c>
      <c r="D688" t="inlineStr">
        <is>
          <t>Secondary</t>
        </is>
      </c>
      <c r="E688" t="inlineStr">
        <is>
          <t>Intermediate</t>
        </is>
      </c>
      <c r="F688" t="n">
        <v>4.2</v>
      </c>
      <c r="G688" t="inlineStr">
        <is>
          <t>Technical</t>
        </is>
      </c>
      <c r="H688" t="inlineStr">
        <is>
          <t>Yes</t>
        </is>
      </c>
      <c r="I688" t="inlineStr">
        <is>
          <t>2021-04-14</t>
        </is>
      </c>
    </row>
    <row r="689">
      <c r="A689" t="n">
        <v/>
      </c>
      <c r="B689" t="n">
        <v>1025043</v>
      </c>
      <c r="C689" t="inlineStr">
        <is>
          <t>Performance Tuning</t>
        </is>
      </c>
      <c r="D689" t="inlineStr">
        <is>
          <t>Secondary</t>
        </is>
      </c>
      <c r="E689" t="inlineStr">
        <is>
          <t>Intermediate</t>
        </is>
      </c>
      <c r="F689" t="n">
        <v>2.8</v>
      </c>
      <c r="G689" t="inlineStr">
        <is>
          <t>Technical</t>
        </is>
      </c>
      <c r="H689" t="inlineStr">
        <is>
          <t>Yes</t>
        </is>
      </c>
      <c r="I689" t="inlineStr">
        <is>
          <t>2021-04-14</t>
        </is>
      </c>
    </row>
    <row r="690">
      <c r="A690" t="n">
        <v/>
      </c>
      <c r="B690" t="n">
        <v>1026054</v>
      </c>
      <c r="C690" t="inlineStr">
        <is>
          <t>Java / Spring Boot</t>
        </is>
      </c>
      <c r="D690" t="inlineStr">
        <is>
          <t>Primary</t>
        </is>
      </c>
      <c r="E690" t="inlineStr">
        <is>
          <t>Advanced</t>
        </is>
      </c>
      <c r="F690" t="n">
        <v>5.6</v>
      </c>
      <c r="G690" t="inlineStr">
        <is>
          <t>Technical</t>
        </is>
      </c>
      <c r="H690" t="inlineStr">
        <is>
          <t>Yes</t>
        </is>
      </c>
      <c r="I690" t="inlineStr">
        <is>
          <t>2021-08-09</t>
        </is>
      </c>
      <c r="J690" t="inlineStr">
        <is>
          <t>Claims Payment</t>
        </is>
      </c>
    </row>
    <row r="691">
      <c r="A691" t="n">
        <v/>
      </c>
      <c r="B691" t="n">
        <v>1026054</v>
      </c>
      <c r="C691" t="inlineStr">
        <is>
          <t>SQL</t>
        </is>
      </c>
      <c r="D691" t="inlineStr">
        <is>
          <t>Secondary</t>
        </is>
      </c>
      <c r="E691" t="inlineStr">
        <is>
          <t>Intermediate</t>
        </is>
      </c>
      <c r="F691" t="n">
        <v>3.4</v>
      </c>
      <c r="G691" t="inlineStr">
        <is>
          <t>Technical</t>
        </is>
      </c>
      <c r="H691" t="inlineStr">
        <is>
          <t>Yes</t>
        </is>
      </c>
      <c r="I691" t="inlineStr">
        <is>
          <t>2021-08-09</t>
        </is>
      </c>
      <c r="J691" t="inlineStr">
        <is>
          <t>Claims Payment</t>
        </is>
      </c>
    </row>
    <row r="692">
      <c r="A692" t="n">
        <v/>
      </c>
      <c r="B692" t="n">
        <v>1026054</v>
      </c>
      <c r="C692" t="inlineStr">
        <is>
          <t>Docker</t>
        </is>
      </c>
      <c r="D692" t="inlineStr">
        <is>
          <t>Secondary</t>
        </is>
      </c>
      <c r="E692" t="inlineStr">
        <is>
          <t>Intermediate</t>
        </is>
      </c>
      <c r="F692" t="n">
        <v>2.5</v>
      </c>
      <c r="G692" t="inlineStr">
        <is>
          <t>Technical</t>
        </is>
      </c>
      <c r="H692" t="inlineStr">
        <is>
          <t>Yes</t>
        </is>
      </c>
      <c r="I692" t="inlineStr">
        <is>
          <t>2021-08-09</t>
        </is>
      </c>
      <c r="J692" t="inlineStr">
        <is>
          <t>Claims Payment</t>
        </is>
      </c>
    </row>
    <row r="693">
      <c r="A693" t="n">
        <v/>
      </c>
      <c r="B693" t="n">
        <v>1026054</v>
      </c>
      <c r="C693" t="inlineStr">
        <is>
          <t>Git</t>
        </is>
      </c>
      <c r="D693" t="inlineStr">
        <is>
          <t>Secondary</t>
        </is>
      </c>
      <c r="E693" t="inlineStr">
        <is>
          <t>Intermediate</t>
        </is>
      </c>
      <c r="F693" t="n">
        <v>1.7</v>
      </c>
      <c r="G693" t="inlineStr">
        <is>
          <t>Technical</t>
        </is>
      </c>
      <c r="H693" t="inlineStr">
        <is>
          <t>Yes</t>
        </is>
      </c>
      <c r="I693" t="inlineStr">
        <is>
          <t>2021-08-09</t>
        </is>
      </c>
      <c r="J693" t="inlineStr">
        <is>
          <t>Claims Payment</t>
        </is>
      </c>
    </row>
    <row r="694">
      <c r="A694" t="n">
        <v/>
      </c>
      <c r="B694" t="n">
        <v>1031873</v>
      </c>
      <c r="C694" t="inlineStr">
        <is>
          <t>Cloud &amp; DevOps (AWS / K8s)</t>
        </is>
      </c>
      <c r="D694" t="inlineStr">
        <is>
          <t>Primary</t>
        </is>
      </c>
      <c r="E694" t="inlineStr">
        <is>
          <t>Advanced</t>
        </is>
      </c>
      <c r="F694" t="n">
        <v>7.9</v>
      </c>
      <c r="G694" t="inlineStr">
        <is>
          <t>Technical</t>
        </is>
      </c>
      <c r="H694" t="inlineStr">
        <is>
          <t>Yes</t>
        </is>
      </c>
      <c r="I694" t="inlineStr">
        <is>
          <t>2022-12-19</t>
        </is>
      </c>
    </row>
    <row r="695">
      <c r="A695" t="n">
        <v/>
      </c>
      <c r="B695" t="n">
        <v>1031873</v>
      </c>
      <c r="C695" t="inlineStr">
        <is>
          <t>Linux</t>
        </is>
      </c>
      <c r="D695" t="inlineStr">
        <is>
          <t>Secondary</t>
        </is>
      </c>
      <c r="E695" t="inlineStr">
        <is>
          <t>Intermediate</t>
        </is>
      </c>
      <c r="F695" t="n">
        <v>4.7</v>
      </c>
      <c r="G695" t="inlineStr">
        <is>
          <t>Technical</t>
        </is>
      </c>
      <c r="H695" t="inlineStr">
        <is>
          <t>Yes</t>
        </is>
      </c>
      <c r="I695" t="inlineStr">
        <is>
          <t>2022-12-19</t>
        </is>
      </c>
    </row>
    <row r="696">
      <c r="A696" t="n">
        <v/>
      </c>
      <c r="B696" t="n">
        <v>1031873</v>
      </c>
      <c r="C696" t="inlineStr">
        <is>
          <t>Docker</t>
        </is>
      </c>
      <c r="D696" t="inlineStr">
        <is>
          <t>Secondary</t>
        </is>
      </c>
      <c r="E696" t="inlineStr">
        <is>
          <t>Intermediate</t>
        </is>
      </c>
      <c r="F696" t="n">
        <v>3.6</v>
      </c>
      <c r="G696" t="inlineStr">
        <is>
          <t>Technical</t>
        </is>
      </c>
      <c r="H696" t="inlineStr">
        <is>
          <t>Yes</t>
        </is>
      </c>
      <c r="I696" t="inlineStr">
        <is>
          <t>2022-12-19</t>
        </is>
      </c>
    </row>
    <row r="697">
      <c r="A697" t="n">
        <v/>
      </c>
      <c r="B697" t="n">
        <v>1031873</v>
      </c>
      <c r="C697" t="inlineStr">
        <is>
          <t>Kubernetes</t>
        </is>
      </c>
      <c r="D697" t="inlineStr">
        <is>
          <t>Secondary</t>
        </is>
      </c>
      <c r="E697" t="inlineStr">
        <is>
          <t>Intermediate</t>
        </is>
      </c>
      <c r="F697" t="n">
        <v>2.4</v>
      </c>
      <c r="G697" t="inlineStr">
        <is>
          <t>Technical</t>
        </is>
      </c>
      <c r="H697" t="inlineStr">
        <is>
          <t>Yes</t>
        </is>
      </c>
      <c r="I697" t="inlineStr">
        <is>
          <t>2022-12-19</t>
        </is>
      </c>
    </row>
    <row r="698">
      <c r="A698" t="n">
        <v/>
      </c>
      <c r="B698" t="n">
        <v>1020016</v>
      </c>
      <c r="C698" t="inlineStr">
        <is>
          <t>QA Automation / SDET</t>
        </is>
      </c>
      <c r="D698" t="inlineStr">
        <is>
          <t>Primary</t>
        </is>
      </c>
      <c r="E698" t="inlineStr">
        <is>
          <t>Advanced</t>
        </is>
      </c>
      <c r="F698" t="n">
        <v>8.9</v>
      </c>
      <c r="G698" t="inlineStr">
        <is>
          <t>Technical</t>
        </is>
      </c>
      <c r="H698" t="inlineStr">
        <is>
          <t>Yes</t>
        </is>
      </c>
      <c r="I698" t="inlineStr">
        <is>
          <t>2017-11-29</t>
        </is>
      </c>
    </row>
    <row r="699">
      <c r="A699" t="n">
        <v/>
      </c>
      <c r="B699" t="n">
        <v>1020016</v>
      </c>
      <c r="C699" t="inlineStr">
        <is>
          <t>Selenium</t>
        </is>
      </c>
      <c r="D699" t="inlineStr">
        <is>
          <t>Secondary</t>
        </is>
      </c>
      <c r="E699" t="inlineStr">
        <is>
          <t>Advanced</t>
        </is>
      </c>
      <c r="F699" t="n">
        <v>5.3</v>
      </c>
      <c r="G699" t="inlineStr">
        <is>
          <t>Technical</t>
        </is>
      </c>
      <c r="H699" t="inlineStr">
        <is>
          <t>Yes</t>
        </is>
      </c>
      <c r="I699" t="inlineStr">
        <is>
          <t>2017-11-29</t>
        </is>
      </c>
    </row>
    <row r="700">
      <c r="A700" t="n">
        <v/>
      </c>
      <c r="B700" t="n">
        <v>1020016</v>
      </c>
      <c r="C700" t="inlineStr">
        <is>
          <t>API Testing (Postman)</t>
        </is>
      </c>
      <c r="D700" t="inlineStr">
        <is>
          <t>Secondary</t>
        </is>
      </c>
      <c r="E700" t="inlineStr">
        <is>
          <t>Intermediate</t>
        </is>
      </c>
      <c r="F700" t="n">
        <v>4</v>
      </c>
      <c r="G700" t="inlineStr">
        <is>
          <t>Technical</t>
        </is>
      </c>
      <c r="H700" t="inlineStr">
        <is>
          <t>Yes</t>
        </is>
      </c>
      <c r="I700" t="inlineStr">
        <is>
          <t>2017-11-29</t>
        </is>
      </c>
    </row>
    <row r="701">
      <c r="A701" t="n">
        <v/>
      </c>
      <c r="B701" t="n">
        <v>1020016</v>
      </c>
      <c r="C701" t="inlineStr">
        <is>
          <t>TestNG</t>
        </is>
      </c>
      <c r="D701" t="inlineStr">
        <is>
          <t>Secondary</t>
        </is>
      </c>
      <c r="E701" t="inlineStr">
        <is>
          <t>Intermediate</t>
        </is>
      </c>
      <c r="F701" t="n">
        <v>2.7</v>
      </c>
      <c r="G701" t="inlineStr">
        <is>
          <t>Technical</t>
        </is>
      </c>
      <c r="H701" t="inlineStr">
        <is>
          <t>Yes</t>
        </is>
      </c>
      <c r="I701" t="inlineStr">
        <is>
          <t>2017-11-29</t>
        </is>
      </c>
    </row>
    <row r="702">
      <c r="A702" t="n">
        <v/>
      </c>
      <c r="B702" t="n">
        <v>1031870</v>
      </c>
      <c r="C702" t="inlineStr">
        <is>
          <t>Project &amp; Delivery Management</t>
        </is>
      </c>
      <c r="D702" t="inlineStr">
        <is>
          <t>Primary</t>
        </is>
      </c>
      <c r="E702" t="inlineStr">
        <is>
          <t>Advanced</t>
        </is>
      </c>
      <c r="F702" t="n">
        <v>7.9</v>
      </c>
      <c r="G702" t="inlineStr">
        <is>
          <t>Functional</t>
        </is>
      </c>
      <c r="H702" t="inlineStr">
        <is>
          <t>Yes</t>
        </is>
      </c>
      <c r="I702" t="inlineStr">
        <is>
          <t>2022-12-19</t>
        </is>
      </c>
    </row>
    <row r="703">
      <c r="A703" t="n">
        <v/>
      </c>
      <c r="B703" t="n">
        <v>1031870</v>
      </c>
      <c r="C703" t="inlineStr">
        <is>
          <t>Agile / Scrum</t>
        </is>
      </c>
      <c r="D703" t="inlineStr">
        <is>
          <t>Secondary</t>
        </is>
      </c>
      <c r="E703" t="inlineStr">
        <is>
          <t>Intermediate</t>
        </is>
      </c>
      <c r="F703" t="n">
        <v>4.7</v>
      </c>
      <c r="G703" t="inlineStr">
        <is>
          <t>Functional</t>
        </is>
      </c>
      <c r="H703" t="inlineStr">
        <is>
          <t>Yes</t>
        </is>
      </c>
      <c r="I703" t="inlineStr">
        <is>
          <t>2022-12-19</t>
        </is>
      </c>
    </row>
    <row r="704">
      <c r="A704" t="n">
        <v/>
      </c>
      <c r="B704" t="n">
        <v>1031870</v>
      </c>
      <c r="C704" t="inlineStr">
        <is>
          <t>Stakeholder Management</t>
        </is>
      </c>
      <c r="D704" t="inlineStr">
        <is>
          <t>Secondary</t>
        </is>
      </c>
      <c r="E704" t="inlineStr">
        <is>
          <t>Intermediate</t>
        </is>
      </c>
      <c r="F704" t="n">
        <v>3.6</v>
      </c>
      <c r="G704" t="inlineStr">
        <is>
          <t>Functional</t>
        </is>
      </c>
      <c r="H704" t="inlineStr">
        <is>
          <t>Yes</t>
        </is>
      </c>
      <c r="I704" t="inlineStr">
        <is>
          <t>2022-12-19</t>
        </is>
      </c>
    </row>
    <row r="705">
      <c r="A705" t="n">
        <v/>
      </c>
      <c r="B705" t="n">
        <v>1031870</v>
      </c>
      <c r="C705" t="inlineStr">
        <is>
          <t>Resource Planning</t>
        </is>
      </c>
      <c r="D705" t="inlineStr">
        <is>
          <t>Secondary</t>
        </is>
      </c>
      <c r="E705" t="inlineStr">
        <is>
          <t>Intermediate</t>
        </is>
      </c>
      <c r="F705" t="n">
        <v>2.4</v>
      </c>
      <c r="G705" t="inlineStr">
        <is>
          <t>Functional</t>
        </is>
      </c>
      <c r="H705" t="inlineStr">
        <is>
          <t>Yes</t>
        </is>
      </c>
      <c r="I705" t="inlineStr">
        <is>
          <t>2022-12-19</t>
        </is>
      </c>
    </row>
    <row r="706">
      <c r="A706" t="n">
        <v/>
      </c>
      <c r="B706" t="n">
        <v>1029944</v>
      </c>
      <c r="C706" t="inlineStr">
        <is>
          <t>Cloud &amp; DevOps (AWS / K8s)</t>
        </is>
      </c>
      <c r="D706" t="inlineStr">
        <is>
          <t>Primary</t>
        </is>
      </c>
      <c r="E706" t="inlineStr">
        <is>
          <t>Advanced</t>
        </is>
      </c>
      <c r="F706" t="n">
        <v>4.6</v>
      </c>
      <c r="G706" t="inlineStr">
        <is>
          <t>Technical</t>
        </is>
      </c>
      <c r="H706" t="inlineStr">
        <is>
          <t>Yes</t>
        </is>
      </c>
      <c r="I706" t="inlineStr">
        <is>
          <t>2022-08-22</t>
        </is>
      </c>
    </row>
    <row r="707">
      <c r="A707" t="n">
        <v/>
      </c>
      <c r="B707" t="n">
        <v>1029944</v>
      </c>
      <c r="C707" t="inlineStr">
        <is>
          <t>Docker</t>
        </is>
      </c>
      <c r="D707" t="inlineStr">
        <is>
          <t>Secondary</t>
        </is>
      </c>
      <c r="E707" t="inlineStr">
        <is>
          <t>Intermediate</t>
        </is>
      </c>
      <c r="F707" t="n">
        <v>2.8</v>
      </c>
      <c r="G707" t="inlineStr">
        <is>
          <t>Technical</t>
        </is>
      </c>
      <c r="H707" t="inlineStr">
        <is>
          <t>Yes</t>
        </is>
      </c>
      <c r="I707" t="inlineStr">
        <is>
          <t>2022-08-22</t>
        </is>
      </c>
    </row>
    <row r="708">
      <c r="A708" t="n">
        <v/>
      </c>
      <c r="B708" t="n">
        <v>1029944</v>
      </c>
      <c r="C708" t="inlineStr">
        <is>
          <t>Kubernetes</t>
        </is>
      </c>
      <c r="D708" t="inlineStr">
        <is>
          <t>Secondary</t>
        </is>
      </c>
      <c r="E708" t="inlineStr">
        <is>
          <t>Intermediate</t>
        </is>
      </c>
      <c r="F708" t="n">
        <v>2.1</v>
      </c>
      <c r="G708" t="inlineStr">
        <is>
          <t>Technical</t>
        </is>
      </c>
      <c r="H708" t="inlineStr">
        <is>
          <t>Yes</t>
        </is>
      </c>
      <c r="I708" t="inlineStr">
        <is>
          <t>2022-08-22</t>
        </is>
      </c>
    </row>
    <row r="709">
      <c r="A709" t="n">
        <v/>
      </c>
      <c r="B709" t="n">
        <v>1029944</v>
      </c>
      <c r="C709" t="inlineStr">
        <is>
          <t>Linux</t>
        </is>
      </c>
      <c r="D709" t="inlineStr">
        <is>
          <t>Secondary</t>
        </is>
      </c>
      <c r="E709" t="inlineStr">
        <is>
          <t>Beginner</t>
        </is>
      </c>
      <c r="F709" t="n">
        <v>1.4</v>
      </c>
      <c r="G709" t="inlineStr">
        <is>
          <t>Technical</t>
        </is>
      </c>
      <c r="H709" t="inlineStr">
        <is>
          <t>Yes</t>
        </is>
      </c>
      <c r="I709" t="inlineStr">
        <is>
          <t>2022-08-22</t>
        </is>
      </c>
    </row>
    <row r="710">
      <c r="A710" t="n">
        <v/>
      </c>
      <c r="B710" t="n">
        <v>1031869</v>
      </c>
      <c r="C710" t="inlineStr">
        <is>
          <t>Cloud &amp; DevOps (AWS / K8s)</t>
        </is>
      </c>
      <c r="D710" t="inlineStr">
        <is>
          <t>Primary</t>
        </is>
      </c>
      <c r="E710" t="inlineStr">
        <is>
          <t>Advanced</t>
        </is>
      </c>
      <c r="F710" t="n">
        <v>6.1</v>
      </c>
      <c r="G710" t="inlineStr">
        <is>
          <t>Technical</t>
        </is>
      </c>
      <c r="H710" t="inlineStr">
        <is>
          <t>Yes</t>
        </is>
      </c>
      <c r="I710" t="inlineStr">
        <is>
          <t>2022-12-19</t>
        </is>
      </c>
    </row>
    <row r="711">
      <c r="A711" t="n">
        <v/>
      </c>
      <c r="B711" t="n">
        <v>1031869</v>
      </c>
      <c r="C711" t="inlineStr">
        <is>
          <t>Docker</t>
        </is>
      </c>
      <c r="D711" t="inlineStr">
        <is>
          <t>Secondary</t>
        </is>
      </c>
      <c r="E711" t="inlineStr">
        <is>
          <t>Intermediate</t>
        </is>
      </c>
      <c r="F711" t="n">
        <v>3.7</v>
      </c>
      <c r="G711" t="inlineStr">
        <is>
          <t>Technical</t>
        </is>
      </c>
      <c r="H711" t="inlineStr">
        <is>
          <t>Yes</t>
        </is>
      </c>
      <c r="I711" t="inlineStr">
        <is>
          <t>2022-12-19</t>
        </is>
      </c>
    </row>
    <row r="712">
      <c r="A712" t="n">
        <v/>
      </c>
      <c r="B712" t="n">
        <v>1031869</v>
      </c>
      <c r="C712" t="inlineStr">
        <is>
          <t>Kubernetes</t>
        </is>
      </c>
      <c r="D712" t="inlineStr">
        <is>
          <t>Secondary</t>
        </is>
      </c>
      <c r="E712" t="inlineStr">
        <is>
          <t>Intermediate</t>
        </is>
      </c>
      <c r="F712" t="n">
        <v>2.7</v>
      </c>
      <c r="G712" t="inlineStr">
        <is>
          <t>Technical</t>
        </is>
      </c>
      <c r="H712" t="inlineStr">
        <is>
          <t>Yes</t>
        </is>
      </c>
      <c r="I712" t="inlineStr">
        <is>
          <t>2022-12-19</t>
        </is>
      </c>
    </row>
    <row r="713">
      <c r="A713" t="n">
        <v/>
      </c>
      <c r="B713" t="n">
        <v>1031869</v>
      </c>
      <c r="C713" t="inlineStr">
        <is>
          <t>Linux</t>
        </is>
      </c>
      <c r="D713" t="inlineStr">
        <is>
          <t>Secondary</t>
        </is>
      </c>
      <c r="E713" t="inlineStr">
        <is>
          <t>Intermediate</t>
        </is>
      </c>
      <c r="F713" t="n">
        <v>1.8</v>
      </c>
      <c r="G713" t="inlineStr">
        <is>
          <t>Technical</t>
        </is>
      </c>
      <c r="H713" t="inlineStr">
        <is>
          <t>Yes</t>
        </is>
      </c>
      <c r="I713" t="inlineStr">
        <is>
          <t>2022-12-19</t>
        </is>
      </c>
    </row>
    <row r="714">
      <c r="A714" t="n">
        <v/>
      </c>
      <c r="B714" t="n">
        <v>1029329</v>
      </c>
      <c r="C714" t="inlineStr">
        <is>
          <t>Cloud &amp; DevOps (AWS / K8s)</t>
        </is>
      </c>
      <c r="D714" t="inlineStr">
        <is>
          <t>Primary</t>
        </is>
      </c>
      <c r="E714" t="inlineStr">
        <is>
          <t>Advanced</t>
        </is>
      </c>
      <c r="F714" t="n">
        <v>4.8</v>
      </c>
      <c r="G714" t="inlineStr">
        <is>
          <t>Technical</t>
        </is>
      </c>
      <c r="H714" t="inlineStr">
        <is>
          <t>Yes</t>
        </is>
      </c>
      <c r="I714" t="inlineStr">
        <is>
          <t>2022-06-20</t>
        </is>
      </c>
    </row>
    <row r="715">
      <c r="A715" t="n">
        <v/>
      </c>
      <c r="B715" t="n">
        <v>1029329</v>
      </c>
      <c r="C715" t="inlineStr">
        <is>
          <t>Docker</t>
        </is>
      </c>
      <c r="D715" t="inlineStr">
        <is>
          <t>Secondary</t>
        </is>
      </c>
      <c r="E715" t="inlineStr">
        <is>
          <t>Intermediate</t>
        </is>
      </c>
      <c r="F715" t="n">
        <v>2.9</v>
      </c>
      <c r="G715" t="inlineStr">
        <is>
          <t>Technical</t>
        </is>
      </c>
      <c r="H715" t="inlineStr">
        <is>
          <t>Yes</t>
        </is>
      </c>
      <c r="I715" t="inlineStr">
        <is>
          <t>2022-06-20</t>
        </is>
      </c>
    </row>
    <row r="716">
      <c r="A716" t="n">
        <v/>
      </c>
      <c r="B716" t="n">
        <v>1029329</v>
      </c>
      <c r="C716" t="inlineStr">
        <is>
          <t>Kubernetes</t>
        </is>
      </c>
      <c r="D716" t="inlineStr">
        <is>
          <t>Secondary</t>
        </is>
      </c>
      <c r="E716" t="inlineStr">
        <is>
          <t>Intermediate</t>
        </is>
      </c>
      <c r="F716" t="n">
        <v>2.2</v>
      </c>
      <c r="G716" t="inlineStr">
        <is>
          <t>Technical</t>
        </is>
      </c>
      <c r="H716" t="inlineStr">
        <is>
          <t>Yes</t>
        </is>
      </c>
      <c r="I716" t="inlineStr">
        <is>
          <t>2022-06-20</t>
        </is>
      </c>
    </row>
    <row r="717">
      <c r="A717" t="n">
        <v/>
      </c>
      <c r="B717" t="n">
        <v>1029329</v>
      </c>
      <c r="C717" t="inlineStr">
        <is>
          <t>Linux</t>
        </is>
      </c>
      <c r="D717" t="inlineStr">
        <is>
          <t>Secondary</t>
        </is>
      </c>
      <c r="E717" t="inlineStr">
        <is>
          <t>Beginner</t>
        </is>
      </c>
      <c r="F717" t="n">
        <v>1.4</v>
      </c>
      <c r="G717" t="inlineStr">
        <is>
          <t>Technical</t>
        </is>
      </c>
      <c r="H717" t="inlineStr">
        <is>
          <t>Yes</t>
        </is>
      </c>
      <c r="I717" t="inlineStr">
        <is>
          <t>2022-06-20</t>
        </is>
      </c>
    </row>
    <row r="718">
      <c r="A718" t="n">
        <v/>
      </c>
      <c r="B718" t="n">
        <v>1027289</v>
      </c>
      <c r="C718" t="inlineStr">
        <is>
          <t>QA Automation / SDET</t>
        </is>
      </c>
      <c r="D718" t="inlineStr">
        <is>
          <t>Primary</t>
        </is>
      </c>
      <c r="E718" t="inlineStr">
        <is>
          <t>Advanced</t>
        </is>
      </c>
      <c r="F718" t="n">
        <v>5.3</v>
      </c>
      <c r="G718" t="inlineStr">
        <is>
          <t>Technical</t>
        </is>
      </c>
      <c r="H718" t="inlineStr">
        <is>
          <t>Yes</t>
        </is>
      </c>
      <c r="I718" t="inlineStr">
        <is>
          <t>2021-11-22</t>
        </is>
      </c>
    </row>
    <row r="719">
      <c r="A719" t="n">
        <v/>
      </c>
      <c r="B719" t="n">
        <v>1027289</v>
      </c>
      <c r="C719" t="inlineStr">
        <is>
          <t>Selenium</t>
        </is>
      </c>
      <c r="D719" t="inlineStr">
        <is>
          <t>Secondary</t>
        </is>
      </c>
      <c r="E719" t="inlineStr">
        <is>
          <t>Intermediate</t>
        </is>
      </c>
      <c r="F719" t="n">
        <v>3.2</v>
      </c>
      <c r="G719" t="inlineStr">
        <is>
          <t>Technical</t>
        </is>
      </c>
      <c r="H719" t="inlineStr">
        <is>
          <t>Yes</t>
        </is>
      </c>
      <c r="I719" t="inlineStr">
        <is>
          <t>2021-11-22</t>
        </is>
      </c>
    </row>
    <row r="720">
      <c r="A720" t="n">
        <v/>
      </c>
      <c r="B720" t="n">
        <v>1027289</v>
      </c>
      <c r="C720" t="inlineStr">
        <is>
          <t>API Testing (Postman)</t>
        </is>
      </c>
      <c r="D720" t="inlineStr">
        <is>
          <t>Secondary</t>
        </is>
      </c>
      <c r="E720" t="inlineStr">
        <is>
          <t>Intermediate</t>
        </is>
      </c>
      <c r="F720" t="n">
        <v>2.4</v>
      </c>
      <c r="G720" t="inlineStr">
        <is>
          <t>Technical</t>
        </is>
      </c>
      <c r="H720" t="inlineStr">
        <is>
          <t>Yes</t>
        </is>
      </c>
      <c r="I720" t="inlineStr">
        <is>
          <t>2021-11-22</t>
        </is>
      </c>
    </row>
    <row r="721">
      <c r="A721" t="n">
        <v/>
      </c>
      <c r="B721" t="n">
        <v>1027289</v>
      </c>
      <c r="C721" t="inlineStr">
        <is>
          <t>TestNG</t>
        </is>
      </c>
      <c r="D721" t="inlineStr">
        <is>
          <t>Secondary</t>
        </is>
      </c>
      <c r="E721" t="inlineStr">
        <is>
          <t>Intermediate</t>
        </is>
      </c>
      <c r="F721" t="n">
        <v>1.6</v>
      </c>
      <c r="G721" t="inlineStr">
        <is>
          <t>Technical</t>
        </is>
      </c>
      <c r="H721" t="inlineStr">
        <is>
          <t>Yes</t>
        </is>
      </c>
      <c r="I721" t="inlineStr">
        <is>
          <t>2021-11-22</t>
        </is>
      </c>
    </row>
    <row r="722">
      <c r="A722" t="n">
        <v/>
      </c>
      <c r="B722" t="n">
        <v>1030027</v>
      </c>
      <c r="C722" t="inlineStr">
        <is>
          <t>Business Analysis &amp; Healthcare Domain</t>
        </is>
      </c>
      <c r="D722" t="inlineStr">
        <is>
          <t>Primary</t>
        </is>
      </c>
      <c r="E722" t="inlineStr">
        <is>
          <t>Advanced</t>
        </is>
      </c>
      <c r="F722" t="n">
        <v>6.4</v>
      </c>
      <c r="G722" t="inlineStr">
        <is>
          <t>Functional</t>
        </is>
      </c>
      <c r="H722" t="inlineStr">
        <is>
          <t>Yes</t>
        </is>
      </c>
      <c r="I722" t="inlineStr">
        <is>
          <t>2022-08-29</t>
        </is>
      </c>
    </row>
    <row r="723">
      <c r="A723" t="n">
        <v/>
      </c>
      <c r="B723" t="n">
        <v>1030027</v>
      </c>
      <c r="C723" t="inlineStr">
        <is>
          <t>Requirements Gathering</t>
        </is>
      </c>
      <c r="D723" t="inlineStr">
        <is>
          <t>Secondary</t>
        </is>
      </c>
      <c r="E723" t="inlineStr">
        <is>
          <t>Intermediate</t>
        </is>
      </c>
      <c r="F723" t="n">
        <v>3.8</v>
      </c>
      <c r="G723" t="inlineStr">
        <is>
          <t>Functional</t>
        </is>
      </c>
      <c r="H723" t="inlineStr">
        <is>
          <t>Yes</t>
        </is>
      </c>
      <c r="I723" t="inlineStr">
        <is>
          <t>2022-08-29</t>
        </is>
      </c>
    </row>
    <row r="724">
      <c r="A724" t="n">
        <v/>
      </c>
      <c r="B724" t="n">
        <v>1030027</v>
      </c>
      <c r="C724" t="inlineStr">
        <is>
          <t>MMIS Workflows</t>
        </is>
      </c>
      <c r="D724" t="inlineStr">
        <is>
          <t>Secondary</t>
        </is>
      </c>
      <c r="E724" t="inlineStr">
        <is>
          <t>Intermediate</t>
        </is>
      </c>
      <c r="F724" t="n">
        <v>2.9</v>
      </c>
      <c r="G724" t="inlineStr">
        <is>
          <t>Functional</t>
        </is>
      </c>
      <c r="H724" t="inlineStr">
        <is>
          <t>Yes</t>
        </is>
      </c>
      <c r="I724" t="inlineStr">
        <is>
          <t>2022-08-29</t>
        </is>
      </c>
    </row>
    <row r="725">
      <c r="A725" t="n">
        <v/>
      </c>
      <c r="B725" t="n">
        <v>1030027</v>
      </c>
      <c r="C725" t="inlineStr">
        <is>
          <t>SQL</t>
        </is>
      </c>
      <c r="D725" t="inlineStr">
        <is>
          <t>Secondary</t>
        </is>
      </c>
      <c r="E725" t="inlineStr">
        <is>
          <t>Intermediate</t>
        </is>
      </c>
      <c r="F725" t="n">
        <v>1.9</v>
      </c>
      <c r="G725" t="inlineStr">
        <is>
          <t>Functional</t>
        </is>
      </c>
      <c r="H725" t="inlineStr">
        <is>
          <t>Yes</t>
        </is>
      </c>
      <c r="I725" t="inlineStr">
        <is>
          <t>2022-08-29</t>
        </is>
      </c>
    </row>
    <row r="726">
      <c r="A726" t="n">
        <v/>
      </c>
      <c r="B726" t="n">
        <v>1031850</v>
      </c>
      <c r="C726" t="inlineStr">
        <is>
          <t>Java / Spring Boot</t>
        </is>
      </c>
      <c r="D726" t="inlineStr">
        <is>
          <t>Primary</t>
        </is>
      </c>
      <c r="E726" t="inlineStr">
        <is>
          <t>Advanced</t>
        </is>
      </c>
      <c r="F726" t="n">
        <v>4.3</v>
      </c>
      <c r="G726" t="inlineStr">
        <is>
          <t>Technical</t>
        </is>
      </c>
      <c r="H726" t="inlineStr">
        <is>
          <t>Yes</t>
        </is>
      </c>
      <c r="I726" t="inlineStr">
        <is>
          <t>2022-12-19</t>
        </is>
      </c>
      <c r="J726" t="inlineStr">
        <is>
          <t>Contact Management</t>
        </is>
      </c>
    </row>
    <row r="727">
      <c r="A727" t="n">
        <v/>
      </c>
      <c r="B727" t="n">
        <v>1031850</v>
      </c>
      <c r="C727" t="inlineStr">
        <is>
          <t>SQL</t>
        </is>
      </c>
      <c r="D727" t="inlineStr">
        <is>
          <t>Secondary</t>
        </is>
      </c>
      <c r="E727" t="inlineStr">
        <is>
          <t>Intermediate</t>
        </is>
      </c>
      <c r="F727" t="n">
        <v>2.6</v>
      </c>
      <c r="G727" t="inlineStr">
        <is>
          <t>Technical</t>
        </is>
      </c>
      <c r="H727" t="inlineStr">
        <is>
          <t>Yes</t>
        </is>
      </c>
      <c r="I727" t="inlineStr">
        <is>
          <t>2022-12-19</t>
        </is>
      </c>
      <c r="J727" t="inlineStr">
        <is>
          <t>Contact Management</t>
        </is>
      </c>
    </row>
    <row r="728">
      <c r="A728" t="n">
        <v/>
      </c>
      <c r="B728" t="n">
        <v>1031850</v>
      </c>
      <c r="C728" t="inlineStr">
        <is>
          <t>Docker</t>
        </is>
      </c>
      <c r="D728" t="inlineStr">
        <is>
          <t>Secondary</t>
        </is>
      </c>
      <c r="E728" t="inlineStr">
        <is>
          <t>Intermediate</t>
        </is>
      </c>
      <c r="F728" t="n">
        <v>1.9</v>
      </c>
      <c r="G728" t="inlineStr">
        <is>
          <t>Technical</t>
        </is>
      </c>
      <c r="H728" t="inlineStr">
        <is>
          <t>Yes</t>
        </is>
      </c>
      <c r="I728" t="inlineStr">
        <is>
          <t>2022-12-19</t>
        </is>
      </c>
      <c r="J728" t="inlineStr">
        <is>
          <t>Contact Management</t>
        </is>
      </c>
    </row>
    <row r="729">
      <c r="A729" t="n">
        <v/>
      </c>
      <c r="B729" t="n">
        <v>1031850</v>
      </c>
      <c r="C729" t="inlineStr">
        <is>
          <t>Git</t>
        </is>
      </c>
      <c r="D729" t="inlineStr">
        <is>
          <t>Secondary</t>
        </is>
      </c>
      <c r="E729" t="inlineStr">
        <is>
          <t>Beginner</t>
        </is>
      </c>
      <c r="F729" t="n">
        <v>1.3</v>
      </c>
      <c r="G729" t="inlineStr">
        <is>
          <t>Technical</t>
        </is>
      </c>
      <c r="H729" t="inlineStr">
        <is>
          <t>Yes</t>
        </is>
      </c>
      <c r="I729" t="inlineStr">
        <is>
          <t>2022-12-19</t>
        </is>
      </c>
      <c r="J729" t="inlineStr">
        <is>
          <t>Contact Management</t>
        </is>
      </c>
    </row>
    <row r="730">
      <c r="A730" t="n">
        <v/>
      </c>
      <c r="B730" t="n">
        <v>1034093</v>
      </c>
      <c r="C730" t="inlineStr">
        <is>
          <t>Database &amp; SQL Architecture</t>
        </is>
      </c>
      <c r="D730" t="inlineStr">
        <is>
          <t>Primary</t>
        </is>
      </c>
      <c r="E730" t="inlineStr">
        <is>
          <t>Advanced</t>
        </is>
      </c>
      <c r="F730" t="n">
        <v>7</v>
      </c>
      <c r="G730" t="inlineStr">
        <is>
          <t>Technical</t>
        </is>
      </c>
      <c r="H730" t="inlineStr">
        <is>
          <t>Yes</t>
        </is>
      </c>
      <c r="I730" t="inlineStr">
        <is>
          <t>2024-01-04</t>
        </is>
      </c>
    </row>
    <row r="731">
      <c r="A731" t="n">
        <v/>
      </c>
      <c r="B731" t="n">
        <v>1034093</v>
      </c>
      <c r="C731" t="inlineStr">
        <is>
          <t>PostgreSQL</t>
        </is>
      </c>
      <c r="D731" t="inlineStr">
        <is>
          <t>Secondary</t>
        </is>
      </c>
      <c r="E731" t="inlineStr">
        <is>
          <t>Intermediate</t>
        </is>
      </c>
      <c r="F731" t="n">
        <v>4.2</v>
      </c>
      <c r="G731" t="inlineStr">
        <is>
          <t>Technical</t>
        </is>
      </c>
      <c r="H731" t="inlineStr">
        <is>
          <t>Yes</t>
        </is>
      </c>
      <c r="I731" t="inlineStr">
        <is>
          <t>2024-01-04</t>
        </is>
      </c>
    </row>
    <row r="732">
      <c r="A732" t="n">
        <v/>
      </c>
      <c r="B732" t="n">
        <v>1034093</v>
      </c>
      <c r="C732" t="inlineStr">
        <is>
          <t>Oracle</t>
        </is>
      </c>
      <c r="D732" t="inlineStr">
        <is>
          <t>Secondary</t>
        </is>
      </c>
      <c r="E732" t="inlineStr">
        <is>
          <t>Intermediate</t>
        </is>
      </c>
      <c r="F732" t="n">
        <v>3.1</v>
      </c>
      <c r="G732" t="inlineStr">
        <is>
          <t>Technical</t>
        </is>
      </c>
      <c r="H732" t="inlineStr">
        <is>
          <t>Yes</t>
        </is>
      </c>
      <c r="I732" t="inlineStr">
        <is>
          <t>2024-01-04</t>
        </is>
      </c>
    </row>
    <row r="733">
      <c r="A733" t="n">
        <v/>
      </c>
      <c r="B733" t="n">
        <v>1034093</v>
      </c>
      <c r="C733" t="inlineStr">
        <is>
          <t>Performance Tuning</t>
        </is>
      </c>
      <c r="D733" t="inlineStr">
        <is>
          <t>Secondary</t>
        </is>
      </c>
      <c r="E733" t="inlineStr">
        <is>
          <t>Intermediate</t>
        </is>
      </c>
      <c r="F733" t="n">
        <v>2.1</v>
      </c>
      <c r="G733" t="inlineStr">
        <is>
          <t>Technical</t>
        </is>
      </c>
      <c r="H733" t="inlineStr">
        <is>
          <t>Yes</t>
        </is>
      </c>
      <c r="I733" t="inlineStr">
        <is>
          <t>2024-01-04</t>
        </is>
      </c>
    </row>
    <row r="734">
      <c r="A734" t="n">
        <v/>
      </c>
      <c r="B734" t="n">
        <v>1029158</v>
      </c>
      <c r="C734" t="inlineStr">
        <is>
          <t>Database &amp; SQL Architecture</t>
        </is>
      </c>
      <c r="D734" t="inlineStr">
        <is>
          <t>Primary</t>
        </is>
      </c>
      <c r="E734" t="inlineStr">
        <is>
          <t>Advanced</t>
        </is>
      </c>
      <c r="F734" t="n">
        <v>4.8</v>
      </c>
      <c r="G734" t="inlineStr">
        <is>
          <t>Technical</t>
        </is>
      </c>
      <c r="H734" t="inlineStr">
        <is>
          <t>Yes</t>
        </is>
      </c>
      <c r="I734" t="inlineStr">
        <is>
          <t>2022-05-30</t>
        </is>
      </c>
    </row>
    <row r="735">
      <c r="A735" t="n">
        <v/>
      </c>
      <c r="B735" t="n">
        <v>1029158</v>
      </c>
      <c r="C735" t="inlineStr">
        <is>
          <t>PostgreSQL</t>
        </is>
      </c>
      <c r="D735" t="inlineStr">
        <is>
          <t>Secondary</t>
        </is>
      </c>
      <c r="E735" t="inlineStr">
        <is>
          <t>Intermediate</t>
        </is>
      </c>
      <c r="F735" t="n">
        <v>2.9</v>
      </c>
      <c r="G735" t="inlineStr">
        <is>
          <t>Technical</t>
        </is>
      </c>
      <c r="H735" t="inlineStr">
        <is>
          <t>Yes</t>
        </is>
      </c>
      <c r="I735" t="inlineStr">
        <is>
          <t>2022-05-30</t>
        </is>
      </c>
    </row>
    <row r="736">
      <c r="A736" t="n">
        <v/>
      </c>
      <c r="B736" t="n">
        <v>1029158</v>
      </c>
      <c r="C736" t="inlineStr">
        <is>
          <t>Oracle</t>
        </is>
      </c>
      <c r="D736" t="inlineStr">
        <is>
          <t>Secondary</t>
        </is>
      </c>
      <c r="E736" t="inlineStr">
        <is>
          <t>Intermediate</t>
        </is>
      </c>
      <c r="F736" t="n">
        <v>2.2</v>
      </c>
      <c r="G736" t="inlineStr">
        <is>
          <t>Technical</t>
        </is>
      </c>
      <c r="H736" t="inlineStr">
        <is>
          <t>Yes</t>
        </is>
      </c>
      <c r="I736" t="inlineStr">
        <is>
          <t>2022-05-30</t>
        </is>
      </c>
    </row>
    <row r="737">
      <c r="A737" t="n">
        <v/>
      </c>
      <c r="B737" t="n">
        <v>1029158</v>
      </c>
      <c r="C737" t="inlineStr">
        <is>
          <t>Performance Tuning</t>
        </is>
      </c>
      <c r="D737" t="inlineStr">
        <is>
          <t>Secondary</t>
        </is>
      </c>
      <c r="E737" t="inlineStr">
        <is>
          <t>Beginner</t>
        </is>
      </c>
      <c r="F737" t="n">
        <v>1.4</v>
      </c>
      <c r="G737" t="inlineStr">
        <is>
          <t>Technical</t>
        </is>
      </c>
      <c r="H737" t="inlineStr">
        <is>
          <t>Yes</t>
        </is>
      </c>
      <c r="I737" t="inlineStr">
        <is>
          <t>2022-05-30</t>
        </is>
      </c>
    </row>
    <row r="738">
      <c r="A738" t="n">
        <v/>
      </c>
      <c r="B738" t="n">
        <v>1024012</v>
      </c>
      <c r="C738" t="inlineStr">
        <is>
          <t>QA Automation / SDET</t>
        </is>
      </c>
      <c r="D738" t="inlineStr">
        <is>
          <t>Primary</t>
        </is>
      </c>
      <c r="E738" t="inlineStr">
        <is>
          <t>Advanced</t>
        </is>
      </c>
      <c r="F738" t="n">
        <v>6.3</v>
      </c>
      <c r="G738" t="inlineStr">
        <is>
          <t>Technical</t>
        </is>
      </c>
      <c r="H738" t="inlineStr">
        <is>
          <t>Yes</t>
        </is>
      </c>
      <c r="I738" t="inlineStr">
        <is>
          <t>2020-10-28</t>
        </is>
      </c>
    </row>
    <row r="739">
      <c r="A739" t="n">
        <v/>
      </c>
      <c r="B739" t="n">
        <v>1024012</v>
      </c>
      <c r="C739" t="inlineStr">
        <is>
          <t>Selenium</t>
        </is>
      </c>
      <c r="D739" t="inlineStr">
        <is>
          <t>Secondary</t>
        </is>
      </c>
      <c r="E739" t="inlineStr">
        <is>
          <t>Intermediate</t>
        </is>
      </c>
      <c r="F739" t="n">
        <v>3.8</v>
      </c>
      <c r="G739" t="inlineStr">
        <is>
          <t>Technical</t>
        </is>
      </c>
      <c r="H739" t="inlineStr">
        <is>
          <t>Yes</t>
        </is>
      </c>
      <c r="I739" t="inlineStr">
        <is>
          <t>2020-10-28</t>
        </is>
      </c>
    </row>
    <row r="740">
      <c r="A740" t="n">
        <v/>
      </c>
      <c r="B740" t="n">
        <v>1024012</v>
      </c>
      <c r="C740" t="inlineStr">
        <is>
          <t>API Testing (Postman)</t>
        </is>
      </c>
      <c r="D740" t="inlineStr">
        <is>
          <t>Secondary</t>
        </is>
      </c>
      <c r="E740" t="inlineStr">
        <is>
          <t>Intermediate</t>
        </is>
      </c>
      <c r="F740" t="n">
        <v>2.8</v>
      </c>
      <c r="G740" t="inlineStr">
        <is>
          <t>Technical</t>
        </is>
      </c>
      <c r="H740" t="inlineStr">
        <is>
          <t>Yes</t>
        </is>
      </c>
      <c r="I740" t="inlineStr">
        <is>
          <t>2020-10-28</t>
        </is>
      </c>
    </row>
    <row r="741">
      <c r="A741" t="n">
        <v/>
      </c>
      <c r="B741" t="n">
        <v>1024012</v>
      </c>
      <c r="C741" t="inlineStr">
        <is>
          <t>TestNG</t>
        </is>
      </c>
      <c r="D741" t="inlineStr">
        <is>
          <t>Secondary</t>
        </is>
      </c>
      <c r="E741" t="inlineStr">
        <is>
          <t>Intermediate</t>
        </is>
      </c>
      <c r="F741" t="n">
        <v>1.9</v>
      </c>
      <c r="G741" t="inlineStr">
        <is>
          <t>Technical</t>
        </is>
      </c>
      <c r="H741" t="inlineStr">
        <is>
          <t>Yes</t>
        </is>
      </c>
      <c r="I741" t="inlineStr">
        <is>
          <t>2020-10-28</t>
        </is>
      </c>
    </row>
    <row r="742">
      <c r="A742" t="n">
        <v/>
      </c>
      <c r="B742" t="n">
        <v>1031878</v>
      </c>
      <c r="C742" t="inlineStr">
        <is>
          <t>Database &amp; SQL Architecture</t>
        </is>
      </c>
      <c r="D742" t="inlineStr">
        <is>
          <t>Primary</t>
        </is>
      </c>
      <c r="E742" t="inlineStr">
        <is>
          <t>Advanced</t>
        </is>
      </c>
      <c r="F742" t="n">
        <v>7.9</v>
      </c>
      <c r="G742" t="inlineStr">
        <is>
          <t>Technical</t>
        </is>
      </c>
      <c r="H742" t="inlineStr">
        <is>
          <t>Yes</t>
        </is>
      </c>
      <c r="I742" t="inlineStr">
        <is>
          <t>2022-12-19</t>
        </is>
      </c>
    </row>
    <row r="743">
      <c r="A743" t="n">
        <v/>
      </c>
      <c r="B743" t="n">
        <v>1031878</v>
      </c>
      <c r="C743" t="inlineStr">
        <is>
          <t>PostgreSQL</t>
        </is>
      </c>
      <c r="D743" t="inlineStr">
        <is>
          <t>Secondary</t>
        </is>
      </c>
      <c r="E743" t="inlineStr">
        <is>
          <t>Intermediate</t>
        </is>
      </c>
      <c r="F743" t="n">
        <v>4.7</v>
      </c>
      <c r="G743" t="inlineStr">
        <is>
          <t>Technical</t>
        </is>
      </c>
      <c r="H743" t="inlineStr">
        <is>
          <t>Yes</t>
        </is>
      </c>
      <c r="I743" t="inlineStr">
        <is>
          <t>2022-12-19</t>
        </is>
      </c>
    </row>
    <row r="744">
      <c r="A744" t="n">
        <v/>
      </c>
      <c r="B744" t="n">
        <v>1031878</v>
      </c>
      <c r="C744" t="inlineStr">
        <is>
          <t>Oracle</t>
        </is>
      </c>
      <c r="D744" t="inlineStr">
        <is>
          <t>Secondary</t>
        </is>
      </c>
      <c r="E744" t="inlineStr">
        <is>
          <t>Intermediate</t>
        </is>
      </c>
      <c r="F744" t="n">
        <v>3.6</v>
      </c>
      <c r="G744" t="inlineStr">
        <is>
          <t>Technical</t>
        </is>
      </c>
      <c r="H744" t="inlineStr">
        <is>
          <t>Yes</t>
        </is>
      </c>
      <c r="I744" t="inlineStr">
        <is>
          <t>2022-12-19</t>
        </is>
      </c>
    </row>
    <row r="745">
      <c r="A745" t="n">
        <v/>
      </c>
      <c r="B745" t="n">
        <v>1031878</v>
      </c>
      <c r="C745" t="inlineStr">
        <is>
          <t>Performance Tuning</t>
        </is>
      </c>
      <c r="D745" t="inlineStr">
        <is>
          <t>Secondary</t>
        </is>
      </c>
      <c r="E745" t="inlineStr">
        <is>
          <t>Intermediate</t>
        </is>
      </c>
      <c r="F745" t="n">
        <v>2.4</v>
      </c>
      <c r="G745" t="inlineStr">
        <is>
          <t>Technical</t>
        </is>
      </c>
      <c r="H745" t="inlineStr">
        <is>
          <t>Yes</t>
        </is>
      </c>
      <c r="I745" t="inlineStr">
        <is>
          <t>2022-12-19</t>
        </is>
      </c>
    </row>
    <row r="746">
      <c r="A746" t="n">
        <v/>
      </c>
      <c r="B746" t="n">
        <v>1025016</v>
      </c>
      <c r="C746" t="inlineStr">
        <is>
          <t>QA Automation / SDET</t>
        </is>
      </c>
      <c r="D746" t="inlineStr">
        <is>
          <t>Primary</t>
        </is>
      </c>
      <c r="E746" t="inlineStr">
        <is>
          <t>Advanced</t>
        </is>
      </c>
      <c r="F746" t="n">
        <v>5.9</v>
      </c>
      <c r="G746" t="inlineStr">
        <is>
          <t>Technical</t>
        </is>
      </c>
      <c r="H746" t="inlineStr">
        <is>
          <t>Yes</t>
        </is>
      </c>
      <c r="I746" t="inlineStr">
        <is>
          <t>2021-04-09</t>
        </is>
      </c>
    </row>
    <row r="747">
      <c r="A747" t="n">
        <v/>
      </c>
      <c r="B747" t="n">
        <v>1025016</v>
      </c>
      <c r="C747" t="inlineStr">
        <is>
          <t>Selenium</t>
        </is>
      </c>
      <c r="D747" t="inlineStr">
        <is>
          <t>Secondary</t>
        </is>
      </c>
      <c r="E747" t="inlineStr">
        <is>
          <t>Intermediate</t>
        </is>
      </c>
      <c r="F747" t="n">
        <v>3.5</v>
      </c>
      <c r="G747" t="inlineStr">
        <is>
          <t>Technical</t>
        </is>
      </c>
      <c r="H747" t="inlineStr">
        <is>
          <t>Yes</t>
        </is>
      </c>
      <c r="I747" t="inlineStr">
        <is>
          <t>2021-04-09</t>
        </is>
      </c>
    </row>
    <row r="748">
      <c r="A748" t="n">
        <v/>
      </c>
      <c r="B748" t="n">
        <v>1025016</v>
      </c>
      <c r="C748" t="inlineStr">
        <is>
          <t>API Testing (Postman)</t>
        </is>
      </c>
      <c r="D748" t="inlineStr">
        <is>
          <t>Secondary</t>
        </is>
      </c>
      <c r="E748" t="inlineStr">
        <is>
          <t>Intermediate</t>
        </is>
      </c>
      <c r="F748" t="n">
        <v>2.7</v>
      </c>
      <c r="G748" t="inlineStr">
        <is>
          <t>Technical</t>
        </is>
      </c>
      <c r="H748" t="inlineStr">
        <is>
          <t>Yes</t>
        </is>
      </c>
      <c r="I748" t="inlineStr">
        <is>
          <t>2021-04-09</t>
        </is>
      </c>
    </row>
    <row r="749">
      <c r="A749" t="n">
        <v/>
      </c>
      <c r="B749" t="n">
        <v>1025016</v>
      </c>
      <c r="C749" t="inlineStr">
        <is>
          <t>TestNG</t>
        </is>
      </c>
      <c r="D749" t="inlineStr">
        <is>
          <t>Secondary</t>
        </is>
      </c>
      <c r="E749" t="inlineStr">
        <is>
          <t>Intermediate</t>
        </is>
      </c>
      <c r="F749" t="n">
        <v>1.8</v>
      </c>
      <c r="G749" t="inlineStr">
        <is>
          <t>Technical</t>
        </is>
      </c>
      <c r="H749" t="inlineStr">
        <is>
          <t>Yes</t>
        </is>
      </c>
      <c r="I749" t="inlineStr">
        <is>
          <t>2021-04-09</t>
        </is>
      </c>
    </row>
    <row r="750">
      <c r="A750" t="n">
        <v/>
      </c>
      <c r="B750" t="n">
        <v>1020749</v>
      </c>
      <c r="C750" t="inlineStr">
        <is>
          <t>Cloud &amp; DevOps (AWS / K8s)</t>
        </is>
      </c>
      <c r="D750" t="inlineStr">
        <is>
          <t>Primary</t>
        </is>
      </c>
      <c r="E750" t="inlineStr">
        <is>
          <t>Advanced</t>
        </is>
      </c>
      <c r="F750" t="n">
        <v>10.1</v>
      </c>
      <c r="G750" t="inlineStr">
        <is>
          <t>Technical</t>
        </is>
      </c>
      <c r="H750" t="inlineStr">
        <is>
          <t>Yes</t>
        </is>
      </c>
      <c r="I750" t="inlineStr">
        <is>
          <t>2018-07-30</t>
        </is>
      </c>
    </row>
    <row r="751">
      <c r="A751" t="n">
        <v/>
      </c>
      <c r="B751" t="n">
        <v>1020749</v>
      </c>
      <c r="C751" t="inlineStr">
        <is>
          <t>Docker</t>
        </is>
      </c>
      <c r="D751" t="inlineStr">
        <is>
          <t>Secondary</t>
        </is>
      </c>
      <c r="E751" t="inlineStr">
        <is>
          <t>Advanced</t>
        </is>
      </c>
      <c r="F751" t="n">
        <v>6.1</v>
      </c>
      <c r="G751" t="inlineStr">
        <is>
          <t>Technical</t>
        </is>
      </c>
      <c r="H751" t="inlineStr">
        <is>
          <t>Yes</t>
        </is>
      </c>
      <c r="I751" t="inlineStr">
        <is>
          <t>2018-07-30</t>
        </is>
      </c>
    </row>
    <row r="752">
      <c r="A752" t="n">
        <v/>
      </c>
      <c r="B752" t="n">
        <v>1020749</v>
      </c>
      <c r="C752" t="inlineStr">
        <is>
          <t>Kubernetes</t>
        </is>
      </c>
      <c r="D752" t="inlineStr">
        <is>
          <t>Secondary</t>
        </is>
      </c>
      <c r="E752" t="inlineStr">
        <is>
          <t>Intermediate</t>
        </is>
      </c>
      <c r="F752" t="n">
        <v>4.5</v>
      </c>
      <c r="G752" t="inlineStr">
        <is>
          <t>Technical</t>
        </is>
      </c>
      <c r="H752" t="inlineStr">
        <is>
          <t>Yes</t>
        </is>
      </c>
      <c r="I752" t="inlineStr">
        <is>
          <t>2018-07-30</t>
        </is>
      </c>
    </row>
    <row r="753">
      <c r="A753" t="n">
        <v/>
      </c>
      <c r="B753" t="n">
        <v>1020749</v>
      </c>
      <c r="C753" t="inlineStr">
        <is>
          <t>Linux</t>
        </is>
      </c>
      <c r="D753" t="inlineStr">
        <is>
          <t>Secondary</t>
        </is>
      </c>
      <c r="E753" t="inlineStr">
        <is>
          <t>Intermediate</t>
        </is>
      </c>
      <c r="F753" t="n">
        <v>3</v>
      </c>
      <c r="G753" t="inlineStr">
        <is>
          <t>Technical</t>
        </is>
      </c>
      <c r="H753" t="inlineStr">
        <is>
          <t>Yes</t>
        </is>
      </c>
      <c r="I753" t="inlineStr">
        <is>
          <t>2018-07-30</t>
        </is>
      </c>
    </row>
    <row r="754">
      <c r="A754" t="n">
        <v/>
      </c>
      <c r="B754" t="n">
        <v>1028711</v>
      </c>
      <c r="C754" t="inlineStr">
        <is>
          <t>Business Analysis &amp; Healthcare Domain</t>
        </is>
      </c>
      <c r="D754" t="inlineStr">
        <is>
          <t>Primary</t>
        </is>
      </c>
      <c r="E754" t="inlineStr">
        <is>
          <t>Advanced</t>
        </is>
      </c>
      <c r="F754" t="n">
        <v>5</v>
      </c>
      <c r="G754" t="inlineStr">
        <is>
          <t>Functional</t>
        </is>
      </c>
      <c r="H754" t="inlineStr">
        <is>
          <t>Yes</t>
        </is>
      </c>
      <c r="I754" t="inlineStr">
        <is>
          <t>2022-03-30</t>
        </is>
      </c>
    </row>
    <row r="755">
      <c r="A755" t="n">
        <v/>
      </c>
      <c r="B755" t="n">
        <v>1028711</v>
      </c>
      <c r="C755" t="inlineStr">
        <is>
          <t>Requirements Gathering</t>
        </is>
      </c>
      <c r="D755" t="inlineStr">
        <is>
          <t>Secondary</t>
        </is>
      </c>
      <c r="E755" t="inlineStr">
        <is>
          <t>Intermediate</t>
        </is>
      </c>
      <c r="F755" t="n">
        <v>3</v>
      </c>
      <c r="G755" t="inlineStr">
        <is>
          <t>Functional</t>
        </is>
      </c>
      <c r="H755" t="inlineStr">
        <is>
          <t>Yes</t>
        </is>
      </c>
      <c r="I755" t="inlineStr">
        <is>
          <t>2022-03-30</t>
        </is>
      </c>
    </row>
    <row r="756">
      <c r="A756" t="n">
        <v/>
      </c>
      <c r="B756" t="n">
        <v>1028711</v>
      </c>
      <c r="C756" t="inlineStr">
        <is>
          <t>MMIS Workflows</t>
        </is>
      </c>
      <c r="D756" t="inlineStr">
        <is>
          <t>Secondary</t>
        </is>
      </c>
      <c r="E756" t="inlineStr">
        <is>
          <t>Intermediate</t>
        </is>
      </c>
      <c r="F756" t="n">
        <v>2.2</v>
      </c>
      <c r="G756" t="inlineStr">
        <is>
          <t>Functional</t>
        </is>
      </c>
      <c r="H756" t="inlineStr">
        <is>
          <t>Yes</t>
        </is>
      </c>
      <c r="I756" t="inlineStr">
        <is>
          <t>2022-03-30</t>
        </is>
      </c>
    </row>
    <row r="757">
      <c r="A757" t="n">
        <v/>
      </c>
      <c r="B757" t="n">
        <v>1028711</v>
      </c>
      <c r="C757" t="inlineStr">
        <is>
          <t>SQL</t>
        </is>
      </c>
      <c r="D757" t="inlineStr">
        <is>
          <t>Secondary</t>
        </is>
      </c>
      <c r="E757" t="inlineStr">
        <is>
          <t>Intermediate</t>
        </is>
      </c>
      <c r="F757" t="n">
        <v>1.5</v>
      </c>
      <c r="G757" t="inlineStr">
        <is>
          <t>Functional</t>
        </is>
      </c>
      <c r="H757" t="inlineStr">
        <is>
          <t>Yes</t>
        </is>
      </c>
      <c r="I757" t="inlineStr">
        <is>
          <t>2022-03-30</t>
        </is>
      </c>
    </row>
    <row r="758">
      <c r="A758" t="n">
        <v/>
      </c>
      <c r="B758" t="n">
        <v>1024823</v>
      </c>
      <c r="C758" t="inlineStr">
        <is>
          <t>QA Automation / SDET</t>
        </is>
      </c>
      <c r="D758" t="inlineStr">
        <is>
          <t>Primary</t>
        </is>
      </c>
      <c r="E758" t="inlineStr">
        <is>
          <t>Advanced</t>
        </is>
      </c>
      <c r="F758" t="n">
        <v>5.9</v>
      </c>
      <c r="G758" t="inlineStr">
        <is>
          <t>Technical</t>
        </is>
      </c>
      <c r="H758" t="inlineStr">
        <is>
          <t>Yes</t>
        </is>
      </c>
      <c r="I758" t="inlineStr">
        <is>
          <t>2021-03-18</t>
        </is>
      </c>
    </row>
    <row r="759">
      <c r="A759" t="n">
        <v/>
      </c>
      <c r="B759" t="n">
        <v>1024823</v>
      </c>
      <c r="C759" t="inlineStr">
        <is>
          <t>Selenium</t>
        </is>
      </c>
      <c r="D759" t="inlineStr">
        <is>
          <t>Secondary</t>
        </is>
      </c>
      <c r="E759" t="inlineStr">
        <is>
          <t>Intermediate</t>
        </is>
      </c>
      <c r="F759" t="n">
        <v>3.5</v>
      </c>
      <c r="G759" t="inlineStr">
        <is>
          <t>Technical</t>
        </is>
      </c>
      <c r="H759" t="inlineStr">
        <is>
          <t>Yes</t>
        </is>
      </c>
      <c r="I759" t="inlineStr">
        <is>
          <t>2021-03-18</t>
        </is>
      </c>
    </row>
    <row r="760">
      <c r="A760" t="n">
        <v/>
      </c>
      <c r="B760" t="n">
        <v>1024823</v>
      </c>
      <c r="C760" t="inlineStr">
        <is>
          <t>API Testing (Postman)</t>
        </is>
      </c>
      <c r="D760" t="inlineStr">
        <is>
          <t>Secondary</t>
        </is>
      </c>
      <c r="E760" t="inlineStr">
        <is>
          <t>Intermediate</t>
        </is>
      </c>
      <c r="F760" t="n">
        <v>2.7</v>
      </c>
      <c r="G760" t="inlineStr">
        <is>
          <t>Technical</t>
        </is>
      </c>
      <c r="H760" t="inlineStr">
        <is>
          <t>Yes</t>
        </is>
      </c>
      <c r="I760" t="inlineStr">
        <is>
          <t>2021-03-18</t>
        </is>
      </c>
    </row>
    <row r="761">
      <c r="A761" t="n">
        <v/>
      </c>
      <c r="B761" t="n">
        <v>1024823</v>
      </c>
      <c r="C761" t="inlineStr">
        <is>
          <t>TestNG</t>
        </is>
      </c>
      <c r="D761" t="inlineStr">
        <is>
          <t>Secondary</t>
        </is>
      </c>
      <c r="E761" t="inlineStr">
        <is>
          <t>Intermediate</t>
        </is>
      </c>
      <c r="F761" t="n">
        <v>1.8</v>
      </c>
      <c r="G761" t="inlineStr">
        <is>
          <t>Technical</t>
        </is>
      </c>
      <c r="H761" t="inlineStr">
        <is>
          <t>Yes</t>
        </is>
      </c>
      <c r="I761" t="inlineStr">
        <is>
          <t>2021-03-18</t>
        </is>
      </c>
    </row>
    <row r="762">
      <c r="A762" t="n">
        <v/>
      </c>
      <c r="B762" t="n">
        <v>1022330</v>
      </c>
      <c r="C762" t="inlineStr">
        <is>
          <t>Python / Data Engineering</t>
        </is>
      </c>
      <c r="D762" t="inlineStr">
        <is>
          <t>Primary</t>
        </is>
      </c>
      <c r="E762" t="inlineStr">
        <is>
          <t>Advanced</t>
        </is>
      </c>
      <c r="F762" t="n">
        <v>9.199999999999999</v>
      </c>
      <c r="G762" t="inlineStr">
        <is>
          <t>Technical</t>
        </is>
      </c>
      <c r="H762" t="inlineStr">
        <is>
          <t>Yes</t>
        </is>
      </c>
      <c r="I762" t="inlineStr">
        <is>
          <t>2019-07-03</t>
        </is>
      </c>
    </row>
    <row r="763">
      <c r="A763" t="n">
        <v/>
      </c>
      <c r="B763" t="n">
        <v>1022330</v>
      </c>
      <c r="C763" t="inlineStr">
        <is>
          <t>SQL</t>
        </is>
      </c>
      <c r="D763" t="inlineStr">
        <is>
          <t>Secondary</t>
        </is>
      </c>
      <c r="E763" t="inlineStr">
        <is>
          <t>Advanced</t>
        </is>
      </c>
      <c r="F763" t="n">
        <v>5.5</v>
      </c>
      <c r="G763" t="inlineStr">
        <is>
          <t>Technical</t>
        </is>
      </c>
      <c r="H763" t="inlineStr">
        <is>
          <t>Yes</t>
        </is>
      </c>
      <c r="I763" t="inlineStr">
        <is>
          <t>2019-07-03</t>
        </is>
      </c>
    </row>
    <row r="764">
      <c r="A764" t="n">
        <v/>
      </c>
      <c r="B764" t="n">
        <v>1022330</v>
      </c>
      <c r="C764" t="inlineStr">
        <is>
          <t>Docker</t>
        </is>
      </c>
      <c r="D764" t="inlineStr">
        <is>
          <t>Secondary</t>
        </is>
      </c>
      <c r="E764" t="inlineStr">
        <is>
          <t>Intermediate</t>
        </is>
      </c>
      <c r="F764" t="n">
        <v>4.1</v>
      </c>
      <c r="G764" t="inlineStr">
        <is>
          <t>Technical</t>
        </is>
      </c>
      <c r="H764" t="inlineStr">
        <is>
          <t>Yes</t>
        </is>
      </c>
      <c r="I764" t="inlineStr">
        <is>
          <t>2019-07-03</t>
        </is>
      </c>
    </row>
    <row r="765">
      <c r="A765" t="n">
        <v/>
      </c>
      <c r="B765" t="n">
        <v>1022330</v>
      </c>
      <c r="C765" t="inlineStr">
        <is>
          <t>Pandas</t>
        </is>
      </c>
      <c r="D765" t="inlineStr">
        <is>
          <t>Secondary</t>
        </is>
      </c>
      <c r="E765" t="inlineStr">
        <is>
          <t>Intermediate</t>
        </is>
      </c>
      <c r="F765" t="n">
        <v>2.8</v>
      </c>
      <c r="G765" t="inlineStr">
        <is>
          <t>Technical</t>
        </is>
      </c>
      <c r="H765" t="inlineStr">
        <is>
          <t>Yes</t>
        </is>
      </c>
      <c r="I765" t="inlineStr">
        <is>
          <t>2019-07-03</t>
        </is>
      </c>
    </row>
    <row r="766">
      <c r="A766" t="n">
        <v/>
      </c>
      <c r="B766" t="n">
        <v>1033588</v>
      </c>
      <c r="C766" t="inlineStr">
        <is>
          <t>Database &amp; SQL Architecture</t>
        </is>
      </c>
      <c r="D766" t="inlineStr">
        <is>
          <t>Primary</t>
        </is>
      </c>
      <c r="E766" t="inlineStr">
        <is>
          <t>Advanced</t>
        </is>
      </c>
      <c r="F766" t="n">
        <v>5.4</v>
      </c>
      <c r="G766" t="inlineStr">
        <is>
          <t>Technical</t>
        </is>
      </c>
      <c r="H766" t="inlineStr">
        <is>
          <t>Yes</t>
        </is>
      </c>
      <c r="I766" t="inlineStr">
        <is>
          <t>2023-09-25</t>
        </is>
      </c>
    </row>
    <row r="767">
      <c r="A767" t="n">
        <v/>
      </c>
      <c r="B767" t="n">
        <v>1033588</v>
      </c>
      <c r="C767" t="inlineStr">
        <is>
          <t>PostgreSQL</t>
        </is>
      </c>
      <c r="D767" t="inlineStr">
        <is>
          <t>Secondary</t>
        </is>
      </c>
      <c r="E767" t="inlineStr">
        <is>
          <t>Intermediate</t>
        </is>
      </c>
      <c r="F767" t="n">
        <v>3.2</v>
      </c>
      <c r="G767" t="inlineStr">
        <is>
          <t>Technical</t>
        </is>
      </c>
      <c r="H767" t="inlineStr">
        <is>
          <t>Yes</t>
        </is>
      </c>
      <c r="I767" t="inlineStr">
        <is>
          <t>2023-09-25</t>
        </is>
      </c>
    </row>
    <row r="768">
      <c r="A768" t="n">
        <v/>
      </c>
      <c r="B768" t="n">
        <v>1033588</v>
      </c>
      <c r="C768" t="inlineStr">
        <is>
          <t>Oracle</t>
        </is>
      </c>
      <c r="D768" t="inlineStr">
        <is>
          <t>Secondary</t>
        </is>
      </c>
      <c r="E768" t="inlineStr">
        <is>
          <t>Intermediate</t>
        </is>
      </c>
      <c r="F768" t="n">
        <v>2.4</v>
      </c>
      <c r="G768" t="inlineStr">
        <is>
          <t>Technical</t>
        </is>
      </c>
      <c r="H768" t="inlineStr">
        <is>
          <t>Yes</t>
        </is>
      </c>
      <c r="I768" t="inlineStr">
        <is>
          <t>2023-09-25</t>
        </is>
      </c>
    </row>
    <row r="769">
      <c r="A769" t="n">
        <v/>
      </c>
      <c r="B769" t="n">
        <v>1033588</v>
      </c>
      <c r="C769" t="inlineStr">
        <is>
          <t>Performance Tuning</t>
        </is>
      </c>
      <c r="D769" t="inlineStr">
        <is>
          <t>Secondary</t>
        </is>
      </c>
      <c r="E769" t="inlineStr">
        <is>
          <t>Intermediate</t>
        </is>
      </c>
      <c r="F769" t="n">
        <v>1.6</v>
      </c>
      <c r="G769" t="inlineStr">
        <is>
          <t>Technical</t>
        </is>
      </c>
      <c r="H769" t="inlineStr">
        <is>
          <t>Yes</t>
        </is>
      </c>
      <c r="I769" t="inlineStr">
        <is>
          <t>2023-09-25</t>
        </is>
      </c>
    </row>
    <row r="770">
      <c r="A770" t="n">
        <v/>
      </c>
      <c r="B770" t="n">
        <v>1031851</v>
      </c>
      <c r="C770" t="inlineStr">
        <is>
          <t>Cloud &amp; DevOps (AWS / K8s)</t>
        </is>
      </c>
      <c r="D770" t="inlineStr">
        <is>
          <t>Primary</t>
        </is>
      </c>
      <c r="E770" t="inlineStr">
        <is>
          <t>Advanced</t>
        </is>
      </c>
      <c r="F770" t="n">
        <v>6.1</v>
      </c>
      <c r="G770" t="inlineStr">
        <is>
          <t>Technical</t>
        </is>
      </c>
      <c r="H770" t="inlineStr">
        <is>
          <t>Yes</t>
        </is>
      </c>
      <c r="I770" t="inlineStr">
        <is>
          <t>2022-12-19</t>
        </is>
      </c>
    </row>
    <row r="771">
      <c r="A771" t="n">
        <v/>
      </c>
      <c r="B771" t="n">
        <v>1031851</v>
      </c>
      <c r="C771" t="inlineStr">
        <is>
          <t>Linux</t>
        </is>
      </c>
      <c r="D771" t="inlineStr">
        <is>
          <t>Secondary</t>
        </is>
      </c>
      <c r="E771" t="inlineStr">
        <is>
          <t>Intermediate</t>
        </is>
      </c>
      <c r="F771" t="n">
        <v>3.7</v>
      </c>
      <c r="G771" t="inlineStr">
        <is>
          <t>Technical</t>
        </is>
      </c>
      <c r="H771" t="inlineStr">
        <is>
          <t>Yes</t>
        </is>
      </c>
      <c r="I771" t="inlineStr">
        <is>
          <t>2022-12-19</t>
        </is>
      </c>
    </row>
    <row r="772">
      <c r="A772" t="n">
        <v/>
      </c>
      <c r="B772" t="n">
        <v>1031851</v>
      </c>
      <c r="C772" t="inlineStr">
        <is>
          <t>Docker</t>
        </is>
      </c>
      <c r="D772" t="inlineStr">
        <is>
          <t>Secondary</t>
        </is>
      </c>
      <c r="E772" t="inlineStr">
        <is>
          <t>Intermediate</t>
        </is>
      </c>
      <c r="F772" t="n">
        <v>2.7</v>
      </c>
      <c r="G772" t="inlineStr">
        <is>
          <t>Technical</t>
        </is>
      </c>
      <c r="H772" t="inlineStr">
        <is>
          <t>Yes</t>
        </is>
      </c>
      <c r="I772" t="inlineStr">
        <is>
          <t>2022-12-19</t>
        </is>
      </c>
    </row>
    <row r="773">
      <c r="A773" t="n">
        <v/>
      </c>
      <c r="B773" t="n">
        <v>1031851</v>
      </c>
      <c r="C773" t="inlineStr">
        <is>
          <t>Kubernetes</t>
        </is>
      </c>
      <c r="D773" t="inlineStr">
        <is>
          <t>Secondary</t>
        </is>
      </c>
      <c r="E773" t="inlineStr">
        <is>
          <t>Intermediate</t>
        </is>
      </c>
      <c r="F773" t="n">
        <v>1.8</v>
      </c>
      <c r="G773" t="inlineStr">
        <is>
          <t>Technical</t>
        </is>
      </c>
      <c r="H773" t="inlineStr">
        <is>
          <t>Yes</t>
        </is>
      </c>
      <c r="I773" t="inlineStr">
        <is>
          <t>2022-12-19</t>
        </is>
      </c>
    </row>
    <row r="774">
      <c r="A774" t="n">
        <v/>
      </c>
      <c r="B774" t="n">
        <v>1029699</v>
      </c>
      <c r="C774" t="inlineStr">
        <is>
          <t>Cloud &amp; DevOps (AWS / K8s)</t>
        </is>
      </c>
      <c r="D774" t="inlineStr">
        <is>
          <t>Primary</t>
        </is>
      </c>
      <c r="E774" t="inlineStr">
        <is>
          <t>Advanced</t>
        </is>
      </c>
      <c r="F774" t="n">
        <v>6.5</v>
      </c>
      <c r="G774" t="inlineStr">
        <is>
          <t>Technical</t>
        </is>
      </c>
      <c r="H774" t="inlineStr">
        <is>
          <t>Yes</t>
        </is>
      </c>
      <c r="I774" t="inlineStr">
        <is>
          <t>2022-08-01</t>
        </is>
      </c>
    </row>
    <row r="775">
      <c r="A775" t="n">
        <v/>
      </c>
      <c r="B775" t="n">
        <v>1029699</v>
      </c>
      <c r="C775" t="inlineStr">
        <is>
          <t>Docker</t>
        </is>
      </c>
      <c r="D775" t="inlineStr">
        <is>
          <t>Secondary</t>
        </is>
      </c>
      <c r="E775" t="inlineStr">
        <is>
          <t>Intermediate</t>
        </is>
      </c>
      <c r="F775" t="n">
        <v>3.9</v>
      </c>
      <c r="G775" t="inlineStr">
        <is>
          <t>Technical</t>
        </is>
      </c>
      <c r="H775" t="inlineStr">
        <is>
          <t>Yes</t>
        </is>
      </c>
      <c r="I775" t="inlineStr">
        <is>
          <t>2022-08-01</t>
        </is>
      </c>
    </row>
    <row r="776">
      <c r="A776" t="n">
        <v/>
      </c>
      <c r="B776" t="n">
        <v>1029699</v>
      </c>
      <c r="C776" t="inlineStr">
        <is>
          <t>Kubernetes</t>
        </is>
      </c>
      <c r="D776" t="inlineStr">
        <is>
          <t>Secondary</t>
        </is>
      </c>
      <c r="E776" t="inlineStr">
        <is>
          <t>Intermediate</t>
        </is>
      </c>
      <c r="F776" t="n">
        <v>2.9</v>
      </c>
      <c r="G776" t="inlineStr">
        <is>
          <t>Technical</t>
        </is>
      </c>
      <c r="H776" t="inlineStr">
        <is>
          <t>Yes</t>
        </is>
      </c>
      <c r="I776" t="inlineStr">
        <is>
          <t>2022-08-01</t>
        </is>
      </c>
    </row>
    <row r="777">
      <c r="A777" t="n">
        <v/>
      </c>
      <c r="B777" t="n">
        <v>1029699</v>
      </c>
      <c r="C777" t="inlineStr">
        <is>
          <t>Linux</t>
        </is>
      </c>
      <c r="D777" t="inlineStr">
        <is>
          <t>Secondary</t>
        </is>
      </c>
      <c r="E777" t="inlineStr">
        <is>
          <t>Intermediate</t>
        </is>
      </c>
      <c r="F777" t="n">
        <v>1.9</v>
      </c>
      <c r="G777" t="inlineStr">
        <is>
          <t>Technical</t>
        </is>
      </c>
      <c r="H777" t="inlineStr">
        <is>
          <t>Yes</t>
        </is>
      </c>
      <c r="I777" t="inlineStr">
        <is>
          <t>2022-08-01</t>
        </is>
      </c>
    </row>
    <row r="778">
      <c r="A778" t="n">
        <v/>
      </c>
      <c r="B778" t="n">
        <v>1025070</v>
      </c>
      <c r="C778" t="inlineStr">
        <is>
          <t>QA Automation / SDET</t>
        </is>
      </c>
      <c r="D778" t="inlineStr">
        <is>
          <t>Primary</t>
        </is>
      </c>
      <c r="E778" t="inlineStr">
        <is>
          <t>Advanced</t>
        </is>
      </c>
      <c r="F778" t="n">
        <v>7.6</v>
      </c>
      <c r="G778" t="inlineStr">
        <is>
          <t>Technical</t>
        </is>
      </c>
      <c r="H778" t="inlineStr">
        <is>
          <t>Yes</t>
        </is>
      </c>
      <c r="I778" t="inlineStr">
        <is>
          <t>2021-04-16</t>
        </is>
      </c>
    </row>
    <row r="779">
      <c r="A779" t="n">
        <v/>
      </c>
      <c r="B779" t="n">
        <v>1025070</v>
      </c>
      <c r="C779" t="inlineStr">
        <is>
          <t>Selenium</t>
        </is>
      </c>
      <c r="D779" t="inlineStr">
        <is>
          <t>Secondary</t>
        </is>
      </c>
      <c r="E779" t="inlineStr">
        <is>
          <t>Intermediate</t>
        </is>
      </c>
      <c r="F779" t="n">
        <v>4.6</v>
      </c>
      <c r="G779" t="inlineStr">
        <is>
          <t>Technical</t>
        </is>
      </c>
      <c r="H779" t="inlineStr">
        <is>
          <t>Yes</t>
        </is>
      </c>
      <c r="I779" t="inlineStr">
        <is>
          <t>2021-04-16</t>
        </is>
      </c>
    </row>
    <row r="780">
      <c r="A780" t="n">
        <v/>
      </c>
      <c r="B780" t="n">
        <v>1025070</v>
      </c>
      <c r="C780" t="inlineStr">
        <is>
          <t>API Testing (Postman)</t>
        </is>
      </c>
      <c r="D780" t="inlineStr">
        <is>
          <t>Secondary</t>
        </is>
      </c>
      <c r="E780" t="inlineStr">
        <is>
          <t>Intermediate</t>
        </is>
      </c>
      <c r="F780" t="n">
        <v>3.4</v>
      </c>
      <c r="G780" t="inlineStr">
        <is>
          <t>Technical</t>
        </is>
      </c>
      <c r="H780" t="inlineStr">
        <is>
          <t>Yes</t>
        </is>
      </c>
      <c r="I780" t="inlineStr">
        <is>
          <t>2021-04-16</t>
        </is>
      </c>
    </row>
    <row r="781">
      <c r="A781" t="n">
        <v/>
      </c>
      <c r="B781" t="n">
        <v>1025070</v>
      </c>
      <c r="C781" t="inlineStr">
        <is>
          <t>TestNG</t>
        </is>
      </c>
      <c r="D781" t="inlineStr">
        <is>
          <t>Secondary</t>
        </is>
      </c>
      <c r="E781" t="inlineStr">
        <is>
          <t>Intermediate</t>
        </is>
      </c>
      <c r="F781" t="n">
        <v>2.3</v>
      </c>
      <c r="G781" t="inlineStr">
        <is>
          <t>Technical</t>
        </is>
      </c>
      <c r="H781" t="inlineStr">
        <is>
          <t>Yes</t>
        </is>
      </c>
      <c r="I781" t="inlineStr">
        <is>
          <t>2021-04-16</t>
        </is>
      </c>
    </row>
    <row r="782">
      <c r="A782" t="n">
        <v/>
      </c>
      <c r="B782" t="n">
        <v>1028379</v>
      </c>
      <c r="C782" t="inlineStr">
        <is>
          <t>QA Automation / SDET</t>
        </is>
      </c>
      <c r="D782" t="inlineStr">
        <is>
          <t>Primary</t>
        </is>
      </c>
      <c r="E782" t="inlineStr">
        <is>
          <t>Advanced</t>
        </is>
      </c>
      <c r="F782" t="n">
        <v>5.1</v>
      </c>
      <c r="G782" t="inlineStr">
        <is>
          <t>Technical</t>
        </is>
      </c>
      <c r="H782" t="inlineStr">
        <is>
          <t>Yes</t>
        </is>
      </c>
      <c r="I782" t="inlineStr">
        <is>
          <t>2022-02-18</t>
        </is>
      </c>
    </row>
    <row r="783">
      <c r="A783" t="n">
        <v/>
      </c>
      <c r="B783" t="n">
        <v>1028379</v>
      </c>
      <c r="C783" t="inlineStr">
        <is>
          <t>Selenium</t>
        </is>
      </c>
      <c r="D783" t="inlineStr">
        <is>
          <t>Secondary</t>
        </is>
      </c>
      <c r="E783" t="inlineStr">
        <is>
          <t>Intermediate</t>
        </is>
      </c>
      <c r="F783" t="n">
        <v>3.1</v>
      </c>
      <c r="G783" t="inlineStr">
        <is>
          <t>Technical</t>
        </is>
      </c>
      <c r="H783" t="inlineStr">
        <is>
          <t>Yes</t>
        </is>
      </c>
      <c r="I783" t="inlineStr">
        <is>
          <t>2022-02-18</t>
        </is>
      </c>
    </row>
    <row r="784">
      <c r="A784" t="n">
        <v/>
      </c>
      <c r="B784" t="n">
        <v>1028379</v>
      </c>
      <c r="C784" t="inlineStr">
        <is>
          <t>API Testing (Postman)</t>
        </is>
      </c>
      <c r="D784" t="inlineStr">
        <is>
          <t>Secondary</t>
        </is>
      </c>
      <c r="E784" t="inlineStr">
        <is>
          <t>Intermediate</t>
        </is>
      </c>
      <c r="F784" t="n">
        <v>2.3</v>
      </c>
      <c r="G784" t="inlineStr">
        <is>
          <t>Technical</t>
        </is>
      </c>
      <c r="H784" t="inlineStr">
        <is>
          <t>Yes</t>
        </is>
      </c>
      <c r="I784" t="inlineStr">
        <is>
          <t>2022-02-18</t>
        </is>
      </c>
    </row>
    <row r="785">
      <c r="A785" t="n">
        <v/>
      </c>
      <c r="B785" t="n">
        <v>1028379</v>
      </c>
      <c r="C785" t="inlineStr">
        <is>
          <t>TestNG</t>
        </is>
      </c>
      <c r="D785" t="inlineStr">
        <is>
          <t>Secondary</t>
        </is>
      </c>
      <c r="E785" t="inlineStr">
        <is>
          <t>Intermediate</t>
        </is>
      </c>
      <c r="F785" t="n">
        <v>1.5</v>
      </c>
      <c r="G785" t="inlineStr">
        <is>
          <t>Technical</t>
        </is>
      </c>
      <c r="H785" t="inlineStr">
        <is>
          <t>Yes</t>
        </is>
      </c>
      <c r="I785" t="inlineStr">
        <is>
          <t>2022-02-18</t>
        </is>
      </c>
    </row>
    <row r="786">
      <c r="A786" t="n">
        <v/>
      </c>
      <c r="B786" t="n">
        <v>1025411</v>
      </c>
      <c r="C786" t="inlineStr">
        <is>
          <t>Frontend (Angular / TypeScript)</t>
        </is>
      </c>
      <c r="D786" t="inlineStr">
        <is>
          <t>Primary</t>
        </is>
      </c>
      <c r="E786" t="inlineStr">
        <is>
          <t>Advanced</t>
        </is>
      </c>
      <c r="F786" t="n">
        <v>5.7</v>
      </c>
      <c r="G786" t="inlineStr">
        <is>
          <t>Technical</t>
        </is>
      </c>
      <c r="H786" t="inlineStr">
        <is>
          <t>Yes</t>
        </is>
      </c>
      <c r="I786" t="inlineStr">
        <is>
          <t>2021-06-01</t>
        </is>
      </c>
    </row>
    <row r="787">
      <c r="A787" t="n">
        <v/>
      </c>
      <c r="B787" t="n">
        <v>1025411</v>
      </c>
      <c r="C787" t="inlineStr">
        <is>
          <t>TypeScript</t>
        </is>
      </c>
      <c r="D787" t="inlineStr">
        <is>
          <t>Secondary</t>
        </is>
      </c>
      <c r="E787" t="inlineStr">
        <is>
          <t>Intermediate</t>
        </is>
      </c>
      <c r="F787" t="n">
        <v>3.4</v>
      </c>
      <c r="G787" t="inlineStr">
        <is>
          <t>Technical</t>
        </is>
      </c>
      <c r="H787" t="inlineStr">
        <is>
          <t>Yes</t>
        </is>
      </c>
      <c r="I787" t="inlineStr">
        <is>
          <t>2021-06-01</t>
        </is>
      </c>
    </row>
    <row r="788">
      <c r="A788" t="n">
        <v/>
      </c>
      <c r="B788" t="n">
        <v>1025411</v>
      </c>
      <c r="C788" t="inlineStr">
        <is>
          <t>JavaScript</t>
        </is>
      </c>
      <c r="D788" t="inlineStr">
        <is>
          <t>Secondary</t>
        </is>
      </c>
      <c r="E788" t="inlineStr">
        <is>
          <t>Intermediate</t>
        </is>
      </c>
      <c r="F788" t="n">
        <v>2.6</v>
      </c>
      <c r="G788" t="inlineStr">
        <is>
          <t>Technical</t>
        </is>
      </c>
      <c r="H788" t="inlineStr">
        <is>
          <t>Yes</t>
        </is>
      </c>
      <c r="I788" t="inlineStr">
        <is>
          <t>2021-06-01</t>
        </is>
      </c>
    </row>
    <row r="789">
      <c r="A789" t="n">
        <v/>
      </c>
      <c r="B789" t="n">
        <v>1025411</v>
      </c>
      <c r="C789" t="inlineStr">
        <is>
          <t>HTML5</t>
        </is>
      </c>
      <c r="D789" t="inlineStr">
        <is>
          <t>Secondary</t>
        </is>
      </c>
      <c r="E789" t="inlineStr">
        <is>
          <t>Intermediate</t>
        </is>
      </c>
      <c r="F789" t="n">
        <v>1.7</v>
      </c>
      <c r="G789" t="inlineStr">
        <is>
          <t>Technical</t>
        </is>
      </c>
      <c r="H789" t="inlineStr">
        <is>
          <t>Yes</t>
        </is>
      </c>
      <c r="I789" t="inlineStr">
        <is>
          <t>2021-06-01</t>
        </is>
      </c>
    </row>
    <row r="790">
      <c r="A790" t="n">
        <v/>
      </c>
      <c r="B790" t="n">
        <v>1020246</v>
      </c>
      <c r="C790" t="inlineStr">
        <is>
          <t>QA Automation / SDET</t>
        </is>
      </c>
      <c r="D790" t="inlineStr">
        <is>
          <t>Primary</t>
        </is>
      </c>
      <c r="E790" t="inlineStr">
        <is>
          <t>Advanced</t>
        </is>
      </c>
      <c r="F790" t="n">
        <v>8.699999999999999</v>
      </c>
      <c r="G790" t="inlineStr">
        <is>
          <t>Technical</t>
        </is>
      </c>
      <c r="H790" t="inlineStr">
        <is>
          <t>Yes</t>
        </is>
      </c>
      <c r="I790" t="inlineStr">
        <is>
          <t>2018-02-19</t>
        </is>
      </c>
    </row>
    <row r="791">
      <c r="A791" t="n">
        <v/>
      </c>
      <c r="B791" t="n">
        <v>1020246</v>
      </c>
      <c r="C791" t="inlineStr">
        <is>
          <t>Selenium</t>
        </is>
      </c>
      <c r="D791" t="inlineStr">
        <is>
          <t>Secondary</t>
        </is>
      </c>
      <c r="E791" t="inlineStr">
        <is>
          <t>Advanced</t>
        </is>
      </c>
      <c r="F791" t="n">
        <v>5.2</v>
      </c>
      <c r="G791" t="inlineStr">
        <is>
          <t>Technical</t>
        </is>
      </c>
      <c r="H791" t="inlineStr">
        <is>
          <t>Yes</t>
        </is>
      </c>
      <c r="I791" t="inlineStr">
        <is>
          <t>2018-02-19</t>
        </is>
      </c>
    </row>
    <row r="792">
      <c r="A792" t="n">
        <v/>
      </c>
      <c r="B792" t="n">
        <v>1020246</v>
      </c>
      <c r="C792" t="inlineStr">
        <is>
          <t>API Testing (Postman)</t>
        </is>
      </c>
      <c r="D792" t="inlineStr">
        <is>
          <t>Secondary</t>
        </is>
      </c>
      <c r="E792" t="inlineStr">
        <is>
          <t>Intermediate</t>
        </is>
      </c>
      <c r="F792" t="n">
        <v>3.9</v>
      </c>
      <c r="G792" t="inlineStr">
        <is>
          <t>Technical</t>
        </is>
      </c>
      <c r="H792" t="inlineStr">
        <is>
          <t>Yes</t>
        </is>
      </c>
      <c r="I792" t="inlineStr">
        <is>
          <t>2018-02-19</t>
        </is>
      </c>
    </row>
    <row r="793">
      <c r="A793" t="n">
        <v/>
      </c>
      <c r="B793" t="n">
        <v>1020246</v>
      </c>
      <c r="C793" t="inlineStr">
        <is>
          <t>TestNG</t>
        </is>
      </c>
      <c r="D793" t="inlineStr">
        <is>
          <t>Secondary</t>
        </is>
      </c>
      <c r="E793" t="inlineStr">
        <is>
          <t>Intermediate</t>
        </is>
      </c>
      <c r="F793" t="n">
        <v>2.6</v>
      </c>
      <c r="G793" t="inlineStr">
        <is>
          <t>Technical</t>
        </is>
      </c>
      <c r="H793" t="inlineStr">
        <is>
          <t>Yes</t>
        </is>
      </c>
      <c r="I793" t="inlineStr">
        <is>
          <t>2018-02-19</t>
        </is>
      </c>
    </row>
    <row r="794">
      <c r="A794" t="n">
        <v/>
      </c>
      <c r="B794" t="n">
        <v>1033733</v>
      </c>
      <c r="C794" t="inlineStr">
        <is>
          <t>Database &amp; SQL Architecture</t>
        </is>
      </c>
      <c r="D794" t="inlineStr">
        <is>
          <t>Primary</t>
        </is>
      </c>
      <c r="E794" t="inlineStr">
        <is>
          <t>Advanced</t>
        </is>
      </c>
      <c r="F794" t="n">
        <v>5.4</v>
      </c>
      <c r="G794" t="inlineStr">
        <is>
          <t>Technical</t>
        </is>
      </c>
      <c r="H794" t="inlineStr">
        <is>
          <t>Yes</t>
        </is>
      </c>
      <c r="I794" t="inlineStr">
        <is>
          <t>2023-10-16</t>
        </is>
      </c>
    </row>
    <row r="795">
      <c r="A795" t="n">
        <v/>
      </c>
      <c r="B795" t="n">
        <v>1033733</v>
      </c>
      <c r="C795" t="inlineStr">
        <is>
          <t>PostgreSQL</t>
        </is>
      </c>
      <c r="D795" t="inlineStr">
        <is>
          <t>Secondary</t>
        </is>
      </c>
      <c r="E795" t="inlineStr">
        <is>
          <t>Intermediate</t>
        </is>
      </c>
      <c r="F795" t="n">
        <v>3.2</v>
      </c>
      <c r="G795" t="inlineStr">
        <is>
          <t>Technical</t>
        </is>
      </c>
      <c r="H795" t="inlineStr">
        <is>
          <t>Yes</t>
        </is>
      </c>
      <c r="I795" t="inlineStr">
        <is>
          <t>2023-10-16</t>
        </is>
      </c>
    </row>
    <row r="796">
      <c r="A796" t="n">
        <v/>
      </c>
      <c r="B796" t="n">
        <v>1033733</v>
      </c>
      <c r="C796" t="inlineStr">
        <is>
          <t>Oracle</t>
        </is>
      </c>
      <c r="D796" t="inlineStr">
        <is>
          <t>Secondary</t>
        </is>
      </c>
      <c r="E796" t="inlineStr">
        <is>
          <t>Intermediate</t>
        </is>
      </c>
      <c r="F796" t="n">
        <v>2.4</v>
      </c>
      <c r="G796" t="inlineStr">
        <is>
          <t>Technical</t>
        </is>
      </c>
      <c r="H796" t="inlineStr">
        <is>
          <t>Yes</t>
        </is>
      </c>
      <c r="I796" t="inlineStr">
        <is>
          <t>2023-10-16</t>
        </is>
      </c>
    </row>
    <row r="797">
      <c r="A797" t="n">
        <v/>
      </c>
      <c r="B797" t="n">
        <v>1033733</v>
      </c>
      <c r="C797" t="inlineStr">
        <is>
          <t>Performance Tuning</t>
        </is>
      </c>
      <c r="D797" t="inlineStr">
        <is>
          <t>Secondary</t>
        </is>
      </c>
      <c r="E797" t="inlineStr">
        <is>
          <t>Intermediate</t>
        </is>
      </c>
      <c r="F797" t="n">
        <v>1.6</v>
      </c>
      <c r="G797" t="inlineStr">
        <is>
          <t>Technical</t>
        </is>
      </c>
      <c r="H797" t="inlineStr">
        <is>
          <t>Yes</t>
        </is>
      </c>
      <c r="I797" t="inlineStr">
        <is>
          <t>2023-10-16</t>
        </is>
      </c>
    </row>
    <row r="798">
      <c r="A798" t="n">
        <v/>
      </c>
      <c r="B798" t="n">
        <v>1031848</v>
      </c>
      <c r="C798" t="inlineStr">
        <is>
          <t>Database &amp; SQL Architecture</t>
        </is>
      </c>
      <c r="D798" t="inlineStr">
        <is>
          <t>Primary</t>
        </is>
      </c>
      <c r="E798" t="inlineStr">
        <is>
          <t>Advanced</t>
        </is>
      </c>
      <c r="F798" t="n">
        <v>5.2</v>
      </c>
      <c r="G798" t="inlineStr">
        <is>
          <t>Technical</t>
        </is>
      </c>
      <c r="H798" t="inlineStr">
        <is>
          <t>Yes</t>
        </is>
      </c>
      <c r="I798" t="inlineStr">
        <is>
          <t>2022-12-19</t>
        </is>
      </c>
    </row>
    <row r="799">
      <c r="A799" t="n">
        <v/>
      </c>
      <c r="B799" t="n">
        <v>1031848</v>
      </c>
      <c r="C799" t="inlineStr">
        <is>
          <t>PostgreSQL</t>
        </is>
      </c>
      <c r="D799" t="inlineStr">
        <is>
          <t>Secondary</t>
        </is>
      </c>
      <c r="E799" t="inlineStr">
        <is>
          <t>Intermediate</t>
        </is>
      </c>
      <c r="F799" t="n">
        <v>3.1</v>
      </c>
      <c r="G799" t="inlineStr">
        <is>
          <t>Technical</t>
        </is>
      </c>
      <c r="H799" t="inlineStr">
        <is>
          <t>Yes</t>
        </is>
      </c>
      <c r="I799" t="inlineStr">
        <is>
          <t>2022-12-19</t>
        </is>
      </c>
    </row>
    <row r="800">
      <c r="A800" t="n">
        <v/>
      </c>
      <c r="B800" t="n">
        <v>1031848</v>
      </c>
      <c r="C800" t="inlineStr">
        <is>
          <t>Oracle</t>
        </is>
      </c>
      <c r="D800" t="inlineStr">
        <is>
          <t>Secondary</t>
        </is>
      </c>
      <c r="E800" t="inlineStr">
        <is>
          <t>Intermediate</t>
        </is>
      </c>
      <c r="F800" t="n">
        <v>2.3</v>
      </c>
      <c r="G800" t="inlineStr">
        <is>
          <t>Technical</t>
        </is>
      </c>
      <c r="H800" t="inlineStr">
        <is>
          <t>Yes</t>
        </is>
      </c>
      <c r="I800" t="inlineStr">
        <is>
          <t>2022-12-19</t>
        </is>
      </c>
    </row>
    <row r="801">
      <c r="A801" t="n">
        <v/>
      </c>
      <c r="B801" t="n">
        <v>1031848</v>
      </c>
      <c r="C801" t="inlineStr">
        <is>
          <t>Performance Tuning</t>
        </is>
      </c>
      <c r="D801" t="inlineStr">
        <is>
          <t>Secondary</t>
        </is>
      </c>
      <c r="E801" t="inlineStr">
        <is>
          <t>Intermediate</t>
        </is>
      </c>
      <c r="F801" t="n">
        <v>1.6</v>
      </c>
      <c r="G801" t="inlineStr">
        <is>
          <t>Technical</t>
        </is>
      </c>
      <c r="H801" t="inlineStr">
        <is>
          <t>Yes</t>
        </is>
      </c>
      <c r="I801" t="inlineStr">
        <is>
          <t>2022-12-19</t>
        </is>
      </c>
    </row>
    <row r="802">
      <c r="A802" t="n">
        <v/>
      </c>
      <c r="B802" t="n">
        <v>1031844</v>
      </c>
      <c r="C802" t="inlineStr">
        <is>
          <t>Java / Spring Boot</t>
        </is>
      </c>
      <c r="D802" t="inlineStr">
        <is>
          <t>Primary</t>
        </is>
      </c>
      <c r="E802" t="inlineStr">
        <is>
          <t>Advanced</t>
        </is>
      </c>
      <c r="F802" t="n">
        <v>5.2</v>
      </c>
      <c r="G802" t="inlineStr">
        <is>
          <t>Technical</t>
        </is>
      </c>
      <c r="H802" t="inlineStr">
        <is>
          <t>Yes</t>
        </is>
      </c>
      <c r="I802" t="inlineStr">
        <is>
          <t>2022-12-19</t>
        </is>
      </c>
      <c r="J802" t="inlineStr">
        <is>
          <t>Reference</t>
        </is>
      </c>
    </row>
    <row r="803">
      <c r="A803" t="n">
        <v/>
      </c>
      <c r="B803" t="n">
        <v>1031844</v>
      </c>
      <c r="C803" t="inlineStr">
        <is>
          <t>SQL</t>
        </is>
      </c>
      <c r="D803" t="inlineStr">
        <is>
          <t>Secondary</t>
        </is>
      </c>
      <c r="E803" t="inlineStr">
        <is>
          <t>Intermediate</t>
        </is>
      </c>
      <c r="F803" t="n">
        <v>3.1</v>
      </c>
      <c r="G803" t="inlineStr">
        <is>
          <t>Technical</t>
        </is>
      </c>
      <c r="H803" t="inlineStr">
        <is>
          <t>Yes</t>
        </is>
      </c>
      <c r="I803" t="inlineStr">
        <is>
          <t>2022-12-19</t>
        </is>
      </c>
      <c r="J803" t="inlineStr">
        <is>
          <t>Reference</t>
        </is>
      </c>
    </row>
    <row r="804">
      <c r="A804" t="n">
        <v/>
      </c>
      <c r="B804" t="n">
        <v>1031844</v>
      </c>
      <c r="C804" t="inlineStr">
        <is>
          <t>Docker</t>
        </is>
      </c>
      <c r="D804" t="inlineStr">
        <is>
          <t>Secondary</t>
        </is>
      </c>
      <c r="E804" t="inlineStr">
        <is>
          <t>Intermediate</t>
        </is>
      </c>
      <c r="F804" t="n">
        <v>2.3</v>
      </c>
      <c r="G804" t="inlineStr">
        <is>
          <t>Technical</t>
        </is>
      </c>
      <c r="H804" t="inlineStr">
        <is>
          <t>Yes</t>
        </is>
      </c>
      <c r="I804" t="inlineStr">
        <is>
          <t>2022-12-19</t>
        </is>
      </c>
      <c r="J804" t="inlineStr">
        <is>
          <t>Reference</t>
        </is>
      </c>
    </row>
    <row r="805">
      <c r="A805" t="n">
        <v/>
      </c>
      <c r="B805" t="n">
        <v>1031844</v>
      </c>
      <c r="C805" t="inlineStr">
        <is>
          <t>Git</t>
        </is>
      </c>
      <c r="D805" t="inlineStr">
        <is>
          <t>Secondary</t>
        </is>
      </c>
      <c r="E805" t="inlineStr">
        <is>
          <t>Intermediate</t>
        </is>
      </c>
      <c r="F805" t="n">
        <v>1.6</v>
      </c>
      <c r="G805" t="inlineStr">
        <is>
          <t>Technical</t>
        </is>
      </c>
      <c r="H805" t="inlineStr">
        <is>
          <t>Yes</t>
        </is>
      </c>
      <c r="I805" t="inlineStr">
        <is>
          <t>2022-12-19</t>
        </is>
      </c>
      <c r="J805" t="inlineStr">
        <is>
          <t>Reference</t>
        </is>
      </c>
    </row>
    <row r="806">
      <c r="A806" t="n">
        <v/>
      </c>
      <c r="B806" t="n">
        <v>1026766</v>
      </c>
      <c r="C806" t="inlineStr">
        <is>
          <t>Frontend (Angular / TypeScript)</t>
        </is>
      </c>
      <c r="D806" t="inlineStr">
        <is>
          <t>Primary</t>
        </is>
      </c>
      <c r="E806" t="inlineStr">
        <is>
          <t>Advanced</t>
        </is>
      </c>
      <c r="F806" t="n">
        <v>7.2</v>
      </c>
      <c r="G806" t="inlineStr">
        <is>
          <t>Technical</t>
        </is>
      </c>
      <c r="H806" t="inlineStr">
        <is>
          <t>Yes</t>
        </is>
      </c>
      <c r="I806" t="inlineStr">
        <is>
          <t>2021-10-04</t>
        </is>
      </c>
    </row>
    <row r="807">
      <c r="A807" t="n">
        <v/>
      </c>
      <c r="B807" t="n">
        <v>1026766</v>
      </c>
      <c r="C807" t="inlineStr">
        <is>
          <t>TypeScript</t>
        </is>
      </c>
      <c r="D807" t="inlineStr">
        <is>
          <t>Secondary</t>
        </is>
      </c>
      <c r="E807" t="inlineStr">
        <is>
          <t>Intermediate</t>
        </is>
      </c>
      <c r="F807" t="n">
        <v>4.3</v>
      </c>
      <c r="G807" t="inlineStr">
        <is>
          <t>Technical</t>
        </is>
      </c>
      <c r="H807" t="inlineStr">
        <is>
          <t>Yes</t>
        </is>
      </c>
      <c r="I807" t="inlineStr">
        <is>
          <t>2021-10-04</t>
        </is>
      </c>
    </row>
    <row r="808">
      <c r="A808" t="n">
        <v/>
      </c>
      <c r="B808" t="n">
        <v>1026766</v>
      </c>
      <c r="C808" t="inlineStr">
        <is>
          <t>JavaScript</t>
        </is>
      </c>
      <c r="D808" t="inlineStr">
        <is>
          <t>Secondary</t>
        </is>
      </c>
      <c r="E808" t="inlineStr">
        <is>
          <t>Intermediate</t>
        </is>
      </c>
      <c r="F808" t="n">
        <v>3.2</v>
      </c>
      <c r="G808" t="inlineStr">
        <is>
          <t>Technical</t>
        </is>
      </c>
      <c r="H808" t="inlineStr">
        <is>
          <t>Yes</t>
        </is>
      </c>
      <c r="I808" t="inlineStr">
        <is>
          <t>2021-10-04</t>
        </is>
      </c>
    </row>
    <row r="809">
      <c r="A809" t="n">
        <v/>
      </c>
      <c r="B809" t="n">
        <v>1026766</v>
      </c>
      <c r="C809" t="inlineStr">
        <is>
          <t>HTML5</t>
        </is>
      </c>
      <c r="D809" t="inlineStr">
        <is>
          <t>Secondary</t>
        </is>
      </c>
      <c r="E809" t="inlineStr">
        <is>
          <t>Intermediate</t>
        </is>
      </c>
      <c r="F809" t="n">
        <v>2.2</v>
      </c>
      <c r="G809" t="inlineStr">
        <is>
          <t>Technical</t>
        </is>
      </c>
      <c r="H809" t="inlineStr">
        <is>
          <t>Yes</t>
        </is>
      </c>
      <c r="I809" t="inlineStr">
        <is>
          <t>2021-10-04</t>
        </is>
      </c>
    </row>
    <row r="810">
      <c r="A810" t="n">
        <v/>
      </c>
      <c r="B810" t="n">
        <v>1026951</v>
      </c>
      <c r="C810" t="inlineStr">
        <is>
          <t>QA Automation / SDET</t>
        </is>
      </c>
      <c r="D810" t="inlineStr">
        <is>
          <t>Primary</t>
        </is>
      </c>
      <c r="E810" t="inlineStr">
        <is>
          <t>Advanced</t>
        </is>
      </c>
      <c r="F810" t="n">
        <v>6.3</v>
      </c>
      <c r="G810" t="inlineStr">
        <is>
          <t>Technical</t>
        </is>
      </c>
      <c r="H810" t="inlineStr">
        <is>
          <t>Yes</t>
        </is>
      </c>
      <c r="I810" t="inlineStr">
        <is>
          <t>2021-10-25</t>
        </is>
      </c>
    </row>
    <row r="811">
      <c r="A811" t="n">
        <v/>
      </c>
      <c r="B811" t="n">
        <v>1026951</v>
      </c>
      <c r="C811" t="inlineStr">
        <is>
          <t>Selenium</t>
        </is>
      </c>
      <c r="D811" t="inlineStr">
        <is>
          <t>Secondary</t>
        </is>
      </c>
      <c r="E811" t="inlineStr">
        <is>
          <t>Intermediate</t>
        </is>
      </c>
      <c r="F811" t="n">
        <v>3.8</v>
      </c>
      <c r="G811" t="inlineStr">
        <is>
          <t>Technical</t>
        </is>
      </c>
      <c r="H811" t="inlineStr">
        <is>
          <t>Yes</t>
        </is>
      </c>
      <c r="I811" t="inlineStr">
        <is>
          <t>2021-10-25</t>
        </is>
      </c>
    </row>
    <row r="812">
      <c r="A812" t="n">
        <v/>
      </c>
      <c r="B812" t="n">
        <v>1026951</v>
      </c>
      <c r="C812" t="inlineStr">
        <is>
          <t>API Testing (Postman)</t>
        </is>
      </c>
      <c r="D812" t="inlineStr">
        <is>
          <t>Secondary</t>
        </is>
      </c>
      <c r="E812" t="inlineStr">
        <is>
          <t>Intermediate</t>
        </is>
      </c>
      <c r="F812" t="n">
        <v>2.8</v>
      </c>
      <c r="G812" t="inlineStr">
        <is>
          <t>Technical</t>
        </is>
      </c>
      <c r="H812" t="inlineStr">
        <is>
          <t>Yes</t>
        </is>
      </c>
      <c r="I812" t="inlineStr">
        <is>
          <t>2021-10-25</t>
        </is>
      </c>
    </row>
    <row r="813">
      <c r="A813" t="n">
        <v/>
      </c>
      <c r="B813" t="n">
        <v>1026951</v>
      </c>
      <c r="C813" t="inlineStr">
        <is>
          <t>TestNG</t>
        </is>
      </c>
      <c r="D813" t="inlineStr">
        <is>
          <t>Secondary</t>
        </is>
      </c>
      <c r="E813" t="inlineStr">
        <is>
          <t>Intermediate</t>
        </is>
      </c>
      <c r="F813" t="n">
        <v>1.9</v>
      </c>
      <c r="G813" t="inlineStr">
        <is>
          <t>Technical</t>
        </is>
      </c>
      <c r="H813" t="inlineStr">
        <is>
          <t>Yes</t>
        </is>
      </c>
      <c r="I813" t="inlineStr">
        <is>
          <t>2021-10-25</t>
        </is>
      </c>
    </row>
    <row r="814">
      <c r="A814" t="n">
        <v/>
      </c>
      <c r="B814" t="n">
        <v>1028104</v>
      </c>
      <c r="C814" t="inlineStr">
        <is>
          <t>Java / Spring Boot</t>
        </is>
      </c>
      <c r="D814" t="inlineStr">
        <is>
          <t>Primary</t>
        </is>
      </c>
      <c r="E814" t="inlineStr">
        <is>
          <t>Intermediate</t>
        </is>
      </c>
      <c r="F814" t="n">
        <v>2.4</v>
      </c>
      <c r="G814" t="inlineStr">
        <is>
          <t>Technical</t>
        </is>
      </c>
      <c r="H814" t="inlineStr">
        <is>
          <t>Yes</t>
        </is>
      </c>
      <c r="I814" t="inlineStr">
        <is>
          <t>2022-01-21</t>
        </is>
      </c>
      <c r="J814" t="inlineStr">
        <is>
          <t>Claims</t>
        </is>
      </c>
    </row>
    <row r="815">
      <c r="A815" t="n">
        <v/>
      </c>
      <c r="B815" t="n">
        <v>1028104</v>
      </c>
      <c r="C815" t="inlineStr">
        <is>
          <t>SQL</t>
        </is>
      </c>
      <c r="D815" t="inlineStr">
        <is>
          <t>Secondary</t>
        </is>
      </c>
      <c r="E815" t="inlineStr">
        <is>
          <t>Beginner</t>
        </is>
      </c>
      <c r="F815" t="n">
        <v>1.4</v>
      </c>
      <c r="G815" t="inlineStr">
        <is>
          <t>Technical</t>
        </is>
      </c>
      <c r="H815" t="inlineStr">
        <is>
          <t>Yes</t>
        </is>
      </c>
      <c r="I815" t="inlineStr">
        <is>
          <t>2022-01-21</t>
        </is>
      </c>
      <c r="J815" t="inlineStr">
        <is>
          <t>Claims</t>
        </is>
      </c>
    </row>
    <row r="816">
      <c r="A816" t="n">
        <v/>
      </c>
      <c r="B816" t="n">
        <v>1028104</v>
      </c>
      <c r="C816" t="inlineStr">
        <is>
          <t>Docker</t>
        </is>
      </c>
      <c r="D816" t="inlineStr">
        <is>
          <t>Secondary</t>
        </is>
      </c>
      <c r="E816" t="inlineStr">
        <is>
          <t>Beginner</t>
        </is>
      </c>
      <c r="F816" t="n">
        <v>1.1</v>
      </c>
      <c r="G816" t="inlineStr">
        <is>
          <t>Technical</t>
        </is>
      </c>
      <c r="H816" t="inlineStr">
        <is>
          <t>Yes</t>
        </is>
      </c>
      <c r="I816" t="inlineStr">
        <is>
          <t>2022-01-21</t>
        </is>
      </c>
      <c r="J816" t="inlineStr">
        <is>
          <t>Claims</t>
        </is>
      </c>
    </row>
    <row r="817">
      <c r="A817" t="n">
        <v/>
      </c>
      <c r="B817" t="n">
        <v>1030116</v>
      </c>
      <c r="C817" t="inlineStr">
        <is>
          <t>Java / Spring Boot</t>
        </is>
      </c>
      <c r="D817" t="inlineStr">
        <is>
          <t>Primary</t>
        </is>
      </c>
      <c r="E817" t="inlineStr">
        <is>
          <t>Advanced</t>
        </is>
      </c>
      <c r="F817" t="n">
        <v>5.5</v>
      </c>
      <c r="G817" t="inlineStr">
        <is>
          <t>Technical</t>
        </is>
      </c>
      <c r="H817" t="inlineStr">
        <is>
          <t>Yes</t>
        </is>
      </c>
      <c r="I817" t="inlineStr">
        <is>
          <t>2022-09-05</t>
        </is>
      </c>
      <c r="J817" t="inlineStr">
        <is>
          <t>Service Authorization</t>
        </is>
      </c>
    </row>
    <row r="818">
      <c r="A818" t="n">
        <v/>
      </c>
      <c r="B818" t="n">
        <v>1030116</v>
      </c>
      <c r="C818" t="inlineStr">
        <is>
          <t>SQL</t>
        </is>
      </c>
      <c r="D818" t="inlineStr">
        <is>
          <t>Secondary</t>
        </is>
      </c>
      <c r="E818" t="inlineStr">
        <is>
          <t>Intermediate</t>
        </is>
      </c>
      <c r="F818" t="n">
        <v>3.3</v>
      </c>
      <c r="G818" t="inlineStr">
        <is>
          <t>Technical</t>
        </is>
      </c>
      <c r="H818" t="inlineStr">
        <is>
          <t>Yes</t>
        </is>
      </c>
      <c r="I818" t="inlineStr">
        <is>
          <t>2022-09-05</t>
        </is>
      </c>
      <c r="J818" t="inlineStr">
        <is>
          <t>Service Authorization</t>
        </is>
      </c>
    </row>
    <row r="819">
      <c r="A819" t="n">
        <v/>
      </c>
      <c r="B819" t="n">
        <v>1030116</v>
      </c>
      <c r="C819" t="inlineStr">
        <is>
          <t>Docker</t>
        </is>
      </c>
      <c r="D819" t="inlineStr">
        <is>
          <t>Secondary</t>
        </is>
      </c>
      <c r="E819" t="inlineStr">
        <is>
          <t>Intermediate</t>
        </is>
      </c>
      <c r="F819" t="n">
        <v>2.5</v>
      </c>
      <c r="G819" t="inlineStr">
        <is>
          <t>Technical</t>
        </is>
      </c>
      <c r="H819" t="inlineStr">
        <is>
          <t>Yes</t>
        </is>
      </c>
      <c r="I819" t="inlineStr">
        <is>
          <t>2022-09-05</t>
        </is>
      </c>
      <c r="J819" t="inlineStr">
        <is>
          <t>Service Authorization</t>
        </is>
      </c>
    </row>
    <row r="820">
      <c r="A820" t="n">
        <v/>
      </c>
      <c r="B820" t="n">
        <v>1030116</v>
      </c>
      <c r="C820" t="inlineStr">
        <is>
          <t>Git</t>
        </is>
      </c>
      <c r="D820" t="inlineStr">
        <is>
          <t>Secondary</t>
        </is>
      </c>
      <c r="E820" t="inlineStr">
        <is>
          <t>Intermediate</t>
        </is>
      </c>
      <c r="F820" t="n">
        <v>1.6</v>
      </c>
      <c r="G820" t="inlineStr">
        <is>
          <t>Technical</t>
        </is>
      </c>
      <c r="H820" t="inlineStr">
        <is>
          <t>Yes</t>
        </is>
      </c>
      <c r="I820" t="inlineStr">
        <is>
          <t>2022-09-05</t>
        </is>
      </c>
      <c r="J820" t="inlineStr">
        <is>
          <t>Service Authorization</t>
        </is>
      </c>
    </row>
    <row r="821">
      <c r="A821" t="n">
        <v/>
      </c>
      <c r="B821" t="n">
        <v>1029405</v>
      </c>
      <c r="C821" t="inlineStr">
        <is>
          <t>QA Automation / SDET</t>
        </is>
      </c>
      <c r="D821" t="inlineStr">
        <is>
          <t>Primary</t>
        </is>
      </c>
      <c r="E821" t="inlineStr">
        <is>
          <t>Advanced</t>
        </is>
      </c>
      <c r="F821" t="n">
        <v>5.7</v>
      </c>
      <c r="G821" t="inlineStr">
        <is>
          <t>Technical</t>
        </is>
      </c>
      <c r="H821" t="inlineStr">
        <is>
          <t>Yes</t>
        </is>
      </c>
      <c r="I821" t="inlineStr">
        <is>
          <t>2022-06-29</t>
        </is>
      </c>
    </row>
    <row r="822">
      <c r="A822" t="n">
        <v/>
      </c>
      <c r="B822" t="n">
        <v>1029405</v>
      </c>
      <c r="C822" t="inlineStr">
        <is>
          <t>Selenium</t>
        </is>
      </c>
      <c r="D822" t="inlineStr">
        <is>
          <t>Secondary</t>
        </is>
      </c>
      <c r="E822" t="inlineStr">
        <is>
          <t>Intermediate</t>
        </is>
      </c>
      <c r="F822" t="n">
        <v>3.4</v>
      </c>
      <c r="G822" t="inlineStr">
        <is>
          <t>Technical</t>
        </is>
      </c>
      <c r="H822" t="inlineStr">
        <is>
          <t>Yes</t>
        </is>
      </c>
      <c r="I822" t="inlineStr">
        <is>
          <t>2022-06-29</t>
        </is>
      </c>
    </row>
    <row r="823">
      <c r="A823" t="n">
        <v/>
      </c>
      <c r="B823" t="n">
        <v>1029405</v>
      </c>
      <c r="C823" t="inlineStr">
        <is>
          <t>API Testing (Postman)</t>
        </is>
      </c>
      <c r="D823" t="inlineStr">
        <is>
          <t>Secondary</t>
        </is>
      </c>
      <c r="E823" t="inlineStr">
        <is>
          <t>Intermediate</t>
        </is>
      </c>
      <c r="F823" t="n">
        <v>2.6</v>
      </c>
      <c r="G823" t="inlineStr">
        <is>
          <t>Technical</t>
        </is>
      </c>
      <c r="H823" t="inlineStr">
        <is>
          <t>Yes</t>
        </is>
      </c>
      <c r="I823" t="inlineStr">
        <is>
          <t>2022-06-29</t>
        </is>
      </c>
    </row>
    <row r="824">
      <c r="A824" t="n">
        <v/>
      </c>
      <c r="B824" t="n">
        <v>1029405</v>
      </c>
      <c r="C824" t="inlineStr">
        <is>
          <t>TestNG</t>
        </is>
      </c>
      <c r="D824" t="inlineStr">
        <is>
          <t>Secondary</t>
        </is>
      </c>
      <c r="E824" t="inlineStr">
        <is>
          <t>Intermediate</t>
        </is>
      </c>
      <c r="F824" t="n">
        <v>1.7</v>
      </c>
      <c r="G824" t="inlineStr">
        <is>
          <t>Technical</t>
        </is>
      </c>
      <c r="H824" t="inlineStr">
        <is>
          <t>Yes</t>
        </is>
      </c>
      <c r="I824" t="inlineStr">
        <is>
          <t>2022-06-29</t>
        </is>
      </c>
    </row>
    <row r="825">
      <c r="A825" t="n">
        <v/>
      </c>
      <c r="B825" t="n">
        <v>1028128</v>
      </c>
      <c r="C825" t="inlineStr">
        <is>
          <t>Database &amp; SQL Architecture</t>
        </is>
      </c>
      <c r="D825" t="inlineStr">
        <is>
          <t>Primary</t>
        </is>
      </c>
      <c r="E825" t="inlineStr">
        <is>
          <t>Advanced</t>
        </is>
      </c>
      <c r="F825" t="n">
        <v>6.9</v>
      </c>
      <c r="G825" t="inlineStr">
        <is>
          <t>Technical</t>
        </is>
      </c>
      <c r="H825" t="inlineStr">
        <is>
          <t>Yes</t>
        </is>
      </c>
      <c r="I825" t="inlineStr">
        <is>
          <t>2022-01-24</t>
        </is>
      </c>
    </row>
    <row r="826">
      <c r="A826" t="n">
        <v/>
      </c>
      <c r="B826" t="n">
        <v>1028128</v>
      </c>
      <c r="C826" t="inlineStr">
        <is>
          <t>PostgreSQL</t>
        </is>
      </c>
      <c r="D826" t="inlineStr">
        <is>
          <t>Secondary</t>
        </is>
      </c>
      <c r="E826" t="inlineStr">
        <is>
          <t>Intermediate</t>
        </is>
      </c>
      <c r="F826" t="n">
        <v>4.1</v>
      </c>
      <c r="G826" t="inlineStr">
        <is>
          <t>Technical</t>
        </is>
      </c>
      <c r="H826" t="inlineStr">
        <is>
          <t>Yes</t>
        </is>
      </c>
      <c r="I826" t="inlineStr">
        <is>
          <t>2022-01-24</t>
        </is>
      </c>
    </row>
    <row r="827">
      <c r="A827" t="n">
        <v/>
      </c>
      <c r="B827" t="n">
        <v>1028128</v>
      </c>
      <c r="C827" t="inlineStr">
        <is>
          <t>Oracle</t>
        </is>
      </c>
      <c r="D827" t="inlineStr">
        <is>
          <t>Secondary</t>
        </is>
      </c>
      <c r="E827" t="inlineStr">
        <is>
          <t>Intermediate</t>
        </is>
      </c>
      <c r="F827" t="n">
        <v>3.1</v>
      </c>
      <c r="G827" t="inlineStr">
        <is>
          <t>Technical</t>
        </is>
      </c>
      <c r="H827" t="inlineStr">
        <is>
          <t>Yes</t>
        </is>
      </c>
      <c r="I827" t="inlineStr">
        <is>
          <t>2022-01-24</t>
        </is>
      </c>
    </row>
    <row r="828">
      <c r="A828" t="n">
        <v/>
      </c>
      <c r="B828" t="n">
        <v>1028128</v>
      </c>
      <c r="C828" t="inlineStr">
        <is>
          <t>Performance Tuning</t>
        </is>
      </c>
      <c r="D828" t="inlineStr">
        <is>
          <t>Secondary</t>
        </is>
      </c>
      <c r="E828" t="inlineStr">
        <is>
          <t>Intermediate</t>
        </is>
      </c>
      <c r="F828" t="n">
        <v>2.1</v>
      </c>
      <c r="G828" t="inlineStr">
        <is>
          <t>Technical</t>
        </is>
      </c>
      <c r="H828" t="inlineStr">
        <is>
          <t>Yes</t>
        </is>
      </c>
      <c r="I828" t="inlineStr">
        <is>
          <t>2022-01-24</t>
        </is>
      </c>
    </row>
    <row r="829">
      <c r="A829" t="n">
        <v/>
      </c>
      <c r="B829" t="n">
        <v>1020467</v>
      </c>
      <c r="C829" t="inlineStr">
        <is>
          <t>Fullstack Web (React / Node)</t>
        </is>
      </c>
      <c r="D829" t="inlineStr">
        <is>
          <t>Primary</t>
        </is>
      </c>
      <c r="E829" t="inlineStr">
        <is>
          <t>Advanced</t>
        </is>
      </c>
      <c r="F829" t="n">
        <v>10.3</v>
      </c>
      <c r="G829" t="inlineStr">
        <is>
          <t>Technical</t>
        </is>
      </c>
      <c r="H829" t="inlineStr">
        <is>
          <t>Yes</t>
        </is>
      </c>
      <c r="I829" t="inlineStr">
        <is>
          <t>2018-04-30</t>
        </is>
      </c>
    </row>
    <row r="830">
      <c r="A830" t="n">
        <v/>
      </c>
      <c r="B830" t="n">
        <v>1020467</v>
      </c>
      <c r="C830" t="inlineStr">
        <is>
          <t>JavaScript</t>
        </is>
      </c>
      <c r="D830" t="inlineStr">
        <is>
          <t>Secondary</t>
        </is>
      </c>
      <c r="E830" t="inlineStr">
        <is>
          <t>Advanced</t>
        </is>
      </c>
      <c r="F830" t="n">
        <v>6.2</v>
      </c>
      <c r="G830" t="inlineStr">
        <is>
          <t>Technical</t>
        </is>
      </c>
      <c r="H830" t="inlineStr">
        <is>
          <t>Yes</t>
        </is>
      </c>
      <c r="I830" t="inlineStr">
        <is>
          <t>2018-04-30</t>
        </is>
      </c>
    </row>
    <row r="831">
      <c r="A831" t="n">
        <v/>
      </c>
      <c r="B831" t="n">
        <v>1020467</v>
      </c>
      <c r="C831" t="inlineStr">
        <is>
          <t>TypeScript</t>
        </is>
      </c>
      <c r="D831" t="inlineStr">
        <is>
          <t>Secondary</t>
        </is>
      </c>
      <c r="E831" t="inlineStr">
        <is>
          <t>Intermediate</t>
        </is>
      </c>
      <c r="F831" t="n">
        <v>4.6</v>
      </c>
      <c r="G831" t="inlineStr">
        <is>
          <t>Technical</t>
        </is>
      </c>
      <c r="H831" t="inlineStr">
        <is>
          <t>Yes</t>
        </is>
      </c>
      <c r="I831" t="inlineStr">
        <is>
          <t>2018-04-30</t>
        </is>
      </c>
    </row>
    <row r="832">
      <c r="A832" t="n">
        <v/>
      </c>
      <c r="B832" t="n">
        <v>1020467</v>
      </c>
      <c r="C832" t="inlineStr">
        <is>
          <t>CSS/HTML</t>
        </is>
      </c>
      <c r="D832" t="inlineStr">
        <is>
          <t>Secondary</t>
        </is>
      </c>
      <c r="E832" t="inlineStr">
        <is>
          <t>Intermediate</t>
        </is>
      </c>
      <c r="F832" t="n">
        <v>3.1</v>
      </c>
      <c r="G832" t="inlineStr">
        <is>
          <t>Technical</t>
        </is>
      </c>
      <c r="H832" t="inlineStr">
        <is>
          <t>Yes</t>
        </is>
      </c>
      <c r="I832" t="inlineStr">
        <is>
          <t>2018-04-30</t>
        </is>
      </c>
    </row>
    <row r="833">
      <c r="A833" t="n">
        <v/>
      </c>
      <c r="B833" t="n">
        <v>1026286</v>
      </c>
      <c r="C833" t="inlineStr">
        <is>
          <t>Operations &amp; IT Support</t>
        </is>
      </c>
      <c r="D833" t="inlineStr">
        <is>
          <t>Primary</t>
        </is>
      </c>
      <c r="E833" t="inlineStr">
        <is>
          <t>Advanced</t>
        </is>
      </c>
      <c r="F833" t="n">
        <v>6.4</v>
      </c>
      <c r="G833" t="inlineStr">
        <is>
          <t>Functional</t>
        </is>
      </c>
      <c r="H833" t="inlineStr">
        <is>
          <t>Yes</t>
        </is>
      </c>
      <c r="I833" t="inlineStr">
        <is>
          <t>2021-08-30</t>
        </is>
      </c>
    </row>
    <row r="834">
      <c r="A834" t="n">
        <v/>
      </c>
      <c r="B834" t="n">
        <v>1026286</v>
      </c>
      <c r="C834" t="inlineStr">
        <is>
          <t>IT Service Management</t>
        </is>
      </c>
      <c r="D834" t="inlineStr">
        <is>
          <t>Secondary</t>
        </is>
      </c>
      <c r="E834" t="inlineStr">
        <is>
          <t>Intermediate</t>
        </is>
      </c>
      <c r="F834" t="n">
        <v>3.8</v>
      </c>
      <c r="G834" t="inlineStr">
        <is>
          <t>Functional</t>
        </is>
      </c>
      <c r="H834" t="inlineStr">
        <is>
          <t>Yes</t>
        </is>
      </c>
      <c r="I834" t="inlineStr">
        <is>
          <t>2021-08-30</t>
        </is>
      </c>
    </row>
    <row r="835">
      <c r="A835" t="n">
        <v/>
      </c>
      <c r="B835" t="n">
        <v>1026286</v>
      </c>
      <c r="C835" t="inlineStr">
        <is>
          <t>Reporting</t>
        </is>
      </c>
      <c r="D835" t="inlineStr">
        <is>
          <t>Secondary</t>
        </is>
      </c>
      <c r="E835" t="inlineStr">
        <is>
          <t>Intermediate</t>
        </is>
      </c>
      <c r="F835" t="n">
        <v>2.9</v>
      </c>
      <c r="G835" t="inlineStr">
        <is>
          <t>Functional</t>
        </is>
      </c>
      <c r="H835" t="inlineStr">
        <is>
          <t>Yes</t>
        </is>
      </c>
      <c r="I835" t="inlineStr">
        <is>
          <t>2021-08-30</t>
        </is>
      </c>
    </row>
    <row r="836">
      <c r="A836" t="n">
        <v/>
      </c>
      <c r="B836" t="n">
        <v>1026286</v>
      </c>
      <c r="C836" t="inlineStr">
        <is>
          <t>Excel</t>
        </is>
      </c>
      <c r="D836" t="inlineStr">
        <is>
          <t>Secondary</t>
        </is>
      </c>
      <c r="E836" t="inlineStr">
        <is>
          <t>Intermediate</t>
        </is>
      </c>
      <c r="F836" t="n">
        <v>1.9</v>
      </c>
      <c r="G836" t="inlineStr">
        <is>
          <t>Functional</t>
        </is>
      </c>
      <c r="H836" t="inlineStr">
        <is>
          <t>Yes</t>
        </is>
      </c>
      <c r="I836" t="inlineStr">
        <is>
          <t>2021-08-30</t>
        </is>
      </c>
    </row>
    <row r="837">
      <c r="A837" t="n">
        <v/>
      </c>
      <c r="B837" t="n">
        <v>1033799</v>
      </c>
      <c r="C837" t="inlineStr">
        <is>
          <t>Cloud &amp; DevOps (AWS / K8s)</t>
        </is>
      </c>
      <c r="D837" t="inlineStr">
        <is>
          <t>Primary</t>
        </is>
      </c>
      <c r="E837" t="inlineStr">
        <is>
          <t>Advanced</t>
        </is>
      </c>
      <c r="F837" t="n">
        <v>5.4</v>
      </c>
      <c r="G837" t="inlineStr">
        <is>
          <t>Technical</t>
        </is>
      </c>
      <c r="H837" t="inlineStr">
        <is>
          <t>Yes</t>
        </is>
      </c>
      <c r="I837" t="inlineStr">
        <is>
          <t>2023-10-30</t>
        </is>
      </c>
    </row>
    <row r="838">
      <c r="A838" t="n">
        <v/>
      </c>
      <c r="B838" t="n">
        <v>1033799</v>
      </c>
      <c r="C838" t="inlineStr">
        <is>
          <t>Docker</t>
        </is>
      </c>
      <c r="D838" t="inlineStr">
        <is>
          <t>Secondary</t>
        </is>
      </c>
      <c r="E838" t="inlineStr">
        <is>
          <t>Intermediate</t>
        </is>
      </c>
      <c r="F838" t="n">
        <v>3.2</v>
      </c>
      <c r="G838" t="inlineStr">
        <is>
          <t>Technical</t>
        </is>
      </c>
      <c r="H838" t="inlineStr">
        <is>
          <t>Yes</t>
        </is>
      </c>
      <c r="I838" t="inlineStr">
        <is>
          <t>2023-10-30</t>
        </is>
      </c>
    </row>
    <row r="839">
      <c r="A839" t="n">
        <v/>
      </c>
      <c r="B839" t="n">
        <v>1033799</v>
      </c>
      <c r="C839" t="inlineStr">
        <is>
          <t>Kubernetes</t>
        </is>
      </c>
      <c r="D839" t="inlineStr">
        <is>
          <t>Secondary</t>
        </is>
      </c>
      <c r="E839" t="inlineStr">
        <is>
          <t>Intermediate</t>
        </is>
      </c>
      <c r="F839" t="n">
        <v>2.4</v>
      </c>
      <c r="G839" t="inlineStr">
        <is>
          <t>Technical</t>
        </is>
      </c>
      <c r="H839" t="inlineStr">
        <is>
          <t>Yes</t>
        </is>
      </c>
      <c r="I839" t="inlineStr">
        <is>
          <t>2023-10-30</t>
        </is>
      </c>
    </row>
    <row r="840">
      <c r="A840" t="n">
        <v/>
      </c>
      <c r="B840" t="n">
        <v>1033799</v>
      </c>
      <c r="C840" t="inlineStr">
        <is>
          <t>Linux</t>
        </is>
      </c>
      <c r="D840" t="inlineStr">
        <is>
          <t>Secondary</t>
        </is>
      </c>
      <c r="E840" t="inlineStr">
        <is>
          <t>Intermediate</t>
        </is>
      </c>
      <c r="F840" t="n">
        <v>1.6</v>
      </c>
      <c r="G840" t="inlineStr">
        <is>
          <t>Technical</t>
        </is>
      </c>
      <c r="H840" t="inlineStr">
        <is>
          <t>Yes</t>
        </is>
      </c>
      <c r="I840" t="inlineStr">
        <is>
          <t>2023-10-30</t>
        </is>
      </c>
    </row>
    <row r="841">
      <c r="A841" t="n">
        <v/>
      </c>
      <c r="B841" t="n">
        <v>1021304</v>
      </c>
      <c r="C841" t="inlineStr">
        <is>
          <t>Cloud &amp; DevOps (AWS / K8s)</t>
        </is>
      </c>
      <c r="D841" t="inlineStr">
        <is>
          <t>Primary</t>
        </is>
      </c>
      <c r="E841" t="inlineStr">
        <is>
          <t>Advanced</t>
        </is>
      </c>
      <c r="F841" t="n">
        <v>9.699999999999999</v>
      </c>
      <c r="G841" t="inlineStr">
        <is>
          <t>Technical</t>
        </is>
      </c>
      <c r="H841" t="inlineStr">
        <is>
          <t>Yes</t>
        </is>
      </c>
      <c r="I841" t="inlineStr">
        <is>
          <t>2018-12-10</t>
        </is>
      </c>
    </row>
    <row r="842">
      <c r="A842" t="n">
        <v/>
      </c>
      <c r="B842" t="n">
        <v>1021304</v>
      </c>
      <c r="C842" t="inlineStr">
        <is>
          <t>Docker</t>
        </is>
      </c>
      <c r="D842" t="inlineStr">
        <is>
          <t>Secondary</t>
        </is>
      </c>
      <c r="E842" t="inlineStr">
        <is>
          <t>Advanced</t>
        </is>
      </c>
      <c r="F842" t="n">
        <v>5.8</v>
      </c>
      <c r="G842" t="inlineStr">
        <is>
          <t>Technical</t>
        </is>
      </c>
      <c r="H842" t="inlineStr">
        <is>
          <t>Yes</t>
        </is>
      </c>
      <c r="I842" t="inlineStr">
        <is>
          <t>2018-12-10</t>
        </is>
      </c>
    </row>
    <row r="843">
      <c r="A843" t="n">
        <v/>
      </c>
      <c r="B843" t="n">
        <v>1021304</v>
      </c>
      <c r="C843" t="inlineStr">
        <is>
          <t>Kubernetes</t>
        </is>
      </c>
      <c r="D843" t="inlineStr">
        <is>
          <t>Secondary</t>
        </is>
      </c>
      <c r="E843" t="inlineStr">
        <is>
          <t>Intermediate</t>
        </is>
      </c>
      <c r="F843" t="n">
        <v>4.4</v>
      </c>
      <c r="G843" t="inlineStr">
        <is>
          <t>Technical</t>
        </is>
      </c>
      <c r="H843" t="inlineStr">
        <is>
          <t>Yes</t>
        </is>
      </c>
      <c r="I843" t="inlineStr">
        <is>
          <t>2018-12-10</t>
        </is>
      </c>
    </row>
    <row r="844">
      <c r="A844" t="n">
        <v/>
      </c>
      <c r="B844" t="n">
        <v>1021304</v>
      </c>
      <c r="C844" t="inlineStr">
        <is>
          <t>Linux</t>
        </is>
      </c>
      <c r="D844" t="inlineStr">
        <is>
          <t>Secondary</t>
        </is>
      </c>
      <c r="E844" t="inlineStr">
        <is>
          <t>Intermediate</t>
        </is>
      </c>
      <c r="F844" t="n">
        <v>2.9</v>
      </c>
      <c r="G844" t="inlineStr">
        <is>
          <t>Technical</t>
        </is>
      </c>
      <c r="H844" t="inlineStr">
        <is>
          <t>Yes</t>
        </is>
      </c>
      <c r="I844" t="inlineStr">
        <is>
          <t>2018-12-10</t>
        </is>
      </c>
    </row>
    <row r="845">
      <c r="A845" t="n">
        <v/>
      </c>
      <c r="B845" t="n">
        <v>1025962</v>
      </c>
      <c r="C845" t="inlineStr">
        <is>
          <t>Fullstack Web (React / Node)</t>
        </is>
      </c>
      <c r="D845" t="inlineStr">
        <is>
          <t>Primary</t>
        </is>
      </c>
      <c r="E845" t="inlineStr">
        <is>
          <t>Advanced</t>
        </is>
      </c>
      <c r="F845" t="n">
        <v>6.5</v>
      </c>
      <c r="G845" t="inlineStr">
        <is>
          <t>Technical</t>
        </is>
      </c>
      <c r="H845" t="inlineStr">
        <is>
          <t>Yes</t>
        </is>
      </c>
      <c r="I845" t="inlineStr">
        <is>
          <t>2021-07-30</t>
        </is>
      </c>
    </row>
    <row r="846">
      <c r="A846" t="n">
        <v/>
      </c>
      <c r="B846" t="n">
        <v>1025962</v>
      </c>
      <c r="C846" t="inlineStr">
        <is>
          <t>JavaScript</t>
        </is>
      </c>
      <c r="D846" t="inlineStr">
        <is>
          <t>Secondary</t>
        </is>
      </c>
      <c r="E846" t="inlineStr">
        <is>
          <t>Intermediate</t>
        </is>
      </c>
      <c r="F846" t="n">
        <v>3.9</v>
      </c>
      <c r="G846" t="inlineStr">
        <is>
          <t>Technical</t>
        </is>
      </c>
      <c r="H846" t="inlineStr">
        <is>
          <t>Yes</t>
        </is>
      </c>
      <c r="I846" t="inlineStr">
        <is>
          <t>2021-07-30</t>
        </is>
      </c>
    </row>
    <row r="847">
      <c r="A847" t="n">
        <v/>
      </c>
      <c r="B847" t="n">
        <v>1025962</v>
      </c>
      <c r="C847" t="inlineStr">
        <is>
          <t>TypeScript</t>
        </is>
      </c>
      <c r="D847" t="inlineStr">
        <is>
          <t>Secondary</t>
        </is>
      </c>
      <c r="E847" t="inlineStr">
        <is>
          <t>Intermediate</t>
        </is>
      </c>
      <c r="F847" t="n">
        <v>2.9</v>
      </c>
      <c r="G847" t="inlineStr">
        <is>
          <t>Technical</t>
        </is>
      </c>
      <c r="H847" t="inlineStr">
        <is>
          <t>Yes</t>
        </is>
      </c>
      <c r="I847" t="inlineStr">
        <is>
          <t>2021-07-30</t>
        </is>
      </c>
    </row>
    <row r="848">
      <c r="A848" t="n">
        <v/>
      </c>
      <c r="B848" t="n">
        <v>1025962</v>
      </c>
      <c r="C848" t="inlineStr">
        <is>
          <t>CSS/HTML</t>
        </is>
      </c>
      <c r="D848" t="inlineStr">
        <is>
          <t>Secondary</t>
        </is>
      </c>
      <c r="E848" t="inlineStr">
        <is>
          <t>Intermediate</t>
        </is>
      </c>
      <c r="F848" t="n">
        <v>1.9</v>
      </c>
      <c r="G848" t="inlineStr">
        <is>
          <t>Technical</t>
        </is>
      </c>
      <c r="H848" t="inlineStr">
        <is>
          <t>Yes</t>
        </is>
      </c>
      <c r="I848" t="inlineStr">
        <is>
          <t>2021-07-30</t>
        </is>
      </c>
    </row>
    <row r="849">
      <c r="A849" t="n">
        <v/>
      </c>
      <c r="B849" t="n">
        <v>1030389</v>
      </c>
      <c r="C849" t="inlineStr">
        <is>
          <t>QA Automation / SDET</t>
        </is>
      </c>
      <c r="D849" t="inlineStr">
        <is>
          <t>Primary</t>
        </is>
      </c>
      <c r="E849" t="inlineStr">
        <is>
          <t>Advanced</t>
        </is>
      </c>
      <c r="F849" t="n">
        <v>6.3</v>
      </c>
      <c r="G849" t="inlineStr">
        <is>
          <t>Technical</t>
        </is>
      </c>
      <c r="H849" t="inlineStr">
        <is>
          <t>Yes</t>
        </is>
      </c>
      <c r="I849" t="inlineStr">
        <is>
          <t>2022-09-21</t>
        </is>
      </c>
    </row>
    <row r="850">
      <c r="A850" t="n">
        <v/>
      </c>
      <c r="B850" t="n">
        <v>1030389</v>
      </c>
      <c r="C850" t="inlineStr">
        <is>
          <t>Selenium</t>
        </is>
      </c>
      <c r="D850" t="inlineStr">
        <is>
          <t>Secondary</t>
        </is>
      </c>
      <c r="E850" t="inlineStr">
        <is>
          <t>Intermediate</t>
        </is>
      </c>
      <c r="F850" t="n">
        <v>3.8</v>
      </c>
      <c r="G850" t="inlineStr">
        <is>
          <t>Technical</t>
        </is>
      </c>
      <c r="H850" t="inlineStr">
        <is>
          <t>Yes</t>
        </is>
      </c>
      <c r="I850" t="inlineStr">
        <is>
          <t>2022-09-21</t>
        </is>
      </c>
    </row>
    <row r="851">
      <c r="A851" t="n">
        <v/>
      </c>
      <c r="B851" t="n">
        <v>1030389</v>
      </c>
      <c r="C851" t="inlineStr">
        <is>
          <t>API Testing (Postman)</t>
        </is>
      </c>
      <c r="D851" t="inlineStr">
        <is>
          <t>Secondary</t>
        </is>
      </c>
      <c r="E851" t="inlineStr">
        <is>
          <t>Intermediate</t>
        </is>
      </c>
      <c r="F851" t="n">
        <v>2.8</v>
      </c>
      <c r="G851" t="inlineStr">
        <is>
          <t>Technical</t>
        </is>
      </c>
      <c r="H851" t="inlineStr">
        <is>
          <t>Yes</t>
        </is>
      </c>
      <c r="I851" t="inlineStr">
        <is>
          <t>2022-09-21</t>
        </is>
      </c>
    </row>
    <row r="852">
      <c r="A852" t="n">
        <v/>
      </c>
      <c r="B852" t="n">
        <v>1030389</v>
      </c>
      <c r="C852" t="inlineStr">
        <is>
          <t>TestNG</t>
        </is>
      </c>
      <c r="D852" t="inlineStr">
        <is>
          <t>Secondary</t>
        </is>
      </c>
      <c r="E852" t="inlineStr">
        <is>
          <t>Intermediate</t>
        </is>
      </c>
      <c r="F852" t="n">
        <v>1.9</v>
      </c>
      <c r="G852" t="inlineStr">
        <is>
          <t>Technical</t>
        </is>
      </c>
      <c r="H852" t="inlineStr">
        <is>
          <t>Yes</t>
        </is>
      </c>
      <c r="I852" t="inlineStr">
        <is>
          <t>2022-09-21</t>
        </is>
      </c>
    </row>
    <row r="853">
      <c r="A853" t="n">
        <v/>
      </c>
      <c r="B853" t="n">
        <v>1030695</v>
      </c>
      <c r="C853" t="inlineStr">
        <is>
          <t>Business Analysis &amp; Healthcare Domain</t>
        </is>
      </c>
      <c r="D853" t="inlineStr">
        <is>
          <t>Primary</t>
        </is>
      </c>
      <c r="E853" t="inlineStr">
        <is>
          <t>Advanced</t>
        </is>
      </c>
      <c r="F853" t="n">
        <v>5.4</v>
      </c>
      <c r="G853" t="inlineStr">
        <is>
          <t>Functional</t>
        </is>
      </c>
      <c r="H853" t="inlineStr">
        <is>
          <t>Yes</t>
        </is>
      </c>
      <c r="I853" t="inlineStr">
        <is>
          <t>2022-10-21</t>
        </is>
      </c>
    </row>
    <row r="854">
      <c r="A854" t="n">
        <v/>
      </c>
      <c r="B854" t="n">
        <v>1030695</v>
      </c>
      <c r="C854" t="inlineStr">
        <is>
          <t>Requirements Gathering</t>
        </is>
      </c>
      <c r="D854" t="inlineStr">
        <is>
          <t>Secondary</t>
        </is>
      </c>
      <c r="E854" t="inlineStr">
        <is>
          <t>Intermediate</t>
        </is>
      </c>
      <c r="F854" t="n">
        <v>3.2</v>
      </c>
      <c r="G854" t="inlineStr">
        <is>
          <t>Functional</t>
        </is>
      </c>
      <c r="H854" t="inlineStr">
        <is>
          <t>Yes</t>
        </is>
      </c>
      <c r="I854" t="inlineStr">
        <is>
          <t>2022-10-21</t>
        </is>
      </c>
    </row>
    <row r="855">
      <c r="A855" t="n">
        <v/>
      </c>
      <c r="B855" t="n">
        <v>1030695</v>
      </c>
      <c r="C855" t="inlineStr">
        <is>
          <t>MMIS Workflows</t>
        </is>
      </c>
      <c r="D855" t="inlineStr">
        <is>
          <t>Secondary</t>
        </is>
      </c>
      <c r="E855" t="inlineStr">
        <is>
          <t>Intermediate</t>
        </is>
      </c>
      <c r="F855" t="n">
        <v>2.4</v>
      </c>
      <c r="G855" t="inlineStr">
        <is>
          <t>Functional</t>
        </is>
      </c>
      <c r="H855" t="inlineStr">
        <is>
          <t>Yes</t>
        </is>
      </c>
      <c r="I855" t="inlineStr">
        <is>
          <t>2022-10-21</t>
        </is>
      </c>
    </row>
    <row r="856">
      <c r="A856" t="n">
        <v/>
      </c>
      <c r="B856" t="n">
        <v>1030695</v>
      </c>
      <c r="C856" t="inlineStr">
        <is>
          <t>SQL</t>
        </is>
      </c>
      <c r="D856" t="inlineStr">
        <is>
          <t>Secondary</t>
        </is>
      </c>
      <c r="E856" t="inlineStr">
        <is>
          <t>Intermediate</t>
        </is>
      </c>
      <c r="F856" t="n">
        <v>1.6</v>
      </c>
      <c r="G856" t="inlineStr">
        <is>
          <t>Functional</t>
        </is>
      </c>
      <c r="H856" t="inlineStr">
        <is>
          <t>Yes</t>
        </is>
      </c>
      <c r="I856" t="inlineStr">
        <is>
          <t>2022-10-21</t>
        </is>
      </c>
    </row>
    <row r="857">
      <c r="A857" t="n">
        <v/>
      </c>
      <c r="B857" t="n">
        <v>1024765</v>
      </c>
      <c r="C857" t="inlineStr">
        <is>
          <t>QA Automation / SDET</t>
        </is>
      </c>
      <c r="D857" t="inlineStr">
        <is>
          <t>Primary</t>
        </is>
      </c>
      <c r="E857" t="inlineStr">
        <is>
          <t>Advanced</t>
        </is>
      </c>
      <c r="F857" t="n">
        <v>6.8</v>
      </c>
      <c r="G857" t="inlineStr">
        <is>
          <t>Technical</t>
        </is>
      </c>
      <c r="H857" t="inlineStr">
        <is>
          <t>Yes</t>
        </is>
      </c>
      <c r="I857" t="inlineStr">
        <is>
          <t>2021-03-10</t>
        </is>
      </c>
    </row>
    <row r="858">
      <c r="A858" t="n">
        <v/>
      </c>
      <c r="B858" t="n">
        <v>1024765</v>
      </c>
      <c r="C858" t="inlineStr">
        <is>
          <t>Selenium</t>
        </is>
      </c>
      <c r="D858" t="inlineStr">
        <is>
          <t>Secondary</t>
        </is>
      </c>
      <c r="E858" t="inlineStr">
        <is>
          <t>Intermediate</t>
        </is>
      </c>
      <c r="F858" t="n">
        <v>4.1</v>
      </c>
      <c r="G858" t="inlineStr">
        <is>
          <t>Technical</t>
        </is>
      </c>
      <c r="H858" t="inlineStr">
        <is>
          <t>Yes</t>
        </is>
      </c>
      <c r="I858" t="inlineStr">
        <is>
          <t>2021-03-10</t>
        </is>
      </c>
    </row>
    <row r="859">
      <c r="A859" t="n">
        <v/>
      </c>
      <c r="B859" t="n">
        <v>1024765</v>
      </c>
      <c r="C859" t="inlineStr">
        <is>
          <t>API Testing (Postman)</t>
        </is>
      </c>
      <c r="D859" t="inlineStr">
        <is>
          <t>Secondary</t>
        </is>
      </c>
      <c r="E859" t="inlineStr">
        <is>
          <t>Intermediate</t>
        </is>
      </c>
      <c r="F859" t="n">
        <v>3.1</v>
      </c>
      <c r="G859" t="inlineStr">
        <is>
          <t>Technical</t>
        </is>
      </c>
      <c r="H859" t="inlineStr">
        <is>
          <t>Yes</t>
        </is>
      </c>
      <c r="I859" t="inlineStr">
        <is>
          <t>2021-03-10</t>
        </is>
      </c>
    </row>
    <row r="860">
      <c r="A860" t="n">
        <v/>
      </c>
      <c r="B860" t="n">
        <v>1024765</v>
      </c>
      <c r="C860" t="inlineStr">
        <is>
          <t>TestNG</t>
        </is>
      </c>
      <c r="D860" t="inlineStr">
        <is>
          <t>Secondary</t>
        </is>
      </c>
      <c r="E860" t="inlineStr">
        <is>
          <t>Intermediate</t>
        </is>
      </c>
      <c r="F860" t="n">
        <v>2</v>
      </c>
      <c r="G860" t="inlineStr">
        <is>
          <t>Technical</t>
        </is>
      </c>
      <c r="H860" t="inlineStr">
        <is>
          <t>Yes</t>
        </is>
      </c>
      <c r="I860" t="inlineStr">
        <is>
          <t>2021-03-10</t>
        </is>
      </c>
    </row>
    <row r="861">
      <c r="A861" t="n">
        <v/>
      </c>
      <c r="B861" t="n">
        <v>1022031</v>
      </c>
      <c r="C861" t="inlineStr">
        <is>
          <t>IT Application &amp; Operations Support</t>
        </is>
      </c>
      <c r="D861" t="inlineStr">
        <is>
          <t>Primary</t>
        </is>
      </c>
      <c r="E861" t="inlineStr">
        <is>
          <t>Advanced</t>
        </is>
      </c>
      <c r="F861" t="n">
        <v>8.5</v>
      </c>
      <c r="G861" t="inlineStr">
        <is>
          <t>Functional</t>
        </is>
      </c>
      <c r="H861" t="inlineStr">
        <is>
          <t>Yes</t>
        </is>
      </c>
      <c r="I861" t="inlineStr">
        <is>
          <t>2019-05-13</t>
        </is>
      </c>
    </row>
    <row r="862">
      <c r="A862" t="n">
        <v/>
      </c>
      <c r="B862" t="n">
        <v>1022031</v>
      </c>
      <c r="C862" t="inlineStr">
        <is>
          <t>Incident Management</t>
        </is>
      </c>
      <c r="D862" t="inlineStr">
        <is>
          <t>Secondary</t>
        </is>
      </c>
      <c r="E862" t="inlineStr">
        <is>
          <t>Advanced</t>
        </is>
      </c>
      <c r="F862" t="n">
        <v>5.1</v>
      </c>
      <c r="G862" t="inlineStr">
        <is>
          <t>Functional</t>
        </is>
      </c>
      <c r="H862" t="inlineStr">
        <is>
          <t>Yes</t>
        </is>
      </c>
      <c r="I862" t="inlineStr">
        <is>
          <t>2019-05-13</t>
        </is>
      </c>
    </row>
    <row r="863">
      <c r="A863" t="n">
        <v/>
      </c>
      <c r="B863" t="n">
        <v>1022031</v>
      </c>
      <c r="C863" t="inlineStr">
        <is>
          <t>Production Support</t>
        </is>
      </c>
      <c r="D863" t="inlineStr">
        <is>
          <t>Secondary</t>
        </is>
      </c>
      <c r="E863" t="inlineStr">
        <is>
          <t>Intermediate</t>
        </is>
      </c>
      <c r="F863" t="n">
        <v>3.8</v>
      </c>
      <c r="G863" t="inlineStr">
        <is>
          <t>Functional</t>
        </is>
      </c>
      <c r="H863" t="inlineStr">
        <is>
          <t>Yes</t>
        </is>
      </c>
      <c r="I863" t="inlineStr">
        <is>
          <t>2019-05-13</t>
        </is>
      </c>
    </row>
    <row r="864">
      <c r="A864" t="n">
        <v/>
      </c>
      <c r="B864" t="n">
        <v>1022031</v>
      </c>
      <c r="C864" t="inlineStr">
        <is>
          <t>SQL</t>
        </is>
      </c>
      <c r="D864" t="inlineStr">
        <is>
          <t>Secondary</t>
        </is>
      </c>
      <c r="E864" t="inlineStr">
        <is>
          <t>Intermediate</t>
        </is>
      </c>
      <c r="F864" t="n">
        <v>2.5</v>
      </c>
      <c r="G864" t="inlineStr">
        <is>
          <t>Functional</t>
        </is>
      </c>
      <c r="H864" t="inlineStr">
        <is>
          <t>Yes</t>
        </is>
      </c>
      <c r="I864" t="inlineStr">
        <is>
          <t>2019-05-13</t>
        </is>
      </c>
    </row>
    <row r="865">
      <c r="A865" t="n">
        <v/>
      </c>
      <c r="B865" t="n">
        <v>1025502</v>
      </c>
      <c r="C865" t="inlineStr">
        <is>
          <t>QA Automation / SDET</t>
        </is>
      </c>
      <c r="D865" t="inlineStr">
        <is>
          <t>Primary</t>
        </is>
      </c>
      <c r="E865" t="inlineStr">
        <is>
          <t>Advanced</t>
        </is>
      </c>
      <c r="F865" t="n">
        <v>6.6</v>
      </c>
      <c r="G865" t="inlineStr">
        <is>
          <t>Technical</t>
        </is>
      </c>
      <c r="H865" t="inlineStr">
        <is>
          <t>Yes</t>
        </is>
      </c>
      <c r="I865" t="inlineStr">
        <is>
          <t>2021-06-11</t>
        </is>
      </c>
    </row>
    <row r="866">
      <c r="A866" t="n">
        <v/>
      </c>
      <c r="B866" t="n">
        <v>1025502</v>
      </c>
      <c r="C866" t="inlineStr">
        <is>
          <t>Selenium</t>
        </is>
      </c>
      <c r="D866" t="inlineStr">
        <is>
          <t>Secondary</t>
        </is>
      </c>
      <c r="E866" t="inlineStr">
        <is>
          <t>Intermediate</t>
        </is>
      </c>
      <c r="F866" t="n">
        <v>4</v>
      </c>
      <c r="G866" t="inlineStr">
        <is>
          <t>Technical</t>
        </is>
      </c>
      <c r="H866" t="inlineStr">
        <is>
          <t>Yes</t>
        </is>
      </c>
      <c r="I866" t="inlineStr">
        <is>
          <t>2021-06-11</t>
        </is>
      </c>
    </row>
    <row r="867">
      <c r="A867" t="n">
        <v/>
      </c>
      <c r="B867" t="n">
        <v>1025502</v>
      </c>
      <c r="C867" t="inlineStr">
        <is>
          <t>API Testing (Postman)</t>
        </is>
      </c>
      <c r="D867" t="inlineStr">
        <is>
          <t>Secondary</t>
        </is>
      </c>
      <c r="E867" t="inlineStr">
        <is>
          <t>Intermediate</t>
        </is>
      </c>
      <c r="F867" t="n">
        <v>3</v>
      </c>
      <c r="G867" t="inlineStr">
        <is>
          <t>Technical</t>
        </is>
      </c>
      <c r="H867" t="inlineStr">
        <is>
          <t>Yes</t>
        </is>
      </c>
      <c r="I867" t="inlineStr">
        <is>
          <t>2021-06-11</t>
        </is>
      </c>
    </row>
    <row r="868">
      <c r="A868" t="n">
        <v/>
      </c>
      <c r="B868" t="n">
        <v>1025502</v>
      </c>
      <c r="C868" t="inlineStr">
        <is>
          <t>TestNG</t>
        </is>
      </c>
      <c r="D868" t="inlineStr">
        <is>
          <t>Secondary</t>
        </is>
      </c>
      <c r="E868" t="inlineStr">
        <is>
          <t>Intermediate</t>
        </is>
      </c>
      <c r="F868" t="n">
        <v>2</v>
      </c>
      <c r="G868" t="inlineStr">
        <is>
          <t>Technical</t>
        </is>
      </c>
      <c r="H868" t="inlineStr">
        <is>
          <t>Yes</t>
        </is>
      </c>
      <c r="I868" t="inlineStr">
        <is>
          <t>2021-06-11</t>
        </is>
      </c>
    </row>
    <row r="869">
      <c r="A869" t="n">
        <v/>
      </c>
      <c r="B869" t="n">
        <v>1028565</v>
      </c>
      <c r="C869" t="inlineStr">
        <is>
          <t>QA Automation / SDET</t>
        </is>
      </c>
      <c r="D869" t="inlineStr">
        <is>
          <t>Primary</t>
        </is>
      </c>
      <c r="E869" t="inlineStr">
        <is>
          <t>Advanced</t>
        </is>
      </c>
      <c r="F869" t="n">
        <v>5.9</v>
      </c>
      <c r="G869" t="inlineStr">
        <is>
          <t>Technical</t>
        </is>
      </c>
      <c r="H869" t="inlineStr">
        <is>
          <t>Yes</t>
        </is>
      </c>
      <c r="I869" t="inlineStr">
        <is>
          <t>2022-03-11</t>
        </is>
      </c>
    </row>
    <row r="870">
      <c r="A870" t="n">
        <v/>
      </c>
      <c r="B870" t="n">
        <v>1028565</v>
      </c>
      <c r="C870" t="inlineStr">
        <is>
          <t>Selenium</t>
        </is>
      </c>
      <c r="D870" t="inlineStr">
        <is>
          <t>Secondary</t>
        </is>
      </c>
      <c r="E870" t="inlineStr">
        <is>
          <t>Intermediate</t>
        </is>
      </c>
      <c r="F870" t="n">
        <v>3.5</v>
      </c>
      <c r="G870" t="inlineStr">
        <is>
          <t>Technical</t>
        </is>
      </c>
      <c r="H870" t="inlineStr">
        <is>
          <t>Yes</t>
        </is>
      </c>
      <c r="I870" t="inlineStr">
        <is>
          <t>2022-03-11</t>
        </is>
      </c>
    </row>
    <row r="871">
      <c r="A871" t="n">
        <v/>
      </c>
      <c r="B871" t="n">
        <v>1028565</v>
      </c>
      <c r="C871" t="inlineStr">
        <is>
          <t>API Testing (Postman)</t>
        </is>
      </c>
      <c r="D871" t="inlineStr">
        <is>
          <t>Secondary</t>
        </is>
      </c>
      <c r="E871" t="inlineStr">
        <is>
          <t>Intermediate</t>
        </is>
      </c>
      <c r="F871" t="n">
        <v>2.7</v>
      </c>
      <c r="G871" t="inlineStr">
        <is>
          <t>Technical</t>
        </is>
      </c>
      <c r="H871" t="inlineStr">
        <is>
          <t>Yes</t>
        </is>
      </c>
      <c r="I871" t="inlineStr">
        <is>
          <t>2022-03-11</t>
        </is>
      </c>
    </row>
    <row r="872">
      <c r="A872" t="n">
        <v/>
      </c>
      <c r="B872" t="n">
        <v>1028565</v>
      </c>
      <c r="C872" t="inlineStr">
        <is>
          <t>TestNG</t>
        </is>
      </c>
      <c r="D872" t="inlineStr">
        <is>
          <t>Secondary</t>
        </is>
      </c>
      <c r="E872" t="inlineStr">
        <is>
          <t>Intermediate</t>
        </is>
      </c>
      <c r="F872" t="n">
        <v>1.8</v>
      </c>
      <c r="G872" t="inlineStr">
        <is>
          <t>Technical</t>
        </is>
      </c>
      <c r="H872" t="inlineStr">
        <is>
          <t>Yes</t>
        </is>
      </c>
      <c r="I872" t="inlineStr">
        <is>
          <t>2022-03-11</t>
        </is>
      </c>
    </row>
    <row r="873">
      <c r="A873" t="n">
        <v/>
      </c>
      <c r="B873" t="n">
        <v>1030694</v>
      </c>
      <c r="C873" t="inlineStr">
        <is>
          <t>Cloud &amp; DevOps (AWS / K8s)</t>
        </is>
      </c>
      <c r="D873" t="inlineStr">
        <is>
          <t>Primary</t>
        </is>
      </c>
      <c r="E873" t="inlineStr">
        <is>
          <t>Advanced</t>
        </is>
      </c>
      <c r="F873" t="n">
        <v>5.4</v>
      </c>
      <c r="G873" t="inlineStr">
        <is>
          <t>Technical</t>
        </is>
      </c>
      <c r="H873" t="inlineStr">
        <is>
          <t>Yes</t>
        </is>
      </c>
      <c r="I873" t="inlineStr">
        <is>
          <t>2022-10-21</t>
        </is>
      </c>
    </row>
    <row r="874">
      <c r="A874" t="n">
        <v/>
      </c>
      <c r="B874" t="n">
        <v>1030694</v>
      </c>
      <c r="C874" t="inlineStr">
        <is>
          <t>Docker</t>
        </is>
      </c>
      <c r="D874" t="inlineStr">
        <is>
          <t>Secondary</t>
        </is>
      </c>
      <c r="E874" t="inlineStr">
        <is>
          <t>Intermediate</t>
        </is>
      </c>
      <c r="F874" t="n">
        <v>3.2</v>
      </c>
      <c r="G874" t="inlineStr">
        <is>
          <t>Technical</t>
        </is>
      </c>
      <c r="H874" t="inlineStr">
        <is>
          <t>Yes</t>
        </is>
      </c>
      <c r="I874" t="inlineStr">
        <is>
          <t>2022-10-21</t>
        </is>
      </c>
    </row>
    <row r="875">
      <c r="A875" t="n">
        <v/>
      </c>
      <c r="B875" t="n">
        <v>1030694</v>
      </c>
      <c r="C875" t="inlineStr">
        <is>
          <t>Kubernetes</t>
        </is>
      </c>
      <c r="D875" t="inlineStr">
        <is>
          <t>Secondary</t>
        </is>
      </c>
      <c r="E875" t="inlineStr">
        <is>
          <t>Intermediate</t>
        </is>
      </c>
      <c r="F875" t="n">
        <v>2.4</v>
      </c>
      <c r="G875" t="inlineStr">
        <is>
          <t>Technical</t>
        </is>
      </c>
      <c r="H875" t="inlineStr">
        <is>
          <t>Yes</t>
        </is>
      </c>
      <c r="I875" t="inlineStr">
        <is>
          <t>2022-10-21</t>
        </is>
      </c>
    </row>
    <row r="876">
      <c r="A876" t="n">
        <v/>
      </c>
      <c r="B876" t="n">
        <v>1030694</v>
      </c>
      <c r="C876" t="inlineStr">
        <is>
          <t>Linux</t>
        </is>
      </c>
      <c r="D876" t="inlineStr">
        <is>
          <t>Secondary</t>
        </is>
      </c>
      <c r="E876" t="inlineStr">
        <is>
          <t>Intermediate</t>
        </is>
      </c>
      <c r="F876" t="n">
        <v>1.6</v>
      </c>
      <c r="G876" t="inlineStr">
        <is>
          <t>Technical</t>
        </is>
      </c>
      <c r="H876" t="inlineStr">
        <is>
          <t>Yes</t>
        </is>
      </c>
      <c r="I876" t="inlineStr">
        <is>
          <t>2022-10-21</t>
        </is>
      </c>
    </row>
    <row r="877">
      <c r="A877" t="n">
        <v/>
      </c>
      <c r="B877" t="n">
        <v>1031853</v>
      </c>
      <c r="C877" t="inlineStr">
        <is>
          <t>Cloud &amp; DevOps (AWS / K8s)</t>
        </is>
      </c>
      <c r="D877" t="inlineStr">
        <is>
          <t>Primary</t>
        </is>
      </c>
      <c r="E877" t="inlineStr">
        <is>
          <t>Advanced</t>
        </is>
      </c>
      <c r="F877" t="n">
        <v>6.1</v>
      </c>
      <c r="G877" t="inlineStr">
        <is>
          <t>Technical</t>
        </is>
      </c>
      <c r="H877" t="inlineStr">
        <is>
          <t>Yes</t>
        </is>
      </c>
      <c r="I877" t="inlineStr">
        <is>
          <t>2022-12-19</t>
        </is>
      </c>
    </row>
    <row r="878">
      <c r="A878" t="n">
        <v/>
      </c>
      <c r="B878" t="n">
        <v>1031853</v>
      </c>
      <c r="C878" t="inlineStr">
        <is>
          <t>Linux</t>
        </is>
      </c>
      <c r="D878" t="inlineStr">
        <is>
          <t>Secondary</t>
        </is>
      </c>
      <c r="E878" t="inlineStr">
        <is>
          <t>Intermediate</t>
        </is>
      </c>
      <c r="F878" t="n">
        <v>3.7</v>
      </c>
      <c r="G878" t="inlineStr">
        <is>
          <t>Technical</t>
        </is>
      </c>
      <c r="H878" t="inlineStr">
        <is>
          <t>Yes</t>
        </is>
      </c>
      <c r="I878" t="inlineStr">
        <is>
          <t>2022-12-19</t>
        </is>
      </c>
    </row>
    <row r="879">
      <c r="A879" t="n">
        <v/>
      </c>
      <c r="B879" t="n">
        <v>1031853</v>
      </c>
      <c r="C879" t="inlineStr">
        <is>
          <t>Docker</t>
        </is>
      </c>
      <c r="D879" t="inlineStr">
        <is>
          <t>Secondary</t>
        </is>
      </c>
      <c r="E879" t="inlineStr">
        <is>
          <t>Intermediate</t>
        </is>
      </c>
      <c r="F879" t="n">
        <v>2.7</v>
      </c>
      <c r="G879" t="inlineStr">
        <is>
          <t>Technical</t>
        </is>
      </c>
      <c r="H879" t="inlineStr">
        <is>
          <t>Yes</t>
        </is>
      </c>
      <c r="I879" t="inlineStr">
        <is>
          <t>2022-12-19</t>
        </is>
      </c>
    </row>
    <row r="880">
      <c r="A880" t="n">
        <v/>
      </c>
      <c r="B880" t="n">
        <v>1031853</v>
      </c>
      <c r="C880" t="inlineStr">
        <is>
          <t>Kubernetes</t>
        </is>
      </c>
      <c r="D880" t="inlineStr">
        <is>
          <t>Secondary</t>
        </is>
      </c>
      <c r="E880" t="inlineStr">
        <is>
          <t>Intermediate</t>
        </is>
      </c>
      <c r="F880" t="n">
        <v>1.8</v>
      </c>
      <c r="G880" t="inlineStr">
        <is>
          <t>Technical</t>
        </is>
      </c>
      <c r="H880" t="inlineStr">
        <is>
          <t>Yes</t>
        </is>
      </c>
      <c r="I880" t="inlineStr">
        <is>
          <t>2022-12-19</t>
        </is>
      </c>
    </row>
    <row r="881">
      <c r="A881" t="n">
        <v/>
      </c>
      <c r="B881" t="n">
        <v>1026220</v>
      </c>
      <c r="C881" t="inlineStr">
        <is>
          <t>QA Automation / SDET</t>
        </is>
      </c>
      <c r="D881" t="inlineStr">
        <is>
          <t>Primary</t>
        </is>
      </c>
      <c r="E881" t="inlineStr">
        <is>
          <t>Advanced</t>
        </is>
      </c>
      <c r="F881" t="n">
        <v>6.4</v>
      </c>
      <c r="G881" t="inlineStr">
        <is>
          <t>Technical</t>
        </is>
      </c>
      <c r="H881" t="inlineStr">
        <is>
          <t>Yes</t>
        </is>
      </c>
      <c r="I881" t="inlineStr">
        <is>
          <t>2021-08-23</t>
        </is>
      </c>
    </row>
    <row r="882">
      <c r="A882" t="n">
        <v/>
      </c>
      <c r="B882" t="n">
        <v>1026220</v>
      </c>
      <c r="C882" t="inlineStr">
        <is>
          <t>Selenium</t>
        </is>
      </c>
      <c r="D882" t="inlineStr">
        <is>
          <t>Secondary</t>
        </is>
      </c>
      <c r="E882" t="inlineStr">
        <is>
          <t>Intermediate</t>
        </is>
      </c>
      <c r="F882" t="n">
        <v>3.8</v>
      </c>
      <c r="G882" t="inlineStr">
        <is>
          <t>Technical</t>
        </is>
      </c>
      <c r="H882" t="inlineStr">
        <is>
          <t>Yes</t>
        </is>
      </c>
      <c r="I882" t="inlineStr">
        <is>
          <t>2021-08-23</t>
        </is>
      </c>
    </row>
    <row r="883">
      <c r="A883" t="n">
        <v/>
      </c>
      <c r="B883" t="n">
        <v>1026220</v>
      </c>
      <c r="C883" t="inlineStr">
        <is>
          <t>API Testing (Postman)</t>
        </is>
      </c>
      <c r="D883" t="inlineStr">
        <is>
          <t>Secondary</t>
        </is>
      </c>
      <c r="E883" t="inlineStr">
        <is>
          <t>Intermediate</t>
        </is>
      </c>
      <c r="F883" t="n">
        <v>2.9</v>
      </c>
      <c r="G883" t="inlineStr">
        <is>
          <t>Technical</t>
        </is>
      </c>
      <c r="H883" t="inlineStr">
        <is>
          <t>Yes</t>
        </is>
      </c>
      <c r="I883" t="inlineStr">
        <is>
          <t>2021-08-23</t>
        </is>
      </c>
    </row>
    <row r="884">
      <c r="A884" t="n">
        <v/>
      </c>
      <c r="B884" t="n">
        <v>1026220</v>
      </c>
      <c r="C884" t="inlineStr">
        <is>
          <t>TestNG</t>
        </is>
      </c>
      <c r="D884" t="inlineStr">
        <is>
          <t>Secondary</t>
        </is>
      </c>
      <c r="E884" t="inlineStr">
        <is>
          <t>Intermediate</t>
        </is>
      </c>
      <c r="F884" t="n">
        <v>1.9</v>
      </c>
      <c r="G884" t="inlineStr">
        <is>
          <t>Technical</t>
        </is>
      </c>
      <c r="H884" t="inlineStr">
        <is>
          <t>Yes</t>
        </is>
      </c>
      <c r="I884" t="inlineStr">
        <is>
          <t>2021-08-23</t>
        </is>
      </c>
    </row>
    <row r="885">
      <c r="A885" t="n">
        <v/>
      </c>
      <c r="B885" t="n">
        <v>1033644</v>
      </c>
      <c r="C885" t="inlineStr">
        <is>
          <t>Java / Spring Boot</t>
        </is>
      </c>
      <c r="D885" t="inlineStr">
        <is>
          <t>Primary</t>
        </is>
      </c>
      <c r="E885" t="inlineStr">
        <is>
          <t>Advanced</t>
        </is>
      </c>
      <c r="F885" t="n">
        <v>7.2</v>
      </c>
      <c r="G885" t="inlineStr">
        <is>
          <t>Technical</t>
        </is>
      </c>
      <c r="H885" t="inlineStr">
        <is>
          <t>Yes</t>
        </is>
      </c>
      <c r="I885" t="inlineStr">
        <is>
          <t>2023-10-04</t>
        </is>
      </c>
      <c r="J885" t="inlineStr">
        <is>
          <t>Claims Payment</t>
        </is>
      </c>
    </row>
    <row r="886">
      <c r="A886" t="n">
        <v/>
      </c>
      <c r="B886" t="n">
        <v>1033644</v>
      </c>
      <c r="C886" t="inlineStr">
        <is>
          <t>SQL</t>
        </is>
      </c>
      <c r="D886" t="inlineStr">
        <is>
          <t>Secondary</t>
        </is>
      </c>
      <c r="E886" t="inlineStr">
        <is>
          <t>Intermediate</t>
        </is>
      </c>
      <c r="F886" t="n">
        <v>4.3</v>
      </c>
      <c r="G886" t="inlineStr">
        <is>
          <t>Technical</t>
        </is>
      </c>
      <c r="H886" t="inlineStr">
        <is>
          <t>Yes</t>
        </is>
      </c>
      <c r="I886" t="inlineStr">
        <is>
          <t>2023-10-04</t>
        </is>
      </c>
      <c r="J886" t="inlineStr">
        <is>
          <t>Claims Payment</t>
        </is>
      </c>
    </row>
    <row r="887">
      <c r="A887" t="n">
        <v/>
      </c>
      <c r="B887" t="n">
        <v>1033644</v>
      </c>
      <c r="C887" t="inlineStr">
        <is>
          <t>Docker</t>
        </is>
      </c>
      <c r="D887" t="inlineStr">
        <is>
          <t>Secondary</t>
        </is>
      </c>
      <c r="E887" t="inlineStr">
        <is>
          <t>Intermediate</t>
        </is>
      </c>
      <c r="F887" t="n">
        <v>3.2</v>
      </c>
      <c r="G887" t="inlineStr">
        <is>
          <t>Technical</t>
        </is>
      </c>
      <c r="H887" t="inlineStr">
        <is>
          <t>Yes</t>
        </is>
      </c>
      <c r="I887" t="inlineStr">
        <is>
          <t>2023-10-04</t>
        </is>
      </c>
      <c r="J887" t="inlineStr">
        <is>
          <t>Claims Payment</t>
        </is>
      </c>
    </row>
    <row r="888">
      <c r="A888" t="n">
        <v/>
      </c>
      <c r="B888" t="n">
        <v>1033644</v>
      </c>
      <c r="C888" t="inlineStr">
        <is>
          <t>Git</t>
        </is>
      </c>
      <c r="D888" t="inlineStr">
        <is>
          <t>Secondary</t>
        </is>
      </c>
      <c r="E888" t="inlineStr">
        <is>
          <t>Intermediate</t>
        </is>
      </c>
      <c r="F888" t="n">
        <v>2.2</v>
      </c>
      <c r="G888" t="inlineStr">
        <is>
          <t>Technical</t>
        </is>
      </c>
      <c r="H888" t="inlineStr">
        <is>
          <t>Yes</t>
        </is>
      </c>
      <c r="I888" t="inlineStr">
        <is>
          <t>2023-10-04</t>
        </is>
      </c>
      <c r="J888" t="inlineStr">
        <is>
          <t>Claims Payment</t>
        </is>
      </c>
    </row>
    <row r="889">
      <c r="A889" t="n">
        <v/>
      </c>
      <c r="B889" t="n">
        <v>1026788</v>
      </c>
      <c r="C889" t="inlineStr">
        <is>
          <t>QA Automation / SDET</t>
        </is>
      </c>
      <c r="D889" t="inlineStr">
        <is>
          <t>Primary</t>
        </is>
      </c>
      <c r="E889" t="inlineStr">
        <is>
          <t>Advanced</t>
        </is>
      </c>
      <c r="F889" t="n">
        <v>7.2</v>
      </c>
      <c r="G889" t="inlineStr">
        <is>
          <t>Technical</t>
        </is>
      </c>
      <c r="H889" t="inlineStr">
        <is>
          <t>Yes</t>
        </is>
      </c>
      <c r="I889" t="inlineStr">
        <is>
          <t>2021-10-04</t>
        </is>
      </c>
    </row>
    <row r="890">
      <c r="A890" t="n">
        <v/>
      </c>
      <c r="B890" t="n">
        <v>1026788</v>
      </c>
      <c r="C890" t="inlineStr">
        <is>
          <t>Selenium</t>
        </is>
      </c>
      <c r="D890" t="inlineStr">
        <is>
          <t>Secondary</t>
        </is>
      </c>
      <c r="E890" t="inlineStr">
        <is>
          <t>Intermediate</t>
        </is>
      </c>
      <c r="F890" t="n">
        <v>4.3</v>
      </c>
      <c r="G890" t="inlineStr">
        <is>
          <t>Technical</t>
        </is>
      </c>
      <c r="H890" t="inlineStr">
        <is>
          <t>Yes</t>
        </is>
      </c>
      <c r="I890" t="inlineStr">
        <is>
          <t>2021-10-04</t>
        </is>
      </c>
    </row>
    <row r="891">
      <c r="A891" t="n">
        <v/>
      </c>
      <c r="B891" t="n">
        <v>1026788</v>
      </c>
      <c r="C891" t="inlineStr">
        <is>
          <t>API Testing (Postman)</t>
        </is>
      </c>
      <c r="D891" t="inlineStr">
        <is>
          <t>Secondary</t>
        </is>
      </c>
      <c r="E891" t="inlineStr">
        <is>
          <t>Intermediate</t>
        </is>
      </c>
      <c r="F891" t="n">
        <v>3.2</v>
      </c>
      <c r="G891" t="inlineStr">
        <is>
          <t>Technical</t>
        </is>
      </c>
      <c r="H891" t="inlineStr">
        <is>
          <t>Yes</t>
        </is>
      </c>
      <c r="I891" t="inlineStr">
        <is>
          <t>2021-10-04</t>
        </is>
      </c>
    </row>
    <row r="892">
      <c r="A892" t="n">
        <v/>
      </c>
      <c r="B892" t="n">
        <v>1026788</v>
      </c>
      <c r="C892" t="inlineStr">
        <is>
          <t>TestNG</t>
        </is>
      </c>
      <c r="D892" t="inlineStr">
        <is>
          <t>Secondary</t>
        </is>
      </c>
      <c r="E892" t="inlineStr">
        <is>
          <t>Intermediate</t>
        </is>
      </c>
      <c r="F892" t="n">
        <v>2.2</v>
      </c>
      <c r="G892" t="inlineStr">
        <is>
          <t>Technical</t>
        </is>
      </c>
      <c r="H892" t="inlineStr">
        <is>
          <t>Yes</t>
        </is>
      </c>
      <c r="I892" t="inlineStr">
        <is>
          <t>2021-10-04</t>
        </is>
      </c>
    </row>
    <row r="893">
      <c r="A893" t="n">
        <v/>
      </c>
      <c r="B893" t="n">
        <v>1028014</v>
      </c>
      <c r="C893" t="inlineStr">
        <is>
          <t>QA Automation / SDET</t>
        </is>
      </c>
      <c r="D893" t="inlineStr">
        <is>
          <t>Primary</t>
        </is>
      </c>
      <c r="E893" t="inlineStr">
        <is>
          <t>Advanced</t>
        </is>
      </c>
      <c r="F893" t="n">
        <v>6.1</v>
      </c>
      <c r="G893" t="inlineStr">
        <is>
          <t>Technical</t>
        </is>
      </c>
      <c r="H893" t="inlineStr">
        <is>
          <t>Yes</t>
        </is>
      </c>
      <c r="I893" t="inlineStr">
        <is>
          <t>2022-01-12</t>
        </is>
      </c>
    </row>
    <row r="894">
      <c r="A894" t="n">
        <v/>
      </c>
      <c r="B894" t="n">
        <v>1028014</v>
      </c>
      <c r="C894" t="inlineStr">
        <is>
          <t>Selenium</t>
        </is>
      </c>
      <c r="D894" t="inlineStr">
        <is>
          <t>Secondary</t>
        </is>
      </c>
      <c r="E894" t="inlineStr">
        <is>
          <t>Intermediate</t>
        </is>
      </c>
      <c r="F894" t="n">
        <v>3.7</v>
      </c>
      <c r="G894" t="inlineStr">
        <is>
          <t>Technical</t>
        </is>
      </c>
      <c r="H894" t="inlineStr">
        <is>
          <t>Yes</t>
        </is>
      </c>
      <c r="I894" t="inlineStr">
        <is>
          <t>2022-01-12</t>
        </is>
      </c>
    </row>
    <row r="895">
      <c r="A895" t="n">
        <v/>
      </c>
      <c r="B895" t="n">
        <v>1028014</v>
      </c>
      <c r="C895" t="inlineStr">
        <is>
          <t>API Testing (Postman)</t>
        </is>
      </c>
      <c r="D895" t="inlineStr">
        <is>
          <t>Secondary</t>
        </is>
      </c>
      <c r="E895" t="inlineStr">
        <is>
          <t>Intermediate</t>
        </is>
      </c>
      <c r="F895" t="n">
        <v>2.7</v>
      </c>
      <c r="G895" t="inlineStr">
        <is>
          <t>Technical</t>
        </is>
      </c>
      <c r="H895" t="inlineStr">
        <is>
          <t>Yes</t>
        </is>
      </c>
      <c r="I895" t="inlineStr">
        <is>
          <t>2022-01-12</t>
        </is>
      </c>
    </row>
    <row r="896">
      <c r="A896" t="n">
        <v/>
      </c>
      <c r="B896" t="n">
        <v>1028014</v>
      </c>
      <c r="C896" t="inlineStr">
        <is>
          <t>TestNG</t>
        </is>
      </c>
      <c r="D896" t="inlineStr">
        <is>
          <t>Secondary</t>
        </is>
      </c>
      <c r="E896" t="inlineStr">
        <is>
          <t>Intermediate</t>
        </is>
      </c>
      <c r="F896" t="n">
        <v>1.8</v>
      </c>
      <c r="G896" t="inlineStr">
        <is>
          <t>Technical</t>
        </is>
      </c>
      <c r="H896" t="inlineStr">
        <is>
          <t>Yes</t>
        </is>
      </c>
      <c r="I896" t="inlineStr">
        <is>
          <t>2022-01-12</t>
        </is>
      </c>
    </row>
    <row r="897">
      <c r="A897" t="n">
        <v/>
      </c>
      <c r="B897" t="n">
        <v>1028685</v>
      </c>
      <c r="C897" t="inlineStr">
        <is>
          <t>Business Analysis &amp; Healthcare Domain</t>
        </is>
      </c>
      <c r="D897" t="inlineStr">
        <is>
          <t>Primary</t>
        </is>
      </c>
      <c r="E897" t="inlineStr">
        <is>
          <t>Advanced</t>
        </is>
      </c>
      <c r="F897" t="n">
        <v>6.8</v>
      </c>
      <c r="G897" t="inlineStr">
        <is>
          <t>Functional</t>
        </is>
      </c>
      <c r="H897" t="inlineStr">
        <is>
          <t>Yes</t>
        </is>
      </c>
      <c r="I897" t="inlineStr">
        <is>
          <t>2022-03-28</t>
        </is>
      </c>
    </row>
    <row r="898">
      <c r="A898" t="n">
        <v/>
      </c>
      <c r="B898" t="n">
        <v>1028685</v>
      </c>
      <c r="C898" t="inlineStr">
        <is>
          <t>Requirements Gathering</t>
        </is>
      </c>
      <c r="D898" t="inlineStr">
        <is>
          <t>Secondary</t>
        </is>
      </c>
      <c r="E898" t="inlineStr">
        <is>
          <t>Intermediate</t>
        </is>
      </c>
      <c r="F898" t="n">
        <v>4.1</v>
      </c>
      <c r="G898" t="inlineStr">
        <is>
          <t>Functional</t>
        </is>
      </c>
      <c r="H898" t="inlineStr">
        <is>
          <t>Yes</t>
        </is>
      </c>
      <c r="I898" t="inlineStr">
        <is>
          <t>2022-03-28</t>
        </is>
      </c>
    </row>
    <row r="899">
      <c r="A899" t="n">
        <v/>
      </c>
      <c r="B899" t="n">
        <v>1028685</v>
      </c>
      <c r="C899" t="inlineStr">
        <is>
          <t>MMIS Workflows</t>
        </is>
      </c>
      <c r="D899" t="inlineStr">
        <is>
          <t>Secondary</t>
        </is>
      </c>
      <c r="E899" t="inlineStr">
        <is>
          <t>Intermediate</t>
        </is>
      </c>
      <c r="F899" t="n">
        <v>3.1</v>
      </c>
      <c r="G899" t="inlineStr">
        <is>
          <t>Functional</t>
        </is>
      </c>
      <c r="H899" t="inlineStr">
        <is>
          <t>Yes</t>
        </is>
      </c>
      <c r="I899" t="inlineStr">
        <is>
          <t>2022-03-28</t>
        </is>
      </c>
    </row>
    <row r="900">
      <c r="A900" t="n">
        <v/>
      </c>
      <c r="B900" t="n">
        <v>1028685</v>
      </c>
      <c r="C900" t="inlineStr">
        <is>
          <t>SQL</t>
        </is>
      </c>
      <c r="D900" t="inlineStr">
        <is>
          <t>Secondary</t>
        </is>
      </c>
      <c r="E900" t="inlineStr">
        <is>
          <t>Intermediate</t>
        </is>
      </c>
      <c r="F900" t="n">
        <v>2</v>
      </c>
      <c r="G900" t="inlineStr">
        <is>
          <t>Functional</t>
        </is>
      </c>
      <c r="H900" t="inlineStr">
        <is>
          <t>Yes</t>
        </is>
      </c>
      <c r="I900" t="inlineStr">
        <is>
          <t>2022-03-28</t>
        </is>
      </c>
    </row>
    <row r="901">
      <c r="A901" t="n">
        <v/>
      </c>
      <c r="B901" t="n">
        <v>1026535</v>
      </c>
      <c r="C901" t="inlineStr">
        <is>
          <t>QA Automation / SDET</t>
        </is>
      </c>
      <c r="D901" t="inlineStr">
        <is>
          <t>Primary</t>
        </is>
      </c>
      <c r="E901" t="inlineStr">
        <is>
          <t>Advanced</t>
        </is>
      </c>
      <c r="F901" t="n">
        <v>6.3</v>
      </c>
      <c r="G901" t="inlineStr">
        <is>
          <t>Technical</t>
        </is>
      </c>
      <c r="H901" t="inlineStr">
        <is>
          <t>Yes</t>
        </is>
      </c>
      <c r="I901" t="inlineStr">
        <is>
          <t>2021-09-24</t>
        </is>
      </c>
    </row>
    <row r="902">
      <c r="A902" t="n">
        <v/>
      </c>
      <c r="B902" t="n">
        <v>1026535</v>
      </c>
      <c r="C902" t="inlineStr">
        <is>
          <t>Selenium</t>
        </is>
      </c>
      <c r="D902" t="inlineStr">
        <is>
          <t>Secondary</t>
        </is>
      </c>
      <c r="E902" t="inlineStr">
        <is>
          <t>Intermediate</t>
        </is>
      </c>
      <c r="F902" t="n">
        <v>3.8</v>
      </c>
      <c r="G902" t="inlineStr">
        <is>
          <t>Technical</t>
        </is>
      </c>
      <c r="H902" t="inlineStr">
        <is>
          <t>Yes</t>
        </is>
      </c>
      <c r="I902" t="inlineStr">
        <is>
          <t>2021-09-24</t>
        </is>
      </c>
    </row>
    <row r="903">
      <c r="A903" t="n">
        <v/>
      </c>
      <c r="B903" t="n">
        <v>1026535</v>
      </c>
      <c r="C903" t="inlineStr">
        <is>
          <t>API Testing (Postman)</t>
        </is>
      </c>
      <c r="D903" t="inlineStr">
        <is>
          <t>Secondary</t>
        </is>
      </c>
      <c r="E903" t="inlineStr">
        <is>
          <t>Intermediate</t>
        </is>
      </c>
      <c r="F903" t="n">
        <v>2.8</v>
      </c>
      <c r="G903" t="inlineStr">
        <is>
          <t>Technical</t>
        </is>
      </c>
      <c r="H903" t="inlineStr">
        <is>
          <t>Yes</t>
        </is>
      </c>
      <c r="I903" t="inlineStr">
        <is>
          <t>2021-09-24</t>
        </is>
      </c>
    </row>
    <row r="904">
      <c r="A904" t="n">
        <v/>
      </c>
      <c r="B904" t="n">
        <v>1026535</v>
      </c>
      <c r="C904" t="inlineStr">
        <is>
          <t>TestNG</t>
        </is>
      </c>
      <c r="D904" t="inlineStr">
        <is>
          <t>Secondary</t>
        </is>
      </c>
      <c r="E904" t="inlineStr">
        <is>
          <t>Intermediate</t>
        </is>
      </c>
      <c r="F904" t="n">
        <v>1.9</v>
      </c>
      <c r="G904" t="inlineStr">
        <is>
          <t>Technical</t>
        </is>
      </c>
      <c r="H904" t="inlineStr">
        <is>
          <t>Yes</t>
        </is>
      </c>
      <c r="I904" t="inlineStr">
        <is>
          <t>2021-09-24</t>
        </is>
      </c>
    </row>
    <row r="905">
      <c r="A905" t="n">
        <v/>
      </c>
      <c r="B905" t="n">
        <v>1033722</v>
      </c>
      <c r="C905" t="inlineStr">
        <is>
          <t>Java / Spring Boot</t>
        </is>
      </c>
      <c r="D905" t="inlineStr">
        <is>
          <t>Primary</t>
        </is>
      </c>
      <c r="E905" t="inlineStr">
        <is>
          <t>Advanced</t>
        </is>
      </c>
      <c r="F905" t="n">
        <v>4.5</v>
      </c>
      <c r="G905" t="inlineStr">
        <is>
          <t>Technical</t>
        </is>
      </c>
      <c r="H905" t="inlineStr">
        <is>
          <t>Yes</t>
        </is>
      </c>
      <c r="I905" t="inlineStr">
        <is>
          <t>2023-10-13</t>
        </is>
      </c>
      <c r="J905" t="inlineStr">
        <is>
          <t>Contact Management</t>
        </is>
      </c>
    </row>
    <row r="906">
      <c r="A906" t="n">
        <v/>
      </c>
      <c r="B906" t="n">
        <v>1033722</v>
      </c>
      <c r="C906" t="inlineStr">
        <is>
          <t>SQL</t>
        </is>
      </c>
      <c r="D906" t="inlineStr">
        <is>
          <t>Secondary</t>
        </is>
      </c>
      <c r="E906" t="inlineStr">
        <is>
          <t>Intermediate</t>
        </is>
      </c>
      <c r="F906" t="n">
        <v>2.7</v>
      </c>
      <c r="G906" t="inlineStr">
        <is>
          <t>Technical</t>
        </is>
      </c>
      <c r="H906" t="inlineStr">
        <is>
          <t>Yes</t>
        </is>
      </c>
      <c r="I906" t="inlineStr">
        <is>
          <t>2023-10-13</t>
        </is>
      </c>
      <c r="J906" t="inlineStr">
        <is>
          <t>Contact Management</t>
        </is>
      </c>
    </row>
    <row r="907">
      <c r="A907" t="n">
        <v/>
      </c>
      <c r="B907" t="n">
        <v>1033722</v>
      </c>
      <c r="C907" t="inlineStr">
        <is>
          <t>Docker</t>
        </is>
      </c>
      <c r="D907" t="inlineStr">
        <is>
          <t>Secondary</t>
        </is>
      </c>
      <c r="E907" t="inlineStr">
        <is>
          <t>Intermediate</t>
        </is>
      </c>
      <c r="F907" t="n">
        <v>2</v>
      </c>
      <c r="G907" t="inlineStr">
        <is>
          <t>Technical</t>
        </is>
      </c>
      <c r="H907" t="inlineStr">
        <is>
          <t>Yes</t>
        </is>
      </c>
      <c r="I907" t="inlineStr">
        <is>
          <t>2023-10-13</t>
        </is>
      </c>
      <c r="J907" t="inlineStr">
        <is>
          <t>Contact Management</t>
        </is>
      </c>
    </row>
    <row r="908">
      <c r="A908" t="n">
        <v/>
      </c>
      <c r="B908" t="n">
        <v>1033722</v>
      </c>
      <c r="C908" t="inlineStr">
        <is>
          <t>Git</t>
        </is>
      </c>
      <c r="D908" t="inlineStr">
        <is>
          <t>Secondary</t>
        </is>
      </c>
      <c r="E908" t="inlineStr">
        <is>
          <t>Beginner</t>
        </is>
      </c>
      <c r="F908" t="n">
        <v>1.3</v>
      </c>
      <c r="G908" t="inlineStr">
        <is>
          <t>Technical</t>
        </is>
      </c>
      <c r="H908" t="inlineStr">
        <is>
          <t>Yes</t>
        </is>
      </c>
      <c r="I908" t="inlineStr">
        <is>
          <t>2023-10-13</t>
        </is>
      </c>
      <c r="J908" t="inlineStr">
        <is>
          <t>Contact Management</t>
        </is>
      </c>
    </row>
    <row r="909">
      <c r="A909" t="n">
        <v/>
      </c>
      <c r="B909" t="n">
        <v>1029743</v>
      </c>
      <c r="C909" t="inlineStr">
        <is>
          <t>QA Automation / SDET</t>
        </is>
      </c>
      <c r="D909" t="inlineStr">
        <is>
          <t>Primary</t>
        </is>
      </c>
      <c r="E909" t="inlineStr">
        <is>
          <t>Advanced</t>
        </is>
      </c>
      <c r="F909" t="n">
        <v>5.6</v>
      </c>
      <c r="G909" t="inlineStr">
        <is>
          <t>Technical</t>
        </is>
      </c>
      <c r="H909" t="inlineStr">
        <is>
          <t>Yes</t>
        </is>
      </c>
      <c r="I909" t="inlineStr">
        <is>
          <t>2022-08-04</t>
        </is>
      </c>
    </row>
    <row r="910">
      <c r="A910" t="n">
        <v/>
      </c>
      <c r="B910" t="n">
        <v>1029743</v>
      </c>
      <c r="C910" t="inlineStr">
        <is>
          <t>Selenium</t>
        </is>
      </c>
      <c r="D910" t="inlineStr">
        <is>
          <t>Secondary</t>
        </is>
      </c>
      <c r="E910" t="inlineStr">
        <is>
          <t>Intermediate</t>
        </is>
      </c>
      <c r="F910" t="n">
        <v>3.4</v>
      </c>
      <c r="G910" t="inlineStr">
        <is>
          <t>Technical</t>
        </is>
      </c>
      <c r="H910" t="inlineStr">
        <is>
          <t>Yes</t>
        </is>
      </c>
      <c r="I910" t="inlineStr">
        <is>
          <t>2022-08-04</t>
        </is>
      </c>
    </row>
    <row r="911">
      <c r="A911" t="n">
        <v/>
      </c>
      <c r="B911" t="n">
        <v>1029743</v>
      </c>
      <c r="C911" t="inlineStr">
        <is>
          <t>API Testing (Postman)</t>
        </is>
      </c>
      <c r="D911" t="inlineStr">
        <is>
          <t>Secondary</t>
        </is>
      </c>
      <c r="E911" t="inlineStr">
        <is>
          <t>Intermediate</t>
        </is>
      </c>
      <c r="F911" t="n">
        <v>2.5</v>
      </c>
      <c r="G911" t="inlineStr">
        <is>
          <t>Technical</t>
        </is>
      </c>
      <c r="H911" t="inlineStr">
        <is>
          <t>Yes</t>
        </is>
      </c>
      <c r="I911" t="inlineStr">
        <is>
          <t>2022-08-04</t>
        </is>
      </c>
    </row>
    <row r="912">
      <c r="A912" t="n">
        <v/>
      </c>
      <c r="B912" t="n">
        <v>1029743</v>
      </c>
      <c r="C912" t="inlineStr">
        <is>
          <t>TestNG</t>
        </is>
      </c>
      <c r="D912" t="inlineStr">
        <is>
          <t>Secondary</t>
        </is>
      </c>
      <c r="E912" t="inlineStr">
        <is>
          <t>Intermediate</t>
        </is>
      </c>
      <c r="F912" t="n">
        <v>1.7</v>
      </c>
      <c r="G912" t="inlineStr">
        <is>
          <t>Technical</t>
        </is>
      </c>
      <c r="H912" t="inlineStr">
        <is>
          <t>Yes</t>
        </is>
      </c>
      <c r="I912" t="inlineStr">
        <is>
          <t>2022-08-04</t>
        </is>
      </c>
    </row>
    <row r="913">
      <c r="A913" t="n">
        <v/>
      </c>
      <c r="B913" t="n">
        <v>1020112</v>
      </c>
      <c r="C913" t="inlineStr">
        <is>
          <t>Project &amp; Delivery Management</t>
        </is>
      </c>
      <c r="D913" t="inlineStr">
        <is>
          <t>Primary</t>
        </is>
      </c>
      <c r="E913" t="inlineStr">
        <is>
          <t>Advanced</t>
        </is>
      </c>
      <c r="F913" t="n">
        <v>10.6</v>
      </c>
      <c r="G913" t="inlineStr">
        <is>
          <t>Functional</t>
        </is>
      </c>
      <c r="H913" t="inlineStr">
        <is>
          <t>Yes</t>
        </is>
      </c>
      <c r="I913" t="inlineStr">
        <is>
          <t>2018-01-02</t>
        </is>
      </c>
    </row>
    <row r="914">
      <c r="A914" t="n">
        <v/>
      </c>
      <c r="B914" t="n">
        <v>1020112</v>
      </c>
      <c r="C914" t="inlineStr">
        <is>
          <t>Agile / Scrum</t>
        </is>
      </c>
      <c r="D914" t="inlineStr">
        <is>
          <t>Secondary</t>
        </is>
      </c>
      <c r="E914" t="inlineStr">
        <is>
          <t>Advanced</t>
        </is>
      </c>
      <c r="F914" t="n">
        <v>6.4</v>
      </c>
      <c r="G914" t="inlineStr">
        <is>
          <t>Functional</t>
        </is>
      </c>
      <c r="H914" t="inlineStr">
        <is>
          <t>Yes</t>
        </is>
      </c>
      <c r="I914" t="inlineStr">
        <is>
          <t>2018-01-02</t>
        </is>
      </c>
    </row>
    <row r="915">
      <c r="A915" t="n">
        <v/>
      </c>
      <c r="B915" t="n">
        <v>1020112</v>
      </c>
      <c r="C915" t="inlineStr">
        <is>
          <t>Stakeholder Management</t>
        </is>
      </c>
      <c r="D915" t="inlineStr">
        <is>
          <t>Secondary</t>
        </is>
      </c>
      <c r="E915" t="inlineStr">
        <is>
          <t>Intermediate</t>
        </is>
      </c>
      <c r="F915" t="n">
        <v>4.8</v>
      </c>
      <c r="G915" t="inlineStr">
        <is>
          <t>Functional</t>
        </is>
      </c>
      <c r="H915" t="inlineStr">
        <is>
          <t>Yes</t>
        </is>
      </c>
      <c r="I915" t="inlineStr">
        <is>
          <t>2018-01-02</t>
        </is>
      </c>
    </row>
    <row r="916">
      <c r="A916" t="n">
        <v/>
      </c>
      <c r="B916" t="n">
        <v>1020112</v>
      </c>
      <c r="C916" t="inlineStr">
        <is>
          <t>Resource Planning</t>
        </is>
      </c>
      <c r="D916" t="inlineStr">
        <is>
          <t>Secondary</t>
        </is>
      </c>
      <c r="E916" t="inlineStr">
        <is>
          <t>Intermediate</t>
        </is>
      </c>
      <c r="F916" t="n">
        <v>3.2</v>
      </c>
      <c r="G916" t="inlineStr">
        <is>
          <t>Functional</t>
        </is>
      </c>
      <c r="H916" t="inlineStr">
        <is>
          <t>Yes</t>
        </is>
      </c>
      <c r="I916" t="inlineStr">
        <is>
          <t>2018-01-02</t>
        </is>
      </c>
    </row>
    <row r="917">
      <c r="A917" t="n">
        <v/>
      </c>
      <c r="B917" t="n">
        <v>1022328</v>
      </c>
      <c r="C917" t="inlineStr">
        <is>
          <t>QA Automation / SDET</t>
        </is>
      </c>
      <c r="D917" t="inlineStr">
        <is>
          <t>Primary</t>
        </is>
      </c>
      <c r="E917" t="inlineStr">
        <is>
          <t>Advanced</t>
        </is>
      </c>
      <c r="F917" t="n">
        <v>9.199999999999999</v>
      </c>
      <c r="G917" t="inlineStr">
        <is>
          <t>Technical</t>
        </is>
      </c>
      <c r="H917" t="inlineStr">
        <is>
          <t>Yes</t>
        </is>
      </c>
      <c r="I917" t="inlineStr">
        <is>
          <t>2019-07-03</t>
        </is>
      </c>
    </row>
    <row r="918">
      <c r="A918" t="n">
        <v/>
      </c>
      <c r="B918" t="n">
        <v>1022328</v>
      </c>
      <c r="C918" t="inlineStr">
        <is>
          <t>Selenium</t>
        </is>
      </c>
      <c r="D918" t="inlineStr">
        <is>
          <t>Secondary</t>
        </is>
      </c>
      <c r="E918" t="inlineStr">
        <is>
          <t>Advanced</t>
        </is>
      </c>
      <c r="F918" t="n">
        <v>5.5</v>
      </c>
      <c r="G918" t="inlineStr">
        <is>
          <t>Technical</t>
        </is>
      </c>
      <c r="H918" t="inlineStr">
        <is>
          <t>Yes</t>
        </is>
      </c>
      <c r="I918" t="inlineStr">
        <is>
          <t>2019-07-03</t>
        </is>
      </c>
    </row>
    <row r="919">
      <c r="A919" t="n">
        <v/>
      </c>
      <c r="B919" t="n">
        <v>1022328</v>
      </c>
      <c r="C919" t="inlineStr">
        <is>
          <t>API Testing (Postman)</t>
        </is>
      </c>
      <c r="D919" t="inlineStr">
        <is>
          <t>Secondary</t>
        </is>
      </c>
      <c r="E919" t="inlineStr">
        <is>
          <t>Intermediate</t>
        </is>
      </c>
      <c r="F919" t="n">
        <v>4.1</v>
      </c>
      <c r="G919" t="inlineStr">
        <is>
          <t>Technical</t>
        </is>
      </c>
      <c r="H919" t="inlineStr">
        <is>
          <t>Yes</t>
        </is>
      </c>
      <c r="I919" t="inlineStr">
        <is>
          <t>2019-07-03</t>
        </is>
      </c>
    </row>
    <row r="920">
      <c r="A920" t="n">
        <v/>
      </c>
      <c r="B920" t="n">
        <v>1022328</v>
      </c>
      <c r="C920" t="inlineStr">
        <is>
          <t>TestNG</t>
        </is>
      </c>
      <c r="D920" t="inlineStr">
        <is>
          <t>Secondary</t>
        </is>
      </c>
      <c r="E920" t="inlineStr">
        <is>
          <t>Intermediate</t>
        </is>
      </c>
      <c r="F920" t="n">
        <v>2.8</v>
      </c>
      <c r="G920" t="inlineStr">
        <is>
          <t>Technical</t>
        </is>
      </c>
      <c r="H920" t="inlineStr">
        <is>
          <t>Yes</t>
        </is>
      </c>
      <c r="I920" t="inlineStr">
        <is>
          <t>2019-07-03</t>
        </is>
      </c>
    </row>
    <row r="921">
      <c r="A921" t="n">
        <v/>
      </c>
      <c r="B921" t="n">
        <v>1031858</v>
      </c>
      <c r="C921" t="inlineStr">
        <is>
          <t>Database &amp; SQL Architecture</t>
        </is>
      </c>
      <c r="D921" t="inlineStr">
        <is>
          <t>Primary</t>
        </is>
      </c>
      <c r="E921" t="inlineStr">
        <is>
          <t>Advanced</t>
        </is>
      </c>
      <c r="F921" t="n">
        <v>5.2</v>
      </c>
      <c r="G921" t="inlineStr">
        <is>
          <t>Technical</t>
        </is>
      </c>
      <c r="H921" t="inlineStr">
        <is>
          <t>Yes</t>
        </is>
      </c>
      <c r="I921" t="inlineStr">
        <is>
          <t>2022-12-19</t>
        </is>
      </c>
    </row>
    <row r="922">
      <c r="A922" t="n">
        <v/>
      </c>
      <c r="B922" t="n">
        <v>1031858</v>
      </c>
      <c r="C922" t="inlineStr">
        <is>
          <t>PostgreSQL</t>
        </is>
      </c>
      <c r="D922" t="inlineStr">
        <is>
          <t>Secondary</t>
        </is>
      </c>
      <c r="E922" t="inlineStr">
        <is>
          <t>Intermediate</t>
        </is>
      </c>
      <c r="F922" t="n">
        <v>3.1</v>
      </c>
      <c r="G922" t="inlineStr">
        <is>
          <t>Technical</t>
        </is>
      </c>
      <c r="H922" t="inlineStr">
        <is>
          <t>Yes</t>
        </is>
      </c>
      <c r="I922" t="inlineStr">
        <is>
          <t>2022-12-19</t>
        </is>
      </c>
    </row>
    <row r="923">
      <c r="A923" t="n">
        <v/>
      </c>
      <c r="B923" t="n">
        <v>1031858</v>
      </c>
      <c r="C923" t="inlineStr">
        <is>
          <t>Oracle</t>
        </is>
      </c>
      <c r="D923" t="inlineStr">
        <is>
          <t>Secondary</t>
        </is>
      </c>
      <c r="E923" t="inlineStr">
        <is>
          <t>Intermediate</t>
        </is>
      </c>
      <c r="F923" t="n">
        <v>2.3</v>
      </c>
      <c r="G923" t="inlineStr">
        <is>
          <t>Technical</t>
        </is>
      </c>
      <c r="H923" t="inlineStr">
        <is>
          <t>Yes</t>
        </is>
      </c>
      <c r="I923" t="inlineStr">
        <is>
          <t>2022-12-19</t>
        </is>
      </c>
    </row>
    <row r="924">
      <c r="A924" t="n">
        <v/>
      </c>
      <c r="B924" t="n">
        <v>1031858</v>
      </c>
      <c r="C924" t="inlineStr">
        <is>
          <t>Performance Tuning</t>
        </is>
      </c>
      <c r="D924" t="inlineStr">
        <is>
          <t>Secondary</t>
        </is>
      </c>
      <c r="E924" t="inlineStr">
        <is>
          <t>Intermediate</t>
        </is>
      </c>
      <c r="F924" t="n">
        <v>1.6</v>
      </c>
      <c r="G924" t="inlineStr">
        <is>
          <t>Technical</t>
        </is>
      </c>
      <c r="H924" t="inlineStr">
        <is>
          <t>Yes</t>
        </is>
      </c>
      <c r="I924" t="inlineStr">
        <is>
          <t>2022-12-19</t>
        </is>
      </c>
    </row>
    <row r="925">
      <c r="A925" t="n">
        <v/>
      </c>
      <c r="B925" t="n">
        <v>1031874</v>
      </c>
      <c r="C925" t="inlineStr">
        <is>
          <t>Java / Spring Boot</t>
        </is>
      </c>
      <c r="D925" t="inlineStr">
        <is>
          <t>Primary</t>
        </is>
      </c>
      <c r="E925" t="inlineStr">
        <is>
          <t>Advanced</t>
        </is>
      </c>
      <c r="F925" t="n">
        <v>6.1</v>
      </c>
      <c r="G925" t="inlineStr">
        <is>
          <t>Technical</t>
        </is>
      </c>
      <c r="H925" t="inlineStr">
        <is>
          <t>Yes</t>
        </is>
      </c>
      <c r="I925" t="inlineStr">
        <is>
          <t>2022-12-19</t>
        </is>
      </c>
      <c r="J925" t="inlineStr">
        <is>
          <t>Reference</t>
        </is>
      </c>
    </row>
    <row r="926">
      <c r="A926" t="n">
        <v/>
      </c>
      <c r="B926" t="n">
        <v>1031874</v>
      </c>
      <c r="C926" t="inlineStr">
        <is>
          <t>SQL</t>
        </is>
      </c>
      <c r="D926" t="inlineStr">
        <is>
          <t>Secondary</t>
        </is>
      </c>
      <c r="E926" t="inlineStr">
        <is>
          <t>Intermediate</t>
        </is>
      </c>
      <c r="F926" t="n">
        <v>3.7</v>
      </c>
      <c r="G926" t="inlineStr">
        <is>
          <t>Technical</t>
        </is>
      </c>
      <c r="H926" t="inlineStr">
        <is>
          <t>Yes</t>
        </is>
      </c>
      <c r="I926" t="inlineStr">
        <is>
          <t>2022-12-19</t>
        </is>
      </c>
      <c r="J926" t="inlineStr">
        <is>
          <t>Reference</t>
        </is>
      </c>
    </row>
    <row r="927">
      <c r="A927" t="n">
        <v/>
      </c>
      <c r="B927" t="n">
        <v>1031874</v>
      </c>
      <c r="C927" t="inlineStr">
        <is>
          <t>Docker</t>
        </is>
      </c>
      <c r="D927" t="inlineStr">
        <is>
          <t>Secondary</t>
        </is>
      </c>
      <c r="E927" t="inlineStr">
        <is>
          <t>Intermediate</t>
        </is>
      </c>
      <c r="F927" t="n">
        <v>2.7</v>
      </c>
      <c r="G927" t="inlineStr">
        <is>
          <t>Technical</t>
        </is>
      </c>
      <c r="H927" t="inlineStr">
        <is>
          <t>Yes</t>
        </is>
      </c>
      <c r="I927" t="inlineStr">
        <is>
          <t>2022-12-19</t>
        </is>
      </c>
      <c r="J927" t="inlineStr">
        <is>
          <t>Reference</t>
        </is>
      </c>
    </row>
    <row r="928">
      <c r="A928" t="n">
        <v/>
      </c>
      <c r="B928" t="n">
        <v>1031874</v>
      </c>
      <c r="C928" t="inlineStr">
        <is>
          <t>Git</t>
        </is>
      </c>
      <c r="D928" t="inlineStr">
        <is>
          <t>Secondary</t>
        </is>
      </c>
      <c r="E928" t="inlineStr">
        <is>
          <t>Intermediate</t>
        </is>
      </c>
      <c r="F928" t="n">
        <v>1.8</v>
      </c>
      <c r="G928" t="inlineStr">
        <is>
          <t>Technical</t>
        </is>
      </c>
      <c r="H928" t="inlineStr">
        <is>
          <t>Yes</t>
        </is>
      </c>
      <c r="I928" t="inlineStr">
        <is>
          <t>2022-12-19</t>
        </is>
      </c>
      <c r="J928" t="inlineStr">
        <is>
          <t>Reference</t>
        </is>
      </c>
    </row>
    <row r="929">
      <c r="A929" t="n">
        <v/>
      </c>
      <c r="B929" t="n">
        <v>1033941</v>
      </c>
      <c r="C929" t="inlineStr">
        <is>
          <t>Business Analysis &amp; Healthcare Domain</t>
        </is>
      </c>
      <c r="D929" t="inlineStr">
        <is>
          <t>Primary</t>
        </is>
      </c>
      <c r="E929" t="inlineStr">
        <is>
          <t>Advanced</t>
        </is>
      </c>
      <c r="F929" t="n">
        <v>4.4</v>
      </c>
      <c r="G929" t="inlineStr">
        <is>
          <t>Functional</t>
        </is>
      </c>
      <c r="H929" t="inlineStr">
        <is>
          <t>Yes</t>
        </is>
      </c>
      <c r="I929" t="inlineStr">
        <is>
          <t>2023-11-24</t>
        </is>
      </c>
    </row>
    <row r="930">
      <c r="A930" t="n">
        <v/>
      </c>
      <c r="B930" t="n">
        <v>1033941</v>
      </c>
      <c r="C930" t="inlineStr">
        <is>
          <t>Requirements Gathering</t>
        </is>
      </c>
      <c r="D930" t="inlineStr">
        <is>
          <t>Secondary</t>
        </is>
      </c>
      <c r="E930" t="inlineStr">
        <is>
          <t>Intermediate</t>
        </is>
      </c>
      <c r="F930" t="n">
        <v>2.6</v>
      </c>
      <c r="G930" t="inlineStr">
        <is>
          <t>Functional</t>
        </is>
      </c>
      <c r="H930" t="inlineStr">
        <is>
          <t>Yes</t>
        </is>
      </c>
      <c r="I930" t="inlineStr">
        <is>
          <t>2023-11-24</t>
        </is>
      </c>
    </row>
    <row r="931">
      <c r="A931" t="n">
        <v/>
      </c>
      <c r="B931" t="n">
        <v>1033941</v>
      </c>
      <c r="C931" t="inlineStr">
        <is>
          <t>MMIS Workflows</t>
        </is>
      </c>
      <c r="D931" t="inlineStr">
        <is>
          <t>Secondary</t>
        </is>
      </c>
      <c r="E931" t="inlineStr">
        <is>
          <t>Intermediate</t>
        </is>
      </c>
      <c r="F931" t="n">
        <v>2</v>
      </c>
      <c r="G931" t="inlineStr">
        <is>
          <t>Functional</t>
        </is>
      </c>
      <c r="H931" t="inlineStr">
        <is>
          <t>Yes</t>
        </is>
      </c>
      <c r="I931" t="inlineStr">
        <is>
          <t>2023-11-24</t>
        </is>
      </c>
    </row>
    <row r="932">
      <c r="A932" t="n">
        <v/>
      </c>
      <c r="B932" t="n">
        <v>1033941</v>
      </c>
      <c r="C932" t="inlineStr">
        <is>
          <t>SQL</t>
        </is>
      </c>
      <c r="D932" t="inlineStr">
        <is>
          <t>Secondary</t>
        </is>
      </c>
      <c r="E932" t="inlineStr">
        <is>
          <t>Beginner</t>
        </is>
      </c>
      <c r="F932" t="n">
        <v>1.3</v>
      </c>
      <c r="G932" t="inlineStr">
        <is>
          <t>Functional</t>
        </is>
      </c>
      <c r="H932" t="inlineStr">
        <is>
          <t>Yes</t>
        </is>
      </c>
      <c r="I932" t="inlineStr">
        <is>
          <t>2023-11-24</t>
        </is>
      </c>
    </row>
    <row r="933">
      <c r="A933" t="n">
        <v/>
      </c>
      <c r="B933" t="n">
        <v>1025948</v>
      </c>
      <c r="C933" t="inlineStr">
        <is>
          <t>QA Automation / SDET</t>
        </is>
      </c>
      <c r="D933" t="inlineStr">
        <is>
          <t>Primary</t>
        </is>
      </c>
      <c r="E933" t="inlineStr">
        <is>
          <t>Advanced</t>
        </is>
      </c>
      <c r="F933" t="n">
        <v>6.5</v>
      </c>
      <c r="G933" t="inlineStr">
        <is>
          <t>Technical</t>
        </is>
      </c>
      <c r="H933" t="inlineStr">
        <is>
          <t>Yes</t>
        </is>
      </c>
      <c r="I933" t="inlineStr">
        <is>
          <t>2021-07-28</t>
        </is>
      </c>
    </row>
    <row r="934">
      <c r="A934" t="n">
        <v/>
      </c>
      <c r="B934" t="n">
        <v>1025948</v>
      </c>
      <c r="C934" t="inlineStr">
        <is>
          <t>Selenium</t>
        </is>
      </c>
      <c r="D934" t="inlineStr">
        <is>
          <t>Secondary</t>
        </is>
      </c>
      <c r="E934" t="inlineStr">
        <is>
          <t>Intermediate</t>
        </is>
      </c>
      <c r="F934" t="n">
        <v>3.9</v>
      </c>
      <c r="G934" t="inlineStr">
        <is>
          <t>Technical</t>
        </is>
      </c>
      <c r="H934" t="inlineStr">
        <is>
          <t>Yes</t>
        </is>
      </c>
      <c r="I934" t="inlineStr">
        <is>
          <t>2021-07-28</t>
        </is>
      </c>
    </row>
    <row r="935">
      <c r="A935" t="n">
        <v/>
      </c>
      <c r="B935" t="n">
        <v>1025948</v>
      </c>
      <c r="C935" t="inlineStr">
        <is>
          <t>API Testing (Postman)</t>
        </is>
      </c>
      <c r="D935" t="inlineStr">
        <is>
          <t>Secondary</t>
        </is>
      </c>
      <c r="E935" t="inlineStr">
        <is>
          <t>Intermediate</t>
        </is>
      </c>
      <c r="F935" t="n">
        <v>2.9</v>
      </c>
      <c r="G935" t="inlineStr">
        <is>
          <t>Technical</t>
        </is>
      </c>
      <c r="H935" t="inlineStr">
        <is>
          <t>Yes</t>
        </is>
      </c>
      <c r="I935" t="inlineStr">
        <is>
          <t>2021-07-28</t>
        </is>
      </c>
    </row>
    <row r="936">
      <c r="A936" t="n">
        <v/>
      </c>
      <c r="B936" t="n">
        <v>1025948</v>
      </c>
      <c r="C936" t="inlineStr">
        <is>
          <t>TestNG</t>
        </is>
      </c>
      <c r="D936" t="inlineStr">
        <is>
          <t>Secondary</t>
        </is>
      </c>
      <c r="E936" t="inlineStr">
        <is>
          <t>Intermediate</t>
        </is>
      </c>
      <c r="F936" t="n">
        <v>1.9</v>
      </c>
      <c r="G936" t="inlineStr">
        <is>
          <t>Technical</t>
        </is>
      </c>
      <c r="H936" t="inlineStr">
        <is>
          <t>Yes</t>
        </is>
      </c>
      <c r="I936" t="inlineStr">
        <is>
          <t>2021-07-28</t>
        </is>
      </c>
    </row>
    <row r="937">
      <c r="A937" t="n">
        <v/>
      </c>
      <c r="B937" t="n">
        <v>1029841</v>
      </c>
      <c r="C937" t="inlineStr">
        <is>
          <t>Frontend (Angular / TypeScript)</t>
        </is>
      </c>
      <c r="D937" t="inlineStr">
        <is>
          <t>Primary</t>
        </is>
      </c>
      <c r="E937" t="inlineStr">
        <is>
          <t>Advanced</t>
        </is>
      </c>
      <c r="F937" t="n">
        <v>5.5</v>
      </c>
      <c r="G937" t="inlineStr">
        <is>
          <t>Technical</t>
        </is>
      </c>
      <c r="H937" t="inlineStr">
        <is>
          <t>Yes</t>
        </is>
      </c>
      <c r="I937" t="inlineStr">
        <is>
          <t>2022-08-16</t>
        </is>
      </c>
    </row>
    <row r="938">
      <c r="A938" t="n">
        <v/>
      </c>
      <c r="B938" t="n">
        <v>1029841</v>
      </c>
      <c r="C938" t="inlineStr">
        <is>
          <t>TypeScript</t>
        </is>
      </c>
      <c r="D938" t="inlineStr">
        <is>
          <t>Secondary</t>
        </is>
      </c>
      <c r="E938" t="inlineStr">
        <is>
          <t>Intermediate</t>
        </is>
      </c>
      <c r="F938" t="n">
        <v>3.3</v>
      </c>
      <c r="G938" t="inlineStr">
        <is>
          <t>Technical</t>
        </is>
      </c>
      <c r="H938" t="inlineStr">
        <is>
          <t>Yes</t>
        </is>
      </c>
      <c r="I938" t="inlineStr">
        <is>
          <t>2022-08-16</t>
        </is>
      </c>
    </row>
    <row r="939">
      <c r="A939" t="n">
        <v/>
      </c>
      <c r="B939" t="n">
        <v>1029841</v>
      </c>
      <c r="C939" t="inlineStr">
        <is>
          <t>JavaScript</t>
        </is>
      </c>
      <c r="D939" t="inlineStr">
        <is>
          <t>Secondary</t>
        </is>
      </c>
      <c r="E939" t="inlineStr">
        <is>
          <t>Intermediate</t>
        </is>
      </c>
      <c r="F939" t="n">
        <v>2.5</v>
      </c>
      <c r="G939" t="inlineStr">
        <is>
          <t>Technical</t>
        </is>
      </c>
      <c r="H939" t="inlineStr">
        <is>
          <t>Yes</t>
        </is>
      </c>
      <c r="I939" t="inlineStr">
        <is>
          <t>2022-08-16</t>
        </is>
      </c>
    </row>
    <row r="940">
      <c r="A940" t="n">
        <v/>
      </c>
      <c r="B940" t="n">
        <v>1029841</v>
      </c>
      <c r="C940" t="inlineStr">
        <is>
          <t>HTML5</t>
        </is>
      </c>
      <c r="D940" t="inlineStr">
        <is>
          <t>Secondary</t>
        </is>
      </c>
      <c r="E940" t="inlineStr">
        <is>
          <t>Intermediate</t>
        </is>
      </c>
      <c r="F940" t="n">
        <v>1.6</v>
      </c>
      <c r="G940" t="inlineStr">
        <is>
          <t>Technical</t>
        </is>
      </c>
      <c r="H940" t="inlineStr">
        <is>
          <t>Yes</t>
        </is>
      </c>
      <c r="I940" t="inlineStr">
        <is>
          <t>2022-08-16</t>
        </is>
      </c>
    </row>
    <row r="941">
      <c r="A941" t="n">
        <v/>
      </c>
      <c r="B941" t="n">
        <v>1024783</v>
      </c>
      <c r="C941" t="inlineStr">
        <is>
          <t>Database &amp; SQL Architecture</t>
        </is>
      </c>
      <c r="D941" t="inlineStr">
        <is>
          <t>Primary</t>
        </is>
      </c>
      <c r="E941" t="inlineStr">
        <is>
          <t>Advanced</t>
        </is>
      </c>
      <c r="F941" t="n">
        <v>6.8</v>
      </c>
      <c r="G941" t="inlineStr">
        <is>
          <t>Technical</t>
        </is>
      </c>
      <c r="H941" t="inlineStr">
        <is>
          <t>Yes</t>
        </is>
      </c>
      <c r="I941" t="inlineStr">
        <is>
          <t>2021-03-15</t>
        </is>
      </c>
    </row>
    <row r="942">
      <c r="A942" t="n">
        <v/>
      </c>
      <c r="B942" t="n">
        <v>1024783</v>
      </c>
      <c r="C942" t="inlineStr">
        <is>
          <t>PostgreSQL</t>
        </is>
      </c>
      <c r="D942" t="inlineStr">
        <is>
          <t>Secondary</t>
        </is>
      </c>
      <c r="E942" t="inlineStr">
        <is>
          <t>Intermediate</t>
        </is>
      </c>
      <c r="F942" t="n">
        <v>4.1</v>
      </c>
      <c r="G942" t="inlineStr">
        <is>
          <t>Technical</t>
        </is>
      </c>
      <c r="H942" t="inlineStr">
        <is>
          <t>Yes</t>
        </is>
      </c>
      <c r="I942" t="inlineStr">
        <is>
          <t>2021-03-15</t>
        </is>
      </c>
    </row>
    <row r="943">
      <c r="A943" t="n">
        <v/>
      </c>
      <c r="B943" t="n">
        <v>1024783</v>
      </c>
      <c r="C943" t="inlineStr">
        <is>
          <t>Oracle</t>
        </is>
      </c>
      <c r="D943" t="inlineStr">
        <is>
          <t>Secondary</t>
        </is>
      </c>
      <c r="E943" t="inlineStr">
        <is>
          <t>Intermediate</t>
        </is>
      </c>
      <c r="F943" t="n">
        <v>3.1</v>
      </c>
      <c r="G943" t="inlineStr">
        <is>
          <t>Technical</t>
        </is>
      </c>
      <c r="H943" t="inlineStr">
        <is>
          <t>Yes</t>
        </is>
      </c>
      <c r="I943" t="inlineStr">
        <is>
          <t>2021-03-15</t>
        </is>
      </c>
    </row>
    <row r="944">
      <c r="A944" t="n">
        <v/>
      </c>
      <c r="B944" t="n">
        <v>1024783</v>
      </c>
      <c r="C944" t="inlineStr">
        <is>
          <t>Performance Tuning</t>
        </is>
      </c>
      <c r="D944" t="inlineStr">
        <is>
          <t>Secondary</t>
        </is>
      </c>
      <c r="E944" t="inlineStr">
        <is>
          <t>Intermediate</t>
        </is>
      </c>
      <c r="F944" t="n">
        <v>2</v>
      </c>
      <c r="G944" t="inlineStr">
        <is>
          <t>Technical</t>
        </is>
      </c>
      <c r="H944" t="inlineStr">
        <is>
          <t>Yes</t>
        </is>
      </c>
      <c r="I944" t="inlineStr">
        <is>
          <t>2021-03-15</t>
        </is>
      </c>
    </row>
    <row r="945">
      <c r="A945" t="n">
        <v/>
      </c>
      <c r="B945" t="n">
        <v>1032081</v>
      </c>
      <c r="C945" t="inlineStr">
        <is>
          <t>Business Analysis &amp; Healthcare Domain</t>
        </is>
      </c>
      <c r="D945" t="inlineStr">
        <is>
          <t>Primary</t>
        </is>
      </c>
      <c r="E945" t="inlineStr">
        <is>
          <t>Advanced</t>
        </is>
      </c>
      <c r="F945" t="n">
        <v>5.1</v>
      </c>
      <c r="G945" t="inlineStr">
        <is>
          <t>Functional</t>
        </is>
      </c>
      <c r="H945" t="inlineStr">
        <is>
          <t>Yes</t>
        </is>
      </c>
      <c r="I945" t="inlineStr">
        <is>
          <t>2023-01-20</t>
        </is>
      </c>
    </row>
    <row r="946">
      <c r="A946" t="n">
        <v/>
      </c>
      <c r="B946" t="n">
        <v>1032081</v>
      </c>
      <c r="C946" t="inlineStr">
        <is>
          <t>Requirements Gathering</t>
        </is>
      </c>
      <c r="D946" t="inlineStr">
        <is>
          <t>Secondary</t>
        </is>
      </c>
      <c r="E946" t="inlineStr">
        <is>
          <t>Intermediate</t>
        </is>
      </c>
      <c r="F946" t="n">
        <v>3.1</v>
      </c>
      <c r="G946" t="inlineStr">
        <is>
          <t>Functional</t>
        </is>
      </c>
      <c r="H946" t="inlineStr">
        <is>
          <t>Yes</t>
        </is>
      </c>
      <c r="I946" t="inlineStr">
        <is>
          <t>2023-01-20</t>
        </is>
      </c>
    </row>
    <row r="947">
      <c r="A947" t="n">
        <v/>
      </c>
      <c r="B947" t="n">
        <v>1032081</v>
      </c>
      <c r="C947" t="inlineStr">
        <is>
          <t>MMIS Workflows</t>
        </is>
      </c>
      <c r="D947" t="inlineStr">
        <is>
          <t>Secondary</t>
        </is>
      </c>
      <c r="E947" t="inlineStr">
        <is>
          <t>Intermediate</t>
        </is>
      </c>
      <c r="F947" t="n">
        <v>2.3</v>
      </c>
      <c r="G947" t="inlineStr">
        <is>
          <t>Functional</t>
        </is>
      </c>
      <c r="H947" t="inlineStr">
        <is>
          <t>Yes</t>
        </is>
      </c>
      <c r="I947" t="inlineStr">
        <is>
          <t>2023-01-20</t>
        </is>
      </c>
    </row>
    <row r="948">
      <c r="A948" t="n">
        <v/>
      </c>
      <c r="B948" t="n">
        <v>1032081</v>
      </c>
      <c r="C948" t="inlineStr">
        <is>
          <t>SQL</t>
        </is>
      </c>
      <c r="D948" t="inlineStr">
        <is>
          <t>Secondary</t>
        </is>
      </c>
      <c r="E948" t="inlineStr">
        <is>
          <t>Intermediate</t>
        </is>
      </c>
      <c r="F948" t="n">
        <v>1.5</v>
      </c>
      <c r="G948" t="inlineStr">
        <is>
          <t>Functional</t>
        </is>
      </c>
      <c r="H948" t="inlineStr">
        <is>
          <t>Yes</t>
        </is>
      </c>
      <c r="I948" t="inlineStr">
        <is>
          <t>2023-01-20</t>
        </is>
      </c>
    </row>
    <row r="949">
      <c r="A949" t="n">
        <v/>
      </c>
      <c r="B949" t="n">
        <v>1029508</v>
      </c>
      <c r="C949" t="inlineStr">
        <is>
          <t>IT Application &amp; Operations Support</t>
        </is>
      </c>
      <c r="D949" t="inlineStr">
        <is>
          <t>Primary</t>
        </is>
      </c>
      <c r="E949" t="inlineStr">
        <is>
          <t>Intermediate</t>
        </is>
      </c>
      <c r="F949" t="n">
        <v>2</v>
      </c>
      <c r="G949" t="inlineStr">
        <is>
          <t>Functional</t>
        </is>
      </c>
      <c r="H949" t="inlineStr">
        <is>
          <t>Yes</t>
        </is>
      </c>
      <c r="I949" t="inlineStr">
        <is>
          <t>2022-07-13</t>
        </is>
      </c>
    </row>
    <row r="950">
      <c r="A950" t="n">
        <v/>
      </c>
      <c r="B950" t="n">
        <v>1029508</v>
      </c>
      <c r="C950" t="inlineStr">
        <is>
          <t>Incident Management</t>
        </is>
      </c>
      <c r="D950" t="inlineStr">
        <is>
          <t>Secondary</t>
        </is>
      </c>
      <c r="E950" t="inlineStr">
        <is>
          <t>Beginner</t>
        </is>
      </c>
      <c r="F950" t="n">
        <v>1.2</v>
      </c>
      <c r="G950" t="inlineStr">
        <is>
          <t>Functional</t>
        </is>
      </c>
      <c r="H950" t="inlineStr">
        <is>
          <t>Yes</t>
        </is>
      </c>
      <c r="I950" t="inlineStr">
        <is>
          <t>2022-07-13</t>
        </is>
      </c>
    </row>
    <row r="951">
      <c r="A951" t="n">
        <v/>
      </c>
      <c r="B951" t="n">
        <v>1029508</v>
      </c>
      <c r="C951" t="inlineStr">
        <is>
          <t>Production Support</t>
        </is>
      </c>
      <c r="D951" t="inlineStr">
        <is>
          <t>Secondary</t>
        </is>
      </c>
      <c r="E951" t="inlineStr">
        <is>
          <t>Beginner</t>
        </is>
      </c>
      <c r="F951" t="n">
        <v>0.9</v>
      </c>
      <c r="G951" t="inlineStr">
        <is>
          <t>Functional</t>
        </is>
      </c>
      <c r="H951" t="inlineStr">
        <is>
          <t>Yes</t>
        </is>
      </c>
      <c r="I951" t="inlineStr">
        <is>
          <t>2022-07-13</t>
        </is>
      </c>
    </row>
    <row r="952">
      <c r="A952" t="n">
        <v/>
      </c>
      <c r="B952" t="n">
        <v>1032636</v>
      </c>
      <c r="C952" t="inlineStr">
        <is>
          <t>Java / Spring Boot</t>
        </is>
      </c>
      <c r="D952" t="inlineStr">
        <is>
          <t>Primary</t>
        </is>
      </c>
      <c r="E952" t="inlineStr">
        <is>
          <t>Advanced</t>
        </is>
      </c>
      <c r="F952" t="n">
        <v>4.9</v>
      </c>
      <c r="G952" t="inlineStr">
        <is>
          <t>Technical</t>
        </is>
      </c>
      <c r="H952" t="inlineStr">
        <is>
          <t>Yes</t>
        </is>
      </c>
      <c r="I952" t="inlineStr">
        <is>
          <t>2023-04-26</t>
        </is>
      </c>
      <c r="J952" t="inlineStr">
        <is>
          <t>Benefit Plan</t>
        </is>
      </c>
    </row>
    <row r="953">
      <c r="A953" t="n">
        <v/>
      </c>
      <c r="B953" t="n">
        <v>1032636</v>
      </c>
      <c r="C953" t="inlineStr">
        <is>
          <t>SQL</t>
        </is>
      </c>
      <c r="D953" t="inlineStr">
        <is>
          <t>Secondary</t>
        </is>
      </c>
      <c r="E953" t="inlineStr">
        <is>
          <t>Intermediate</t>
        </is>
      </c>
      <c r="F953" t="n">
        <v>2.9</v>
      </c>
      <c r="G953" t="inlineStr">
        <is>
          <t>Technical</t>
        </is>
      </c>
      <c r="H953" t="inlineStr">
        <is>
          <t>Yes</t>
        </is>
      </c>
      <c r="I953" t="inlineStr">
        <is>
          <t>2023-04-26</t>
        </is>
      </c>
      <c r="J953" t="inlineStr">
        <is>
          <t>Benefit Plan</t>
        </is>
      </c>
    </row>
    <row r="954">
      <c r="A954" t="n">
        <v/>
      </c>
      <c r="B954" t="n">
        <v>1032636</v>
      </c>
      <c r="C954" t="inlineStr">
        <is>
          <t>Docker</t>
        </is>
      </c>
      <c r="D954" t="inlineStr">
        <is>
          <t>Secondary</t>
        </is>
      </c>
      <c r="E954" t="inlineStr">
        <is>
          <t>Intermediate</t>
        </is>
      </c>
      <c r="F954" t="n">
        <v>2.2</v>
      </c>
      <c r="G954" t="inlineStr">
        <is>
          <t>Technical</t>
        </is>
      </c>
      <c r="H954" t="inlineStr">
        <is>
          <t>Yes</t>
        </is>
      </c>
      <c r="I954" t="inlineStr">
        <is>
          <t>2023-04-26</t>
        </is>
      </c>
      <c r="J954" t="inlineStr">
        <is>
          <t>Benefit Plan</t>
        </is>
      </c>
    </row>
    <row r="955">
      <c r="A955" t="n">
        <v/>
      </c>
      <c r="B955" t="n">
        <v>1032636</v>
      </c>
      <c r="C955" t="inlineStr">
        <is>
          <t>Git</t>
        </is>
      </c>
      <c r="D955" t="inlineStr">
        <is>
          <t>Secondary</t>
        </is>
      </c>
      <c r="E955" t="inlineStr">
        <is>
          <t>Intermediate</t>
        </is>
      </c>
      <c r="F955" t="n">
        <v>1.5</v>
      </c>
      <c r="G955" t="inlineStr">
        <is>
          <t>Technical</t>
        </is>
      </c>
      <c r="H955" t="inlineStr">
        <is>
          <t>Yes</t>
        </is>
      </c>
      <c r="I955" t="inlineStr">
        <is>
          <t>2023-04-26</t>
        </is>
      </c>
      <c r="J955" t="inlineStr">
        <is>
          <t>Benefit Plan</t>
        </is>
      </c>
    </row>
    <row r="956">
      <c r="A956" t="n">
        <v/>
      </c>
      <c r="B956" t="n">
        <v>1027766</v>
      </c>
      <c r="C956" t="inlineStr">
        <is>
          <t>QA Automation / SDET</t>
        </is>
      </c>
      <c r="D956" t="inlineStr">
        <is>
          <t>Primary</t>
        </is>
      </c>
      <c r="E956" t="inlineStr">
        <is>
          <t>Advanced</t>
        </is>
      </c>
      <c r="F956" t="n">
        <v>6.1</v>
      </c>
      <c r="G956" t="inlineStr">
        <is>
          <t>Technical</t>
        </is>
      </c>
      <c r="H956" t="inlineStr">
        <is>
          <t>Yes</t>
        </is>
      </c>
      <c r="I956" t="inlineStr">
        <is>
          <t>2021-12-22</t>
        </is>
      </c>
    </row>
    <row r="957">
      <c r="A957" t="n">
        <v/>
      </c>
      <c r="B957" t="n">
        <v>1027766</v>
      </c>
      <c r="C957" t="inlineStr">
        <is>
          <t>Selenium</t>
        </is>
      </c>
      <c r="D957" t="inlineStr">
        <is>
          <t>Secondary</t>
        </is>
      </c>
      <c r="E957" t="inlineStr">
        <is>
          <t>Intermediate</t>
        </is>
      </c>
      <c r="F957" t="n">
        <v>3.7</v>
      </c>
      <c r="G957" t="inlineStr">
        <is>
          <t>Technical</t>
        </is>
      </c>
      <c r="H957" t="inlineStr">
        <is>
          <t>Yes</t>
        </is>
      </c>
      <c r="I957" t="inlineStr">
        <is>
          <t>2021-12-22</t>
        </is>
      </c>
    </row>
    <row r="958">
      <c r="A958" t="n">
        <v/>
      </c>
      <c r="B958" t="n">
        <v>1027766</v>
      </c>
      <c r="C958" t="inlineStr">
        <is>
          <t>API Testing (Postman)</t>
        </is>
      </c>
      <c r="D958" t="inlineStr">
        <is>
          <t>Secondary</t>
        </is>
      </c>
      <c r="E958" t="inlineStr">
        <is>
          <t>Intermediate</t>
        </is>
      </c>
      <c r="F958" t="n">
        <v>2.7</v>
      </c>
      <c r="G958" t="inlineStr">
        <is>
          <t>Technical</t>
        </is>
      </c>
      <c r="H958" t="inlineStr">
        <is>
          <t>Yes</t>
        </is>
      </c>
      <c r="I958" t="inlineStr">
        <is>
          <t>2021-12-22</t>
        </is>
      </c>
    </row>
    <row r="959">
      <c r="A959" t="n">
        <v/>
      </c>
      <c r="B959" t="n">
        <v>1027766</v>
      </c>
      <c r="C959" t="inlineStr">
        <is>
          <t>TestNG</t>
        </is>
      </c>
      <c r="D959" t="inlineStr">
        <is>
          <t>Secondary</t>
        </is>
      </c>
      <c r="E959" t="inlineStr">
        <is>
          <t>Intermediate</t>
        </is>
      </c>
      <c r="F959" t="n">
        <v>1.8</v>
      </c>
      <c r="G959" t="inlineStr">
        <is>
          <t>Technical</t>
        </is>
      </c>
      <c r="H959" t="inlineStr">
        <is>
          <t>Yes</t>
        </is>
      </c>
      <c r="I959" t="inlineStr">
        <is>
          <t>2021-12-22</t>
        </is>
      </c>
    </row>
    <row r="960">
      <c r="A960" t="n">
        <v/>
      </c>
      <c r="B960" t="n">
        <v>1033106</v>
      </c>
      <c r="C960" t="inlineStr">
        <is>
          <t>Frontend (Angular / TypeScript)</t>
        </is>
      </c>
      <c r="D960" t="inlineStr">
        <is>
          <t>Primary</t>
        </is>
      </c>
      <c r="E960" t="inlineStr">
        <is>
          <t>Advanced</t>
        </is>
      </c>
      <c r="F960" t="n">
        <v>5.6</v>
      </c>
      <c r="G960" t="inlineStr">
        <is>
          <t>Technical</t>
        </is>
      </c>
      <c r="H960" t="inlineStr">
        <is>
          <t>Yes</t>
        </is>
      </c>
      <c r="I960" t="inlineStr">
        <is>
          <t>2023-07-28</t>
        </is>
      </c>
    </row>
    <row r="961">
      <c r="A961" t="n">
        <v/>
      </c>
      <c r="B961" t="n">
        <v>1033106</v>
      </c>
      <c r="C961" t="inlineStr">
        <is>
          <t>TypeScript</t>
        </is>
      </c>
      <c r="D961" t="inlineStr">
        <is>
          <t>Secondary</t>
        </is>
      </c>
      <c r="E961" t="inlineStr">
        <is>
          <t>Intermediate</t>
        </is>
      </c>
      <c r="F961" t="n">
        <v>3.4</v>
      </c>
      <c r="G961" t="inlineStr">
        <is>
          <t>Technical</t>
        </is>
      </c>
      <c r="H961" t="inlineStr">
        <is>
          <t>Yes</t>
        </is>
      </c>
      <c r="I961" t="inlineStr">
        <is>
          <t>2023-07-28</t>
        </is>
      </c>
    </row>
    <row r="962">
      <c r="A962" t="n">
        <v/>
      </c>
      <c r="B962" t="n">
        <v>1033106</v>
      </c>
      <c r="C962" t="inlineStr">
        <is>
          <t>JavaScript</t>
        </is>
      </c>
      <c r="D962" t="inlineStr">
        <is>
          <t>Secondary</t>
        </is>
      </c>
      <c r="E962" t="inlineStr">
        <is>
          <t>Intermediate</t>
        </is>
      </c>
      <c r="F962" t="n">
        <v>2.5</v>
      </c>
      <c r="G962" t="inlineStr">
        <is>
          <t>Technical</t>
        </is>
      </c>
      <c r="H962" t="inlineStr">
        <is>
          <t>Yes</t>
        </is>
      </c>
      <c r="I962" t="inlineStr">
        <is>
          <t>2023-07-28</t>
        </is>
      </c>
    </row>
    <row r="963">
      <c r="A963" t="n">
        <v/>
      </c>
      <c r="B963" t="n">
        <v>1033106</v>
      </c>
      <c r="C963" t="inlineStr">
        <is>
          <t>HTML5</t>
        </is>
      </c>
      <c r="D963" t="inlineStr">
        <is>
          <t>Secondary</t>
        </is>
      </c>
      <c r="E963" t="inlineStr">
        <is>
          <t>Intermediate</t>
        </is>
      </c>
      <c r="F963" t="n">
        <v>1.7</v>
      </c>
      <c r="G963" t="inlineStr">
        <is>
          <t>Technical</t>
        </is>
      </c>
      <c r="H963" t="inlineStr">
        <is>
          <t>Yes</t>
        </is>
      </c>
      <c r="I963" t="inlineStr">
        <is>
          <t>2023-07-28</t>
        </is>
      </c>
    </row>
    <row r="964">
      <c r="A964" t="n">
        <v/>
      </c>
      <c r="B964" t="n">
        <v>1033117</v>
      </c>
      <c r="C964" t="inlineStr">
        <is>
          <t>Fullstack Web (React / Node)</t>
        </is>
      </c>
      <c r="D964" t="inlineStr">
        <is>
          <t>Primary</t>
        </is>
      </c>
      <c r="E964" t="inlineStr">
        <is>
          <t>Advanced</t>
        </is>
      </c>
      <c r="F964" t="n">
        <v>4.7</v>
      </c>
      <c r="G964" t="inlineStr">
        <is>
          <t>Technical</t>
        </is>
      </c>
      <c r="H964" t="inlineStr">
        <is>
          <t>Yes</t>
        </is>
      </c>
      <c r="I964" t="inlineStr">
        <is>
          <t>2023-07-31</t>
        </is>
      </c>
    </row>
    <row r="965">
      <c r="A965" t="n">
        <v/>
      </c>
      <c r="B965" t="n">
        <v>1033117</v>
      </c>
      <c r="C965" t="inlineStr">
        <is>
          <t>JavaScript</t>
        </is>
      </c>
      <c r="D965" t="inlineStr">
        <is>
          <t>Secondary</t>
        </is>
      </c>
      <c r="E965" t="inlineStr">
        <is>
          <t>Intermediate</t>
        </is>
      </c>
      <c r="F965" t="n">
        <v>2.8</v>
      </c>
      <c r="G965" t="inlineStr">
        <is>
          <t>Technical</t>
        </is>
      </c>
      <c r="H965" t="inlineStr">
        <is>
          <t>Yes</t>
        </is>
      </c>
      <c r="I965" t="inlineStr">
        <is>
          <t>2023-07-31</t>
        </is>
      </c>
    </row>
    <row r="966">
      <c r="A966" t="n">
        <v/>
      </c>
      <c r="B966" t="n">
        <v>1033117</v>
      </c>
      <c r="C966" t="inlineStr">
        <is>
          <t>TypeScript</t>
        </is>
      </c>
      <c r="D966" t="inlineStr">
        <is>
          <t>Secondary</t>
        </is>
      </c>
      <c r="E966" t="inlineStr">
        <is>
          <t>Intermediate</t>
        </is>
      </c>
      <c r="F966" t="n">
        <v>2.1</v>
      </c>
      <c r="G966" t="inlineStr">
        <is>
          <t>Technical</t>
        </is>
      </c>
      <c r="H966" t="inlineStr">
        <is>
          <t>Yes</t>
        </is>
      </c>
      <c r="I966" t="inlineStr">
        <is>
          <t>2023-07-31</t>
        </is>
      </c>
    </row>
    <row r="967">
      <c r="A967" t="n">
        <v/>
      </c>
      <c r="B967" t="n">
        <v>1033117</v>
      </c>
      <c r="C967" t="inlineStr">
        <is>
          <t>CSS/HTML</t>
        </is>
      </c>
      <c r="D967" t="inlineStr">
        <is>
          <t>Secondary</t>
        </is>
      </c>
      <c r="E967" t="inlineStr">
        <is>
          <t>Beginner</t>
        </is>
      </c>
      <c r="F967" t="n">
        <v>1.4</v>
      </c>
      <c r="G967" t="inlineStr">
        <is>
          <t>Technical</t>
        </is>
      </c>
      <c r="H967" t="inlineStr">
        <is>
          <t>Yes</t>
        </is>
      </c>
      <c r="I967" t="inlineStr">
        <is>
          <t>2023-07-31</t>
        </is>
      </c>
    </row>
    <row r="968">
      <c r="A968" t="n">
        <v/>
      </c>
      <c r="B968" t="n">
        <v>1018593</v>
      </c>
      <c r="C968" t="inlineStr">
        <is>
          <t>Database &amp; SQL Architecture</t>
        </is>
      </c>
      <c r="D968" t="inlineStr">
        <is>
          <t>Primary</t>
        </is>
      </c>
      <c r="E968" t="inlineStr">
        <is>
          <t>Advanced</t>
        </is>
      </c>
      <c r="F968" t="n">
        <v>11.9</v>
      </c>
      <c r="G968" t="inlineStr">
        <is>
          <t>Technical</t>
        </is>
      </c>
      <c r="H968" t="inlineStr">
        <is>
          <t>Yes</t>
        </is>
      </c>
      <c r="I968" t="inlineStr">
        <is>
          <t>2016-07-27</t>
        </is>
      </c>
    </row>
    <row r="969">
      <c r="A969" t="n">
        <v/>
      </c>
      <c r="B969" t="n">
        <v>1018593</v>
      </c>
      <c r="C969" t="inlineStr">
        <is>
          <t>PostgreSQL</t>
        </is>
      </c>
      <c r="D969" t="inlineStr">
        <is>
          <t>Secondary</t>
        </is>
      </c>
      <c r="E969" t="inlineStr">
        <is>
          <t>Advanced</t>
        </is>
      </c>
      <c r="F969" t="n">
        <v>7.1</v>
      </c>
      <c r="G969" t="inlineStr">
        <is>
          <t>Technical</t>
        </is>
      </c>
      <c r="H969" t="inlineStr">
        <is>
          <t>Yes</t>
        </is>
      </c>
      <c r="I969" t="inlineStr">
        <is>
          <t>2016-07-27</t>
        </is>
      </c>
    </row>
    <row r="970">
      <c r="A970" t="n">
        <v/>
      </c>
      <c r="B970" t="n">
        <v>1018593</v>
      </c>
      <c r="C970" t="inlineStr">
        <is>
          <t>Oracle</t>
        </is>
      </c>
      <c r="D970" t="inlineStr">
        <is>
          <t>Secondary</t>
        </is>
      </c>
      <c r="E970" t="inlineStr">
        <is>
          <t>Advanced</t>
        </is>
      </c>
      <c r="F970" t="n">
        <v>5.4</v>
      </c>
      <c r="G970" t="inlineStr">
        <is>
          <t>Technical</t>
        </is>
      </c>
      <c r="H970" t="inlineStr">
        <is>
          <t>Yes</t>
        </is>
      </c>
      <c r="I970" t="inlineStr">
        <is>
          <t>2016-07-27</t>
        </is>
      </c>
    </row>
    <row r="971">
      <c r="A971" t="n">
        <v/>
      </c>
      <c r="B971" t="n">
        <v>1018593</v>
      </c>
      <c r="C971" t="inlineStr">
        <is>
          <t>Performance Tuning</t>
        </is>
      </c>
      <c r="D971" t="inlineStr">
        <is>
          <t>Secondary</t>
        </is>
      </c>
      <c r="E971" t="inlineStr">
        <is>
          <t>Intermediate</t>
        </is>
      </c>
      <c r="F971" t="n">
        <v>3.6</v>
      </c>
      <c r="G971" t="inlineStr">
        <is>
          <t>Technical</t>
        </is>
      </c>
      <c r="H971" t="inlineStr">
        <is>
          <t>Yes</t>
        </is>
      </c>
      <c r="I971" t="inlineStr">
        <is>
          <t>2016-07-27</t>
        </is>
      </c>
    </row>
    <row r="972">
      <c r="A972" t="n">
        <v/>
      </c>
      <c r="B972" t="n">
        <v>1031775</v>
      </c>
      <c r="C972" t="inlineStr">
        <is>
          <t>Business Analysis &amp; Healthcare Domain</t>
        </is>
      </c>
      <c r="D972" t="inlineStr">
        <is>
          <t>Primary</t>
        </is>
      </c>
      <c r="E972" t="inlineStr">
        <is>
          <t>Advanced</t>
        </is>
      </c>
      <c r="F972" t="n">
        <v>6.2</v>
      </c>
      <c r="G972" t="inlineStr">
        <is>
          <t>Functional</t>
        </is>
      </c>
      <c r="H972" t="inlineStr">
        <is>
          <t>Yes</t>
        </is>
      </c>
      <c r="I972" t="inlineStr">
        <is>
          <t>2022-12-09</t>
        </is>
      </c>
    </row>
    <row r="973">
      <c r="A973" t="n">
        <v/>
      </c>
      <c r="B973" t="n">
        <v>1031775</v>
      </c>
      <c r="C973" t="inlineStr">
        <is>
          <t>Requirements Gathering</t>
        </is>
      </c>
      <c r="D973" t="inlineStr">
        <is>
          <t>Secondary</t>
        </is>
      </c>
      <c r="E973" t="inlineStr">
        <is>
          <t>Intermediate</t>
        </is>
      </c>
      <c r="F973" t="n">
        <v>3.7</v>
      </c>
      <c r="G973" t="inlineStr">
        <is>
          <t>Functional</t>
        </is>
      </c>
      <c r="H973" t="inlineStr">
        <is>
          <t>Yes</t>
        </is>
      </c>
      <c r="I973" t="inlineStr">
        <is>
          <t>2022-12-09</t>
        </is>
      </c>
    </row>
    <row r="974">
      <c r="A974" t="n">
        <v/>
      </c>
      <c r="B974" t="n">
        <v>1031775</v>
      </c>
      <c r="C974" t="inlineStr">
        <is>
          <t>MMIS Workflows</t>
        </is>
      </c>
      <c r="D974" t="inlineStr">
        <is>
          <t>Secondary</t>
        </is>
      </c>
      <c r="E974" t="inlineStr">
        <is>
          <t>Intermediate</t>
        </is>
      </c>
      <c r="F974" t="n">
        <v>2.8</v>
      </c>
      <c r="G974" t="inlineStr">
        <is>
          <t>Functional</t>
        </is>
      </c>
      <c r="H974" t="inlineStr">
        <is>
          <t>Yes</t>
        </is>
      </c>
      <c r="I974" t="inlineStr">
        <is>
          <t>2022-12-09</t>
        </is>
      </c>
    </row>
    <row r="975">
      <c r="A975" t="n">
        <v/>
      </c>
      <c r="B975" t="n">
        <v>1031775</v>
      </c>
      <c r="C975" t="inlineStr">
        <is>
          <t>SQL</t>
        </is>
      </c>
      <c r="D975" t="inlineStr">
        <is>
          <t>Secondary</t>
        </is>
      </c>
      <c r="E975" t="inlineStr">
        <is>
          <t>Intermediate</t>
        </is>
      </c>
      <c r="F975" t="n">
        <v>1.9</v>
      </c>
      <c r="G975" t="inlineStr">
        <is>
          <t>Functional</t>
        </is>
      </c>
      <c r="H975" t="inlineStr">
        <is>
          <t>Yes</t>
        </is>
      </c>
      <c r="I975" t="inlineStr">
        <is>
          <t>2022-12-09</t>
        </is>
      </c>
    </row>
    <row r="976">
      <c r="A976" t="n">
        <v/>
      </c>
      <c r="B976" t="n">
        <v>1022326</v>
      </c>
      <c r="C976" t="inlineStr">
        <is>
          <t>Cloud &amp; DevOps (AWS / K8s)</t>
        </is>
      </c>
      <c r="D976" t="inlineStr">
        <is>
          <t>Primary</t>
        </is>
      </c>
      <c r="E976" t="inlineStr">
        <is>
          <t>Advanced</t>
        </is>
      </c>
      <c r="F976" t="n">
        <v>8.300000000000001</v>
      </c>
      <c r="G976" t="inlineStr">
        <is>
          <t>Technical</t>
        </is>
      </c>
      <c r="H976" t="inlineStr">
        <is>
          <t>Yes</t>
        </is>
      </c>
      <c r="I976" t="inlineStr">
        <is>
          <t>2019-07-03</t>
        </is>
      </c>
    </row>
    <row r="977">
      <c r="A977" t="n">
        <v/>
      </c>
      <c r="B977" t="n">
        <v>1022326</v>
      </c>
      <c r="C977" t="inlineStr">
        <is>
          <t>Linux</t>
        </is>
      </c>
      <c r="D977" t="inlineStr">
        <is>
          <t>Secondary</t>
        </is>
      </c>
      <c r="E977" t="inlineStr">
        <is>
          <t>Advanced</t>
        </is>
      </c>
      <c r="F977" t="n">
        <v>5</v>
      </c>
      <c r="G977" t="inlineStr">
        <is>
          <t>Technical</t>
        </is>
      </c>
      <c r="H977" t="inlineStr">
        <is>
          <t>Yes</t>
        </is>
      </c>
      <c r="I977" t="inlineStr">
        <is>
          <t>2019-07-03</t>
        </is>
      </c>
    </row>
    <row r="978">
      <c r="A978" t="n">
        <v/>
      </c>
      <c r="B978" t="n">
        <v>1022326</v>
      </c>
      <c r="C978" t="inlineStr">
        <is>
          <t>Docker</t>
        </is>
      </c>
      <c r="D978" t="inlineStr">
        <is>
          <t>Secondary</t>
        </is>
      </c>
      <c r="E978" t="inlineStr">
        <is>
          <t>Intermediate</t>
        </is>
      </c>
      <c r="F978" t="n">
        <v>3.7</v>
      </c>
      <c r="G978" t="inlineStr">
        <is>
          <t>Technical</t>
        </is>
      </c>
      <c r="H978" t="inlineStr">
        <is>
          <t>Yes</t>
        </is>
      </c>
      <c r="I978" t="inlineStr">
        <is>
          <t>2019-07-03</t>
        </is>
      </c>
    </row>
    <row r="979">
      <c r="A979" t="n">
        <v/>
      </c>
      <c r="B979" t="n">
        <v>1022326</v>
      </c>
      <c r="C979" t="inlineStr">
        <is>
          <t>Kubernetes</t>
        </is>
      </c>
      <c r="D979" t="inlineStr">
        <is>
          <t>Secondary</t>
        </is>
      </c>
      <c r="E979" t="inlineStr">
        <is>
          <t>Intermediate</t>
        </is>
      </c>
      <c r="F979" t="n">
        <v>2.5</v>
      </c>
      <c r="G979" t="inlineStr">
        <is>
          <t>Technical</t>
        </is>
      </c>
      <c r="H979" t="inlineStr">
        <is>
          <t>Yes</t>
        </is>
      </c>
      <c r="I979" t="inlineStr">
        <is>
          <t>2019-07-03</t>
        </is>
      </c>
    </row>
    <row r="980">
      <c r="A980" t="n">
        <v/>
      </c>
      <c r="B980" t="n">
        <v>1028236</v>
      </c>
      <c r="C980" t="inlineStr">
        <is>
          <t>Frontend (Angular / TypeScript)</t>
        </is>
      </c>
      <c r="D980" t="inlineStr">
        <is>
          <t>Primary</t>
        </is>
      </c>
      <c r="E980" t="inlineStr">
        <is>
          <t>Advanced</t>
        </is>
      </c>
      <c r="F980" t="n">
        <v>6</v>
      </c>
      <c r="G980" t="inlineStr">
        <is>
          <t>Technical</t>
        </is>
      </c>
      <c r="H980" t="inlineStr">
        <is>
          <t>Yes</t>
        </is>
      </c>
      <c r="I980" t="inlineStr">
        <is>
          <t>2022-02-02</t>
        </is>
      </c>
    </row>
    <row r="981">
      <c r="A981" t="n">
        <v/>
      </c>
      <c r="B981" t="n">
        <v>1028236</v>
      </c>
      <c r="C981" t="inlineStr">
        <is>
          <t>TypeScript</t>
        </is>
      </c>
      <c r="D981" t="inlineStr">
        <is>
          <t>Secondary</t>
        </is>
      </c>
      <c r="E981" t="inlineStr">
        <is>
          <t>Intermediate</t>
        </is>
      </c>
      <c r="F981" t="n">
        <v>3.6</v>
      </c>
      <c r="G981" t="inlineStr">
        <is>
          <t>Technical</t>
        </is>
      </c>
      <c r="H981" t="inlineStr">
        <is>
          <t>Yes</t>
        </is>
      </c>
      <c r="I981" t="inlineStr">
        <is>
          <t>2022-02-02</t>
        </is>
      </c>
    </row>
    <row r="982">
      <c r="A982" t="n">
        <v/>
      </c>
      <c r="B982" t="n">
        <v>1028236</v>
      </c>
      <c r="C982" t="inlineStr">
        <is>
          <t>JavaScript</t>
        </is>
      </c>
      <c r="D982" t="inlineStr">
        <is>
          <t>Secondary</t>
        </is>
      </c>
      <c r="E982" t="inlineStr">
        <is>
          <t>Intermediate</t>
        </is>
      </c>
      <c r="F982" t="n">
        <v>2.7</v>
      </c>
      <c r="G982" t="inlineStr">
        <is>
          <t>Technical</t>
        </is>
      </c>
      <c r="H982" t="inlineStr">
        <is>
          <t>Yes</t>
        </is>
      </c>
      <c r="I982" t="inlineStr">
        <is>
          <t>2022-02-02</t>
        </is>
      </c>
    </row>
    <row r="983">
      <c r="A983" t="n">
        <v/>
      </c>
      <c r="B983" t="n">
        <v>1028236</v>
      </c>
      <c r="C983" t="inlineStr">
        <is>
          <t>HTML5</t>
        </is>
      </c>
      <c r="D983" t="inlineStr">
        <is>
          <t>Secondary</t>
        </is>
      </c>
      <c r="E983" t="inlineStr">
        <is>
          <t>Intermediate</t>
        </is>
      </c>
      <c r="F983" t="n">
        <v>1.8</v>
      </c>
      <c r="G983" t="inlineStr">
        <is>
          <t>Technical</t>
        </is>
      </c>
      <c r="H983" t="inlineStr">
        <is>
          <t>Yes</t>
        </is>
      </c>
      <c r="I983" t="inlineStr">
        <is>
          <t>2022-02-02</t>
        </is>
      </c>
    </row>
    <row r="984">
      <c r="A984" t="n">
        <v/>
      </c>
      <c r="B984" t="n">
        <v>1027928</v>
      </c>
      <c r="C984" t="inlineStr">
        <is>
          <t>QA Automation / SDET</t>
        </is>
      </c>
      <c r="D984" t="inlineStr">
        <is>
          <t>Primary</t>
        </is>
      </c>
      <c r="E984" t="inlineStr">
        <is>
          <t>Advanced</t>
        </is>
      </c>
      <c r="F984" t="n">
        <v>6.1</v>
      </c>
      <c r="G984" t="inlineStr">
        <is>
          <t>Technical</t>
        </is>
      </c>
      <c r="H984" t="inlineStr">
        <is>
          <t>Yes</t>
        </is>
      </c>
      <c r="I984" t="inlineStr">
        <is>
          <t>2022-01-05</t>
        </is>
      </c>
    </row>
    <row r="985">
      <c r="A985" t="n">
        <v/>
      </c>
      <c r="B985" t="n">
        <v>1027928</v>
      </c>
      <c r="C985" t="inlineStr">
        <is>
          <t>Selenium</t>
        </is>
      </c>
      <c r="D985" t="inlineStr">
        <is>
          <t>Secondary</t>
        </is>
      </c>
      <c r="E985" t="inlineStr">
        <is>
          <t>Intermediate</t>
        </is>
      </c>
      <c r="F985" t="n">
        <v>3.7</v>
      </c>
      <c r="G985" t="inlineStr">
        <is>
          <t>Technical</t>
        </is>
      </c>
      <c r="H985" t="inlineStr">
        <is>
          <t>Yes</t>
        </is>
      </c>
      <c r="I985" t="inlineStr">
        <is>
          <t>2022-01-05</t>
        </is>
      </c>
    </row>
    <row r="986">
      <c r="A986" t="n">
        <v/>
      </c>
      <c r="B986" t="n">
        <v>1027928</v>
      </c>
      <c r="C986" t="inlineStr">
        <is>
          <t>API Testing (Postman)</t>
        </is>
      </c>
      <c r="D986" t="inlineStr">
        <is>
          <t>Secondary</t>
        </is>
      </c>
      <c r="E986" t="inlineStr">
        <is>
          <t>Intermediate</t>
        </is>
      </c>
      <c r="F986" t="n">
        <v>2.7</v>
      </c>
      <c r="G986" t="inlineStr">
        <is>
          <t>Technical</t>
        </is>
      </c>
      <c r="H986" t="inlineStr">
        <is>
          <t>Yes</t>
        </is>
      </c>
      <c r="I986" t="inlineStr">
        <is>
          <t>2022-01-05</t>
        </is>
      </c>
    </row>
    <row r="987">
      <c r="A987" t="n">
        <v/>
      </c>
      <c r="B987" t="n">
        <v>1027928</v>
      </c>
      <c r="C987" t="inlineStr">
        <is>
          <t>TestNG</t>
        </is>
      </c>
      <c r="D987" t="inlineStr">
        <is>
          <t>Secondary</t>
        </is>
      </c>
      <c r="E987" t="inlineStr">
        <is>
          <t>Intermediate</t>
        </is>
      </c>
      <c r="F987" t="n">
        <v>1.8</v>
      </c>
      <c r="G987" t="inlineStr">
        <is>
          <t>Technical</t>
        </is>
      </c>
      <c r="H987" t="inlineStr">
        <is>
          <t>Yes</t>
        </is>
      </c>
      <c r="I987" t="inlineStr">
        <is>
          <t>2022-01-05</t>
        </is>
      </c>
    </row>
    <row r="988">
      <c r="A988" t="n">
        <v/>
      </c>
      <c r="B988" t="n">
        <v>1028277</v>
      </c>
      <c r="C988" t="inlineStr">
        <is>
          <t>QA Automation / SDET</t>
        </is>
      </c>
      <c r="D988" t="inlineStr">
        <is>
          <t>Primary</t>
        </is>
      </c>
      <c r="E988" t="inlineStr">
        <is>
          <t>Advanced</t>
        </is>
      </c>
      <c r="F988" t="n">
        <v>6</v>
      </c>
      <c r="G988" t="inlineStr">
        <is>
          <t>Technical</t>
        </is>
      </c>
      <c r="H988" t="inlineStr">
        <is>
          <t>Yes</t>
        </is>
      </c>
      <c r="I988" t="inlineStr">
        <is>
          <t>2022-02-07</t>
        </is>
      </c>
    </row>
    <row r="989">
      <c r="A989" t="n">
        <v/>
      </c>
      <c r="B989" t="n">
        <v>1028277</v>
      </c>
      <c r="C989" t="inlineStr">
        <is>
          <t>Selenium</t>
        </is>
      </c>
      <c r="D989" t="inlineStr">
        <is>
          <t>Secondary</t>
        </is>
      </c>
      <c r="E989" t="inlineStr">
        <is>
          <t>Intermediate</t>
        </is>
      </c>
      <c r="F989" t="n">
        <v>3.6</v>
      </c>
      <c r="G989" t="inlineStr">
        <is>
          <t>Technical</t>
        </is>
      </c>
      <c r="H989" t="inlineStr">
        <is>
          <t>Yes</t>
        </is>
      </c>
      <c r="I989" t="inlineStr">
        <is>
          <t>2022-02-07</t>
        </is>
      </c>
    </row>
    <row r="990">
      <c r="A990" t="n">
        <v/>
      </c>
      <c r="B990" t="n">
        <v>1028277</v>
      </c>
      <c r="C990" t="inlineStr">
        <is>
          <t>API Testing (Postman)</t>
        </is>
      </c>
      <c r="D990" t="inlineStr">
        <is>
          <t>Secondary</t>
        </is>
      </c>
      <c r="E990" t="inlineStr">
        <is>
          <t>Intermediate</t>
        </is>
      </c>
      <c r="F990" t="n">
        <v>2.7</v>
      </c>
      <c r="G990" t="inlineStr">
        <is>
          <t>Technical</t>
        </is>
      </c>
      <c r="H990" t="inlineStr">
        <is>
          <t>Yes</t>
        </is>
      </c>
      <c r="I990" t="inlineStr">
        <is>
          <t>2022-02-07</t>
        </is>
      </c>
    </row>
    <row r="991">
      <c r="A991" t="n">
        <v/>
      </c>
      <c r="B991" t="n">
        <v>1028277</v>
      </c>
      <c r="C991" t="inlineStr">
        <is>
          <t>TestNG</t>
        </is>
      </c>
      <c r="D991" t="inlineStr">
        <is>
          <t>Secondary</t>
        </is>
      </c>
      <c r="E991" t="inlineStr">
        <is>
          <t>Intermediate</t>
        </is>
      </c>
      <c r="F991" t="n">
        <v>1.8</v>
      </c>
      <c r="G991" t="inlineStr">
        <is>
          <t>Technical</t>
        </is>
      </c>
      <c r="H991" t="inlineStr">
        <is>
          <t>Yes</t>
        </is>
      </c>
      <c r="I991" t="inlineStr">
        <is>
          <t>2022-02-07</t>
        </is>
      </c>
    </row>
    <row r="992">
      <c r="A992" t="n">
        <v/>
      </c>
      <c r="B992" t="n">
        <v>1031092</v>
      </c>
      <c r="C992" t="inlineStr">
        <is>
          <t>Fullstack Web (React / Node)</t>
        </is>
      </c>
      <c r="D992" t="inlineStr">
        <is>
          <t>Primary</t>
        </is>
      </c>
      <c r="E992" t="inlineStr">
        <is>
          <t>Intermediate</t>
        </is>
      </c>
      <c r="F992" t="n">
        <v>1.7</v>
      </c>
      <c r="G992" t="inlineStr">
        <is>
          <t>Technical</t>
        </is>
      </c>
      <c r="H992" t="inlineStr">
        <is>
          <t>Yes</t>
        </is>
      </c>
      <c r="I992" t="inlineStr">
        <is>
          <t>2022-11-24</t>
        </is>
      </c>
    </row>
    <row r="993">
      <c r="A993" t="n">
        <v/>
      </c>
      <c r="B993" t="n">
        <v>1031092</v>
      </c>
      <c r="C993" t="inlineStr">
        <is>
          <t>JavaScript</t>
        </is>
      </c>
      <c r="D993" t="inlineStr">
        <is>
          <t>Secondary</t>
        </is>
      </c>
      <c r="E993" t="inlineStr">
        <is>
          <t>Beginner</t>
        </is>
      </c>
      <c r="F993" t="n">
        <v>1</v>
      </c>
      <c r="G993" t="inlineStr">
        <is>
          <t>Technical</t>
        </is>
      </c>
      <c r="H993" t="inlineStr">
        <is>
          <t>Yes</t>
        </is>
      </c>
      <c r="I993" t="inlineStr">
        <is>
          <t>2022-11-24</t>
        </is>
      </c>
    </row>
    <row r="994">
      <c r="A994" t="n">
        <v/>
      </c>
      <c r="B994" t="n">
        <v>1031092</v>
      </c>
      <c r="C994" t="inlineStr">
        <is>
          <t>TypeScript</t>
        </is>
      </c>
      <c r="D994" t="inlineStr">
        <is>
          <t>Secondary</t>
        </is>
      </c>
      <c r="E994" t="inlineStr">
        <is>
          <t>Beginner</t>
        </is>
      </c>
      <c r="F994" t="n">
        <v>0.8</v>
      </c>
      <c r="G994" t="inlineStr">
        <is>
          <t>Technical</t>
        </is>
      </c>
      <c r="H994" t="inlineStr">
        <is>
          <t>Yes</t>
        </is>
      </c>
      <c r="I994" t="inlineStr">
        <is>
          <t>2022-11-24</t>
        </is>
      </c>
    </row>
    <row r="995">
      <c r="A995" t="n">
        <v/>
      </c>
      <c r="B995" t="n">
        <v>1032459</v>
      </c>
      <c r="C995" t="inlineStr">
        <is>
          <t>Cloud &amp; DevOps (AWS / K8s)</t>
        </is>
      </c>
      <c r="D995" t="inlineStr">
        <is>
          <t>Primary</t>
        </is>
      </c>
      <c r="E995" t="inlineStr">
        <is>
          <t>Advanced</t>
        </is>
      </c>
      <c r="F995" t="n">
        <v>5</v>
      </c>
      <c r="G995" t="inlineStr">
        <is>
          <t>Technical</t>
        </is>
      </c>
      <c r="H995" t="inlineStr">
        <is>
          <t>Yes</t>
        </is>
      </c>
      <c r="I995" t="inlineStr">
        <is>
          <t>2023-03-28</t>
        </is>
      </c>
    </row>
    <row r="996">
      <c r="A996" t="n">
        <v/>
      </c>
      <c r="B996" t="n">
        <v>1032459</v>
      </c>
      <c r="C996" t="inlineStr">
        <is>
          <t>Docker</t>
        </is>
      </c>
      <c r="D996" t="inlineStr">
        <is>
          <t>Secondary</t>
        </is>
      </c>
      <c r="E996" t="inlineStr">
        <is>
          <t>Intermediate</t>
        </is>
      </c>
      <c r="F996" t="n">
        <v>3</v>
      </c>
      <c r="G996" t="inlineStr">
        <is>
          <t>Technical</t>
        </is>
      </c>
      <c r="H996" t="inlineStr">
        <is>
          <t>Yes</t>
        </is>
      </c>
      <c r="I996" t="inlineStr">
        <is>
          <t>2023-03-28</t>
        </is>
      </c>
    </row>
    <row r="997">
      <c r="A997" t="n">
        <v/>
      </c>
      <c r="B997" t="n">
        <v>1032459</v>
      </c>
      <c r="C997" t="inlineStr">
        <is>
          <t>Kubernetes</t>
        </is>
      </c>
      <c r="D997" t="inlineStr">
        <is>
          <t>Secondary</t>
        </is>
      </c>
      <c r="E997" t="inlineStr">
        <is>
          <t>Intermediate</t>
        </is>
      </c>
      <c r="F997" t="n">
        <v>2.2</v>
      </c>
      <c r="G997" t="inlineStr">
        <is>
          <t>Technical</t>
        </is>
      </c>
      <c r="H997" t="inlineStr">
        <is>
          <t>Yes</t>
        </is>
      </c>
      <c r="I997" t="inlineStr">
        <is>
          <t>2023-03-28</t>
        </is>
      </c>
    </row>
    <row r="998">
      <c r="A998" t="n">
        <v/>
      </c>
      <c r="B998" t="n">
        <v>1032459</v>
      </c>
      <c r="C998" t="inlineStr">
        <is>
          <t>Linux</t>
        </is>
      </c>
      <c r="D998" t="inlineStr">
        <is>
          <t>Secondary</t>
        </is>
      </c>
      <c r="E998" t="inlineStr">
        <is>
          <t>Intermediate</t>
        </is>
      </c>
      <c r="F998" t="n">
        <v>1.5</v>
      </c>
      <c r="G998" t="inlineStr">
        <is>
          <t>Technical</t>
        </is>
      </c>
      <c r="H998" t="inlineStr">
        <is>
          <t>Yes</t>
        </is>
      </c>
      <c r="I998" t="inlineStr">
        <is>
          <t>2023-03-28</t>
        </is>
      </c>
    </row>
    <row r="999">
      <c r="A999" t="n">
        <v/>
      </c>
      <c r="B999" t="n">
        <v>1033523</v>
      </c>
      <c r="C999" t="inlineStr">
        <is>
          <t>Database &amp; SQL Architecture</t>
        </is>
      </c>
      <c r="D999" t="inlineStr">
        <is>
          <t>Primary</t>
        </is>
      </c>
      <c r="E999" t="inlineStr">
        <is>
          <t>Advanced</t>
        </is>
      </c>
      <c r="F999" t="n">
        <v>5.5</v>
      </c>
      <c r="G999" t="inlineStr">
        <is>
          <t>Technical</t>
        </is>
      </c>
      <c r="H999" t="inlineStr">
        <is>
          <t>Yes</t>
        </is>
      </c>
      <c r="I999" t="inlineStr">
        <is>
          <t>2023-09-13</t>
        </is>
      </c>
    </row>
    <row r="1000">
      <c r="A1000" t="n">
        <v/>
      </c>
      <c r="B1000" t="n">
        <v>1033523</v>
      </c>
      <c r="C1000" t="inlineStr">
        <is>
          <t>PostgreSQL</t>
        </is>
      </c>
      <c r="D1000" t="inlineStr">
        <is>
          <t>Secondary</t>
        </is>
      </c>
      <c r="E1000" t="inlineStr">
        <is>
          <t>Intermediate</t>
        </is>
      </c>
      <c r="F1000" t="n">
        <v>3.3</v>
      </c>
      <c r="G1000" t="inlineStr">
        <is>
          <t>Technical</t>
        </is>
      </c>
      <c r="H1000" t="inlineStr">
        <is>
          <t>Yes</t>
        </is>
      </c>
      <c r="I1000" t="inlineStr">
        <is>
          <t>2023-09-13</t>
        </is>
      </c>
    </row>
    <row r="1001">
      <c r="A1001" t="n">
        <v/>
      </c>
      <c r="B1001" t="n">
        <v>1033523</v>
      </c>
      <c r="C1001" t="inlineStr">
        <is>
          <t>Oracle</t>
        </is>
      </c>
      <c r="D1001" t="inlineStr">
        <is>
          <t>Secondary</t>
        </is>
      </c>
      <c r="E1001" t="inlineStr">
        <is>
          <t>Intermediate</t>
        </is>
      </c>
      <c r="F1001" t="n">
        <v>2.5</v>
      </c>
      <c r="G1001" t="inlineStr">
        <is>
          <t>Technical</t>
        </is>
      </c>
      <c r="H1001" t="inlineStr">
        <is>
          <t>Yes</t>
        </is>
      </c>
      <c r="I1001" t="inlineStr">
        <is>
          <t>2023-09-13</t>
        </is>
      </c>
    </row>
    <row r="1002">
      <c r="A1002" t="n">
        <v/>
      </c>
      <c r="B1002" t="n">
        <v>1033523</v>
      </c>
      <c r="C1002" t="inlineStr">
        <is>
          <t>Performance Tuning</t>
        </is>
      </c>
      <c r="D1002" t="inlineStr">
        <is>
          <t>Secondary</t>
        </is>
      </c>
      <c r="E1002" t="inlineStr">
        <is>
          <t>Intermediate</t>
        </is>
      </c>
      <c r="F1002" t="n">
        <v>1.6</v>
      </c>
      <c r="G1002" t="inlineStr">
        <is>
          <t>Technical</t>
        </is>
      </c>
      <c r="H1002" t="inlineStr">
        <is>
          <t>Yes</t>
        </is>
      </c>
      <c r="I1002" t="inlineStr">
        <is>
          <t>2023-09-13</t>
        </is>
      </c>
    </row>
    <row r="1003">
      <c r="A1003" t="n">
        <v/>
      </c>
      <c r="B1003" t="n">
        <v>1025438</v>
      </c>
      <c r="C1003" t="inlineStr">
        <is>
          <t>QA Automation / SDET</t>
        </is>
      </c>
      <c r="D1003" t="inlineStr">
        <is>
          <t>Primary</t>
        </is>
      </c>
      <c r="E1003" t="inlineStr">
        <is>
          <t>Advanced</t>
        </is>
      </c>
      <c r="F1003" t="n">
        <v>6.6</v>
      </c>
      <c r="G1003" t="inlineStr">
        <is>
          <t>Technical</t>
        </is>
      </c>
      <c r="H1003" t="inlineStr">
        <is>
          <t>Yes</t>
        </is>
      </c>
      <c r="I1003" t="inlineStr">
        <is>
          <t>2021-06-02</t>
        </is>
      </c>
    </row>
    <row r="1004">
      <c r="A1004" t="n">
        <v/>
      </c>
      <c r="B1004" t="n">
        <v>1025438</v>
      </c>
      <c r="C1004" t="inlineStr">
        <is>
          <t>Selenium</t>
        </is>
      </c>
      <c r="D1004" t="inlineStr">
        <is>
          <t>Secondary</t>
        </is>
      </c>
      <c r="E1004" t="inlineStr">
        <is>
          <t>Intermediate</t>
        </is>
      </c>
      <c r="F1004" t="n">
        <v>4</v>
      </c>
      <c r="G1004" t="inlineStr">
        <is>
          <t>Technical</t>
        </is>
      </c>
      <c r="H1004" t="inlineStr">
        <is>
          <t>Yes</t>
        </is>
      </c>
      <c r="I1004" t="inlineStr">
        <is>
          <t>2021-06-02</t>
        </is>
      </c>
    </row>
    <row r="1005">
      <c r="A1005" t="n">
        <v/>
      </c>
      <c r="B1005" t="n">
        <v>1025438</v>
      </c>
      <c r="C1005" t="inlineStr">
        <is>
          <t>API Testing (Postman)</t>
        </is>
      </c>
      <c r="D1005" t="inlineStr">
        <is>
          <t>Secondary</t>
        </is>
      </c>
      <c r="E1005" t="inlineStr">
        <is>
          <t>Intermediate</t>
        </is>
      </c>
      <c r="F1005" t="n">
        <v>3</v>
      </c>
      <c r="G1005" t="inlineStr">
        <is>
          <t>Technical</t>
        </is>
      </c>
      <c r="H1005" t="inlineStr">
        <is>
          <t>Yes</t>
        </is>
      </c>
      <c r="I1005" t="inlineStr">
        <is>
          <t>2021-06-02</t>
        </is>
      </c>
    </row>
    <row r="1006">
      <c r="A1006" t="n">
        <v/>
      </c>
      <c r="B1006" t="n">
        <v>1025438</v>
      </c>
      <c r="C1006" t="inlineStr">
        <is>
          <t>TestNG</t>
        </is>
      </c>
      <c r="D1006" t="inlineStr">
        <is>
          <t>Secondary</t>
        </is>
      </c>
      <c r="E1006" t="inlineStr">
        <is>
          <t>Intermediate</t>
        </is>
      </c>
      <c r="F1006" t="n">
        <v>2</v>
      </c>
      <c r="G1006" t="inlineStr">
        <is>
          <t>Technical</t>
        </is>
      </c>
      <c r="H1006" t="inlineStr">
        <is>
          <t>Yes</t>
        </is>
      </c>
      <c r="I1006" t="inlineStr">
        <is>
          <t>2021-06-02</t>
        </is>
      </c>
    </row>
    <row r="1007">
      <c r="A1007" t="n">
        <v/>
      </c>
      <c r="B1007" t="n">
        <v>1018884</v>
      </c>
      <c r="C1007" t="inlineStr">
        <is>
          <t>Java / Spring Boot</t>
        </is>
      </c>
      <c r="D1007" t="inlineStr">
        <is>
          <t>Primary</t>
        </is>
      </c>
      <c r="E1007" t="inlineStr">
        <is>
          <t>Advanced</t>
        </is>
      </c>
      <c r="F1007" t="n">
        <v>11.6</v>
      </c>
      <c r="G1007" t="inlineStr">
        <is>
          <t>Technical</t>
        </is>
      </c>
      <c r="H1007" t="inlineStr">
        <is>
          <t>Yes</t>
        </is>
      </c>
      <c r="I1007" t="inlineStr">
        <is>
          <t>2016-11-14</t>
        </is>
      </c>
      <c r="J1007" t="inlineStr">
        <is>
          <t>Benefit Plan</t>
        </is>
      </c>
    </row>
    <row r="1008">
      <c r="A1008" t="n">
        <v/>
      </c>
      <c r="B1008" t="n">
        <v>1018884</v>
      </c>
      <c r="C1008" t="inlineStr">
        <is>
          <t>SQL</t>
        </is>
      </c>
      <c r="D1008" t="inlineStr">
        <is>
          <t>Secondary</t>
        </is>
      </c>
      <c r="E1008" t="inlineStr">
        <is>
          <t>Advanced</t>
        </is>
      </c>
      <c r="F1008" t="n">
        <v>7</v>
      </c>
      <c r="G1008" t="inlineStr">
        <is>
          <t>Technical</t>
        </is>
      </c>
      <c r="H1008" t="inlineStr">
        <is>
          <t>Yes</t>
        </is>
      </c>
      <c r="I1008" t="inlineStr">
        <is>
          <t>2016-11-14</t>
        </is>
      </c>
      <c r="J1008" t="inlineStr">
        <is>
          <t>Benefit Plan</t>
        </is>
      </c>
    </row>
    <row r="1009">
      <c r="A1009" t="n">
        <v/>
      </c>
      <c r="B1009" t="n">
        <v>1018884</v>
      </c>
      <c r="C1009" t="inlineStr">
        <is>
          <t>Docker</t>
        </is>
      </c>
      <c r="D1009" t="inlineStr">
        <is>
          <t>Secondary</t>
        </is>
      </c>
      <c r="E1009" t="inlineStr">
        <is>
          <t>Advanced</t>
        </is>
      </c>
      <c r="F1009" t="n">
        <v>5.2</v>
      </c>
      <c r="G1009" t="inlineStr">
        <is>
          <t>Technical</t>
        </is>
      </c>
      <c r="H1009" t="inlineStr">
        <is>
          <t>Yes</t>
        </is>
      </c>
      <c r="I1009" t="inlineStr">
        <is>
          <t>2016-11-14</t>
        </is>
      </c>
      <c r="J1009" t="inlineStr">
        <is>
          <t>Benefit Plan</t>
        </is>
      </c>
    </row>
    <row r="1010">
      <c r="A1010" t="n">
        <v/>
      </c>
      <c r="B1010" t="n">
        <v>1018884</v>
      </c>
      <c r="C1010" t="inlineStr">
        <is>
          <t>Git</t>
        </is>
      </c>
      <c r="D1010" t="inlineStr">
        <is>
          <t>Secondary</t>
        </is>
      </c>
      <c r="E1010" t="inlineStr">
        <is>
          <t>Intermediate</t>
        </is>
      </c>
      <c r="F1010" t="n">
        <v>3.5</v>
      </c>
      <c r="G1010" t="inlineStr">
        <is>
          <t>Technical</t>
        </is>
      </c>
      <c r="H1010" t="inlineStr">
        <is>
          <t>Yes</t>
        </is>
      </c>
      <c r="I1010" t="inlineStr">
        <is>
          <t>2016-11-14</t>
        </is>
      </c>
      <c r="J1010" t="inlineStr">
        <is>
          <t>Benefit Plan</t>
        </is>
      </c>
    </row>
    <row r="1011">
      <c r="A1011" t="n">
        <v/>
      </c>
      <c r="B1011" t="n">
        <v>1032156</v>
      </c>
      <c r="C1011" t="inlineStr">
        <is>
          <t>Java / Spring Boot</t>
        </is>
      </c>
      <c r="D1011" t="inlineStr">
        <is>
          <t>Primary</t>
        </is>
      </c>
      <c r="E1011" t="inlineStr">
        <is>
          <t>Advanced</t>
        </is>
      </c>
      <c r="F1011" t="n">
        <v>5.1</v>
      </c>
      <c r="G1011" t="inlineStr">
        <is>
          <t>Technical</t>
        </is>
      </c>
      <c r="H1011" t="inlineStr">
        <is>
          <t>Yes</t>
        </is>
      </c>
      <c r="I1011" t="inlineStr">
        <is>
          <t>2023-02-01</t>
        </is>
      </c>
      <c r="J1011" t="inlineStr">
        <is>
          <t>TPL</t>
        </is>
      </c>
    </row>
    <row r="1012">
      <c r="A1012" t="n">
        <v/>
      </c>
      <c r="B1012" t="n">
        <v>1032156</v>
      </c>
      <c r="C1012" t="inlineStr">
        <is>
          <t>SQL</t>
        </is>
      </c>
      <c r="D1012" t="inlineStr">
        <is>
          <t>Secondary</t>
        </is>
      </c>
      <c r="E1012" t="inlineStr">
        <is>
          <t>Intermediate</t>
        </is>
      </c>
      <c r="F1012" t="n">
        <v>3.1</v>
      </c>
      <c r="G1012" t="inlineStr">
        <is>
          <t>Technical</t>
        </is>
      </c>
      <c r="H1012" t="inlineStr">
        <is>
          <t>Yes</t>
        </is>
      </c>
      <c r="I1012" t="inlineStr">
        <is>
          <t>2023-02-01</t>
        </is>
      </c>
      <c r="J1012" t="inlineStr">
        <is>
          <t>TPL</t>
        </is>
      </c>
    </row>
    <row r="1013">
      <c r="A1013" t="n">
        <v/>
      </c>
      <c r="B1013" t="n">
        <v>1032156</v>
      </c>
      <c r="C1013" t="inlineStr">
        <is>
          <t>Docker</t>
        </is>
      </c>
      <c r="D1013" t="inlineStr">
        <is>
          <t>Secondary</t>
        </is>
      </c>
      <c r="E1013" t="inlineStr">
        <is>
          <t>Intermediate</t>
        </is>
      </c>
      <c r="F1013" t="n">
        <v>2.3</v>
      </c>
      <c r="G1013" t="inlineStr">
        <is>
          <t>Technical</t>
        </is>
      </c>
      <c r="H1013" t="inlineStr">
        <is>
          <t>Yes</t>
        </is>
      </c>
      <c r="I1013" t="inlineStr">
        <is>
          <t>2023-02-01</t>
        </is>
      </c>
      <c r="J1013" t="inlineStr">
        <is>
          <t>TPL</t>
        </is>
      </c>
    </row>
    <row r="1014">
      <c r="A1014" t="n">
        <v/>
      </c>
      <c r="B1014" t="n">
        <v>1032156</v>
      </c>
      <c r="C1014" t="inlineStr">
        <is>
          <t>Git</t>
        </is>
      </c>
      <c r="D1014" t="inlineStr">
        <is>
          <t>Secondary</t>
        </is>
      </c>
      <c r="E1014" t="inlineStr">
        <is>
          <t>Intermediate</t>
        </is>
      </c>
      <c r="F1014" t="n">
        <v>1.5</v>
      </c>
      <c r="G1014" t="inlineStr">
        <is>
          <t>Technical</t>
        </is>
      </c>
      <c r="H1014" t="inlineStr">
        <is>
          <t>Yes</t>
        </is>
      </c>
      <c r="I1014" t="inlineStr">
        <is>
          <t>2023-02-01</t>
        </is>
      </c>
      <c r="J1014" t="inlineStr">
        <is>
          <t>TPL</t>
        </is>
      </c>
    </row>
    <row r="1015">
      <c r="A1015" t="n">
        <v/>
      </c>
      <c r="B1015" t="n">
        <v>1024521</v>
      </c>
      <c r="C1015" t="inlineStr">
        <is>
          <t>QA Automation / SDET</t>
        </is>
      </c>
      <c r="D1015" t="inlineStr">
        <is>
          <t>Primary</t>
        </is>
      </c>
      <c r="E1015" t="inlineStr">
        <is>
          <t>Advanced</t>
        </is>
      </c>
      <c r="F1015" t="n">
        <v>6.9</v>
      </c>
      <c r="G1015" t="inlineStr">
        <is>
          <t>Technical</t>
        </is>
      </c>
      <c r="H1015" t="inlineStr">
        <is>
          <t>Yes</t>
        </is>
      </c>
      <c r="I1015" t="inlineStr">
        <is>
          <t>2021-02-15</t>
        </is>
      </c>
    </row>
    <row r="1016">
      <c r="A1016" t="n">
        <v/>
      </c>
      <c r="B1016" t="n">
        <v>1024521</v>
      </c>
      <c r="C1016" t="inlineStr">
        <is>
          <t>Selenium</t>
        </is>
      </c>
      <c r="D1016" t="inlineStr">
        <is>
          <t>Secondary</t>
        </is>
      </c>
      <c r="E1016" t="inlineStr">
        <is>
          <t>Intermediate</t>
        </is>
      </c>
      <c r="F1016" t="n">
        <v>4.1</v>
      </c>
      <c r="G1016" t="inlineStr">
        <is>
          <t>Technical</t>
        </is>
      </c>
      <c r="H1016" t="inlineStr">
        <is>
          <t>Yes</t>
        </is>
      </c>
      <c r="I1016" t="inlineStr">
        <is>
          <t>2021-02-15</t>
        </is>
      </c>
    </row>
    <row r="1017">
      <c r="A1017" t="n">
        <v/>
      </c>
      <c r="B1017" t="n">
        <v>1024521</v>
      </c>
      <c r="C1017" t="inlineStr">
        <is>
          <t>API Testing (Postman)</t>
        </is>
      </c>
      <c r="D1017" t="inlineStr">
        <is>
          <t>Secondary</t>
        </is>
      </c>
      <c r="E1017" t="inlineStr">
        <is>
          <t>Intermediate</t>
        </is>
      </c>
      <c r="F1017" t="n">
        <v>3.1</v>
      </c>
      <c r="G1017" t="inlineStr">
        <is>
          <t>Technical</t>
        </is>
      </c>
      <c r="H1017" t="inlineStr">
        <is>
          <t>Yes</t>
        </is>
      </c>
      <c r="I1017" t="inlineStr">
        <is>
          <t>2021-02-15</t>
        </is>
      </c>
    </row>
    <row r="1018">
      <c r="A1018" t="n">
        <v/>
      </c>
      <c r="B1018" t="n">
        <v>1024521</v>
      </c>
      <c r="C1018" t="inlineStr">
        <is>
          <t>TestNG</t>
        </is>
      </c>
      <c r="D1018" t="inlineStr">
        <is>
          <t>Secondary</t>
        </is>
      </c>
      <c r="E1018" t="inlineStr">
        <is>
          <t>Intermediate</t>
        </is>
      </c>
      <c r="F1018" t="n">
        <v>2.1</v>
      </c>
      <c r="G1018" t="inlineStr">
        <is>
          <t>Technical</t>
        </is>
      </c>
      <c r="H1018" t="inlineStr">
        <is>
          <t>Yes</t>
        </is>
      </c>
      <c r="I1018" t="inlineStr">
        <is>
          <t>2021-02-15</t>
        </is>
      </c>
    </row>
    <row r="1019">
      <c r="A1019" t="n">
        <v/>
      </c>
      <c r="B1019" t="n">
        <v>1030984</v>
      </c>
      <c r="C1019" t="inlineStr">
        <is>
          <t>Cloud &amp; DevOps (AWS / K8s)</t>
        </is>
      </c>
      <c r="D1019" t="inlineStr">
        <is>
          <t>Primary</t>
        </is>
      </c>
      <c r="E1019" t="inlineStr">
        <is>
          <t>Advanced</t>
        </is>
      </c>
      <c r="F1019" t="n">
        <v>6.2</v>
      </c>
      <c r="G1019" t="inlineStr">
        <is>
          <t>Technical</t>
        </is>
      </c>
      <c r="H1019" t="inlineStr">
        <is>
          <t>Yes</t>
        </is>
      </c>
      <c r="I1019" t="inlineStr">
        <is>
          <t>2022-11-18</t>
        </is>
      </c>
    </row>
    <row r="1020">
      <c r="A1020" t="n">
        <v/>
      </c>
      <c r="B1020" t="n">
        <v>1030984</v>
      </c>
      <c r="C1020" t="inlineStr">
        <is>
          <t>Docker</t>
        </is>
      </c>
      <c r="D1020" t="inlineStr">
        <is>
          <t>Secondary</t>
        </is>
      </c>
      <c r="E1020" t="inlineStr">
        <is>
          <t>Intermediate</t>
        </is>
      </c>
      <c r="F1020" t="n">
        <v>3.7</v>
      </c>
      <c r="G1020" t="inlineStr">
        <is>
          <t>Technical</t>
        </is>
      </c>
      <c r="H1020" t="inlineStr">
        <is>
          <t>Yes</t>
        </is>
      </c>
      <c r="I1020" t="inlineStr">
        <is>
          <t>2022-11-18</t>
        </is>
      </c>
    </row>
    <row r="1021">
      <c r="A1021" t="n">
        <v/>
      </c>
      <c r="B1021" t="n">
        <v>1030984</v>
      </c>
      <c r="C1021" t="inlineStr">
        <is>
          <t>Kubernetes</t>
        </is>
      </c>
      <c r="D1021" t="inlineStr">
        <is>
          <t>Secondary</t>
        </is>
      </c>
      <c r="E1021" t="inlineStr">
        <is>
          <t>Intermediate</t>
        </is>
      </c>
      <c r="F1021" t="n">
        <v>2.8</v>
      </c>
      <c r="G1021" t="inlineStr">
        <is>
          <t>Technical</t>
        </is>
      </c>
      <c r="H1021" t="inlineStr">
        <is>
          <t>Yes</t>
        </is>
      </c>
      <c r="I1021" t="inlineStr">
        <is>
          <t>2022-11-18</t>
        </is>
      </c>
    </row>
    <row r="1022">
      <c r="A1022" t="n">
        <v/>
      </c>
      <c r="B1022" t="n">
        <v>1030984</v>
      </c>
      <c r="C1022" t="inlineStr">
        <is>
          <t>Linux</t>
        </is>
      </c>
      <c r="D1022" t="inlineStr">
        <is>
          <t>Secondary</t>
        </is>
      </c>
      <c r="E1022" t="inlineStr">
        <is>
          <t>Intermediate</t>
        </is>
      </c>
      <c r="F1022" t="n">
        <v>1.9</v>
      </c>
      <c r="G1022" t="inlineStr">
        <is>
          <t>Technical</t>
        </is>
      </c>
      <c r="H1022" t="inlineStr">
        <is>
          <t>Yes</t>
        </is>
      </c>
      <c r="I1022" t="inlineStr">
        <is>
          <t>2022-11-18</t>
        </is>
      </c>
    </row>
    <row r="1023">
      <c r="A1023" t="n">
        <v/>
      </c>
      <c r="B1023" t="n">
        <v>1027181</v>
      </c>
      <c r="C1023" t="inlineStr">
        <is>
          <t>QA Automation / SDET</t>
        </is>
      </c>
      <c r="D1023" t="inlineStr">
        <is>
          <t>Primary</t>
        </is>
      </c>
      <c r="E1023" t="inlineStr">
        <is>
          <t>Advanced</t>
        </is>
      </c>
      <c r="F1023" t="n">
        <v>6.2</v>
      </c>
      <c r="G1023" t="inlineStr">
        <is>
          <t>Technical</t>
        </is>
      </c>
      <c r="H1023" t="inlineStr">
        <is>
          <t>Yes</t>
        </is>
      </c>
      <c r="I1023" t="inlineStr">
        <is>
          <t>2021-11-15</t>
        </is>
      </c>
    </row>
    <row r="1024">
      <c r="A1024" t="n">
        <v/>
      </c>
      <c r="B1024" t="n">
        <v>1027181</v>
      </c>
      <c r="C1024" t="inlineStr">
        <is>
          <t>Selenium</t>
        </is>
      </c>
      <c r="D1024" t="inlineStr">
        <is>
          <t>Secondary</t>
        </is>
      </c>
      <c r="E1024" t="inlineStr">
        <is>
          <t>Intermediate</t>
        </is>
      </c>
      <c r="F1024" t="n">
        <v>3.7</v>
      </c>
      <c r="G1024" t="inlineStr">
        <is>
          <t>Technical</t>
        </is>
      </c>
      <c r="H1024" t="inlineStr">
        <is>
          <t>Yes</t>
        </is>
      </c>
      <c r="I1024" t="inlineStr">
        <is>
          <t>2021-11-15</t>
        </is>
      </c>
    </row>
    <row r="1025">
      <c r="A1025" t="n">
        <v/>
      </c>
      <c r="B1025" t="n">
        <v>1027181</v>
      </c>
      <c r="C1025" t="inlineStr">
        <is>
          <t>API Testing (Postman)</t>
        </is>
      </c>
      <c r="D1025" t="inlineStr">
        <is>
          <t>Secondary</t>
        </is>
      </c>
      <c r="E1025" t="inlineStr">
        <is>
          <t>Intermediate</t>
        </is>
      </c>
      <c r="F1025" t="n">
        <v>2.8</v>
      </c>
      <c r="G1025" t="inlineStr">
        <is>
          <t>Technical</t>
        </is>
      </c>
      <c r="H1025" t="inlineStr">
        <is>
          <t>Yes</t>
        </is>
      </c>
      <c r="I1025" t="inlineStr">
        <is>
          <t>2021-11-15</t>
        </is>
      </c>
    </row>
    <row r="1026">
      <c r="A1026" t="n">
        <v/>
      </c>
      <c r="B1026" t="n">
        <v>1027181</v>
      </c>
      <c r="C1026" t="inlineStr">
        <is>
          <t>TestNG</t>
        </is>
      </c>
      <c r="D1026" t="inlineStr">
        <is>
          <t>Secondary</t>
        </is>
      </c>
      <c r="E1026" t="inlineStr">
        <is>
          <t>Intermediate</t>
        </is>
      </c>
      <c r="F1026" t="n">
        <v>1.9</v>
      </c>
      <c r="G1026" t="inlineStr">
        <is>
          <t>Technical</t>
        </is>
      </c>
      <c r="H1026" t="inlineStr">
        <is>
          <t>Yes</t>
        </is>
      </c>
      <c r="I1026" t="inlineStr">
        <is>
          <t>2021-11-15</t>
        </is>
      </c>
    </row>
    <row r="1027">
      <c r="A1027" t="n">
        <v/>
      </c>
      <c r="B1027" t="n">
        <v>1027829</v>
      </c>
      <c r="C1027" t="inlineStr">
        <is>
          <t>Cloud &amp; DevOps (AWS / K8s)</t>
        </is>
      </c>
      <c r="D1027" t="inlineStr">
        <is>
          <t>Primary</t>
        </is>
      </c>
      <c r="E1027" t="inlineStr">
        <is>
          <t>Intermediate</t>
        </is>
      </c>
      <c r="F1027" t="n">
        <v>2.5</v>
      </c>
      <c r="G1027" t="inlineStr">
        <is>
          <t>Technical</t>
        </is>
      </c>
      <c r="H1027" t="inlineStr">
        <is>
          <t>Yes</t>
        </is>
      </c>
      <c r="I1027" t="inlineStr">
        <is>
          <t>2021-12-29</t>
        </is>
      </c>
    </row>
    <row r="1028">
      <c r="A1028" t="n">
        <v/>
      </c>
      <c r="B1028" t="n">
        <v>1027829</v>
      </c>
      <c r="C1028" t="inlineStr">
        <is>
          <t>Docker</t>
        </is>
      </c>
      <c r="D1028" t="inlineStr">
        <is>
          <t>Secondary</t>
        </is>
      </c>
      <c r="E1028" t="inlineStr">
        <is>
          <t>Intermediate</t>
        </is>
      </c>
      <c r="F1028" t="n">
        <v>1.5</v>
      </c>
      <c r="G1028" t="inlineStr">
        <is>
          <t>Technical</t>
        </is>
      </c>
      <c r="H1028" t="inlineStr">
        <is>
          <t>Yes</t>
        </is>
      </c>
      <c r="I1028" t="inlineStr">
        <is>
          <t>2021-12-29</t>
        </is>
      </c>
    </row>
    <row r="1029">
      <c r="A1029" t="n">
        <v/>
      </c>
      <c r="B1029" t="n">
        <v>1027829</v>
      </c>
      <c r="C1029" t="inlineStr">
        <is>
          <t>Kubernetes</t>
        </is>
      </c>
      <c r="D1029" t="inlineStr">
        <is>
          <t>Secondary</t>
        </is>
      </c>
      <c r="E1029" t="inlineStr">
        <is>
          <t>Beginner</t>
        </is>
      </c>
      <c r="F1029" t="n">
        <v>1.1</v>
      </c>
      <c r="G1029" t="inlineStr">
        <is>
          <t>Technical</t>
        </is>
      </c>
      <c r="H1029" t="inlineStr">
        <is>
          <t>Yes</t>
        </is>
      </c>
      <c r="I1029" t="inlineStr">
        <is>
          <t>2021-12-29</t>
        </is>
      </c>
    </row>
    <row r="1030">
      <c r="A1030" t="n">
        <v/>
      </c>
      <c r="B1030" t="n">
        <v>1024600</v>
      </c>
      <c r="C1030" t="inlineStr">
        <is>
          <t>Business Analysis &amp; Healthcare Domain</t>
        </is>
      </c>
      <c r="D1030" t="inlineStr">
        <is>
          <t>Primary</t>
        </is>
      </c>
      <c r="E1030" t="inlineStr">
        <is>
          <t>Advanced</t>
        </is>
      </c>
      <c r="F1030" t="n">
        <v>7.8</v>
      </c>
      <c r="G1030" t="inlineStr">
        <is>
          <t>Functional</t>
        </is>
      </c>
      <c r="H1030" t="inlineStr">
        <is>
          <t>Yes</t>
        </is>
      </c>
      <c r="I1030" t="inlineStr">
        <is>
          <t>2021-02-22</t>
        </is>
      </c>
    </row>
    <row r="1031">
      <c r="A1031" t="n">
        <v/>
      </c>
      <c r="B1031" t="n">
        <v>1024600</v>
      </c>
      <c r="C1031" t="inlineStr">
        <is>
          <t>Requirements Gathering</t>
        </is>
      </c>
      <c r="D1031" t="inlineStr">
        <is>
          <t>Secondary</t>
        </is>
      </c>
      <c r="E1031" t="inlineStr">
        <is>
          <t>Intermediate</t>
        </is>
      </c>
      <c r="F1031" t="n">
        <v>4.7</v>
      </c>
      <c r="G1031" t="inlineStr">
        <is>
          <t>Functional</t>
        </is>
      </c>
      <c r="H1031" t="inlineStr">
        <is>
          <t>Yes</t>
        </is>
      </c>
      <c r="I1031" t="inlineStr">
        <is>
          <t>2021-02-22</t>
        </is>
      </c>
    </row>
    <row r="1032">
      <c r="A1032" t="n">
        <v/>
      </c>
      <c r="B1032" t="n">
        <v>1024600</v>
      </c>
      <c r="C1032" t="inlineStr">
        <is>
          <t>MMIS Workflows</t>
        </is>
      </c>
      <c r="D1032" t="inlineStr">
        <is>
          <t>Secondary</t>
        </is>
      </c>
      <c r="E1032" t="inlineStr">
        <is>
          <t>Intermediate</t>
        </is>
      </c>
      <c r="F1032" t="n">
        <v>3.5</v>
      </c>
      <c r="G1032" t="inlineStr">
        <is>
          <t>Functional</t>
        </is>
      </c>
      <c r="H1032" t="inlineStr">
        <is>
          <t>Yes</t>
        </is>
      </c>
      <c r="I1032" t="inlineStr">
        <is>
          <t>2021-02-22</t>
        </is>
      </c>
    </row>
    <row r="1033">
      <c r="A1033" t="n">
        <v/>
      </c>
      <c r="B1033" t="n">
        <v>1024600</v>
      </c>
      <c r="C1033" t="inlineStr">
        <is>
          <t>SQL</t>
        </is>
      </c>
      <c r="D1033" t="inlineStr">
        <is>
          <t>Secondary</t>
        </is>
      </c>
      <c r="E1033" t="inlineStr">
        <is>
          <t>Intermediate</t>
        </is>
      </c>
      <c r="F1033" t="n">
        <v>2.3</v>
      </c>
      <c r="G1033" t="inlineStr">
        <is>
          <t>Functional</t>
        </is>
      </c>
      <c r="H1033" t="inlineStr">
        <is>
          <t>Yes</t>
        </is>
      </c>
      <c r="I1033" t="inlineStr">
        <is>
          <t>2021-02-22</t>
        </is>
      </c>
    </row>
    <row r="1034">
      <c r="A1034" t="n">
        <v/>
      </c>
      <c r="B1034" t="n">
        <v>1024679</v>
      </c>
      <c r="C1034" t="inlineStr">
        <is>
          <t>Operations &amp; IT Support</t>
        </is>
      </c>
      <c r="D1034" t="inlineStr">
        <is>
          <t>Primary</t>
        </is>
      </c>
      <c r="E1034" t="inlineStr">
        <is>
          <t>Advanced</t>
        </is>
      </c>
      <c r="F1034" t="n">
        <v>6.8</v>
      </c>
      <c r="G1034" t="inlineStr">
        <is>
          <t>Functional</t>
        </is>
      </c>
      <c r="H1034" t="inlineStr">
        <is>
          <t>Yes</t>
        </is>
      </c>
      <c r="I1034" t="inlineStr">
        <is>
          <t>2021-03-01</t>
        </is>
      </c>
    </row>
    <row r="1035">
      <c r="A1035" t="n">
        <v/>
      </c>
      <c r="B1035" t="n">
        <v>1024679</v>
      </c>
      <c r="C1035" t="inlineStr">
        <is>
          <t>IT Service Management</t>
        </is>
      </c>
      <c r="D1035" t="inlineStr">
        <is>
          <t>Secondary</t>
        </is>
      </c>
      <c r="E1035" t="inlineStr">
        <is>
          <t>Intermediate</t>
        </is>
      </c>
      <c r="F1035" t="n">
        <v>4.1</v>
      </c>
      <c r="G1035" t="inlineStr">
        <is>
          <t>Functional</t>
        </is>
      </c>
      <c r="H1035" t="inlineStr">
        <is>
          <t>Yes</t>
        </is>
      </c>
      <c r="I1035" t="inlineStr">
        <is>
          <t>2021-03-01</t>
        </is>
      </c>
    </row>
    <row r="1036">
      <c r="A1036" t="n">
        <v/>
      </c>
      <c r="B1036" t="n">
        <v>1024679</v>
      </c>
      <c r="C1036" t="inlineStr">
        <is>
          <t>Reporting</t>
        </is>
      </c>
      <c r="D1036" t="inlineStr">
        <is>
          <t>Secondary</t>
        </is>
      </c>
      <c r="E1036" t="inlineStr">
        <is>
          <t>Intermediate</t>
        </is>
      </c>
      <c r="F1036" t="n">
        <v>3.1</v>
      </c>
      <c r="G1036" t="inlineStr">
        <is>
          <t>Functional</t>
        </is>
      </c>
      <c r="H1036" t="inlineStr">
        <is>
          <t>Yes</t>
        </is>
      </c>
      <c r="I1036" t="inlineStr">
        <is>
          <t>2021-03-01</t>
        </is>
      </c>
    </row>
    <row r="1037">
      <c r="A1037" t="n">
        <v/>
      </c>
      <c r="B1037" t="n">
        <v>1024679</v>
      </c>
      <c r="C1037" t="inlineStr">
        <is>
          <t>Excel</t>
        </is>
      </c>
      <c r="D1037" t="inlineStr">
        <is>
          <t>Secondary</t>
        </is>
      </c>
      <c r="E1037" t="inlineStr">
        <is>
          <t>Intermediate</t>
        </is>
      </c>
      <c r="F1037" t="n">
        <v>2</v>
      </c>
      <c r="G1037" t="inlineStr">
        <is>
          <t>Functional</t>
        </is>
      </c>
      <c r="H1037" t="inlineStr">
        <is>
          <t>Yes</t>
        </is>
      </c>
      <c r="I1037" t="inlineStr">
        <is>
          <t>2021-03-01</t>
        </is>
      </c>
    </row>
    <row r="1038">
      <c r="A1038" t="n">
        <v/>
      </c>
      <c r="B1038" t="n">
        <v>1021180</v>
      </c>
      <c r="C1038" t="inlineStr">
        <is>
          <t>IT Application &amp; Operations Support</t>
        </is>
      </c>
      <c r="D1038" t="inlineStr">
        <is>
          <t>Primary</t>
        </is>
      </c>
      <c r="E1038" t="inlineStr">
        <is>
          <t>Advanced</t>
        </is>
      </c>
      <c r="F1038" t="n">
        <v>9</v>
      </c>
      <c r="G1038" t="inlineStr">
        <is>
          <t>Functional</t>
        </is>
      </c>
      <c r="H1038" t="inlineStr">
        <is>
          <t>Yes</t>
        </is>
      </c>
      <c r="I1038" t="inlineStr">
        <is>
          <t>2018-10-29</t>
        </is>
      </c>
    </row>
    <row r="1039">
      <c r="A1039" t="n">
        <v/>
      </c>
      <c r="B1039" t="n">
        <v>1021180</v>
      </c>
      <c r="C1039" t="inlineStr">
        <is>
          <t>Incident Management</t>
        </is>
      </c>
      <c r="D1039" t="inlineStr">
        <is>
          <t>Secondary</t>
        </is>
      </c>
      <c r="E1039" t="inlineStr">
        <is>
          <t>Advanced</t>
        </is>
      </c>
      <c r="F1039" t="n">
        <v>5.4</v>
      </c>
      <c r="G1039" t="inlineStr">
        <is>
          <t>Functional</t>
        </is>
      </c>
      <c r="H1039" t="inlineStr">
        <is>
          <t>Yes</t>
        </is>
      </c>
      <c r="I1039" t="inlineStr">
        <is>
          <t>2018-10-29</t>
        </is>
      </c>
    </row>
    <row r="1040">
      <c r="A1040" t="n">
        <v/>
      </c>
      <c r="B1040" t="n">
        <v>1021180</v>
      </c>
      <c r="C1040" t="inlineStr">
        <is>
          <t>Production Support</t>
        </is>
      </c>
      <c r="D1040" t="inlineStr">
        <is>
          <t>Secondary</t>
        </is>
      </c>
      <c r="E1040" t="inlineStr">
        <is>
          <t>Intermediate</t>
        </is>
      </c>
      <c r="F1040" t="n">
        <v>4</v>
      </c>
      <c r="G1040" t="inlineStr">
        <is>
          <t>Functional</t>
        </is>
      </c>
      <c r="H1040" t="inlineStr">
        <is>
          <t>Yes</t>
        </is>
      </c>
      <c r="I1040" t="inlineStr">
        <is>
          <t>2018-10-29</t>
        </is>
      </c>
    </row>
    <row r="1041">
      <c r="A1041" t="n">
        <v/>
      </c>
      <c r="B1041" t="n">
        <v>1021180</v>
      </c>
      <c r="C1041" t="inlineStr">
        <is>
          <t>SQL</t>
        </is>
      </c>
      <c r="D1041" t="inlineStr">
        <is>
          <t>Secondary</t>
        </is>
      </c>
      <c r="E1041" t="inlineStr">
        <is>
          <t>Intermediate</t>
        </is>
      </c>
      <c r="F1041" t="n">
        <v>2.7</v>
      </c>
      <c r="G1041" t="inlineStr">
        <is>
          <t>Functional</t>
        </is>
      </c>
      <c r="H1041" t="inlineStr">
        <is>
          <t>Yes</t>
        </is>
      </c>
      <c r="I1041" t="inlineStr">
        <is>
          <t>2018-10-29</t>
        </is>
      </c>
    </row>
    <row r="1042">
      <c r="A1042" t="n">
        <v/>
      </c>
      <c r="B1042" t="n">
        <v>1020234</v>
      </c>
      <c r="C1042" t="inlineStr">
        <is>
          <t>IT Application &amp; Operations Support</t>
        </is>
      </c>
      <c r="D1042" t="inlineStr">
        <is>
          <t>Primary</t>
        </is>
      </c>
      <c r="E1042" t="inlineStr">
        <is>
          <t>Advanced</t>
        </is>
      </c>
      <c r="F1042" t="n">
        <v>9.6</v>
      </c>
      <c r="G1042" t="inlineStr">
        <is>
          <t>Functional</t>
        </is>
      </c>
      <c r="H1042" t="inlineStr">
        <is>
          <t>Yes</t>
        </is>
      </c>
      <c r="I1042" t="inlineStr">
        <is>
          <t>2018-02-12</t>
        </is>
      </c>
    </row>
    <row r="1043">
      <c r="A1043" t="n">
        <v/>
      </c>
      <c r="B1043" t="n">
        <v>1020234</v>
      </c>
      <c r="C1043" t="inlineStr">
        <is>
          <t>Incident Management</t>
        </is>
      </c>
      <c r="D1043" t="inlineStr">
        <is>
          <t>Secondary</t>
        </is>
      </c>
      <c r="E1043" t="inlineStr">
        <is>
          <t>Advanced</t>
        </is>
      </c>
      <c r="F1043" t="n">
        <v>5.8</v>
      </c>
      <c r="G1043" t="inlineStr">
        <is>
          <t>Functional</t>
        </is>
      </c>
      <c r="H1043" t="inlineStr">
        <is>
          <t>Yes</t>
        </is>
      </c>
      <c r="I1043" t="inlineStr">
        <is>
          <t>2018-02-12</t>
        </is>
      </c>
    </row>
    <row r="1044">
      <c r="A1044" t="n">
        <v/>
      </c>
      <c r="B1044" t="n">
        <v>1020234</v>
      </c>
      <c r="C1044" t="inlineStr">
        <is>
          <t>Production Support</t>
        </is>
      </c>
      <c r="D1044" t="inlineStr">
        <is>
          <t>Secondary</t>
        </is>
      </c>
      <c r="E1044" t="inlineStr">
        <is>
          <t>Intermediate</t>
        </is>
      </c>
      <c r="F1044" t="n">
        <v>4.3</v>
      </c>
      <c r="G1044" t="inlineStr">
        <is>
          <t>Functional</t>
        </is>
      </c>
      <c r="H1044" t="inlineStr">
        <is>
          <t>Yes</t>
        </is>
      </c>
      <c r="I1044" t="inlineStr">
        <is>
          <t>2018-02-12</t>
        </is>
      </c>
    </row>
    <row r="1045">
      <c r="A1045" t="n">
        <v/>
      </c>
      <c r="B1045" t="n">
        <v>1020234</v>
      </c>
      <c r="C1045" t="inlineStr">
        <is>
          <t>SQL</t>
        </is>
      </c>
      <c r="D1045" t="inlineStr">
        <is>
          <t>Secondary</t>
        </is>
      </c>
      <c r="E1045" t="inlineStr">
        <is>
          <t>Intermediate</t>
        </is>
      </c>
      <c r="F1045" t="n">
        <v>2.9</v>
      </c>
      <c r="G1045" t="inlineStr">
        <is>
          <t>Functional</t>
        </is>
      </c>
      <c r="H1045" t="inlineStr">
        <is>
          <t>Yes</t>
        </is>
      </c>
      <c r="I1045" t="inlineStr">
        <is>
          <t>2018-02-12</t>
        </is>
      </c>
    </row>
    <row r="1046">
      <c r="A1046" t="n">
        <v/>
      </c>
      <c r="B1046" t="n">
        <v>1018335</v>
      </c>
      <c r="C1046" t="inlineStr">
        <is>
          <t>IT Application &amp; Operations Support</t>
        </is>
      </c>
      <c r="D1046" t="inlineStr">
        <is>
          <t>Primary</t>
        </is>
      </c>
      <c r="E1046" t="inlineStr">
        <is>
          <t>Advanced</t>
        </is>
      </c>
      <c r="F1046" t="n">
        <v>11.1</v>
      </c>
      <c r="G1046" t="inlineStr">
        <is>
          <t>Functional</t>
        </is>
      </c>
      <c r="H1046" t="inlineStr">
        <is>
          <t>Yes</t>
        </is>
      </c>
      <c r="I1046" t="inlineStr">
        <is>
          <t>2016-05-23</t>
        </is>
      </c>
    </row>
    <row r="1047">
      <c r="A1047" t="n">
        <v/>
      </c>
      <c r="B1047" t="n">
        <v>1018335</v>
      </c>
      <c r="C1047" t="inlineStr">
        <is>
          <t>Incident Management</t>
        </is>
      </c>
      <c r="D1047" t="inlineStr">
        <is>
          <t>Secondary</t>
        </is>
      </c>
      <c r="E1047" t="inlineStr">
        <is>
          <t>Advanced</t>
        </is>
      </c>
      <c r="F1047" t="n">
        <v>6.7</v>
      </c>
      <c r="G1047" t="inlineStr">
        <is>
          <t>Functional</t>
        </is>
      </c>
      <c r="H1047" t="inlineStr">
        <is>
          <t>Yes</t>
        </is>
      </c>
      <c r="I1047" t="inlineStr">
        <is>
          <t>2016-05-23</t>
        </is>
      </c>
    </row>
    <row r="1048">
      <c r="A1048" t="n">
        <v/>
      </c>
      <c r="B1048" t="n">
        <v>1018335</v>
      </c>
      <c r="C1048" t="inlineStr">
        <is>
          <t>Production Support</t>
        </is>
      </c>
      <c r="D1048" t="inlineStr">
        <is>
          <t>Secondary</t>
        </is>
      </c>
      <c r="E1048" t="inlineStr">
        <is>
          <t>Advanced</t>
        </is>
      </c>
      <c r="F1048" t="n">
        <v>5</v>
      </c>
      <c r="G1048" t="inlineStr">
        <is>
          <t>Functional</t>
        </is>
      </c>
      <c r="H1048" t="inlineStr">
        <is>
          <t>Yes</t>
        </is>
      </c>
      <c r="I1048" t="inlineStr">
        <is>
          <t>2016-05-23</t>
        </is>
      </c>
    </row>
    <row r="1049">
      <c r="A1049" t="n">
        <v/>
      </c>
      <c r="B1049" t="n">
        <v>1018335</v>
      </c>
      <c r="C1049" t="inlineStr">
        <is>
          <t>SQL</t>
        </is>
      </c>
      <c r="D1049" t="inlineStr">
        <is>
          <t>Secondary</t>
        </is>
      </c>
      <c r="E1049" t="inlineStr">
        <is>
          <t>Intermediate</t>
        </is>
      </c>
      <c r="F1049" t="n">
        <v>3.3</v>
      </c>
      <c r="G1049" t="inlineStr">
        <is>
          <t>Functional</t>
        </is>
      </c>
      <c r="H1049" t="inlineStr">
        <is>
          <t>Yes</t>
        </is>
      </c>
      <c r="I1049" t="inlineStr">
        <is>
          <t>2016-05-23</t>
        </is>
      </c>
    </row>
    <row r="1050">
      <c r="A1050" t="n">
        <v/>
      </c>
      <c r="B1050" t="n">
        <v>1032646</v>
      </c>
      <c r="C1050" t="inlineStr">
        <is>
          <t>Frontend (Angular / TypeScript)</t>
        </is>
      </c>
      <c r="D1050" t="inlineStr">
        <is>
          <t>Primary</t>
        </is>
      </c>
      <c r="E1050" t="inlineStr">
        <is>
          <t>Advanced</t>
        </is>
      </c>
      <c r="F1050" t="n">
        <v>4.9</v>
      </c>
      <c r="G1050" t="inlineStr">
        <is>
          <t>Technical</t>
        </is>
      </c>
      <c r="H1050" t="inlineStr">
        <is>
          <t>Yes</t>
        </is>
      </c>
      <c r="I1050" t="inlineStr">
        <is>
          <t>2023-04-26</t>
        </is>
      </c>
    </row>
    <row r="1051">
      <c r="A1051" t="n">
        <v/>
      </c>
      <c r="B1051" t="n">
        <v>1032646</v>
      </c>
      <c r="C1051" t="inlineStr">
        <is>
          <t>TypeScript</t>
        </is>
      </c>
      <c r="D1051" t="inlineStr">
        <is>
          <t>Secondary</t>
        </is>
      </c>
      <c r="E1051" t="inlineStr">
        <is>
          <t>Intermediate</t>
        </is>
      </c>
      <c r="F1051" t="n">
        <v>2.9</v>
      </c>
      <c r="G1051" t="inlineStr">
        <is>
          <t>Technical</t>
        </is>
      </c>
      <c r="H1051" t="inlineStr">
        <is>
          <t>Yes</t>
        </is>
      </c>
      <c r="I1051" t="inlineStr">
        <is>
          <t>2023-04-26</t>
        </is>
      </c>
    </row>
    <row r="1052">
      <c r="A1052" t="n">
        <v/>
      </c>
      <c r="B1052" t="n">
        <v>1032646</v>
      </c>
      <c r="C1052" t="inlineStr">
        <is>
          <t>JavaScript</t>
        </is>
      </c>
      <c r="D1052" t="inlineStr">
        <is>
          <t>Secondary</t>
        </is>
      </c>
      <c r="E1052" t="inlineStr">
        <is>
          <t>Intermediate</t>
        </is>
      </c>
      <c r="F1052" t="n">
        <v>2.2</v>
      </c>
      <c r="G1052" t="inlineStr">
        <is>
          <t>Technical</t>
        </is>
      </c>
      <c r="H1052" t="inlineStr">
        <is>
          <t>Yes</t>
        </is>
      </c>
      <c r="I1052" t="inlineStr">
        <is>
          <t>2023-04-26</t>
        </is>
      </c>
    </row>
    <row r="1053">
      <c r="A1053" t="n">
        <v/>
      </c>
      <c r="B1053" t="n">
        <v>1032646</v>
      </c>
      <c r="C1053" t="inlineStr">
        <is>
          <t>HTML5</t>
        </is>
      </c>
      <c r="D1053" t="inlineStr">
        <is>
          <t>Secondary</t>
        </is>
      </c>
      <c r="E1053" t="inlineStr">
        <is>
          <t>Intermediate</t>
        </is>
      </c>
      <c r="F1053" t="n">
        <v>1.5</v>
      </c>
      <c r="G1053" t="inlineStr">
        <is>
          <t>Technical</t>
        </is>
      </c>
      <c r="H1053" t="inlineStr">
        <is>
          <t>Yes</t>
        </is>
      </c>
      <c r="I1053" t="inlineStr">
        <is>
          <t>2023-04-26</t>
        </is>
      </c>
    </row>
    <row r="1054">
      <c r="A1054" t="n">
        <v/>
      </c>
      <c r="B1054" t="n">
        <v>1024511</v>
      </c>
      <c r="C1054" t="inlineStr">
        <is>
          <t>Frontend (Angular / TypeScript)</t>
        </is>
      </c>
      <c r="D1054" t="inlineStr">
        <is>
          <t>Primary</t>
        </is>
      </c>
      <c r="E1054" t="inlineStr">
        <is>
          <t>Advanced</t>
        </is>
      </c>
      <c r="F1054" t="n">
        <v>6.9</v>
      </c>
      <c r="G1054" t="inlineStr">
        <is>
          <t>Technical</t>
        </is>
      </c>
      <c r="H1054" t="inlineStr">
        <is>
          <t>Yes</t>
        </is>
      </c>
      <c r="I1054" t="inlineStr">
        <is>
          <t>2021-02-15</t>
        </is>
      </c>
    </row>
    <row r="1055">
      <c r="A1055" t="n">
        <v/>
      </c>
      <c r="B1055" t="n">
        <v>1024511</v>
      </c>
      <c r="C1055" t="inlineStr">
        <is>
          <t>TypeScript</t>
        </is>
      </c>
      <c r="D1055" t="inlineStr">
        <is>
          <t>Secondary</t>
        </is>
      </c>
      <c r="E1055" t="inlineStr">
        <is>
          <t>Intermediate</t>
        </is>
      </c>
      <c r="F1055" t="n">
        <v>4.1</v>
      </c>
      <c r="G1055" t="inlineStr">
        <is>
          <t>Technical</t>
        </is>
      </c>
      <c r="H1055" t="inlineStr">
        <is>
          <t>Yes</t>
        </is>
      </c>
      <c r="I1055" t="inlineStr">
        <is>
          <t>2021-02-15</t>
        </is>
      </c>
    </row>
    <row r="1056">
      <c r="A1056" t="n">
        <v/>
      </c>
      <c r="B1056" t="n">
        <v>1024511</v>
      </c>
      <c r="C1056" t="inlineStr">
        <is>
          <t>JavaScript</t>
        </is>
      </c>
      <c r="D1056" t="inlineStr">
        <is>
          <t>Secondary</t>
        </is>
      </c>
      <c r="E1056" t="inlineStr">
        <is>
          <t>Intermediate</t>
        </is>
      </c>
      <c r="F1056" t="n">
        <v>3.1</v>
      </c>
      <c r="G1056" t="inlineStr">
        <is>
          <t>Technical</t>
        </is>
      </c>
      <c r="H1056" t="inlineStr">
        <is>
          <t>Yes</t>
        </is>
      </c>
      <c r="I1056" t="inlineStr">
        <is>
          <t>2021-02-15</t>
        </is>
      </c>
    </row>
    <row r="1057">
      <c r="A1057" t="n">
        <v/>
      </c>
      <c r="B1057" t="n">
        <v>1024511</v>
      </c>
      <c r="C1057" t="inlineStr">
        <is>
          <t>HTML5</t>
        </is>
      </c>
      <c r="D1057" t="inlineStr">
        <is>
          <t>Secondary</t>
        </is>
      </c>
      <c r="E1057" t="inlineStr">
        <is>
          <t>Intermediate</t>
        </is>
      </c>
      <c r="F1057" t="n">
        <v>2.1</v>
      </c>
      <c r="G1057" t="inlineStr">
        <is>
          <t>Technical</t>
        </is>
      </c>
      <c r="H1057" t="inlineStr">
        <is>
          <t>Yes</t>
        </is>
      </c>
      <c r="I1057" t="inlineStr">
        <is>
          <t>2021-02-15</t>
        </is>
      </c>
    </row>
    <row r="1058">
      <c r="A1058" t="n">
        <v/>
      </c>
      <c r="B1058" t="n">
        <v>1028315</v>
      </c>
      <c r="C1058" t="inlineStr">
        <is>
          <t>IT Application &amp; Operations Support</t>
        </is>
      </c>
      <c r="D1058" t="inlineStr">
        <is>
          <t>Primary</t>
        </is>
      </c>
      <c r="E1058" t="inlineStr">
        <is>
          <t>Advanced</t>
        </is>
      </c>
      <c r="F1058" t="n">
        <v>6</v>
      </c>
      <c r="G1058" t="inlineStr">
        <is>
          <t>Functional</t>
        </is>
      </c>
      <c r="H1058" t="inlineStr">
        <is>
          <t>Yes</t>
        </is>
      </c>
      <c r="I1058" t="inlineStr">
        <is>
          <t>2022-02-11</t>
        </is>
      </c>
    </row>
    <row r="1059">
      <c r="A1059" t="n">
        <v/>
      </c>
      <c r="B1059" t="n">
        <v>1028315</v>
      </c>
      <c r="C1059" t="inlineStr">
        <is>
          <t>Incident Management</t>
        </is>
      </c>
      <c r="D1059" t="inlineStr">
        <is>
          <t>Secondary</t>
        </is>
      </c>
      <c r="E1059" t="inlineStr">
        <is>
          <t>Intermediate</t>
        </is>
      </c>
      <c r="F1059" t="n">
        <v>3.6</v>
      </c>
      <c r="G1059" t="inlineStr">
        <is>
          <t>Functional</t>
        </is>
      </c>
      <c r="H1059" t="inlineStr">
        <is>
          <t>Yes</t>
        </is>
      </c>
      <c r="I1059" t="inlineStr">
        <is>
          <t>2022-02-11</t>
        </is>
      </c>
    </row>
    <row r="1060">
      <c r="A1060" t="n">
        <v/>
      </c>
      <c r="B1060" t="n">
        <v>1028315</v>
      </c>
      <c r="C1060" t="inlineStr">
        <is>
          <t>Production Support</t>
        </is>
      </c>
      <c r="D1060" t="inlineStr">
        <is>
          <t>Secondary</t>
        </is>
      </c>
      <c r="E1060" t="inlineStr">
        <is>
          <t>Intermediate</t>
        </is>
      </c>
      <c r="F1060" t="n">
        <v>2.7</v>
      </c>
      <c r="G1060" t="inlineStr">
        <is>
          <t>Functional</t>
        </is>
      </c>
      <c r="H1060" t="inlineStr">
        <is>
          <t>Yes</t>
        </is>
      </c>
      <c r="I1060" t="inlineStr">
        <is>
          <t>2022-02-11</t>
        </is>
      </c>
    </row>
    <row r="1061">
      <c r="A1061" t="n">
        <v/>
      </c>
      <c r="B1061" t="n">
        <v>1028315</v>
      </c>
      <c r="C1061" t="inlineStr">
        <is>
          <t>SQL</t>
        </is>
      </c>
      <c r="D1061" t="inlineStr">
        <is>
          <t>Secondary</t>
        </is>
      </c>
      <c r="E1061" t="inlineStr">
        <is>
          <t>Intermediate</t>
        </is>
      </c>
      <c r="F1061" t="n">
        <v>1.8</v>
      </c>
      <c r="G1061" t="inlineStr">
        <is>
          <t>Functional</t>
        </is>
      </c>
      <c r="H1061" t="inlineStr">
        <is>
          <t>Yes</t>
        </is>
      </c>
      <c r="I1061" t="inlineStr">
        <is>
          <t>2022-02-11</t>
        </is>
      </c>
    </row>
    <row r="1062">
      <c r="A1062" t="n">
        <v/>
      </c>
      <c r="B1062" t="n">
        <v>1029760</v>
      </c>
      <c r="C1062" t="inlineStr">
        <is>
          <t>QA Automation / SDET</t>
        </is>
      </c>
      <c r="D1062" t="inlineStr">
        <is>
          <t>Primary</t>
        </is>
      </c>
      <c r="E1062" t="inlineStr">
        <is>
          <t>Advanced</t>
        </is>
      </c>
      <c r="F1062" t="n">
        <v>5.6</v>
      </c>
      <c r="G1062" t="inlineStr">
        <is>
          <t>Technical</t>
        </is>
      </c>
      <c r="H1062" t="inlineStr">
        <is>
          <t>Yes</t>
        </is>
      </c>
      <c r="I1062" t="inlineStr">
        <is>
          <t>2022-08-08</t>
        </is>
      </c>
    </row>
    <row r="1063">
      <c r="A1063" t="n">
        <v/>
      </c>
      <c r="B1063" t="n">
        <v>1029760</v>
      </c>
      <c r="C1063" t="inlineStr">
        <is>
          <t>Selenium</t>
        </is>
      </c>
      <c r="D1063" t="inlineStr">
        <is>
          <t>Secondary</t>
        </is>
      </c>
      <c r="E1063" t="inlineStr">
        <is>
          <t>Intermediate</t>
        </is>
      </c>
      <c r="F1063" t="n">
        <v>3.4</v>
      </c>
      <c r="G1063" t="inlineStr">
        <is>
          <t>Technical</t>
        </is>
      </c>
      <c r="H1063" t="inlineStr">
        <is>
          <t>Yes</t>
        </is>
      </c>
      <c r="I1063" t="inlineStr">
        <is>
          <t>2022-08-08</t>
        </is>
      </c>
    </row>
    <row r="1064">
      <c r="A1064" t="n">
        <v/>
      </c>
      <c r="B1064" t="n">
        <v>1029760</v>
      </c>
      <c r="C1064" t="inlineStr">
        <is>
          <t>API Testing (Postman)</t>
        </is>
      </c>
      <c r="D1064" t="inlineStr">
        <is>
          <t>Secondary</t>
        </is>
      </c>
      <c r="E1064" t="inlineStr">
        <is>
          <t>Intermediate</t>
        </is>
      </c>
      <c r="F1064" t="n">
        <v>2.5</v>
      </c>
      <c r="G1064" t="inlineStr">
        <is>
          <t>Technical</t>
        </is>
      </c>
      <c r="H1064" t="inlineStr">
        <is>
          <t>Yes</t>
        </is>
      </c>
      <c r="I1064" t="inlineStr">
        <is>
          <t>2022-08-08</t>
        </is>
      </c>
    </row>
    <row r="1065">
      <c r="A1065" t="n">
        <v/>
      </c>
      <c r="B1065" t="n">
        <v>1029760</v>
      </c>
      <c r="C1065" t="inlineStr">
        <is>
          <t>TestNG</t>
        </is>
      </c>
      <c r="D1065" t="inlineStr">
        <is>
          <t>Secondary</t>
        </is>
      </c>
      <c r="E1065" t="inlineStr">
        <is>
          <t>Intermediate</t>
        </is>
      </c>
      <c r="F1065" t="n">
        <v>1.7</v>
      </c>
      <c r="G1065" t="inlineStr">
        <is>
          <t>Technical</t>
        </is>
      </c>
      <c r="H1065" t="inlineStr">
        <is>
          <t>Yes</t>
        </is>
      </c>
      <c r="I1065" t="inlineStr">
        <is>
          <t>2022-08-08</t>
        </is>
      </c>
    </row>
    <row r="1066">
      <c r="A1066" t="n">
        <v/>
      </c>
      <c r="B1066" t="n">
        <v>1024503</v>
      </c>
      <c r="C1066" t="inlineStr">
        <is>
          <t>QA Automation / SDET</t>
        </is>
      </c>
      <c r="D1066" t="inlineStr">
        <is>
          <t>Primary</t>
        </is>
      </c>
      <c r="E1066" t="inlineStr">
        <is>
          <t>Advanced</t>
        </is>
      </c>
      <c r="F1066" t="n">
        <v>6.9</v>
      </c>
      <c r="G1066" t="inlineStr">
        <is>
          <t>Technical</t>
        </is>
      </c>
      <c r="H1066" t="inlineStr">
        <is>
          <t>Yes</t>
        </is>
      </c>
      <c r="I1066" t="inlineStr">
        <is>
          <t>2021-02-11</t>
        </is>
      </c>
    </row>
    <row r="1067">
      <c r="A1067" t="n">
        <v/>
      </c>
      <c r="B1067" t="n">
        <v>1024503</v>
      </c>
      <c r="C1067" t="inlineStr">
        <is>
          <t>Selenium</t>
        </is>
      </c>
      <c r="D1067" t="inlineStr">
        <is>
          <t>Secondary</t>
        </is>
      </c>
      <c r="E1067" t="inlineStr">
        <is>
          <t>Intermediate</t>
        </is>
      </c>
      <c r="F1067" t="n">
        <v>4.1</v>
      </c>
      <c r="G1067" t="inlineStr">
        <is>
          <t>Technical</t>
        </is>
      </c>
      <c r="H1067" t="inlineStr">
        <is>
          <t>Yes</t>
        </is>
      </c>
      <c r="I1067" t="inlineStr">
        <is>
          <t>2021-02-11</t>
        </is>
      </c>
    </row>
    <row r="1068">
      <c r="A1068" t="n">
        <v/>
      </c>
      <c r="B1068" t="n">
        <v>1024503</v>
      </c>
      <c r="C1068" t="inlineStr">
        <is>
          <t>API Testing (Postman)</t>
        </is>
      </c>
      <c r="D1068" t="inlineStr">
        <is>
          <t>Secondary</t>
        </is>
      </c>
      <c r="E1068" t="inlineStr">
        <is>
          <t>Intermediate</t>
        </is>
      </c>
      <c r="F1068" t="n">
        <v>3.1</v>
      </c>
      <c r="G1068" t="inlineStr">
        <is>
          <t>Technical</t>
        </is>
      </c>
      <c r="H1068" t="inlineStr">
        <is>
          <t>Yes</t>
        </is>
      </c>
      <c r="I1068" t="inlineStr">
        <is>
          <t>2021-02-11</t>
        </is>
      </c>
    </row>
    <row r="1069">
      <c r="A1069" t="n">
        <v/>
      </c>
      <c r="B1069" t="n">
        <v>1024503</v>
      </c>
      <c r="C1069" t="inlineStr">
        <is>
          <t>TestNG</t>
        </is>
      </c>
      <c r="D1069" t="inlineStr">
        <is>
          <t>Secondary</t>
        </is>
      </c>
      <c r="E1069" t="inlineStr">
        <is>
          <t>Intermediate</t>
        </is>
      </c>
      <c r="F1069" t="n">
        <v>2.1</v>
      </c>
      <c r="G1069" t="inlineStr">
        <is>
          <t>Technical</t>
        </is>
      </c>
      <c r="H1069" t="inlineStr">
        <is>
          <t>Yes</t>
        </is>
      </c>
      <c r="I1069" t="inlineStr">
        <is>
          <t>2021-02-11</t>
        </is>
      </c>
    </row>
    <row r="1070">
      <c r="A1070" t="n">
        <v/>
      </c>
      <c r="B1070" t="n">
        <v>1033116</v>
      </c>
      <c r="C1070" t="inlineStr">
        <is>
          <t>Java / Spring Boot</t>
        </is>
      </c>
      <c r="D1070" t="inlineStr">
        <is>
          <t>Primary</t>
        </is>
      </c>
      <c r="E1070" t="inlineStr">
        <is>
          <t>Advanced</t>
        </is>
      </c>
      <c r="F1070" t="n">
        <v>4.7</v>
      </c>
      <c r="G1070" t="inlineStr">
        <is>
          <t>Technical</t>
        </is>
      </c>
      <c r="H1070" t="inlineStr">
        <is>
          <t>Yes</t>
        </is>
      </c>
      <c r="I1070" t="inlineStr">
        <is>
          <t>2023-07-31</t>
        </is>
      </c>
      <c r="J1070" t="inlineStr">
        <is>
          <t>TPL</t>
        </is>
      </c>
    </row>
    <row r="1071">
      <c r="A1071" t="n">
        <v/>
      </c>
      <c r="B1071" t="n">
        <v>1033116</v>
      </c>
      <c r="C1071" t="inlineStr">
        <is>
          <t>SQL</t>
        </is>
      </c>
      <c r="D1071" t="inlineStr">
        <is>
          <t>Secondary</t>
        </is>
      </c>
      <c r="E1071" t="inlineStr">
        <is>
          <t>Intermediate</t>
        </is>
      </c>
      <c r="F1071" t="n">
        <v>2.8</v>
      </c>
      <c r="G1071" t="inlineStr">
        <is>
          <t>Technical</t>
        </is>
      </c>
      <c r="H1071" t="inlineStr">
        <is>
          <t>Yes</t>
        </is>
      </c>
      <c r="I1071" t="inlineStr">
        <is>
          <t>2023-07-31</t>
        </is>
      </c>
      <c r="J1071" t="inlineStr">
        <is>
          <t>TPL</t>
        </is>
      </c>
    </row>
    <row r="1072">
      <c r="A1072" t="n">
        <v/>
      </c>
      <c r="B1072" t="n">
        <v>1033116</v>
      </c>
      <c r="C1072" t="inlineStr">
        <is>
          <t>Docker</t>
        </is>
      </c>
      <c r="D1072" t="inlineStr">
        <is>
          <t>Secondary</t>
        </is>
      </c>
      <c r="E1072" t="inlineStr">
        <is>
          <t>Intermediate</t>
        </is>
      </c>
      <c r="F1072" t="n">
        <v>2.1</v>
      </c>
      <c r="G1072" t="inlineStr">
        <is>
          <t>Technical</t>
        </is>
      </c>
      <c r="H1072" t="inlineStr">
        <is>
          <t>Yes</t>
        </is>
      </c>
      <c r="I1072" t="inlineStr">
        <is>
          <t>2023-07-31</t>
        </is>
      </c>
      <c r="J1072" t="inlineStr">
        <is>
          <t>TPL</t>
        </is>
      </c>
    </row>
    <row r="1073">
      <c r="A1073" t="n">
        <v/>
      </c>
      <c r="B1073" t="n">
        <v>1033116</v>
      </c>
      <c r="C1073" t="inlineStr">
        <is>
          <t>Git</t>
        </is>
      </c>
      <c r="D1073" t="inlineStr">
        <is>
          <t>Secondary</t>
        </is>
      </c>
      <c r="E1073" t="inlineStr">
        <is>
          <t>Beginner</t>
        </is>
      </c>
      <c r="F1073" t="n">
        <v>1.4</v>
      </c>
      <c r="G1073" t="inlineStr">
        <is>
          <t>Technical</t>
        </is>
      </c>
      <c r="H1073" t="inlineStr">
        <is>
          <t>Yes</t>
        </is>
      </c>
      <c r="I1073" t="inlineStr">
        <is>
          <t>2023-07-31</t>
        </is>
      </c>
      <c r="J1073" t="inlineStr">
        <is>
          <t>TPL</t>
        </is>
      </c>
    </row>
    <row r="1074">
      <c r="A1074" t="n">
        <v/>
      </c>
      <c r="B1074" t="n">
        <v>1018591</v>
      </c>
      <c r="C1074" t="inlineStr">
        <is>
          <t>Frontend (Angular / TypeScript)</t>
        </is>
      </c>
      <c r="D1074" t="inlineStr">
        <is>
          <t>Primary</t>
        </is>
      </c>
      <c r="E1074" t="inlineStr">
        <is>
          <t>Advanced</t>
        </is>
      </c>
      <c r="F1074" t="n">
        <v>11.9</v>
      </c>
      <c r="G1074" t="inlineStr">
        <is>
          <t>Technical</t>
        </is>
      </c>
      <c r="H1074" t="inlineStr">
        <is>
          <t>Yes</t>
        </is>
      </c>
      <c r="I1074" t="inlineStr">
        <is>
          <t>2016-07-27</t>
        </is>
      </c>
    </row>
    <row r="1075">
      <c r="A1075" t="n">
        <v/>
      </c>
      <c r="B1075" t="n">
        <v>1018591</v>
      </c>
      <c r="C1075" t="inlineStr">
        <is>
          <t>TypeScript</t>
        </is>
      </c>
      <c r="D1075" t="inlineStr">
        <is>
          <t>Secondary</t>
        </is>
      </c>
      <c r="E1075" t="inlineStr">
        <is>
          <t>Advanced</t>
        </is>
      </c>
      <c r="F1075" t="n">
        <v>7.1</v>
      </c>
      <c r="G1075" t="inlineStr">
        <is>
          <t>Technical</t>
        </is>
      </c>
      <c r="H1075" t="inlineStr">
        <is>
          <t>Yes</t>
        </is>
      </c>
      <c r="I1075" t="inlineStr">
        <is>
          <t>2016-07-27</t>
        </is>
      </c>
    </row>
    <row r="1076">
      <c r="A1076" t="n">
        <v/>
      </c>
      <c r="B1076" t="n">
        <v>1018591</v>
      </c>
      <c r="C1076" t="inlineStr">
        <is>
          <t>JavaScript</t>
        </is>
      </c>
      <c r="D1076" t="inlineStr">
        <is>
          <t>Secondary</t>
        </is>
      </c>
      <c r="E1076" t="inlineStr">
        <is>
          <t>Advanced</t>
        </is>
      </c>
      <c r="F1076" t="n">
        <v>5.4</v>
      </c>
      <c r="G1076" t="inlineStr">
        <is>
          <t>Technical</t>
        </is>
      </c>
      <c r="H1076" t="inlineStr">
        <is>
          <t>Yes</t>
        </is>
      </c>
      <c r="I1076" t="inlineStr">
        <is>
          <t>2016-07-27</t>
        </is>
      </c>
    </row>
    <row r="1077">
      <c r="A1077" t="n">
        <v/>
      </c>
      <c r="B1077" t="n">
        <v>1018591</v>
      </c>
      <c r="C1077" t="inlineStr">
        <is>
          <t>HTML5</t>
        </is>
      </c>
      <c r="D1077" t="inlineStr">
        <is>
          <t>Secondary</t>
        </is>
      </c>
      <c r="E1077" t="inlineStr">
        <is>
          <t>Intermediate</t>
        </is>
      </c>
      <c r="F1077" t="n">
        <v>3.6</v>
      </c>
      <c r="G1077" t="inlineStr">
        <is>
          <t>Technical</t>
        </is>
      </c>
      <c r="H1077" t="inlineStr">
        <is>
          <t>Yes</t>
        </is>
      </c>
      <c r="I1077" t="inlineStr">
        <is>
          <t>2016-07-27</t>
        </is>
      </c>
    </row>
    <row r="1078">
      <c r="A1078" t="n">
        <v/>
      </c>
      <c r="B1078" t="n">
        <v>1033847</v>
      </c>
      <c r="C1078" t="inlineStr">
        <is>
          <t>Fullstack Web (React / Node)</t>
        </is>
      </c>
      <c r="D1078" t="inlineStr">
        <is>
          <t>Primary</t>
        </is>
      </c>
      <c r="E1078" t="inlineStr">
        <is>
          <t>Advanced</t>
        </is>
      </c>
      <c r="F1078" t="n">
        <v>4.4</v>
      </c>
      <c r="G1078" t="inlineStr">
        <is>
          <t>Technical</t>
        </is>
      </c>
      <c r="H1078" t="inlineStr">
        <is>
          <t>Yes</t>
        </is>
      </c>
      <c r="I1078" t="inlineStr">
        <is>
          <t>2023-11-08</t>
        </is>
      </c>
    </row>
    <row r="1079">
      <c r="A1079" t="n">
        <v/>
      </c>
      <c r="B1079" t="n">
        <v>1033847</v>
      </c>
      <c r="C1079" t="inlineStr">
        <is>
          <t>JavaScript</t>
        </is>
      </c>
      <c r="D1079" t="inlineStr">
        <is>
          <t>Secondary</t>
        </is>
      </c>
      <c r="E1079" t="inlineStr">
        <is>
          <t>Intermediate</t>
        </is>
      </c>
      <c r="F1079" t="n">
        <v>2.6</v>
      </c>
      <c r="G1079" t="inlineStr">
        <is>
          <t>Technical</t>
        </is>
      </c>
      <c r="H1079" t="inlineStr">
        <is>
          <t>Yes</t>
        </is>
      </c>
      <c r="I1079" t="inlineStr">
        <is>
          <t>2023-11-08</t>
        </is>
      </c>
    </row>
    <row r="1080">
      <c r="A1080" t="n">
        <v/>
      </c>
      <c r="B1080" t="n">
        <v>1033847</v>
      </c>
      <c r="C1080" t="inlineStr">
        <is>
          <t>TypeScript</t>
        </is>
      </c>
      <c r="D1080" t="inlineStr">
        <is>
          <t>Secondary</t>
        </is>
      </c>
      <c r="E1080" t="inlineStr">
        <is>
          <t>Intermediate</t>
        </is>
      </c>
      <c r="F1080" t="n">
        <v>2</v>
      </c>
      <c r="G1080" t="inlineStr">
        <is>
          <t>Technical</t>
        </is>
      </c>
      <c r="H1080" t="inlineStr">
        <is>
          <t>Yes</t>
        </is>
      </c>
      <c r="I1080" t="inlineStr">
        <is>
          <t>2023-11-08</t>
        </is>
      </c>
    </row>
    <row r="1081">
      <c r="A1081" t="n">
        <v/>
      </c>
      <c r="B1081" t="n">
        <v>1033847</v>
      </c>
      <c r="C1081" t="inlineStr">
        <is>
          <t>CSS/HTML</t>
        </is>
      </c>
      <c r="D1081" t="inlineStr">
        <is>
          <t>Secondary</t>
        </is>
      </c>
      <c r="E1081" t="inlineStr">
        <is>
          <t>Beginner</t>
        </is>
      </c>
      <c r="F1081" t="n">
        <v>1.3</v>
      </c>
      <c r="G1081" t="inlineStr">
        <is>
          <t>Technical</t>
        </is>
      </c>
      <c r="H1081" t="inlineStr">
        <is>
          <t>Yes</t>
        </is>
      </c>
      <c r="I1081" t="inlineStr">
        <is>
          <t>2023-11-08</t>
        </is>
      </c>
    </row>
    <row r="1082">
      <c r="A1082" t="n">
        <v/>
      </c>
      <c r="B1082" t="n">
        <v>1028328</v>
      </c>
      <c r="C1082" t="inlineStr">
        <is>
          <t>Java / Spring Boot</t>
        </is>
      </c>
      <c r="D1082" t="inlineStr">
        <is>
          <t>Primary</t>
        </is>
      </c>
      <c r="E1082" t="inlineStr">
        <is>
          <t>Advanced</t>
        </is>
      </c>
      <c r="F1082" t="n">
        <v>6</v>
      </c>
      <c r="G1082" t="inlineStr">
        <is>
          <t>Technical</t>
        </is>
      </c>
      <c r="H1082" t="inlineStr">
        <is>
          <t>Yes</t>
        </is>
      </c>
      <c r="I1082" t="inlineStr">
        <is>
          <t>2022-02-14</t>
        </is>
      </c>
      <c r="J1082" t="inlineStr">
        <is>
          <t>EDI</t>
        </is>
      </c>
    </row>
    <row r="1083">
      <c r="A1083" t="n">
        <v/>
      </c>
      <c r="B1083" t="n">
        <v>1028328</v>
      </c>
      <c r="C1083" t="inlineStr">
        <is>
          <t>SQL</t>
        </is>
      </c>
      <c r="D1083" t="inlineStr">
        <is>
          <t>Secondary</t>
        </is>
      </c>
      <c r="E1083" t="inlineStr">
        <is>
          <t>Intermediate</t>
        </is>
      </c>
      <c r="F1083" t="n">
        <v>3.6</v>
      </c>
      <c r="G1083" t="inlineStr">
        <is>
          <t>Technical</t>
        </is>
      </c>
      <c r="H1083" t="inlineStr">
        <is>
          <t>Yes</t>
        </is>
      </c>
      <c r="I1083" t="inlineStr">
        <is>
          <t>2022-02-14</t>
        </is>
      </c>
      <c r="J1083" t="inlineStr">
        <is>
          <t>EDI</t>
        </is>
      </c>
    </row>
    <row r="1084">
      <c r="A1084" t="n">
        <v/>
      </c>
      <c r="B1084" t="n">
        <v>1028328</v>
      </c>
      <c r="C1084" t="inlineStr">
        <is>
          <t>Docker</t>
        </is>
      </c>
      <c r="D1084" t="inlineStr">
        <is>
          <t>Secondary</t>
        </is>
      </c>
      <c r="E1084" t="inlineStr">
        <is>
          <t>Intermediate</t>
        </is>
      </c>
      <c r="F1084" t="n">
        <v>2.7</v>
      </c>
      <c r="G1084" t="inlineStr">
        <is>
          <t>Technical</t>
        </is>
      </c>
      <c r="H1084" t="inlineStr">
        <is>
          <t>Yes</t>
        </is>
      </c>
      <c r="I1084" t="inlineStr">
        <is>
          <t>2022-02-14</t>
        </is>
      </c>
      <c r="J1084" t="inlineStr">
        <is>
          <t>EDI</t>
        </is>
      </c>
    </row>
    <row r="1085">
      <c r="A1085" t="n">
        <v/>
      </c>
      <c r="B1085" t="n">
        <v>1028328</v>
      </c>
      <c r="C1085" t="inlineStr">
        <is>
          <t>Git</t>
        </is>
      </c>
      <c r="D1085" t="inlineStr">
        <is>
          <t>Secondary</t>
        </is>
      </c>
      <c r="E1085" t="inlineStr">
        <is>
          <t>Intermediate</t>
        </is>
      </c>
      <c r="F1085" t="n">
        <v>1.8</v>
      </c>
      <c r="G1085" t="inlineStr">
        <is>
          <t>Technical</t>
        </is>
      </c>
      <c r="H1085" t="inlineStr">
        <is>
          <t>Yes</t>
        </is>
      </c>
      <c r="I1085" t="inlineStr">
        <is>
          <t>2022-02-14</t>
        </is>
      </c>
      <c r="J1085" t="inlineStr">
        <is>
          <t>EDI</t>
        </is>
      </c>
    </row>
    <row r="1086">
      <c r="A1086" t="n">
        <v/>
      </c>
      <c r="B1086" t="n">
        <v>1027328</v>
      </c>
      <c r="C1086" t="inlineStr">
        <is>
          <t>Java / Spring Boot</t>
        </is>
      </c>
      <c r="D1086" t="inlineStr">
        <is>
          <t>Primary</t>
        </is>
      </c>
      <c r="E1086" t="inlineStr">
        <is>
          <t>Advanced</t>
        </is>
      </c>
      <c r="F1086" t="n">
        <v>6.2</v>
      </c>
      <c r="G1086" t="inlineStr">
        <is>
          <t>Technical</t>
        </is>
      </c>
      <c r="H1086" t="inlineStr">
        <is>
          <t>Yes</t>
        </is>
      </c>
      <c r="I1086" t="inlineStr">
        <is>
          <t>2021-11-24</t>
        </is>
      </c>
      <c r="J1086" t="inlineStr">
        <is>
          <t>Benefit Plan</t>
        </is>
      </c>
    </row>
    <row r="1087">
      <c r="A1087" t="n">
        <v/>
      </c>
      <c r="B1087" t="n">
        <v>1027328</v>
      </c>
      <c r="C1087" t="inlineStr">
        <is>
          <t>SQL</t>
        </is>
      </c>
      <c r="D1087" t="inlineStr">
        <is>
          <t>Secondary</t>
        </is>
      </c>
      <c r="E1087" t="inlineStr">
        <is>
          <t>Intermediate</t>
        </is>
      </c>
      <c r="F1087" t="n">
        <v>3.7</v>
      </c>
      <c r="G1087" t="inlineStr">
        <is>
          <t>Technical</t>
        </is>
      </c>
      <c r="H1087" t="inlineStr">
        <is>
          <t>Yes</t>
        </is>
      </c>
      <c r="I1087" t="inlineStr">
        <is>
          <t>2021-11-24</t>
        </is>
      </c>
      <c r="J1087" t="inlineStr">
        <is>
          <t>Benefit Plan</t>
        </is>
      </c>
    </row>
    <row r="1088">
      <c r="A1088" t="n">
        <v/>
      </c>
      <c r="B1088" t="n">
        <v>1027328</v>
      </c>
      <c r="C1088" t="inlineStr">
        <is>
          <t>Docker</t>
        </is>
      </c>
      <c r="D1088" t="inlineStr">
        <is>
          <t>Secondary</t>
        </is>
      </c>
      <c r="E1088" t="inlineStr">
        <is>
          <t>Intermediate</t>
        </is>
      </c>
      <c r="F1088" t="n">
        <v>2.8</v>
      </c>
      <c r="G1088" t="inlineStr">
        <is>
          <t>Technical</t>
        </is>
      </c>
      <c r="H1088" t="inlineStr">
        <is>
          <t>Yes</t>
        </is>
      </c>
      <c r="I1088" t="inlineStr">
        <is>
          <t>2021-11-24</t>
        </is>
      </c>
      <c r="J1088" t="inlineStr">
        <is>
          <t>Benefit Plan</t>
        </is>
      </c>
    </row>
    <row r="1089">
      <c r="A1089" t="n">
        <v/>
      </c>
      <c r="B1089" t="n">
        <v>1027328</v>
      </c>
      <c r="C1089" t="inlineStr">
        <is>
          <t>Git</t>
        </is>
      </c>
      <c r="D1089" t="inlineStr">
        <is>
          <t>Secondary</t>
        </is>
      </c>
      <c r="E1089" t="inlineStr">
        <is>
          <t>Intermediate</t>
        </is>
      </c>
      <c r="F1089" t="n">
        <v>1.9</v>
      </c>
      <c r="G1089" t="inlineStr">
        <is>
          <t>Technical</t>
        </is>
      </c>
      <c r="H1089" t="inlineStr">
        <is>
          <t>Yes</t>
        </is>
      </c>
      <c r="I1089" t="inlineStr">
        <is>
          <t>2021-11-24</t>
        </is>
      </c>
      <c r="J1089" t="inlineStr">
        <is>
          <t>Benefit Plan</t>
        </is>
      </c>
    </row>
    <row r="1090">
      <c r="A1090" t="n">
        <v/>
      </c>
      <c r="B1090" t="n">
        <v>1026912</v>
      </c>
      <c r="C1090" t="inlineStr">
        <is>
          <t>QA Automation / SDET</t>
        </is>
      </c>
      <c r="D1090" t="inlineStr">
        <is>
          <t>Primary</t>
        </is>
      </c>
      <c r="E1090" t="inlineStr">
        <is>
          <t>Advanced</t>
        </is>
      </c>
      <c r="F1090" t="n">
        <v>6.3</v>
      </c>
      <c r="G1090" t="inlineStr">
        <is>
          <t>Technical</t>
        </is>
      </c>
      <c r="H1090" t="inlineStr">
        <is>
          <t>Yes</t>
        </is>
      </c>
      <c r="I1090" t="inlineStr">
        <is>
          <t>2021-10-20</t>
        </is>
      </c>
    </row>
    <row r="1091">
      <c r="A1091" t="n">
        <v/>
      </c>
      <c r="B1091" t="n">
        <v>1026912</v>
      </c>
      <c r="C1091" t="inlineStr">
        <is>
          <t>Selenium</t>
        </is>
      </c>
      <c r="D1091" t="inlineStr">
        <is>
          <t>Secondary</t>
        </is>
      </c>
      <c r="E1091" t="inlineStr">
        <is>
          <t>Intermediate</t>
        </is>
      </c>
      <c r="F1091" t="n">
        <v>3.8</v>
      </c>
      <c r="G1091" t="inlineStr">
        <is>
          <t>Technical</t>
        </is>
      </c>
      <c r="H1091" t="inlineStr">
        <is>
          <t>Yes</t>
        </is>
      </c>
      <c r="I1091" t="inlineStr">
        <is>
          <t>2021-10-20</t>
        </is>
      </c>
    </row>
    <row r="1092">
      <c r="A1092" t="n">
        <v/>
      </c>
      <c r="B1092" t="n">
        <v>1026912</v>
      </c>
      <c r="C1092" t="inlineStr">
        <is>
          <t>API Testing (Postman)</t>
        </is>
      </c>
      <c r="D1092" t="inlineStr">
        <is>
          <t>Secondary</t>
        </is>
      </c>
      <c r="E1092" t="inlineStr">
        <is>
          <t>Intermediate</t>
        </is>
      </c>
      <c r="F1092" t="n">
        <v>2.8</v>
      </c>
      <c r="G1092" t="inlineStr">
        <is>
          <t>Technical</t>
        </is>
      </c>
      <c r="H1092" t="inlineStr">
        <is>
          <t>Yes</t>
        </is>
      </c>
      <c r="I1092" t="inlineStr">
        <is>
          <t>2021-10-20</t>
        </is>
      </c>
    </row>
    <row r="1093">
      <c r="A1093" t="n">
        <v/>
      </c>
      <c r="B1093" t="n">
        <v>1026912</v>
      </c>
      <c r="C1093" t="inlineStr">
        <is>
          <t>TestNG</t>
        </is>
      </c>
      <c r="D1093" t="inlineStr">
        <is>
          <t>Secondary</t>
        </is>
      </c>
      <c r="E1093" t="inlineStr">
        <is>
          <t>Intermediate</t>
        </is>
      </c>
      <c r="F1093" t="n">
        <v>1.9</v>
      </c>
      <c r="G1093" t="inlineStr">
        <is>
          <t>Technical</t>
        </is>
      </c>
      <c r="H1093" t="inlineStr">
        <is>
          <t>Yes</t>
        </is>
      </c>
      <c r="I1093" t="inlineStr">
        <is>
          <t>2021-10-20</t>
        </is>
      </c>
    </row>
    <row r="1094">
      <c r="A1094" t="n">
        <v/>
      </c>
      <c r="B1094" t="n">
        <v>1021299</v>
      </c>
      <c r="C1094" t="inlineStr">
        <is>
          <t>IT Application &amp; Operations Support</t>
        </is>
      </c>
      <c r="D1094" t="inlineStr">
        <is>
          <t>Primary</t>
        </is>
      </c>
      <c r="E1094" t="inlineStr">
        <is>
          <t>Advanced</t>
        </is>
      </c>
      <c r="F1094" t="n">
        <v>8.9</v>
      </c>
      <c r="G1094" t="inlineStr">
        <is>
          <t>Functional</t>
        </is>
      </c>
      <c r="H1094" t="inlineStr">
        <is>
          <t>Yes</t>
        </is>
      </c>
      <c r="I1094" t="inlineStr">
        <is>
          <t>2018-12-05</t>
        </is>
      </c>
    </row>
    <row r="1095">
      <c r="A1095" t="n">
        <v/>
      </c>
      <c r="B1095" t="n">
        <v>1021299</v>
      </c>
      <c r="C1095" t="inlineStr">
        <is>
          <t>Incident Management</t>
        </is>
      </c>
      <c r="D1095" t="inlineStr">
        <is>
          <t>Secondary</t>
        </is>
      </c>
      <c r="E1095" t="inlineStr">
        <is>
          <t>Advanced</t>
        </is>
      </c>
      <c r="F1095" t="n">
        <v>5.3</v>
      </c>
      <c r="G1095" t="inlineStr">
        <is>
          <t>Functional</t>
        </is>
      </c>
      <c r="H1095" t="inlineStr">
        <is>
          <t>Yes</t>
        </is>
      </c>
      <c r="I1095" t="inlineStr">
        <is>
          <t>2018-12-05</t>
        </is>
      </c>
    </row>
    <row r="1096">
      <c r="A1096" t="n">
        <v/>
      </c>
      <c r="B1096" t="n">
        <v>1021299</v>
      </c>
      <c r="C1096" t="inlineStr">
        <is>
          <t>Production Support</t>
        </is>
      </c>
      <c r="D1096" t="inlineStr">
        <is>
          <t>Secondary</t>
        </is>
      </c>
      <c r="E1096" t="inlineStr">
        <is>
          <t>Intermediate</t>
        </is>
      </c>
      <c r="F1096" t="n">
        <v>4</v>
      </c>
      <c r="G1096" t="inlineStr">
        <is>
          <t>Functional</t>
        </is>
      </c>
      <c r="H1096" t="inlineStr">
        <is>
          <t>Yes</t>
        </is>
      </c>
      <c r="I1096" t="inlineStr">
        <is>
          <t>2018-12-05</t>
        </is>
      </c>
    </row>
    <row r="1097">
      <c r="A1097" t="n">
        <v/>
      </c>
      <c r="B1097" t="n">
        <v>1021299</v>
      </c>
      <c r="C1097" t="inlineStr">
        <is>
          <t>SQL</t>
        </is>
      </c>
      <c r="D1097" t="inlineStr">
        <is>
          <t>Secondary</t>
        </is>
      </c>
      <c r="E1097" t="inlineStr">
        <is>
          <t>Intermediate</t>
        </is>
      </c>
      <c r="F1097" t="n">
        <v>2.7</v>
      </c>
      <c r="G1097" t="inlineStr">
        <is>
          <t>Functional</t>
        </is>
      </c>
      <c r="H1097" t="inlineStr">
        <is>
          <t>Yes</t>
        </is>
      </c>
      <c r="I1097" t="inlineStr">
        <is>
          <t>2018-12-05</t>
        </is>
      </c>
    </row>
    <row r="1098">
      <c r="A1098" t="n">
        <v/>
      </c>
      <c r="B1098" t="n">
        <v>1018581</v>
      </c>
      <c r="C1098" t="inlineStr">
        <is>
          <t>Frontend (Angular / TypeScript)</t>
        </is>
      </c>
      <c r="D1098" t="inlineStr">
        <is>
          <t>Primary</t>
        </is>
      </c>
      <c r="E1098" t="inlineStr">
        <is>
          <t>Advanced</t>
        </is>
      </c>
      <c r="F1098" t="n">
        <v>13.7</v>
      </c>
      <c r="G1098" t="inlineStr">
        <is>
          <t>Technical</t>
        </is>
      </c>
      <c r="H1098" t="inlineStr">
        <is>
          <t>Yes</t>
        </is>
      </c>
      <c r="I1098" t="inlineStr">
        <is>
          <t>2016-07-27</t>
        </is>
      </c>
    </row>
    <row r="1099">
      <c r="A1099" t="n">
        <v/>
      </c>
      <c r="B1099" t="n">
        <v>1018581</v>
      </c>
      <c r="C1099" t="inlineStr">
        <is>
          <t>TypeScript</t>
        </is>
      </c>
      <c r="D1099" t="inlineStr">
        <is>
          <t>Secondary</t>
        </is>
      </c>
      <c r="E1099" t="inlineStr">
        <is>
          <t>Advanced</t>
        </is>
      </c>
      <c r="F1099" t="n">
        <v>8.199999999999999</v>
      </c>
      <c r="G1099" t="inlineStr">
        <is>
          <t>Technical</t>
        </is>
      </c>
      <c r="H1099" t="inlineStr">
        <is>
          <t>Yes</t>
        </is>
      </c>
      <c r="I1099" t="inlineStr">
        <is>
          <t>2016-07-27</t>
        </is>
      </c>
    </row>
    <row r="1100">
      <c r="A1100" t="n">
        <v/>
      </c>
      <c r="B1100" t="n">
        <v>1018581</v>
      </c>
      <c r="C1100" t="inlineStr">
        <is>
          <t>JavaScript</t>
        </is>
      </c>
      <c r="D1100" t="inlineStr">
        <is>
          <t>Secondary</t>
        </is>
      </c>
      <c r="E1100" t="inlineStr">
        <is>
          <t>Advanced</t>
        </is>
      </c>
      <c r="F1100" t="n">
        <v>6.2</v>
      </c>
      <c r="G1100" t="inlineStr">
        <is>
          <t>Technical</t>
        </is>
      </c>
      <c r="H1100" t="inlineStr">
        <is>
          <t>Yes</t>
        </is>
      </c>
      <c r="I1100" t="inlineStr">
        <is>
          <t>2016-07-27</t>
        </is>
      </c>
    </row>
    <row r="1101">
      <c r="A1101" t="n">
        <v/>
      </c>
      <c r="B1101" t="n">
        <v>1018581</v>
      </c>
      <c r="C1101" t="inlineStr">
        <is>
          <t>HTML5</t>
        </is>
      </c>
      <c r="D1101" t="inlineStr">
        <is>
          <t>Secondary</t>
        </is>
      </c>
      <c r="E1101" t="inlineStr">
        <is>
          <t>Intermediate</t>
        </is>
      </c>
      <c r="F1101" t="n">
        <v>4.1</v>
      </c>
      <c r="G1101" t="inlineStr">
        <is>
          <t>Technical</t>
        </is>
      </c>
      <c r="H1101" t="inlineStr">
        <is>
          <t>Yes</t>
        </is>
      </c>
      <c r="I1101" t="inlineStr">
        <is>
          <t>2016-07-27</t>
        </is>
      </c>
    </row>
    <row r="1102">
      <c r="A1102" t="n">
        <v/>
      </c>
      <c r="B1102" t="n">
        <v>1032812</v>
      </c>
      <c r="C1102" t="inlineStr">
        <is>
          <t>QA Automation / SDET</t>
        </is>
      </c>
      <c r="D1102" t="inlineStr">
        <is>
          <t>Primary</t>
        </is>
      </c>
      <c r="E1102" t="inlineStr">
        <is>
          <t>Advanced</t>
        </is>
      </c>
      <c r="F1102" t="n">
        <v>5.8</v>
      </c>
      <c r="G1102" t="inlineStr">
        <is>
          <t>Technical</t>
        </is>
      </c>
      <c r="H1102" t="inlineStr">
        <is>
          <t>Yes</t>
        </is>
      </c>
      <c r="I1102" t="inlineStr">
        <is>
          <t>2023-05-17</t>
        </is>
      </c>
    </row>
    <row r="1103">
      <c r="A1103" t="n">
        <v/>
      </c>
      <c r="B1103" t="n">
        <v>1032812</v>
      </c>
      <c r="C1103" t="inlineStr">
        <is>
          <t>Selenium</t>
        </is>
      </c>
      <c r="D1103" t="inlineStr">
        <is>
          <t>Secondary</t>
        </is>
      </c>
      <c r="E1103" t="inlineStr">
        <is>
          <t>Intermediate</t>
        </is>
      </c>
      <c r="F1103" t="n">
        <v>3.5</v>
      </c>
      <c r="G1103" t="inlineStr">
        <is>
          <t>Technical</t>
        </is>
      </c>
      <c r="H1103" t="inlineStr">
        <is>
          <t>Yes</t>
        </is>
      </c>
      <c r="I1103" t="inlineStr">
        <is>
          <t>2023-05-17</t>
        </is>
      </c>
    </row>
    <row r="1104">
      <c r="A1104" t="n">
        <v/>
      </c>
      <c r="B1104" t="n">
        <v>1032812</v>
      </c>
      <c r="C1104" t="inlineStr">
        <is>
          <t>API Testing (Postman)</t>
        </is>
      </c>
      <c r="D1104" t="inlineStr">
        <is>
          <t>Secondary</t>
        </is>
      </c>
      <c r="E1104" t="inlineStr">
        <is>
          <t>Intermediate</t>
        </is>
      </c>
      <c r="F1104" t="n">
        <v>2.6</v>
      </c>
      <c r="G1104" t="inlineStr">
        <is>
          <t>Technical</t>
        </is>
      </c>
      <c r="H1104" t="inlineStr">
        <is>
          <t>Yes</t>
        </is>
      </c>
      <c r="I1104" t="inlineStr">
        <is>
          <t>2023-05-17</t>
        </is>
      </c>
    </row>
    <row r="1105">
      <c r="A1105" t="n">
        <v/>
      </c>
      <c r="B1105" t="n">
        <v>1032812</v>
      </c>
      <c r="C1105" t="inlineStr">
        <is>
          <t>TestNG</t>
        </is>
      </c>
      <c r="D1105" t="inlineStr">
        <is>
          <t>Secondary</t>
        </is>
      </c>
      <c r="E1105" t="inlineStr">
        <is>
          <t>Intermediate</t>
        </is>
      </c>
      <c r="F1105" t="n">
        <v>1.7</v>
      </c>
      <c r="G1105" t="inlineStr">
        <is>
          <t>Technical</t>
        </is>
      </c>
      <c r="H1105" t="inlineStr">
        <is>
          <t>Yes</t>
        </is>
      </c>
      <c r="I1105" t="inlineStr">
        <is>
          <t>2023-05-17</t>
        </is>
      </c>
    </row>
    <row r="1106">
      <c r="A1106" t="n">
        <v/>
      </c>
      <c r="B1106" t="n">
        <v>1031877</v>
      </c>
      <c r="C1106" t="inlineStr">
        <is>
          <t>QA Automation / SDET</t>
        </is>
      </c>
      <c r="D1106" t="inlineStr">
        <is>
          <t>Primary</t>
        </is>
      </c>
      <c r="E1106" t="inlineStr">
        <is>
          <t>Advanced</t>
        </is>
      </c>
      <c r="F1106" t="n">
        <v>5.2</v>
      </c>
      <c r="G1106" t="inlineStr">
        <is>
          <t>Technical</t>
        </is>
      </c>
      <c r="H1106" t="inlineStr">
        <is>
          <t>Yes</t>
        </is>
      </c>
      <c r="I1106" t="inlineStr">
        <is>
          <t>2022-12-19</t>
        </is>
      </c>
    </row>
    <row r="1107">
      <c r="A1107" t="n">
        <v/>
      </c>
      <c r="B1107" t="n">
        <v>1031877</v>
      </c>
      <c r="C1107" t="inlineStr">
        <is>
          <t>Selenium</t>
        </is>
      </c>
      <c r="D1107" t="inlineStr">
        <is>
          <t>Secondary</t>
        </is>
      </c>
      <c r="E1107" t="inlineStr">
        <is>
          <t>Intermediate</t>
        </is>
      </c>
      <c r="F1107" t="n">
        <v>3.1</v>
      </c>
      <c r="G1107" t="inlineStr">
        <is>
          <t>Technical</t>
        </is>
      </c>
      <c r="H1107" t="inlineStr">
        <is>
          <t>Yes</t>
        </is>
      </c>
      <c r="I1107" t="inlineStr">
        <is>
          <t>2022-12-19</t>
        </is>
      </c>
    </row>
    <row r="1108">
      <c r="A1108" t="n">
        <v/>
      </c>
      <c r="B1108" t="n">
        <v>1031877</v>
      </c>
      <c r="C1108" t="inlineStr">
        <is>
          <t>API Testing (Postman)</t>
        </is>
      </c>
      <c r="D1108" t="inlineStr">
        <is>
          <t>Secondary</t>
        </is>
      </c>
      <c r="E1108" t="inlineStr">
        <is>
          <t>Intermediate</t>
        </is>
      </c>
      <c r="F1108" t="n">
        <v>2.3</v>
      </c>
      <c r="G1108" t="inlineStr">
        <is>
          <t>Technical</t>
        </is>
      </c>
      <c r="H1108" t="inlineStr">
        <is>
          <t>Yes</t>
        </is>
      </c>
      <c r="I1108" t="inlineStr">
        <is>
          <t>2022-12-19</t>
        </is>
      </c>
    </row>
    <row r="1109">
      <c r="A1109" t="n">
        <v/>
      </c>
      <c r="B1109" t="n">
        <v>1031877</v>
      </c>
      <c r="C1109" t="inlineStr">
        <is>
          <t>TestNG</t>
        </is>
      </c>
      <c r="D1109" t="inlineStr">
        <is>
          <t>Secondary</t>
        </is>
      </c>
      <c r="E1109" t="inlineStr">
        <is>
          <t>Intermediate</t>
        </is>
      </c>
      <c r="F1109" t="n">
        <v>1.6</v>
      </c>
      <c r="G1109" t="inlineStr">
        <is>
          <t>Technical</t>
        </is>
      </c>
      <c r="H1109" t="inlineStr">
        <is>
          <t>Yes</t>
        </is>
      </c>
      <c r="I1109" t="inlineStr">
        <is>
          <t>2022-12-19</t>
        </is>
      </c>
    </row>
    <row r="1110">
      <c r="A1110" t="n">
        <v/>
      </c>
      <c r="B1110" t="n">
        <v>1032146</v>
      </c>
      <c r="C1110" t="inlineStr">
        <is>
          <t>IT Application &amp; Operations Support</t>
        </is>
      </c>
      <c r="D1110" t="inlineStr">
        <is>
          <t>Primary</t>
        </is>
      </c>
      <c r="E1110" t="inlineStr">
        <is>
          <t>Advanced</t>
        </is>
      </c>
      <c r="F1110" t="n">
        <v>5.1</v>
      </c>
      <c r="G1110" t="inlineStr">
        <is>
          <t>Functional</t>
        </is>
      </c>
      <c r="H1110" t="inlineStr">
        <is>
          <t>Yes</t>
        </is>
      </c>
      <c r="I1110" t="inlineStr">
        <is>
          <t>2023-02-01</t>
        </is>
      </c>
    </row>
    <row r="1111">
      <c r="A1111" t="n">
        <v/>
      </c>
      <c r="B1111" t="n">
        <v>1032146</v>
      </c>
      <c r="C1111" t="inlineStr">
        <is>
          <t>Incident Management</t>
        </is>
      </c>
      <c r="D1111" t="inlineStr">
        <is>
          <t>Secondary</t>
        </is>
      </c>
      <c r="E1111" t="inlineStr">
        <is>
          <t>Intermediate</t>
        </is>
      </c>
      <c r="F1111" t="n">
        <v>3.1</v>
      </c>
      <c r="G1111" t="inlineStr">
        <is>
          <t>Functional</t>
        </is>
      </c>
      <c r="H1111" t="inlineStr">
        <is>
          <t>Yes</t>
        </is>
      </c>
      <c r="I1111" t="inlineStr">
        <is>
          <t>2023-02-01</t>
        </is>
      </c>
    </row>
    <row r="1112">
      <c r="A1112" t="n">
        <v/>
      </c>
      <c r="B1112" t="n">
        <v>1032146</v>
      </c>
      <c r="C1112" t="inlineStr">
        <is>
          <t>Production Support</t>
        </is>
      </c>
      <c r="D1112" t="inlineStr">
        <is>
          <t>Secondary</t>
        </is>
      </c>
      <c r="E1112" t="inlineStr">
        <is>
          <t>Intermediate</t>
        </is>
      </c>
      <c r="F1112" t="n">
        <v>2.3</v>
      </c>
      <c r="G1112" t="inlineStr">
        <is>
          <t>Functional</t>
        </is>
      </c>
      <c r="H1112" t="inlineStr">
        <is>
          <t>Yes</t>
        </is>
      </c>
      <c r="I1112" t="inlineStr">
        <is>
          <t>2023-02-01</t>
        </is>
      </c>
    </row>
    <row r="1113">
      <c r="A1113" t="n">
        <v/>
      </c>
      <c r="B1113" t="n">
        <v>1032146</v>
      </c>
      <c r="C1113" t="inlineStr">
        <is>
          <t>SQL</t>
        </is>
      </c>
      <c r="D1113" t="inlineStr">
        <is>
          <t>Secondary</t>
        </is>
      </c>
      <c r="E1113" t="inlineStr">
        <is>
          <t>Intermediate</t>
        </is>
      </c>
      <c r="F1113" t="n">
        <v>1.5</v>
      </c>
      <c r="G1113" t="inlineStr">
        <is>
          <t>Functional</t>
        </is>
      </c>
      <c r="H1113" t="inlineStr">
        <is>
          <t>Yes</t>
        </is>
      </c>
      <c r="I1113" t="inlineStr">
        <is>
          <t>2023-02-01</t>
        </is>
      </c>
    </row>
    <row r="1114">
      <c r="A1114" t="n">
        <v/>
      </c>
      <c r="B1114" t="n">
        <v>1027610</v>
      </c>
      <c r="C1114" t="inlineStr">
        <is>
          <t>Java / Spring Boot</t>
        </is>
      </c>
      <c r="D1114" t="inlineStr">
        <is>
          <t>Primary</t>
        </is>
      </c>
      <c r="E1114" t="inlineStr">
        <is>
          <t>Advanced</t>
        </is>
      </c>
      <c r="F1114" t="n">
        <v>6.1</v>
      </c>
      <c r="G1114" t="inlineStr">
        <is>
          <t>Technical</t>
        </is>
      </c>
      <c r="H1114" t="inlineStr">
        <is>
          <t>Yes</t>
        </is>
      </c>
      <c r="I1114" t="inlineStr">
        <is>
          <t>2021-12-10</t>
        </is>
      </c>
      <c r="J1114" t="inlineStr">
        <is>
          <t>TMSIS</t>
        </is>
      </c>
    </row>
    <row r="1115">
      <c r="A1115" t="n">
        <v/>
      </c>
      <c r="B1115" t="n">
        <v>1027610</v>
      </c>
      <c r="C1115" t="inlineStr">
        <is>
          <t>SQL</t>
        </is>
      </c>
      <c r="D1115" t="inlineStr">
        <is>
          <t>Secondary</t>
        </is>
      </c>
      <c r="E1115" t="inlineStr">
        <is>
          <t>Intermediate</t>
        </is>
      </c>
      <c r="F1115" t="n">
        <v>3.7</v>
      </c>
      <c r="G1115" t="inlineStr">
        <is>
          <t>Technical</t>
        </is>
      </c>
      <c r="H1115" t="inlineStr">
        <is>
          <t>Yes</t>
        </is>
      </c>
      <c r="I1115" t="inlineStr">
        <is>
          <t>2021-12-10</t>
        </is>
      </c>
      <c r="J1115" t="inlineStr">
        <is>
          <t>TMSIS</t>
        </is>
      </c>
    </row>
    <row r="1116">
      <c r="A1116" t="n">
        <v/>
      </c>
      <c r="B1116" t="n">
        <v>1027610</v>
      </c>
      <c r="C1116" t="inlineStr">
        <is>
          <t>Docker</t>
        </is>
      </c>
      <c r="D1116" t="inlineStr">
        <is>
          <t>Secondary</t>
        </is>
      </c>
      <c r="E1116" t="inlineStr">
        <is>
          <t>Intermediate</t>
        </is>
      </c>
      <c r="F1116" t="n">
        <v>2.7</v>
      </c>
      <c r="G1116" t="inlineStr">
        <is>
          <t>Technical</t>
        </is>
      </c>
      <c r="H1116" t="inlineStr">
        <is>
          <t>Yes</t>
        </is>
      </c>
      <c r="I1116" t="inlineStr">
        <is>
          <t>2021-12-10</t>
        </is>
      </c>
      <c r="J1116" t="inlineStr">
        <is>
          <t>TMSIS</t>
        </is>
      </c>
    </row>
    <row r="1117">
      <c r="A1117" t="n">
        <v/>
      </c>
      <c r="B1117" t="n">
        <v>1027610</v>
      </c>
      <c r="C1117" t="inlineStr">
        <is>
          <t>Git</t>
        </is>
      </c>
      <c r="D1117" t="inlineStr">
        <is>
          <t>Secondary</t>
        </is>
      </c>
      <c r="E1117" t="inlineStr">
        <is>
          <t>Intermediate</t>
        </is>
      </c>
      <c r="F1117" t="n">
        <v>1.8</v>
      </c>
      <c r="G1117" t="inlineStr">
        <is>
          <t>Technical</t>
        </is>
      </c>
      <c r="H1117" t="inlineStr">
        <is>
          <t>Yes</t>
        </is>
      </c>
      <c r="I1117" t="inlineStr">
        <is>
          <t>2021-12-10</t>
        </is>
      </c>
      <c r="J1117" t="inlineStr">
        <is>
          <t>TMSIS</t>
        </is>
      </c>
    </row>
    <row r="1118">
      <c r="A1118" t="n">
        <v/>
      </c>
      <c r="B1118" t="n">
        <v>1028801</v>
      </c>
      <c r="C1118" t="inlineStr">
        <is>
          <t>QA Automation / SDET</t>
        </is>
      </c>
      <c r="D1118" t="inlineStr">
        <is>
          <t>Primary</t>
        </is>
      </c>
      <c r="E1118" t="inlineStr">
        <is>
          <t>Advanced</t>
        </is>
      </c>
      <c r="F1118" t="n">
        <v>5.9</v>
      </c>
      <c r="G1118" t="inlineStr">
        <is>
          <t>Technical</t>
        </is>
      </c>
      <c r="H1118" t="inlineStr">
        <is>
          <t>Yes</t>
        </is>
      </c>
      <c r="I1118" t="inlineStr">
        <is>
          <t>2022-04-11</t>
        </is>
      </c>
    </row>
    <row r="1119">
      <c r="A1119" t="n">
        <v/>
      </c>
      <c r="B1119" t="n">
        <v>1028801</v>
      </c>
      <c r="C1119" t="inlineStr">
        <is>
          <t>Selenium</t>
        </is>
      </c>
      <c r="D1119" t="inlineStr">
        <is>
          <t>Secondary</t>
        </is>
      </c>
      <c r="E1119" t="inlineStr">
        <is>
          <t>Intermediate</t>
        </is>
      </c>
      <c r="F1119" t="n">
        <v>3.5</v>
      </c>
      <c r="G1119" t="inlineStr">
        <is>
          <t>Technical</t>
        </is>
      </c>
      <c r="H1119" t="inlineStr">
        <is>
          <t>Yes</t>
        </is>
      </c>
      <c r="I1119" t="inlineStr">
        <is>
          <t>2022-04-11</t>
        </is>
      </c>
    </row>
    <row r="1120">
      <c r="A1120" t="n">
        <v/>
      </c>
      <c r="B1120" t="n">
        <v>1028801</v>
      </c>
      <c r="C1120" t="inlineStr">
        <is>
          <t>API Testing (Postman)</t>
        </is>
      </c>
      <c r="D1120" t="inlineStr">
        <is>
          <t>Secondary</t>
        </is>
      </c>
      <c r="E1120" t="inlineStr">
        <is>
          <t>Intermediate</t>
        </is>
      </c>
      <c r="F1120" t="n">
        <v>2.7</v>
      </c>
      <c r="G1120" t="inlineStr">
        <is>
          <t>Technical</t>
        </is>
      </c>
      <c r="H1120" t="inlineStr">
        <is>
          <t>Yes</t>
        </is>
      </c>
      <c r="I1120" t="inlineStr">
        <is>
          <t>2022-04-11</t>
        </is>
      </c>
    </row>
    <row r="1121">
      <c r="A1121" t="n">
        <v/>
      </c>
      <c r="B1121" t="n">
        <v>1028801</v>
      </c>
      <c r="C1121" t="inlineStr">
        <is>
          <t>TestNG</t>
        </is>
      </c>
      <c r="D1121" t="inlineStr">
        <is>
          <t>Secondary</t>
        </is>
      </c>
      <c r="E1121" t="inlineStr">
        <is>
          <t>Intermediate</t>
        </is>
      </c>
      <c r="F1121" t="n">
        <v>1.8</v>
      </c>
      <c r="G1121" t="inlineStr">
        <is>
          <t>Technical</t>
        </is>
      </c>
      <c r="H1121" t="inlineStr">
        <is>
          <t>Yes</t>
        </is>
      </c>
      <c r="I1121" t="inlineStr">
        <is>
          <t>2022-04-11</t>
        </is>
      </c>
    </row>
    <row r="1122">
      <c r="A1122" t="n">
        <v/>
      </c>
      <c r="B1122" t="n">
        <v>1030822</v>
      </c>
      <c r="C1122" t="inlineStr">
        <is>
          <t>QA Automation / SDET</t>
        </is>
      </c>
      <c r="D1122" t="inlineStr">
        <is>
          <t>Primary</t>
        </is>
      </c>
      <c r="E1122" t="inlineStr">
        <is>
          <t>Advanced</t>
        </is>
      </c>
      <c r="F1122" t="n">
        <v>5.3</v>
      </c>
      <c r="G1122" t="inlineStr">
        <is>
          <t>Technical</t>
        </is>
      </c>
      <c r="H1122" t="inlineStr">
        <is>
          <t>Yes</t>
        </is>
      </c>
      <c r="I1122" t="inlineStr">
        <is>
          <t>2022-11-02</t>
        </is>
      </c>
    </row>
    <row r="1123">
      <c r="A1123" t="n">
        <v/>
      </c>
      <c r="B1123" t="n">
        <v>1030822</v>
      </c>
      <c r="C1123" t="inlineStr">
        <is>
          <t>Selenium</t>
        </is>
      </c>
      <c r="D1123" t="inlineStr">
        <is>
          <t>Secondary</t>
        </is>
      </c>
      <c r="E1123" t="inlineStr">
        <is>
          <t>Intermediate</t>
        </is>
      </c>
      <c r="F1123" t="n">
        <v>3.2</v>
      </c>
      <c r="G1123" t="inlineStr">
        <is>
          <t>Technical</t>
        </is>
      </c>
      <c r="H1123" t="inlineStr">
        <is>
          <t>Yes</t>
        </is>
      </c>
      <c r="I1123" t="inlineStr">
        <is>
          <t>2022-11-02</t>
        </is>
      </c>
    </row>
    <row r="1124">
      <c r="A1124" t="n">
        <v/>
      </c>
      <c r="B1124" t="n">
        <v>1030822</v>
      </c>
      <c r="C1124" t="inlineStr">
        <is>
          <t>API Testing (Postman)</t>
        </is>
      </c>
      <c r="D1124" t="inlineStr">
        <is>
          <t>Secondary</t>
        </is>
      </c>
      <c r="E1124" t="inlineStr">
        <is>
          <t>Intermediate</t>
        </is>
      </c>
      <c r="F1124" t="n">
        <v>2.4</v>
      </c>
      <c r="G1124" t="inlineStr">
        <is>
          <t>Technical</t>
        </is>
      </c>
      <c r="H1124" t="inlineStr">
        <is>
          <t>Yes</t>
        </is>
      </c>
      <c r="I1124" t="inlineStr">
        <is>
          <t>2022-11-02</t>
        </is>
      </c>
    </row>
    <row r="1125">
      <c r="A1125" t="n">
        <v/>
      </c>
      <c r="B1125" t="n">
        <v>1030822</v>
      </c>
      <c r="C1125" t="inlineStr">
        <is>
          <t>TestNG</t>
        </is>
      </c>
      <c r="D1125" t="inlineStr">
        <is>
          <t>Secondary</t>
        </is>
      </c>
      <c r="E1125" t="inlineStr">
        <is>
          <t>Intermediate</t>
        </is>
      </c>
      <c r="F1125" t="n">
        <v>1.6</v>
      </c>
      <c r="G1125" t="inlineStr">
        <is>
          <t>Technical</t>
        </is>
      </c>
      <c r="H1125" t="inlineStr">
        <is>
          <t>Yes</t>
        </is>
      </c>
      <c r="I1125" t="inlineStr">
        <is>
          <t>2022-11-02</t>
        </is>
      </c>
    </row>
    <row r="1126">
      <c r="A1126" t="n">
        <v/>
      </c>
      <c r="B1126" t="n">
        <v>1022219</v>
      </c>
      <c r="C1126" t="inlineStr">
        <is>
          <t>Cloud &amp; DevOps (AWS / K8s)</t>
        </is>
      </c>
      <c r="D1126" t="inlineStr">
        <is>
          <t>Primary</t>
        </is>
      </c>
      <c r="E1126" t="inlineStr">
        <is>
          <t>Advanced</t>
        </is>
      </c>
      <c r="F1126" t="n">
        <v>8.4</v>
      </c>
      <c r="G1126" t="inlineStr">
        <is>
          <t>Technical</t>
        </is>
      </c>
      <c r="H1126" t="inlineStr">
        <is>
          <t>Yes</t>
        </is>
      </c>
      <c r="I1126" t="inlineStr">
        <is>
          <t>2019-06-17</t>
        </is>
      </c>
    </row>
    <row r="1127">
      <c r="A1127" t="n">
        <v/>
      </c>
      <c r="B1127" t="n">
        <v>1022219</v>
      </c>
      <c r="C1127" t="inlineStr">
        <is>
          <t>Docker</t>
        </is>
      </c>
      <c r="D1127" t="inlineStr">
        <is>
          <t>Secondary</t>
        </is>
      </c>
      <c r="E1127" t="inlineStr">
        <is>
          <t>Advanced</t>
        </is>
      </c>
      <c r="F1127" t="n">
        <v>5</v>
      </c>
      <c r="G1127" t="inlineStr">
        <is>
          <t>Technical</t>
        </is>
      </c>
      <c r="H1127" t="inlineStr">
        <is>
          <t>Yes</t>
        </is>
      </c>
      <c r="I1127" t="inlineStr">
        <is>
          <t>2019-06-17</t>
        </is>
      </c>
    </row>
    <row r="1128">
      <c r="A1128" t="n">
        <v/>
      </c>
      <c r="B1128" t="n">
        <v>1022219</v>
      </c>
      <c r="C1128" t="inlineStr">
        <is>
          <t>Kubernetes</t>
        </is>
      </c>
      <c r="D1128" t="inlineStr">
        <is>
          <t>Secondary</t>
        </is>
      </c>
      <c r="E1128" t="inlineStr">
        <is>
          <t>Intermediate</t>
        </is>
      </c>
      <c r="F1128" t="n">
        <v>3.8</v>
      </c>
      <c r="G1128" t="inlineStr">
        <is>
          <t>Technical</t>
        </is>
      </c>
      <c r="H1128" t="inlineStr">
        <is>
          <t>Yes</t>
        </is>
      </c>
      <c r="I1128" t="inlineStr">
        <is>
          <t>2019-06-17</t>
        </is>
      </c>
    </row>
    <row r="1129">
      <c r="A1129" t="n">
        <v/>
      </c>
      <c r="B1129" t="n">
        <v>1022219</v>
      </c>
      <c r="C1129" t="inlineStr">
        <is>
          <t>Linux</t>
        </is>
      </c>
      <c r="D1129" t="inlineStr">
        <is>
          <t>Secondary</t>
        </is>
      </c>
      <c r="E1129" t="inlineStr">
        <is>
          <t>Intermediate</t>
        </is>
      </c>
      <c r="F1129" t="n">
        <v>2.5</v>
      </c>
      <c r="G1129" t="inlineStr">
        <is>
          <t>Technical</t>
        </is>
      </c>
      <c r="H1129" t="inlineStr">
        <is>
          <t>Yes</t>
        </is>
      </c>
      <c r="I1129" t="inlineStr">
        <is>
          <t>2019-06-17</t>
        </is>
      </c>
    </row>
    <row r="1130">
      <c r="A1130" t="n">
        <v/>
      </c>
      <c r="B1130" t="n">
        <v>1031041</v>
      </c>
      <c r="C1130" t="inlineStr">
        <is>
          <t>Frontend (Angular / TypeScript)</t>
        </is>
      </c>
      <c r="D1130" t="inlineStr">
        <is>
          <t>Primary</t>
        </is>
      </c>
      <c r="E1130" t="inlineStr">
        <is>
          <t>Intermediate</t>
        </is>
      </c>
      <c r="F1130" t="n">
        <v>1.7</v>
      </c>
      <c r="G1130" t="inlineStr">
        <is>
          <t>Technical</t>
        </is>
      </c>
      <c r="H1130" t="inlineStr">
        <is>
          <t>Yes</t>
        </is>
      </c>
      <c r="I1130" t="inlineStr">
        <is>
          <t>2022-11-24</t>
        </is>
      </c>
    </row>
    <row r="1131">
      <c r="A1131" t="n">
        <v/>
      </c>
      <c r="B1131" t="n">
        <v>1031041</v>
      </c>
      <c r="C1131" t="inlineStr">
        <is>
          <t>TypeScript</t>
        </is>
      </c>
      <c r="D1131" t="inlineStr">
        <is>
          <t>Secondary</t>
        </is>
      </c>
      <c r="E1131" t="inlineStr">
        <is>
          <t>Beginner</t>
        </is>
      </c>
      <c r="F1131" t="n">
        <v>1</v>
      </c>
      <c r="G1131" t="inlineStr">
        <is>
          <t>Technical</t>
        </is>
      </c>
      <c r="H1131" t="inlineStr">
        <is>
          <t>Yes</t>
        </is>
      </c>
      <c r="I1131" t="inlineStr">
        <is>
          <t>2022-11-24</t>
        </is>
      </c>
    </row>
    <row r="1132">
      <c r="A1132" t="n">
        <v/>
      </c>
      <c r="B1132" t="n">
        <v>1031041</v>
      </c>
      <c r="C1132" t="inlineStr">
        <is>
          <t>JavaScript</t>
        </is>
      </c>
      <c r="D1132" t="inlineStr">
        <is>
          <t>Secondary</t>
        </is>
      </c>
      <c r="E1132" t="inlineStr">
        <is>
          <t>Beginner</t>
        </is>
      </c>
      <c r="F1132" t="n">
        <v>0.8</v>
      </c>
      <c r="G1132" t="inlineStr">
        <is>
          <t>Technical</t>
        </is>
      </c>
      <c r="H1132" t="inlineStr">
        <is>
          <t>Yes</t>
        </is>
      </c>
      <c r="I1132" t="inlineStr">
        <is>
          <t>2022-11-24</t>
        </is>
      </c>
    </row>
    <row r="1133">
      <c r="A1133" t="n">
        <v/>
      </c>
      <c r="B1133" t="n">
        <v>1031859</v>
      </c>
      <c r="C1133" t="inlineStr">
        <is>
          <t>Java / Spring Boot</t>
        </is>
      </c>
      <c r="D1133" t="inlineStr">
        <is>
          <t>Primary</t>
        </is>
      </c>
      <c r="E1133" t="inlineStr">
        <is>
          <t>Advanced</t>
        </is>
      </c>
      <c r="F1133" t="n">
        <v>5.2</v>
      </c>
      <c r="G1133" t="inlineStr">
        <is>
          <t>Technical</t>
        </is>
      </c>
      <c r="H1133" t="inlineStr">
        <is>
          <t>Yes</t>
        </is>
      </c>
      <c r="I1133" t="inlineStr">
        <is>
          <t>2022-12-19</t>
        </is>
      </c>
      <c r="J1133" t="inlineStr">
        <is>
          <t>County billing</t>
        </is>
      </c>
    </row>
    <row r="1134">
      <c r="A1134" t="n">
        <v/>
      </c>
      <c r="B1134" t="n">
        <v>1031859</v>
      </c>
      <c r="C1134" t="inlineStr">
        <is>
          <t>SQL</t>
        </is>
      </c>
      <c r="D1134" t="inlineStr">
        <is>
          <t>Secondary</t>
        </is>
      </c>
      <c r="E1134" t="inlineStr">
        <is>
          <t>Intermediate</t>
        </is>
      </c>
      <c r="F1134" t="n">
        <v>3.1</v>
      </c>
      <c r="G1134" t="inlineStr">
        <is>
          <t>Technical</t>
        </is>
      </c>
      <c r="H1134" t="inlineStr">
        <is>
          <t>Yes</t>
        </is>
      </c>
      <c r="I1134" t="inlineStr">
        <is>
          <t>2022-12-19</t>
        </is>
      </c>
      <c r="J1134" t="inlineStr">
        <is>
          <t>County billing</t>
        </is>
      </c>
    </row>
    <row r="1135">
      <c r="A1135" t="n">
        <v/>
      </c>
      <c r="B1135" t="n">
        <v>1031859</v>
      </c>
      <c r="C1135" t="inlineStr">
        <is>
          <t>Docker</t>
        </is>
      </c>
      <c r="D1135" t="inlineStr">
        <is>
          <t>Secondary</t>
        </is>
      </c>
      <c r="E1135" t="inlineStr">
        <is>
          <t>Intermediate</t>
        </is>
      </c>
      <c r="F1135" t="n">
        <v>2.3</v>
      </c>
      <c r="G1135" t="inlineStr">
        <is>
          <t>Technical</t>
        </is>
      </c>
      <c r="H1135" t="inlineStr">
        <is>
          <t>Yes</t>
        </is>
      </c>
      <c r="I1135" t="inlineStr">
        <is>
          <t>2022-12-19</t>
        </is>
      </c>
      <c r="J1135" t="inlineStr">
        <is>
          <t>County billing</t>
        </is>
      </c>
    </row>
    <row r="1136">
      <c r="A1136" t="n">
        <v/>
      </c>
      <c r="B1136" t="n">
        <v>1031859</v>
      </c>
      <c r="C1136" t="inlineStr">
        <is>
          <t>Git</t>
        </is>
      </c>
      <c r="D1136" t="inlineStr">
        <is>
          <t>Secondary</t>
        </is>
      </c>
      <c r="E1136" t="inlineStr">
        <is>
          <t>Intermediate</t>
        </is>
      </c>
      <c r="F1136" t="n">
        <v>1.6</v>
      </c>
      <c r="G1136" t="inlineStr">
        <is>
          <t>Technical</t>
        </is>
      </c>
      <c r="H1136" t="inlineStr">
        <is>
          <t>Yes</t>
        </is>
      </c>
      <c r="I1136" t="inlineStr">
        <is>
          <t>2022-12-19</t>
        </is>
      </c>
      <c r="J1136" t="inlineStr">
        <is>
          <t>County billing</t>
        </is>
      </c>
    </row>
    <row r="1137">
      <c r="A1137" t="n">
        <v/>
      </c>
      <c r="B1137" t="n">
        <v>1028400</v>
      </c>
      <c r="C1137" t="inlineStr">
        <is>
          <t>Java / Spring Boot</t>
        </is>
      </c>
      <c r="D1137" t="inlineStr">
        <is>
          <t>Primary</t>
        </is>
      </c>
      <c r="E1137" t="inlineStr">
        <is>
          <t>Advanced</t>
        </is>
      </c>
      <c r="F1137" t="n">
        <v>6</v>
      </c>
      <c r="G1137" t="inlineStr">
        <is>
          <t>Technical</t>
        </is>
      </c>
      <c r="H1137" t="inlineStr">
        <is>
          <t>Yes</t>
        </is>
      </c>
      <c r="I1137" t="inlineStr">
        <is>
          <t>2022-02-21</t>
        </is>
      </c>
      <c r="J1137" t="inlineStr">
        <is>
          <t>Claims Payment</t>
        </is>
      </c>
    </row>
    <row r="1138">
      <c r="A1138" t="n">
        <v/>
      </c>
      <c r="B1138" t="n">
        <v>1028400</v>
      </c>
      <c r="C1138" t="inlineStr">
        <is>
          <t>SQL</t>
        </is>
      </c>
      <c r="D1138" t="inlineStr">
        <is>
          <t>Secondary</t>
        </is>
      </c>
      <c r="E1138" t="inlineStr">
        <is>
          <t>Intermediate</t>
        </is>
      </c>
      <c r="F1138" t="n">
        <v>3.6</v>
      </c>
      <c r="G1138" t="inlineStr">
        <is>
          <t>Technical</t>
        </is>
      </c>
      <c r="H1138" t="inlineStr">
        <is>
          <t>Yes</t>
        </is>
      </c>
      <c r="I1138" t="inlineStr">
        <is>
          <t>2022-02-21</t>
        </is>
      </c>
      <c r="J1138" t="inlineStr">
        <is>
          <t>Claims Payment</t>
        </is>
      </c>
    </row>
    <row r="1139">
      <c r="A1139" t="n">
        <v/>
      </c>
      <c r="B1139" t="n">
        <v>1028400</v>
      </c>
      <c r="C1139" t="inlineStr">
        <is>
          <t>Docker</t>
        </is>
      </c>
      <c r="D1139" t="inlineStr">
        <is>
          <t>Secondary</t>
        </is>
      </c>
      <c r="E1139" t="inlineStr">
        <is>
          <t>Intermediate</t>
        </is>
      </c>
      <c r="F1139" t="n">
        <v>2.7</v>
      </c>
      <c r="G1139" t="inlineStr">
        <is>
          <t>Technical</t>
        </is>
      </c>
      <c r="H1139" t="inlineStr">
        <is>
          <t>Yes</t>
        </is>
      </c>
      <c r="I1139" t="inlineStr">
        <is>
          <t>2022-02-21</t>
        </is>
      </c>
      <c r="J1139" t="inlineStr">
        <is>
          <t>Claims Payment</t>
        </is>
      </c>
    </row>
    <row r="1140">
      <c r="A1140" t="n">
        <v/>
      </c>
      <c r="B1140" t="n">
        <v>1028400</v>
      </c>
      <c r="C1140" t="inlineStr">
        <is>
          <t>Git</t>
        </is>
      </c>
      <c r="D1140" t="inlineStr">
        <is>
          <t>Secondary</t>
        </is>
      </c>
      <c r="E1140" t="inlineStr">
        <is>
          <t>Intermediate</t>
        </is>
      </c>
      <c r="F1140" t="n">
        <v>1.8</v>
      </c>
      <c r="G1140" t="inlineStr">
        <is>
          <t>Technical</t>
        </is>
      </c>
      <c r="H1140" t="inlineStr">
        <is>
          <t>Yes</t>
        </is>
      </c>
      <c r="I1140" t="inlineStr">
        <is>
          <t>2022-02-21</t>
        </is>
      </c>
      <c r="J1140" t="inlineStr">
        <is>
          <t>Claims Payment</t>
        </is>
      </c>
    </row>
    <row r="1141">
      <c r="A1141" t="n">
        <v/>
      </c>
      <c r="B1141" t="n">
        <v>1031086</v>
      </c>
      <c r="C1141" t="inlineStr">
        <is>
          <t>Frontend (Angular / TypeScript)</t>
        </is>
      </c>
      <c r="D1141" t="inlineStr">
        <is>
          <t>Primary</t>
        </is>
      </c>
      <c r="E1141" t="inlineStr">
        <is>
          <t>Intermediate</t>
        </is>
      </c>
      <c r="F1141" t="n">
        <v>1.7</v>
      </c>
      <c r="G1141" t="inlineStr">
        <is>
          <t>Technical</t>
        </is>
      </c>
      <c r="H1141" t="inlineStr">
        <is>
          <t>Yes</t>
        </is>
      </c>
      <c r="I1141" t="inlineStr">
        <is>
          <t>2022-11-24</t>
        </is>
      </c>
    </row>
    <row r="1142">
      <c r="A1142" t="n">
        <v/>
      </c>
      <c r="B1142" t="n">
        <v>1031086</v>
      </c>
      <c r="C1142" t="inlineStr">
        <is>
          <t>TypeScript</t>
        </is>
      </c>
      <c r="D1142" t="inlineStr">
        <is>
          <t>Secondary</t>
        </is>
      </c>
      <c r="E1142" t="inlineStr">
        <is>
          <t>Beginner</t>
        </is>
      </c>
      <c r="F1142" t="n">
        <v>1</v>
      </c>
      <c r="G1142" t="inlineStr">
        <is>
          <t>Technical</t>
        </is>
      </c>
      <c r="H1142" t="inlineStr">
        <is>
          <t>Yes</t>
        </is>
      </c>
      <c r="I1142" t="inlineStr">
        <is>
          <t>2022-11-24</t>
        </is>
      </c>
    </row>
    <row r="1143">
      <c r="A1143" t="n">
        <v/>
      </c>
      <c r="B1143" t="n">
        <v>1031086</v>
      </c>
      <c r="C1143" t="inlineStr">
        <is>
          <t>JavaScript</t>
        </is>
      </c>
      <c r="D1143" t="inlineStr">
        <is>
          <t>Secondary</t>
        </is>
      </c>
      <c r="E1143" t="inlineStr">
        <is>
          <t>Beginner</t>
        </is>
      </c>
      <c r="F1143" t="n">
        <v>0.8</v>
      </c>
      <c r="G1143" t="inlineStr">
        <is>
          <t>Technical</t>
        </is>
      </c>
      <c r="H1143" t="inlineStr">
        <is>
          <t>Yes</t>
        </is>
      </c>
      <c r="I1143" t="inlineStr">
        <is>
          <t>2022-11-24</t>
        </is>
      </c>
    </row>
    <row r="1144">
      <c r="A1144" t="n">
        <v/>
      </c>
      <c r="B1144" t="n">
        <v>1026347</v>
      </c>
      <c r="C1144" t="inlineStr">
        <is>
          <t>IT Application &amp; Operations Support</t>
        </is>
      </c>
      <c r="D1144" t="inlineStr">
        <is>
          <t>Primary</t>
        </is>
      </c>
      <c r="E1144" t="inlineStr">
        <is>
          <t>Advanced</t>
        </is>
      </c>
      <c r="F1144" t="n">
        <v>6.4</v>
      </c>
      <c r="G1144" t="inlineStr">
        <is>
          <t>Functional</t>
        </is>
      </c>
      <c r="H1144" t="inlineStr">
        <is>
          <t>Yes</t>
        </is>
      </c>
      <c r="I1144" t="inlineStr">
        <is>
          <t>2021-09-06</t>
        </is>
      </c>
    </row>
    <row r="1145">
      <c r="A1145" t="n">
        <v/>
      </c>
      <c r="B1145" t="n">
        <v>1026347</v>
      </c>
      <c r="C1145" t="inlineStr">
        <is>
          <t>Incident Management</t>
        </is>
      </c>
      <c r="D1145" t="inlineStr">
        <is>
          <t>Secondary</t>
        </is>
      </c>
      <c r="E1145" t="inlineStr">
        <is>
          <t>Intermediate</t>
        </is>
      </c>
      <c r="F1145" t="n">
        <v>3.8</v>
      </c>
      <c r="G1145" t="inlineStr">
        <is>
          <t>Functional</t>
        </is>
      </c>
      <c r="H1145" t="inlineStr">
        <is>
          <t>Yes</t>
        </is>
      </c>
      <c r="I1145" t="inlineStr">
        <is>
          <t>2021-09-06</t>
        </is>
      </c>
    </row>
    <row r="1146">
      <c r="A1146" t="n">
        <v/>
      </c>
      <c r="B1146" t="n">
        <v>1026347</v>
      </c>
      <c r="C1146" t="inlineStr">
        <is>
          <t>Production Support</t>
        </is>
      </c>
      <c r="D1146" t="inlineStr">
        <is>
          <t>Secondary</t>
        </is>
      </c>
      <c r="E1146" t="inlineStr">
        <is>
          <t>Intermediate</t>
        </is>
      </c>
      <c r="F1146" t="n">
        <v>2.9</v>
      </c>
      <c r="G1146" t="inlineStr">
        <is>
          <t>Functional</t>
        </is>
      </c>
      <c r="H1146" t="inlineStr">
        <is>
          <t>Yes</t>
        </is>
      </c>
      <c r="I1146" t="inlineStr">
        <is>
          <t>2021-09-06</t>
        </is>
      </c>
    </row>
    <row r="1147">
      <c r="A1147" t="n">
        <v/>
      </c>
      <c r="B1147" t="n">
        <v>1026347</v>
      </c>
      <c r="C1147" t="inlineStr">
        <is>
          <t>SQL</t>
        </is>
      </c>
      <c r="D1147" t="inlineStr">
        <is>
          <t>Secondary</t>
        </is>
      </c>
      <c r="E1147" t="inlineStr">
        <is>
          <t>Intermediate</t>
        </is>
      </c>
      <c r="F1147" t="n">
        <v>1.9</v>
      </c>
      <c r="G1147" t="inlineStr">
        <is>
          <t>Functional</t>
        </is>
      </c>
      <c r="H1147" t="inlineStr">
        <is>
          <t>Yes</t>
        </is>
      </c>
      <c r="I1147" t="inlineStr">
        <is>
          <t>2021-09-06</t>
        </is>
      </c>
    </row>
    <row r="1148">
      <c r="A1148" t="n">
        <v/>
      </c>
      <c r="B1148" t="n">
        <v>1031089</v>
      </c>
      <c r="C1148" t="inlineStr">
        <is>
          <t>Cloud &amp; DevOps (AWS / K8s)</t>
        </is>
      </c>
      <c r="D1148" t="inlineStr">
        <is>
          <t>Primary</t>
        </is>
      </c>
      <c r="E1148" t="inlineStr">
        <is>
          <t>Intermediate</t>
        </is>
      </c>
      <c r="F1148" t="n">
        <v>1.7</v>
      </c>
      <c r="G1148" t="inlineStr">
        <is>
          <t>Technical</t>
        </is>
      </c>
      <c r="H1148" t="inlineStr">
        <is>
          <t>Yes</t>
        </is>
      </c>
      <c r="I1148" t="inlineStr">
        <is>
          <t>2022-11-24</t>
        </is>
      </c>
    </row>
    <row r="1149">
      <c r="A1149" t="n">
        <v/>
      </c>
      <c r="B1149" t="n">
        <v>1031089</v>
      </c>
      <c r="C1149" t="inlineStr">
        <is>
          <t>Docker</t>
        </is>
      </c>
      <c r="D1149" t="inlineStr">
        <is>
          <t>Secondary</t>
        </is>
      </c>
      <c r="E1149" t="inlineStr">
        <is>
          <t>Beginner</t>
        </is>
      </c>
      <c r="F1149" t="n">
        <v>1</v>
      </c>
      <c r="G1149" t="inlineStr">
        <is>
          <t>Technical</t>
        </is>
      </c>
      <c r="H1149" t="inlineStr">
        <is>
          <t>Yes</t>
        </is>
      </c>
      <c r="I1149" t="inlineStr">
        <is>
          <t>2022-11-24</t>
        </is>
      </c>
    </row>
    <row r="1150">
      <c r="A1150" t="n">
        <v/>
      </c>
      <c r="B1150" t="n">
        <v>1031089</v>
      </c>
      <c r="C1150" t="inlineStr">
        <is>
          <t>Kubernetes</t>
        </is>
      </c>
      <c r="D1150" t="inlineStr">
        <is>
          <t>Secondary</t>
        </is>
      </c>
      <c r="E1150" t="inlineStr">
        <is>
          <t>Beginner</t>
        </is>
      </c>
      <c r="F1150" t="n">
        <v>0.8</v>
      </c>
      <c r="G1150" t="inlineStr">
        <is>
          <t>Technical</t>
        </is>
      </c>
      <c r="H1150" t="inlineStr">
        <is>
          <t>Yes</t>
        </is>
      </c>
      <c r="I1150" t="inlineStr">
        <is>
          <t>2022-11-24</t>
        </is>
      </c>
    </row>
    <row r="1151">
      <c r="A1151" t="n">
        <v/>
      </c>
      <c r="B1151" t="n">
        <v>1033364</v>
      </c>
      <c r="C1151" t="inlineStr">
        <is>
          <t>Cloud &amp; DevOps (AWS / K8s)</t>
        </is>
      </c>
      <c r="D1151" t="inlineStr">
        <is>
          <t>Primary</t>
        </is>
      </c>
      <c r="E1151" t="inlineStr">
        <is>
          <t>Advanced</t>
        </is>
      </c>
      <c r="F1151" t="n">
        <v>4.6</v>
      </c>
      <c r="G1151" t="inlineStr">
        <is>
          <t>Technical</t>
        </is>
      </c>
      <c r="H1151" t="inlineStr">
        <is>
          <t>Yes</t>
        </is>
      </c>
      <c r="I1151" t="inlineStr">
        <is>
          <t>2023-08-23</t>
        </is>
      </c>
    </row>
    <row r="1152">
      <c r="A1152" t="n">
        <v/>
      </c>
      <c r="B1152" t="n">
        <v>1033364</v>
      </c>
      <c r="C1152" t="inlineStr">
        <is>
          <t>Docker</t>
        </is>
      </c>
      <c r="D1152" t="inlineStr">
        <is>
          <t>Secondary</t>
        </is>
      </c>
      <c r="E1152" t="inlineStr">
        <is>
          <t>Intermediate</t>
        </is>
      </c>
      <c r="F1152" t="n">
        <v>2.8</v>
      </c>
      <c r="G1152" t="inlineStr">
        <is>
          <t>Technical</t>
        </is>
      </c>
      <c r="H1152" t="inlineStr">
        <is>
          <t>Yes</t>
        </is>
      </c>
      <c r="I1152" t="inlineStr">
        <is>
          <t>2023-08-23</t>
        </is>
      </c>
    </row>
    <row r="1153">
      <c r="A1153" t="n">
        <v/>
      </c>
      <c r="B1153" t="n">
        <v>1033364</v>
      </c>
      <c r="C1153" t="inlineStr">
        <is>
          <t>Kubernetes</t>
        </is>
      </c>
      <c r="D1153" t="inlineStr">
        <is>
          <t>Secondary</t>
        </is>
      </c>
      <c r="E1153" t="inlineStr">
        <is>
          <t>Intermediate</t>
        </is>
      </c>
      <c r="F1153" t="n">
        <v>2.1</v>
      </c>
      <c r="G1153" t="inlineStr">
        <is>
          <t>Technical</t>
        </is>
      </c>
      <c r="H1153" t="inlineStr">
        <is>
          <t>Yes</t>
        </is>
      </c>
      <c r="I1153" t="inlineStr">
        <is>
          <t>2023-08-23</t>
        </is>
      </c>
    </row>
    <row r="1154">
      <c r="A1154" t="n">
        <v/>
      </c>
      <c r="B1154" t="n">
        <v>1033364</v>
      </c>
      <c r="C1154" t="inlineStr">
        <is>
          <t>Linux</t>
        </is>
      </c>
      <c r="D1154" t="inlineStr">
        <is>
          <t>Secondary</t>
        </is>
      </c>
      <c r="E1154" t="inlineStr">
        <is>
          <t>Beginner</t>
        </is>
      </c>
      <c r="F1154" t="n">
        <v>1.4</v>
      </c>
      <c r="G1154" t="inlineStr">
        <is>
          <t>Technical</t>
        </is>
      </c>
      <c r="H1154" t="inlineStr">
        <is>
          <t>Yes</t>
        </is>
      </c>
      <c r="I1154" t="inlineStr">
        <is>
          <t>2023-08-23</t>
        </is>
      </c>
    </row>
    <row r="1155">
      <c r="A1155" t="n">
        <v/>
      </c>
      <c r="B1155" t="n">
        <v>1032355</v>
      </c>
      <c r="C1155" t="inlineStr">
        <is>
          <t>QA Automation / SDET</t>
        </is>
      </c>
      <c r="D1155" t="inlineStr">
        <is>
          <t>Primary</t>
        </is>
      </c>
      <c r="E1155" t="inlineStr">
        <is>
          <t>Advanced</t>
        </is>
      </c>
      <c r="F1155" t="n">
        <v>5</v>
      </c>
      <c r="G1155" t="inlineStr">
        <is>
          <t>Technical</t>
        </is>
      </c>
      <c r="H1155" t="inlineStr">
        <is>
          <t>Yes</t>
        </is>
      </c>
      <c r="I1155" t="inlineStr">
        <is>
          <t>2023-03-08</t>
        </is>
      </c>
    </row>
    <row r="1156">
      <c r="A1156" t="n">
        <v/>
      </c>
      <c r="B1156" t="n">
        <v>1032355</v>
      </c>
      <c r="C1156" t="inlineStr">
        <is>
          <t>Selenium</t>
        </is>
      </c>
      <c r="D1156" t="inlineStr">
        <is>
          <t>Secondary</t>
        </is>
      </c>
      <c r="E1156" t="inlineStr">
        <is>
          <t>Intermediate</t>
        </is>
      </c>
      <c r="F1156" t="n">
        <v>3</v>
      </c>
      <c r="G1156" t="inlineStr">
        <is>
          <t>Technical</t>
        </is>
      </c>
      <c r="H1156" t="inlineStr">
        <is>
          <t>Yes</t>
        </is>
      </c>
      <c r="I1156" t="inlineStr">
        <is>
          <t>2023-03-08</t>
        </is>
      </c>
    </row>
    <row r="1157">
      <c r="A1157" t="n">
        <v/>
      </c>
      <c r="B1157" t="n">
        <v>1032355</v>
      </c>
      <c r="C1157" t="inlineStr">
        <is>
          <t>API Testing (Postman)</t>
        </is>
      </c>
      <c r="D1157" t="inlineStr">
        <is>
          <t>Secondary</t>
        </is>
      </c>
      <c r="E1157" t="inlineStr">
        <is>
          <t>Intermediate</t>
        </is>
      </c>
      <c r="F1157" t="n">
        <v>2.2</v>
      </c>
      <c r="G1157" t="inlineStr">
        <is>
          <t>Technical</t>
        </is>
      </c>
      <c r="H1157" t="inlineStr">
        <is>
          <t>Yes</t>
        </is>
      </c>
      <c r="I1157" t="inlineStr">
        <is>
          <t>2023-03-08</t>
        </is>
      </c>
    </row>
    <row r="1158">
      <c r="A1158" t="n">
        <v/>
      </c>
      <c r="B1158" t="n">
        <v>1032355</v>
      </c>
      <c r="C1158" t="inlineStr">
        <is>
          <t>TestNG</t>
        </is>
      </c>
      <c r="D1158" t="inlineStr">
        <is>
          <t>Secondary</t>
        </is>
      </c>
      <c r="E1158" t="inlineStr">
        <is>
          <t>Intermediate</t>
        </is>
      </c>
      <c r="F1158" t="n">
        <v>1.5</v>
      </c>
      <c r="G1158" t="inlineStr">
        <is>
          <t>Technical</t>
        </is>
      </c>
      <c r="H1158" t="inlineStr">
        <is>
          <t>Yes</t>
        </is>
      </c>
      <c r="I1158" t="inlineStr">
        <is>
          <t>2023-03-08</t>
        </is>
      </c>
    </row>
    <row r="1159">
      <c r="A1159" t="n">
        <v/>
      </c>
      <c r="B1159" t="n">
        <v>1020948</v>
      </c>
      <c r="C1159" t="inlineStr">
        <is>
          <t>Java / Spring Boot</t>
        </is>
      </c>
      <c r="D1159" t="inlineStr">
        <is>
          <t>Primary</t>
        </is>
      </c>
      <c r="E1159" t="inlineStr">
        <is>
          <t>Advanced</t>
        </is>
      </c>
      <c r="F1159" t="n">
        <v>9.1</v>
      </c>
      <c r="G1159" t="inlineStr">
        <is>
          <t>Technical</t>
        </is>
      </c>
      <c r="H1159" t="inlineStr">
        <is>
          <t>Yes</t>
        </is>
      </c>
      <c r="I1159" t="inlineStr">
        <is>
          <t>2018-09-04</t>
        </is>
      </c>
      <c r="J1159" t="inlineStr">
        <is>
          <t>EDI</t>
        </is>
      </c>
    </row>
    <row r="1160">
      <c r="A1160" t="n">
        <v/>
      </c>
      <c r="B1160" t="n">
        <v>1020948</v>
      </c>
      <c r="C1160" t="inlineStr">
        <is>
          <t>SQL</t>
        </is>
      </c>
      <c r="D1160" t="inlineStr">
        <is>
          <t>Secondary</t>
        </is>
      </c>
      <c r="E1160" t="inlineStr">
        <is>
          <t>Advanced</t>
        </is>
      </c>
      <c r="F1160" t="n">
        <v>5.5</v>
      </c>
      <c r="G1160" t="inlineStr">
        <is>
          <t>Technical</t>
        </is>
      </c>
      <c r="H1160" t="inlineStr">
        <is>
          <t>Yes</t>
        </is>
      </c>
      <c r="I1160" t="inlineStr">
        <is>
          <t>2018-09-04</t>
        </is>
      </c>
      <c r="J1160" t="inlineStr">
        <is>
          <t>EDI</t>
        </is>
      </c>
    </row>
    <row r="1161">
      <c r="A1161" t="n">
        <v/>
      </c>
      <c r="B1161" t="n">
        <v>1020948</v>
      </c>
      <c r="C1161" t="inlineStr">
        <is>
          <t>Docker</t>
        </is>
      </c>
      <c r="D1161" t="inlineStr">
        <is>
          <t>Secondary</t>
        </is>
      </c>
      <c r="E1161" t="inlineStr">
        <is>
          <t>Intermediate</t>
        </is>
      </c>
      <c r="F1161" t="n">
        <v>4.1</v>
      </c>
      <c r="G1161" t="inlineStr">
        <is>
          <t>Technical</t>
        </is>
      </c>
      <c r="H1161" t="inlineStr">
        <is>
          <t>Yes</t>
        </is>
      </c>
      <c r="I1161" t="inlineStr">
        <is>
          <t>2018-09-04</t>
        </is>
      </c>
      <c r="J1161" t="inlineStr">
        <is>
          <t>EDI</t>
        </is>
      </c>
    </row>
    <row r="1162">
      <c r="A1162" t="n">
        <v/>
      </c>
      <c r="B1162" t="n">
        <v>1020948</v>
      </c>
      <c r="C1162" t="inlineStr">
        <is>
          <t>Git</t>
        </is>
      </c>
      <c r="D1162" t="inlineStr">
        <is>
          <t>Secondary</t>
        </is>
      </c>
      <c r="E1162" t="inlineStr">
        <is>
          <t>Intermediate</t>
        </is>
      </c>
      <c r="F1162" t="n">
        <v>2.7</v>
      </c>
      <c r="G1162" t="inlineStr">
        <is>
          <t>Technical</t>
        </is>
      </c>
      <c r="H1162" t="inlineStr">
        <is>
          <t>Yes</t>
        </is>
      </c>
      <c r="I1162" t="inlineStr">
        <is>
          <t>2018-09-04</t>
        </is>
      </c>
      <c r="J1162" t="inlineStr">
        <is>
          <t>EDI</t>
        </is>
      </c>
    </row>
    <row r="1163">
      <c r="A1163" t="n">
        <v/>
      </c>
      <c r="B1163" t="n">
        <v>1033640</v>
      </c>
      <c r="C1163" t="inlineStr">
        <is>
          <t>Java / Spring Boot</t>
        </is>
      </c>
      <c r="D1163" t="inlineStr">
        <is>
          <t>Primary</t>
        </is>
      </c>
      <c r="E1163" t="inlineStr">
        <is>
          <t>Advanced</t>
        </is>
      </c>
      <c r="F1163" t="n">
        <v>4.5</v>
      </c>
      <c r="G1163" t="inlineStr">
        <is>
          <t>Technical</t>
        </is>
      </c>
      <c r="H1163" t="inlineStr">
        <is>
          <t>Yes</t>
        </is>
      </c>
      <c r="I1163" t="inlineStr">
        <is>
          <t>2023-09-29</t>
        </is>
      </c>
      <c r="J1163" t="inlineStr">
        <is>
          <t>AVRS</t>
        </is>
      </c>
    </row>
    <row r="1164">
      <c r="A1164" t="n">
        <v/>
      </c>
      <c r="B1164" t="n">
        <v>1033640</v>
      </c>
      <c r="C1164" t="inlineStr">
        <is>
          <t>SQL</t>
        </is>
      </c>
      <c r="D1164" t="inlineStr">
        <is>
          <t>Secondary</t>
        </is>
      </c>
      <c r="E1164" t="inlineStr">
        <is>
          <t>Intermediate</t>
        </is>
      </c>
      <c r="F1164" t="n">
        <v>2.7</v>
      </c>
      <c r="G1164" t="inlineStr">
        <is>
          <t>Technical</t>
        </is>
      </c>
      <c r="H1164" t="inlineStr">
        <is>
          <t>Yes</t>
        </is>
      </c>
      <c r="I1164" t="inlineStr">
        <is>
          <t>2023-09-29</t>
        </is>
      </c>
      <c r="J1164" t="inlineStr">
        <is>
          <t>AVRS</t>
        </is>
      </c>
    </row>
    <row r="1165">
      <c r="A1165" t="n">
        <v/>
      </c>
      <c r="B1165" t="n">
        <v>1033640</v>
      </c>
      <c r="C1165" t="inlineStr">
        <is>
          <t>Docker</t>
        </is>
      </c>
      <c r="D1165" t="inlineStr">
        <is>
          <t>Secondary</t>
        </is>
      </c>
      <c r="E1165" t="inlineStr">
        <is>
          <t>Intermediate</t>
        </is>
      </c>
      <c r="F1165" t="n">
        <v>2</v>
      </c>
      <c r="G1165" t="inlineStr">
        <is>
          <t>Technical</t>
        </is>
      </c>
      <c r="H1165" t="inlineStr">
        <is>
          <t>Yes</t>
        </is>
      </c>
      <c r="I1165" t="inlineStr">
        <is>
          <t>2023-09-29</t>
        </is>
      </c>
      <c r="J1165" t="inlineStr">
        <is>
          <t>AVRS</t>
        </is>
      </c>
    </row>
    <row r="1166">
      <c r="A1166" t="n">
        <v/>
      </c>
      <c r="B1166" t="n">
        <v>1033640</v>
      </c>
      <c r="C1166" t="inlineStr">
        <is>
          <t>Git</t>
        </is>
      </c>
      <c r="D1166" t="inlineStr">
        <is>
          <t>Secondary</t>
        </is>
      </c>
      <c r="E1166" t="inlineStr">
        <is>
          <t>Beginner</t>
        </is>
      </c>
      <c r="F1166" t="n">
        <v>1.3</v>
      </c>
      <c r="G1166" t="inlineStr">
        <is>
          <t>Technical</t>
        </is>
      </c>
      <c r="H1166" t="inlineStr">
        <is>
          <t>Yes</t>
        </is>
      </c>
      <c r="I1166" t="inlineStr">
        <is>
          <t>2023-09-29</t>
        </is>
      </c>
      <c r="J1166" t="inlineStr">
        <is>
          <t>AVRS</t>
        </is>
      </c>
    </row>
    <row r="1167">
      <c r="A1167" t="n">
        <v/>
      </c>
      <c r="B1167" t="n">
        <v>1032302</v>
      </c>
      <c r="C1167" t="inlineStr">
        <is>
          <t>Fullstack Web (React / Node)</t>
        </is>
      </c>
      <c r="D1167" t="inlineStr">
        <is>
          <t>Primary</t>
        </is>
      </c>
      <c r="E1167" t="inlineStr">
        <is>
          <t>Advanced</t>
        </is>
      </c>
      <c r="F1167" t="n">
        <v>5.9</v>
      </c>
      <c r="G1167" t="inlineStr">
        <is>
          <t>Technical</t>
        </is>
      </c>
      <c r="H1167" t="inlineStr">
        <is>
          <t>Yes</t>
        </is>
      </c>
      <c r="I1167" t="inlineStr">
        <is>
          <t>2023-03-01</t>
        </is>
      </c>
    </row>
    <row r="1168">
      <c r="A1168" t="n">
        <v/>
      </c>
      <c r="B1168" t="n">
        <v>1032302</v>
      </c>
      <c r="C1168" t="inlineStr">
        <is>
          <t>JavaScript</t>
        </is>
      </c>
      <c r="D1168" t="inlineStr">
        <is>
          <t>Secondary</t>
        </is>
      </c>
      <c r="E1168" t="inlineStr">
        <is>
          <t>Intermediate</t>
        </is>
      </c>
      <c r="F1168" t="n">
        <v>3.5</v>
      </c>
      <c r="G1168" t="inlineStr">
        <is>
          <t>Technical</t>
        </is>
      </c>
      <c r="H1168" t="inlineStr">
        <is>
          <t>Yes</t>
        </is>
      </c>
      <c r="I1168" t="inlineStr">
        <is>
          <t>2023-03-01</t>
        </is>
      </c>
    </row>
    <row r="1169">
      <c r="A1169" t="n">
        <v/>
      </c>
      <c r="B1169" t="n">
        <v>1032302</v>
      </c>
      <c r="C1169" t="inlineStr">
        <is>
          <t>TypeScript</t>
        </is>
      </c>
      <c r="D1169" t="inlineStr">
        <is>
          <t>Secondary</t>
        </is>
      </c>
      <c r="E1169" t="inlineStr">
        <is>
          <t>Intermediate</t>
        </is>
      </c>
      <c r="F1169" t="n">
        <v>2.7</v>
      </c>
      <c r="G1169" t="inlineStr">
        <is>
          <t>Technical</t>
        </is>
      </c>
      <c r="H1169" t="inlineStr">
        <is>
          <t>Yes</t>
        </is>
      </c>
      <c r="I1169" t="inlineStr">
        <is>
          <t>2023-03-01</t>
        </is>
      </c>
    </row>
    <row r="1170">
      <c r="A1170" t="n">
        <v/>
      </c>
      <c r="B1170" t="n">
        <v>1032302</v>
      </c>
      <c r="C1170" t="inlineStr">
        <is>
          <t>CSS/HTML</t>
        </is>
      </c>
      <c r="D1170" t="inlineStr">
        <is>
          <t>Secondary</t>
        </is>
      </c>
      <c r="E1170" t="inlineStr">
        <is>
          <t>Intermediate</t>
        </is>
      </c>
      <c r="F1170" t="n">
        <v>1.8</v>
      </c>
      <c r="G1170" t="inlineStr">
        <is>
          <t>Technical</t>
        </is>
      </c>
      <c r="H1170" t="inlineStr">
        <is>
          <t>Yes</t>
        </is>
      </c>
      <c r="I1170" t="inlineStr">
        <is>
          <t>2023-03-01</t>
        </is>
      </c>
    </row>
    <row r="1171">
      <c r="A1171" t="n">
        <v/>
      </c>
      <c r="B1171" t="n">
        <v>1033743</v>
      </c>
      <c r="C1171" t="inlineStr">
        <is>
          <t>Database &amp; SQL Architecture</t>
        </is>
      </c>
      <c r="D1171" t="inlineStr">
        <is>
          <t>Primary</t>
        </is>
      </c>
      <c r="E1171" t="inlineStr">
        <is>
          <t>Advanced</t>
        </is>
      </c>
      <c r="F1171" t="n">
        <v>4.5</v>
      </c>
      <c r="G1171" t="inlineStr">
        <is>
          <t>Technical</t>
        </is>
      </c>
      <c r="H1171" t="inlineStr">
        <is>
          <t>Yes</t>
        </is>
      </c>
      <c r="I1171" t="inlineStr">
        <is>
          <t>2023-10-17</t>
        </is>
      </c>
    </row>
    <row r="1172">
      <c r="A1172" t="n">
        <v/>
      </c>
      <c r="B1172" t="n">
        <v>1033743</v>
      </c>
      <c r="C1172" t="inlineStr">
        <is>
          <t>PostgreSQL</t>
        </is>
      </c>
      <c r="D1172" t="inlineStr">
        <is>
          <t>Secondary</t>
        </is>
      </c>
      <c r="E1172" t="inlineStr">
        <is>
          <t>Intermediate</t>
        </is>
      </c>
      <c r="F1172" t="n">
        <v>2.7</v>
      </c>
      <c r="G1172" t="inlineStr">
        <is>
          <t>Technical</t>
        </is>
      </c>
      <c r="H1172" t="inlineStr">
        <is>
          <t>Yes</t>
        </is>
      </c>
      <c r="I1172" t="inlineStr">
        <is>
          <t>2023-10-17</t>
        </is>
      </c>
    </row>
    <row r="1173">
      <c r="A1173" t="n">
        <v/>
      </c>
      <c r="B1173" t="n">
        <v>1033743</v>
      </c>
      <c r="C1173" t="inlineStr">
        <is>
          <t>Oracle</t>
        </is>
      </c>
      <c r="D1173" t="inlineStr">
        <is>
          <t>Secondary</t>
        </is>
      </c>
      <c r="E1173" t="inlineStr">
        <is>
          <t>Intermediate</t>
        </is>
      </c>
      <c r="F1173" t="n">
        <v>2</v>
      </c>
      <c r="G1173" t="inlineStr">
        <is>
          <t>Technical</t>
        </is>
      </c>
      <c r="H1173" t="inlineStr">
        <is>
          <t>Yes</t>
        </is>
      </c>
      <c r="I1173" t="inlineStr">
        <is>
          <t>2023-10-17</t>
        </is>
      </c>
    </row>
    <row r="1174">
      <c r="A1174" t="n">
        <v/>
      </c>
      <c r="B1174" t="n">
        <v>1033743</v>
      </c>
      <c r="C1174" t="inlineStr">
        <is>
          <t>Performance Tuning</t>
        </is>
      </c>
      <c r="D1174" t="inlineStr">
        <is>
          <t>Secondary</t>
        </is>
      </c>
      <c r="E1174" t="inlineStr">
        <is>
          <t>Beginner</t>
        </is>
      </c>
      <c r="F1174" t="n">
        <v>1.3</v>
      </c>
      <c r="G1174" t="inlineStr">
        <is>
          <t>Technical</t>
        </is>
      </c>
      <c r="H1174" t="inlineStr">
        <is>
          <t>Yes</t>
        </is>
      </c>
      <c r="I1174" t="inlineStr">
        <is>
          <t>2023-10-17</t>
        </is>
      </c>
    </row>
    <row r="1175">
      <c r="A1175" t="n">
        <v/>
      </c>
      <c r="B1175" t="n">
        <v>1020193</v>
      </c>
      <c r="C1175" t="inlineStr">
        <is>
          <t>IT Application &amp; Operations Support</t>
        </is>
      </c>
      <c r="D1175" t="inlineStr">
        <is>
          <t>Primary</t>
        </is>
      </c>
      <c r="E1175" t="inlineStr">
        <is>
          <t>Advanced</t>
        </is>
      </c>
      <c r="F1175" t="n">
        <v>9.6</v>
      </c>
      <c r="G1175" t="inlineStr">
        <is>
          <t>Functional</t>
        </is>
      </c>
      <c r="H1175" t="inlineStr">
        <is>
          <t>Yes</t>
        </is>
      </c>
      <c r="I1175" t="inlineStr">
        <is>
          <t>2018-01-31</t>
        </is>
      </c>
    </row>
    <row r="1176">
      <c r="A1176" t="n">
        <v/>
      </c>
      <c r="B1176" t="n">
        <v>1020193</v>
      </c>
      <c r="C1176" t="inlineStr">
        <is>
          <t>Incident Management</t>
        </is>
      </c>
      <c r="D1176" t="inlineStr">
        <is>
          <t>Secondary</t>
        </is>
      </c>
      <c r="E1176" t="inlineStr">
        <is>
          <t>Advanced</t>
        </is>
      </c>
      <c r="F1176" t="n">
        <v>5.8</v>
      </c>
      <c r="G1176" t="inlineStr">
        <is>
          <t>Functional</t>
        </is>
      </c>
      <c r="H1176" t="inlineStr">
        <is>
          <t>Yes</t>
        </is>
      </c>
      <c r="I1176" t="inlineStr">
        <is>
          <t>2018-01-31</t>
        </is>
      </c>
    </row>
    <row r="1177">
      <c r="A1177" t="n">
        <v/>
      </c>
      <c r="B1177" t="n">
        <v>1020193</v>
      </c>
      <c r="C1177" t="inlineStr">
        <is>
          <t>Production Support</t>
        </is>
      </c>
      <c r="D1177" t="inlineStr">
        <is>
          <t>Secondary</t>
        </is>
      </c>
      <c r="E1177" t="inlineStr">
        <is>
          <t>Intermediate</t>
        </is>
      </c>
      <c r="F1177" t="n">
        <v>4.3</v>
      </c>
      <c r="G1177" t="inlineStr">
        <is>
          <t>Functional</t>
        </is>
      </c>
      <c r="H1177" t="inlineStr">
        <is>
          <t>Yes</t>
        </is>
      </c>
      <c r="I1177" t="inlineStr">
        <is>
          <t>2018-01-31</t>
        </is>
      </c>
    </row>
    <row r="1178">
      <c r="A1178" t="n">
        <v/>
      </c>
      <c r="B1178" t="n">
        <v>1020193</v>
      </c>
      <c r="C1178" t="inlineStr">
        <is>
          <t>SQL</t>
        </is>
      </c>
      <c r="D1178" t="inlineStr">
        <is>
          <t>Secondary</t>
        </is>
      </c>
      <c r="E1178" t="inlineStr">
        <is>
          <t>Intermediate</t>
        </is>
      </c>
      <c r="F1178" t="n">
        <v>2.9</v>
      </c>
      <c r="G1178" t="inlineStr">
        <is>
          <t>Functional</t>
        </is>
      </c>
      <c r="H1178" t="inlineStr">
        <is>
          <t>Yes</t>
        </is>
      </c>
      <c r="I1178" t="inlineStr">
        <is>
          <t>2018-01-31</t>
        </is>
      </c>
    </row>
    <row r="1179">
      <c r="A1179" t="n">
        <v/>
      </c>
      <c r="B1179" t="n">
        <v>1028501</v>
      </c>
      <c r="C1179" t="inlineStr">
        <is>
          <t>IT Application &amp; Operations Support</t>
        </is>
      </c>
      <c r="D1179" t="inlineStr">
        <is>
          <t>Primary</t>
        </is>
      </c>
      <c r="E1179" t="inlineStr">
        <is>
          <t>Advanced</t>
        </is>
      </c>
      <c r="F1179" t="n">
        <v>5.9</v>
      </c>
      <c r="G1179" t="inlineStr">
        <is>
          <t>Functional</t>
        </is>
      </c>
      <c r="H1179" t="inlineStr">
        <is>
          <t>Yes</t>
        </is>
      </c>
      <c r="I1179" t="inlineStr">
        <is>
          <t>2022-03-04</t>
        </is>
      </c>
    </row>
    <row r="1180">
      <c r="A1180" t="n">
        <v/>
      </c>
      <c r="B1180" t="n">
        <v>1028501</v>
      </c>
      <c r="C1180" t="inlineStr">
        <is>
          <t>Incident Management</t>
        </is>
      </c>
      <c r="D1180" t="inlineStr">
        <is>
          <t>Secondary</t>
        </is>
      </c>
      <c r="E1180" t="inlineStr">
        <is>
          <t>Intermediate</t>
        </is>
      </c>
      <c r="F1180" t="n">
        <v>3.5</v>
      </c>
      <c r="G1180" t="inlineStr">
        <is>
          <t>Functional</t>
        </is>
      </c>
      <c r="H1180" t="inlineStr">
        <is>
          <t>Yes</t>
        </is>
      </c>
      <c r="I1180" t="inlineStr">
        <is>
          <t>2022-03-04</t>
        </is>
      </c>
    </row>
    <row r="1181">
      <c r="A1181" t="n">
        <v/>
      </c>
      <c r="B1181" t="n">
        <v>1028501</v>
      </c>
      <c r="C1181" t="inlineStr">
        <is>
          <t>Production Support</t>
        </is>
      </c>
      <c r="D1181" t="inlineStr">
        <is>
          <t>Secondary</t>
        </is>
      </c>
      <c r="E1181" t="inlineStr">
        <is>
          <t>Intermediate</t>
        </is>
      </c>
      <c r="F1181" t="n">
        <v>2.7</v>
      </c>
      <c r="G1181" t="inlineStr">
        <is>
          <t>Functional</t>
        </is>
      </c>
      <c r="H1181" t="inlineStr">
        <is>
          <t>Yes</t>
        </is>
      </c>
      <c r="I1181" t="inlineStr">
        <is>
          <t>2022-03-04</t>
        </is>
      </c>
    </row>
    <row r="1182">
      <c r="A1182" t="n">
        <v/>
      </c>
      <c r="B1182" t="n">
        <v>1028501</v>
      </c>
      <c r="C1182" t="inlineStr">
        <is>
          <t>SQL</t>
        </is>
      </c>
      <c r="D1182" t="inlineStr">
        <is>
          <t>Secondary</t>
        </is>
      </c>
      <c r="E1182" t="inlineStr">
        <is>
          <t>Intermediate</t>
        </is>
      </c>
      <c r="F1182" t="n">
        <v>1.8</v>
      </c>
      <c r="G1182" t="inlineStr">
        <is>
          <t>Functional</t>
        </is>
      </c>
      <c r="H1182" t="inlineStr">
        <is>
          <t>Yes</t>
        </is>
      </c>
      <c r="I1182" t="inlineStr">
        <is>
          <t>2022-03-04</t>
        </is>
      </c>
    </row>
    <row r="1183">
      <c r="A1183" t="n">
        <v/>
      </c>
      <c r="B1183" t="n">
        <v>1031062</v>
      </c>
      <c r="C1183" t="inlineStr">
        <is>
          <t>Fullstack Web (React / Node)</t>
        </is>
      </c>
      <c r="D1183" t="inlineStr">
        <is>
          <t>Primary</t>
        </is>
      </c>
      <c r="E1183" t="inlineStr">
        <is>
          <t>Intermediate</t>
        </is>
      </c>
      <c r="F1183" t="n">
        <v>1.7</v>
      </c>
      <c r="G1183" t="inlineStr">
        <is>
          <t>Technical</t>
        </is>
      </c>
      <c r="H1183" t="inlineStr">
        <is>
          <t>Yes</t>
        </is>
      </c>
      <c r="I1183" t="inlineStr">
        <is>
          <t>2022-11-24</t>
        </is>
      </c>
    </row>
    <row r="1184">
      <c r="A1184" t="n">
        <v/>
      </c>
      <c r="B1184" t="n">
        <v>1031062</v>
      </c>
      <c r="C1184" t="inlineStr">
        <is>
          <t>JavaScript</t>
        </is>
      </c>
      <c r="D1184" t="inlineStr">
        <is>
          <t>Secondary</t>
        </is>
      </c>
      <c r="E1184" t="inlineStr">
        <is>
          <t>Beginner</t>
        </is>
      </c>
      <c r="F1184" t="n">
        <v>1</v>
      </c>
      <c r="G1184" t="inlineStr">
        <is>
          <t>Technical</t>
        </is>
      </c>
      <c r="H1184" t="inlineStr">
        <is>
          <t>Yes</t>
        </is>
      </c>
      <c r="I1184" t="inlineStr">
        <is>
          <t>2022-11-24</t>
        </is>
      </c>
    </row>
    <row r="1185">
      <c r="A1185" t="n">
        <v/>
      </c>
      <c r="B1185" t="n">
        <v>1031062</v>
      </c>
      <c r="C1185" t="inlineStr">
        <is>
          <t>TypeScript</t>
        </is>
      </c>
      <c r="D1185" t="inlineStr">
        <is>
          <t>Secondary</t>
        </is>
      </c>
      <c r="E1185" t="inlineStr">
        <is>
          <t>Beginner</t>
        </is>
      </c>
      <c r="F1185" t="n">
        <v>0.8</v>
      </c>
      <c r="G1185" t="inlineStr">
        <is>
          <t>Technical</t>
        </is>
      </c>
      <c r="H1185" t="inlineStr">
        <is>
          <t>Yes</t>
        </is>
      </c>
      <c r="I1185" t="inlineStr">
        <is>
          <t>2022-11-24</t>
        </is>
      </c>
    </row>
    <row r="1186">
      <c r="A1186" t="n">
        <v/>
      </c>
      <c r="B1186" t="n">
        <v>1028167</v>
      </c>
      <c r="C1186" t="inlineStr">
        <is>
          <t>Fullstack Web (React / Node)</t>
        </is>
      </c>
      <c r="D1186" t="inlineStr">
        <is>
          <t>Primary</t>
        </is>
      </c>
      <c r="E1186" t="inlineStr">
        <is>
          <t>Advanced</t>
        </is>
      </c>
      <c r="F1186" t="n">
        <v>6</v>
      </c>
      <c r="G1186" t="inlineStr">
        <is>
          <t>Technical</t>
        </is>
      </c>
      <c r="H1186" t="inlineStr">
        <is>
          <t>Yes</t>
        </is>
      </c>
      <c r="I1186" t="inlineStr">
        <is>
          <t>2022-01-27</t>
        </is>
      </c>
    </row>
    <row r="1187">
      <c r="A1187" t="n">
        <v/>
      </c>
      <c r="B1187" t="n">
        <v>1028167</v>
      </c>
      <c r="C1187" t="inlineStr">
        <is>
          <t>JavaScript</t>
        </is>
      </c>
      <c r="D1187" t="inlineStr">
        <is>
          <t>Secondary</t>
        </is>
      </c>
      <c r="E1187" t="inlineStr">
        <is>
          <t>Intermediate</t>
        </is>
      </c>
      <c r="F1187" t="n">
        <v>3.6</v>
      </c>
      <c r="G1187" t="inlineStr">
        <is>
          <t>Technical</t>
        </is>
      </c>
      <c r="H1187" t="inlineStr">
        <is>
          <t>Yes</t>
        </is>
      </c>
      <c r="I1187" t="inlineStr">
        <is>
          <t>2022-01-27</t>
        </is>
      </c>
    </row>
    <row r="1188">
      <c r="A1188" t="n">
        <v/>
      </c>
      <c r="B1188" t="n">
        <v>1028167</v>
      </c>
      <c r="C1188" t="inlineStr">
        <is>
          <t>TypeScript</t>
        </is>
      </c>
      <c r="D1188" t="inlineStr">
        <is>
          <t>Secondary</t>
        </is>
      </c>
      <c r="E1188" t="inlineStr">
        <is>
          <t>Intermediate</t>
        </is>
      </c>
      <c r="F1188" t="n">
        <v>2.7</v>
      </c>
      <c r="G1188" t="inlineStr">
        <is>
          <t>Technical</t>
        </is>
      </c>
      <c r="H1188" t="inlineStr">
        <is>
          <t>Yes</t>
        </is>
      </c>
      <c r="I1188" t="inlineStr">
        <is>
          <t>2022-01-27</t>
        </is>
      </c>
    </row>
    <row r="1189">
      <c r="A1189" t="n">
        <v/>
      </c>
      <c r="B1189" t="n">
        <v>1028167</v>
      </c>
      <c r="C1189" t="inlineStr">
        <is>
          <t>CSS/HTML</t>
        </is>
      </c>
      <c r="D1189" t="inlineStr">
        <is>
          <t>Secondary</t>
        </is>
      </c>
      <c r="E1189" t="inlineStr">
        <is>
          <t>Intermediate</t>
        </is>
      </c>
      <c r="F1189" t="n">
        <v>1.8</v>
      </c>
      <c r="G1189" t="inlineStr">
        <is>
          <t>Technical</t>
        </is>
      </c>
      <c r="H1189" t="inlineStr">
        <is>
          <t>Yes</t>
        </is>
      </c>
      <c r="I1189" t="inlineStr">
        <is>
          <t>2022-01-27</t>
        </is>
      </c>
    </row>
    <row r="1190">
      <c r="A1190" t="n">
        <v/>
      </c>
      <c r="B1190" t="n">
        <v>1033497</v>
      </c>
      <c r="C1190" t="inlineStr">
        <is>
          <t>Fullstack Web (React / Node)</t>
        </is>
      </c>
      <c r="D1190" t="inlineStr">
        <is>
          <t>Primary</t>
        </is>
      </c>
      <c r="E1190" t="inlineStr">
        <is>
          <t>Advanced</t>
        </is>
      </c>
      <c r="F1190" t="n">
        <v>4.6</v>
      </c>
      <c r="G1190" t="inlineStr">
        <is>
          <t>Technical</t>
        </is>
      </c>
      <c r="H1190" t="inlineStr">
        <is>
          <t>Yes</t>
        </is>
      </c>
      <c r="I1190" t="inlineStr">
        <is>
          <t>2023-09-08</t>
        </is>
      </c>
    </row>
    <row r="1191">
      <c r="A1191" t="n">
        <v/>
      </c>
      <c r="B1191" t="n">
        <v>1033497</v>
      </c>
      <c r="C1191" t="inlineStr">
        <is>
          <t>JavaScript</t>
        </is>
      </c>
      <c r="D1191" t="inlineStr">
        <is>
          <t>Secondary</t>
        </is>
      </c>
      <c r="E1191" t="inlineStr">
        <is>
          <t>Intermediate</t>
        </is>
      </c>
      <c r="F1191" t="n">
        <v>2.8</v>
      </c>
      <c r="G1191" t="inlineStr">
        <is>
          <t>Technical</t>
        </is>
      </c>
      <c r="H1191" t="inlineStr">
        <is>
          <t>Yes</t>
        </is>
      </c>
      <c r="I1191" t="inlineStr">
        <is>
          <t>2023-09-08</t>
        </is>
      </c>
    </row>
    <row r="1192">
      <c r="A1192" t="n">
        <v/>
      </c>
      <c r="B1192" t="n">
        <v>1033497</v>
      </c>
      <c r="C1192" t="inlineStr">
        <is>
          <t>TypeScript</t>
        </is>
      </c>
      <c r="D1192" t="inlineStr">
        <is>
          <t>Secondary</t>
        </is>
      </c>
      <c r="E1192" t="inlineStr">
        <is>
          <t>Intermediate</t>
        </is>
      </c>
      <c r="F1192" t="n">
        <v>2.1</v>
      </c>
      <c r="G1192" t="inlineStr">
        <is>
          <t>Technical</t>
        </is>
      </c>
      <c r="H1192" t="inlineStr">
        <is>
          <t>Yes</t>
        </is>
      </c>
      <c r="I1192" t="inlineStr">
        <is>
          <t>2023-09-08</t>
        </is>
      </c>
    </row>
    <row r="1193">
      <c r="A1193" t="n">
        <v/>
      </c>
      <c r="B1193" t="n">
        <v>1033497</v>
      </c>
      <c r="C1193" t="inlineStr">
        <is>
          <t>CSS/HTML</t>
        </is>
      </c>
      <c r="D1193" t="inlineStr">
        <is>
          <t>Secondary</t>
        </is>
      </c>
      <c r="E1193" t="inlineStr">
        <is>
          <t>Beginner</t>
        </is>
      </c>
      <c r="F1193" t="n">
        <v>1.4</v>
      </c>
      <c r="G1193" t="inlineStr">
        <is>
          <t>Technical</t>
        </is>
      </c>
      <c r="H1193" t="inlineStr">
        <is>
          <t>Yes</t>
        </is>
      </c>
      <c r="I1193" t="inlineStr">
        <is>
          <t>2023-09-08</t>
        </is>
      </c>
    </row>
    <row r="1194">
      <c r="A1194" t="n">
        <v/>
      </c>
      <c r="B1194" t="n">
        <v>1019823</v>
      </c>
      <c r="C1194" t="inlineStr">
        <is>
          <t>Cognos BI &amp; Analytics</t>
        </is>
      </c>
      <c r="D1194" t="inlineStr">
        <is>
          <t>Primary</t>
        </is>
      </c>
      <c r="E1194" t="inlineStr">
        <is>
          <t>Advanced</t>
        </is>
      </c>
      <c r="F1194" t="n">
        <v>10</v>
      </c>
      <c r="G1194" t="inlineStr">
        <is>
          <t>Technical</t>
        </is>
      </c>
      <c r="H1194" t="inlineStr">
        <is>
          <t>Yes</t>
        </is>
      </c>
      <c r="I1194" t="inlineStr">
        <is>
          <t>2017-09-20</t>
        </is>
      </c>
    </row>
    <row r="1195">
      <c r="A1195" t="n">
        <v/>
      </c>
      <c r="B1195" t="n">
        <v>1019823</v>
      </c>
      <c r="C1195" t="inlineStr">
        <is>
          <t>SQL</t>
        </is>
      </c>
      <c r="D1195" t="inlineStr">
        <is>
          <t>Secondary</t>
        </is>
      </c>
      <c r="E1195" t="inlineStr">
        <is>
          <t>Advanced</t>
        </is>
      </c>
      <c r="F1195" t="n">
        <v>6</v>
      </c>
      <c r="G1195" t="inlineStr">
        <is>
          <t>Technical</t>
        </is>
      </c>
      <c r="H1195" t="inlineStr">
        <is>
          <t>Yes</t>
        </is>
      </c>
      <c r="I1195" t="inlineStr">
        <is>
          <t>2017-09-20</t>
        </is>
      </c>
    </row>
    <row r="1196">
      <c r="A1196" t="n">
        <v/>
      </c>
      <c r="B1196" t="n">
        <v>1019823</v>
      </c>
      <c r="C1196" t="inlineStr">
        <is>
          <t>Data Modeling</t>
        </is>
      </c>
      <c r="D1196" t="inlineStr">
        <is>
          <t>Secondary</t>
        </is>
      </c>
      <c r="E1196" t="inlineStr">
        <is>
          <t>Intermediate</t>
        </is>
      </c>
      <c r="F1196" t="n">
        <v>4.5</v>
      </c>
      <c r="G1196" t="inlineStr">
        <is>
          <t>Technical</t>
        </is>
      </c>
      <c r="H1196" t="inlineStr">
        <is>
          <t>Yes</t>
        </is>
      </c>
      <c r="I1196" t="inlineStr">
        <is>
          <t>2017-09-20</t>
        </is>
      </c>
    </row>
    <row r="1197">
      <c r="A1197" t="n">
        <v/>
      </c>
      <c r="B1197" t="n">
        <v>1019823</v>
      </c>
      <c r="C1197" t="inlineStr">
        <is>
          <t>Report Studio</t>
        </is>
      </c>
      <c r="D1197" t="inlineStr">
        <is>
          <t>Secondary</t>
        </is>
      </c>
      <c r="E1197" t="inlineStr">
        <is>
          <t>Intermediate</t>
        </is>
      </c>
      <c r="F1197" t="n">
        <v>3</v>
      </c>
      <c r="G1197" t="inlineStr">
        <is>
          <t>Technical</t>
        </is>
      </c>
      <c r="H1197" t="inlineStr">
        <is>
          <t>Yes</t>
        </is>
      </c>
      <c r="I1197" t="inlineStr">
        <is>
          <t>2017-09-20</t>
        </is>
      </c>
    </row>
    <row r="1198">
      <c r="A1198" t="n">
        <v/>
      </c>
      <c r="B1198" t="n">
        <v>1031049</v>
      </c>
      <c r="C1198" t="inlineStr">
        <is>
          <t>Cloud &amp; DevOps (AWS / K8s)</t>
        </is>
      </c>
      <c r="D1198" t="inlineStr">
        <is>
          <t>Primary</t>
        </is>
      </c>
      <c r="E1198" t="inlineStr">
        <is>
          <t>Intermediate</t>
        </is>
      </c>
      <c r="F1198" t="n">
        <v>1.7</v>
      </c>
      <c r="G1198" t="inlineStr">
        <is>
          <t>Technical</t>
        </is>
      </c>
      <c r="H1198" t="inlineStr">
        <is>
          <t>Yes</t>
        </is>
      </c>
      <c r="I1198" t="inlineStr">
        <is>
          <t>2022-11-24</t>
        </is>
      </c>
    </row>
    <row r="1199">
      <c r="A1199" t="n">
        <v/>
      </c>
      <c r="B1199" t="n">
        <v>1031049</v>
      </c>
      <c r="C1199" t="inlineStr">
        <is>
          <t>Docker</t>
        </is>
      </c>
      <c r="D1199" t="inlineStr">
        <is>
          <t>Secondary</t>
        </is>
      </c>
      <c r="E1199" t="inlineStr">
        <is>
          <t>Beginner</t>
        </is>
      </c>
      <c r="F1199" t="n">
        <v>1</v>
      </c>
      <c r="G1199" t="inlineStr">
        <is>
          <t>Technical</t>
        </is>
      </c>
      <c r="H1199" t="inlineStr">
        <is>
          <t>Yes</t>
        </is>
      </c>
      <c r="I1199" t="inlineStr">
        <is>
          <t>2022-11-24</t>
        </is>
      </c>
    </row>
    <row r="1200">
      <c r="A1200" t="n">
        <v/>
      </c>
      <c r="B1200" t="n">
        <v>1031049</v>
      </c>
      <c r="C1200" t="inlineStr">
        <is>
          <t>Kubernetes</t>
        </is>
      </c>
      <c r="D1200" t="inlineStr">
        <is>
          <t>Secondary</t>
        </is>
      </c>
      <c r="E1200" t="inlineStr">
        <is>
          <t>Beginner</t>
        </is>
      </c>
      <c r="F1200" t="n">
        <v>0.8</v>
      </c>
      <c r="G1200" t="inlineStr">
        <is>
          <t>Technical</t>
        </is>
      </c>
      <c r="H1200" t="inlineStr">
        <is>
          <t>Yes</t>
        </is>
      </c>
      <c r="I1200" t="inlineStr">
        <is>
          <t>2022-11-24</t>
        </is>
      </c>
    </row>
    <row r="1201">
      <c r="A1201" t="n">
        <v/>
      </c>
      <c r="B1201" t="n">
        <v>1028754</v>
      </c>
      <c r="C1201" t="inlineStr">
        <is>
          <t>IT Application &amp; Operations Support</t>
        </is>
      </c>
      <c r="D1201" t="inlineStr">
        <is>
          <t>Primary</t>
        </is>
      </c>
      <c r="E1201" t="inlineStr">
        <is>
          <t>Intermediate</t>
        </is>
      </c>
      <c r="F1201" t="n">
        <v>2.3</v>
      </c>
      <c r="G1201" t="inlineStr">
        <is>
          <t>Functional</t>
        </is>
      </c>
      <c r="H1201" t="inlineStr">
        <is>
          <t>Yes</t>
        </is>
      </c>
      <c r="I1201" t="inlineStr">
        <is>
          <t>2022-04-04</t>
        </is>
      </c>
    </row>
    <row r="1202">
      <c r="A1202" t="n">
        <v/>
      </c>
      <c r="B1202" t="n">
        <v>1028754</v>
      </c>
      <c r="C1202" t="inlineStr">
        <is>
          <t>Incident Management</t>
        </is>
      </c>
      <c r="D1202" t="inlineStr">
        <is>
          <t>Secondary</t>
        </is>
      </c>
      <c r="E1202" t="inlineStr">
        <is>
          <t>Beginner</t>
        </is>
      </c>
      <c r="F1202" t="n">
        <v>1.4</v>
      </c>
      <c r="G1202" t="inlineStr">
        <is>
          <t>Functional</t>
        </is>
      </c>
      <c r="H1202" t="inlineStr">
        <is>
          <t>Yes</t>
        </is>
      </c>
      <c r="I1202" t="inlineStr">
        <is>
          <t>2022-04-04</t>
        </is>
      </c>
    </row>
    <row r="1203">
      <c r="A1203" t="n">
        <v/>
      </c>
      <c r="B1203" t="n">
        <v>1028754</v>
      </c>
      <c r="C1203" t="inlineStr">
        <is>
          <t>Production Support</t>
        </is>
      </c>
      <c r="D1203" t="inlineStr">
        <is>
          <t>Secondary</t>
        </is>
      </c>
      <c r="E1203" t="inlineStr">
        <is>
          <t>Beginner</t>
        </is>
      </c>
      <c r="F1203" t="n">
        <v>1</v>
      </c>
      <c r="G1203" t="inlineStr">
        <is>
          <t>Functional</t>
        </is>
      </c>
      <c r="H1203" t="inlineStr">
        <is>
          <t>Yes</t>
        </is>
      </c>
      <c r="I1203" t="inlineStr">
        <is>
          <t>2022-04-04</t>
        </is>
      </c>
    </row>
    <row r="1204">
      <c r="A1204" t="n">
        <v/>
      </c>
      <c r="B1204" t="n">
        <v>1024656</v>
      </c>
      <c r="C1204" t="inlineStr">
        <is>
          <t>Java / Spring Boot</t>
        </is>
      </c>
      <c r="D1204" t="inlineStr">
        <is>
          <t>Primary</t>
        </is>
      </c>
      <c r="E1204" t="inlineStr">
        <is>
          <t>Advanced</t>
        </is>
      </c>
      <c r="F1204" t="n">
        <v>6.9</v>
      </c>
      <c r="G1204" t="inlineStr">
        <is>
          <t>Technical</t>
        </is>
      </c>
      <c r="H1204" t="inlineStr">
        <is>
          <t>Yes</t>
        </is>
      </c>
      <c r="I1204" t="inlineStr">
        <is>
          <t>2021-02-25</t>
        </is>
      </c>
      <c r="J1204" t="inlineStr">
        <is>
          <t>Provider</t>
        </is>
      </c>
    </row>
    <row r="1205">
      <c r="A1205" t="n">
        <v/>
      </c>
      <c r="B1205" t="n">
        <v>1024656</v>
      </c>
      <c r="C1205" t="inlineStr">
        <is>
          <t>SQL</t>
        </is>
      </c>
      <c r="D1205" t="inlineStr">
        <is>
          <t>Secondary</t>
        </is>
      </c>
      <c r="E1205" t="inlineStr">
        <is>
          <t>Intermediate</t>
        </is>
      </c>
      <c r="F1205" t="n">
        <v>4.1</v>
      </c>
      <c r="G1205" t="inlineStr">
        <is>
          <t>Technical</t>
        </is>
      </c>
      <c r="H1205" t="inlineStr">
        <is>
          <t>Yes</t>
        </is>
      </c>
      <c r="I1205" t="inlineStr">
        <is>
          <t>2021-02-25</t>
        </is>
      </c>
      <c r="J1205" t="inlineStr">
        <is>
          <t>Provider</t>
        </is>
      </c>
    </row>
    <row r="1206">
      <c r="A1206" t="n">
        <v/>
      </c>
      <c r="B1206" t="n">
        <v>1024656</v>
      </c>
      <c r="C1206" t="inlineStr">
        <is>
          <t>Docker</t>
        </is>
      </c>
      <c r="D1206" t="inlineStr">
        <is>
          <t>Secondary</t>
        </is>
      </c>
      <c r="E1206" t="inlineStr">
        <is>
          <t>Intermediate</t>
        </is>
      </c>
      <c r="F1206" t="n">
        <v>3.1</v>
      </c>
      <c r="G1206" t="inlineStr">
        <is>
          <t>Technical</t>
        </is>
      </c>
      <c r="H1206" t="inlineStr">
        <is>
          <t>Yes</t>
        </is>
      </c>
      <c r="I1206" t="inlineStr">
        <is>
          <t>2021-02-25</t>
        </is>
      </c>
      <c r="J1206" t="inlineStr">
        <is>
          <t>Provider</t>
        </is>
      </c>
    </row>
    <row r="1207">
      <c r="A1207" t="n">
        <v/>
      </c>
      <c r="B1207" t="n">
        <v>1024656</v>
      </c>
      <c r="C1207" t="inlineStr">
        <is>
          <t>Git</t>
        </is>
      </c>
      <c r="D1207" t="inlineStr">
        <is>
          <t>Secondary</t>
        </is>
      </c>
      <c r="E1207" t="inlineStr">
        <is>
          <t>Intermediate</t>
        </is>
      </c>
      <c r="F1207" t="n">
        <v>2.1</v>
      </c>
      <c r="G1207" t="inlineStr">
        <is>
          <t>Technical</t>
        </is>
      </c>
      <c r="H1207" t="inlineStr">
        <is>
          <t>Yes</t>
        </is>
      </c>
      <c r="I1207" t="inlineStr">
        <is>
          <t>2021-02-25</t>
        </is>
      </c>
      <c r="J1207" t="inlineStr">
        <is>
          <t>Provider</t>
        </is>
      </c>
    </row>
    <row r="1208">
      <c r="A1208" t="n">
        <v/>
      </c>
      <c r="B1208" t="n">
        <v>1031875</v>
      </c>
      <c r="C1208" t="inlineStr">
        <is>
          <t>QA Automation / SDET</t>
        </is>
      </c>
      <c r="D1208" t="inlineStr">
        <is>
          <t>Primary</t>
        </is>
      </c>
      <c r="E1208" t="inlineStr">
        <is>
          <t>Advanced</t>
        </is>
      </c>
      <c r="F1208" t="n">
        <v>5.2</v>
      </c>
      <c r="G1208" t="inlineStr">
        <is>
          <t>Technical</t>
        </is>
      </c>
      <c r="H1208" t="inlineStr">
        <is>
          <t>Yes</t>
        </is>
      </c>
      <c r="I1208" t="inlineStr">
        <is>
          <t>2022-12-19</t>
        </is>
      </c>
    </row>
    <row r="1209">
      <c r="A1209" t="n">
        <v/>
      </c>
      <c r="B1209" t="n">
        <v>1031875</v>
      </c>
      <c r="C1209" t="inlineStr">
        <is>
          <t>Selenium</t>
        </is>
      </c>
      <c r="D1209" t="inlineStr">
        <is>
          <t>Secondary</t>
        </is>
      </c>
      <c r="E1209" t="inlineStr">
        <is>
          <t>Intermediate</t>
        </is>
      </c>
      <c r="F1209" t="n">
        <v>3.1</v>
      </c>
      <c r="G1209" t="inlineStr">
        <is>
          <t>Technical</t>
        </is>
      </c>
      <c r="H1209" t="inlineStr">
        <is>
          <t>Yes</t>
        </is>
      </c>
      <c r="I1209" t="inlineStr">
        <is>
          <t>2022-12-19</t>
        </is>
      </c>
    </row>
    <row r="1210">
      <c r="A1210" t="n">
        <v/>
      </c>
      <c r="B1210" t="n">
        <v>1031875</v>
      </c>
      <c r="C1210" t="inlineStr">
        <is>
          <t>API Testing (Postman)</t>
        </is>
      </c>
      <c r="D1210" t="inlineStr">
        <is>
          <t>Secondary</t>
        </is>
      </c>
      <c r="E1210" t="inlineStr">
        <is>
          <t>Intermediate</t>
        </is>
      </c>
      <c r="F1210" t="n">
        <v>2.3</v>
      </c>
      <c r="G1210" t="inlineStr">
        <is>
          <t>Technical</t>
        </is>
      </c>
      <c r="H1210" t="inlineStr">
        <is>
          <t>Yes</t>
        </is>
      </c>
      <c r="I1210" t="inlineStr">
        <is>
          <t>2022-12-19</t>
        </is>
      </c>
    </row>
    <row r="1211">
      <c r="A1211" t="n">
        <v/>
      </c>
      <c r="B1211" t="n">
        <v>1031875</v>
      </c>
      <c r="C1211" t="inlineStr">
        <is>
          <t>TestNG</t>
        </is>
      </c>
      <c r="D1211" t="inlineStr">
        <is>
          <t>Secondary</t>
        </is>
      </c>
      <c r="E1211" t="inlineStr">
        <is>
          <t>Intermediate</t>
        </is>
      </c>
      <c r="F1211" t="n">
        <v>1.6</v>
      </c>
      <c r="G1211" t="inlineStr">
        <is>
          <t>Technical</t>
        </is>
      </c>
      <c r="H1211" t="inlineStr">
        <is>
          <t>Yes</t>
        </is>
      </c>
      <c r="I1211" t="inlineStr">
        <is>
          <t>2022-12-19</t>
        </is>
      </c>
    </row>
    <row r="1212">
      <c r="A1212" t="n">
        <v/>
      </c>
      <c r="B1212" t="n">
        <v>1031088</v>
      </c>
      <c r="C1212" t="inlineStr">
        <is>
          <t>Java / Spring Boot</t>
        </is>
      </c>
      <c r="D1212" t="inlineStr">
        <is>
          <t>Primary</t>
        </is>
      </c>
      <c r="E1212" t="inlineStr">
        <is>
          <t>Intermediate</t>
        </is>
      </c>
      <c r="F1212" t="n">
        <v>1.7</v>
      </c>
      <c r="G1212" t="inlineStr">
        <is>
          <t>Technical</t>
        </is>
      </c>
      <c r="H1212" t="inlineStr">
        <is>
          <t>Yes</t>
        </is>
      </c>
      <c r="I1212" t="inlineStr">
        <is>
          <t>2022-11-24</t>
        </is>
      </c>
      <c r="J1212" t="inlineStr">
        <is>
          <t>Member</t>
        </is>
      </c>
    </row>
    <row r="1213">
      <c r="A1213" t="n">
        <v/>
      </c>
      <c r="B1213" t="n">
        <v>1031088</v>
      </c>
      <c r="C1213" t="inlineStr">
        <is>
          <t>SQL</t>
        </is>
      </c>
      <c r="D1213" t="inlineStr">
        <is>
          <t>Secondary</t>
        </is>
      </c>
      <c r="E1213" t="inlineStr">
        <is>
          <t>Beginner</t>
        </is>
      </c>
      <c r="F1213" t="n">
        <v>1</v>
      </c>
      <c r="G1213" t="inlineStr">
        <is>
          <t>Technical</t>
        </is>
      </c>
      <c r="H1213" t="inlineStr">
        <is>
          <t>Yes</t>
        </is>
      </c>
      <c r="I1213" t="inlineStr">
        <is>
          <t>2022-11-24</t>
        </is>
      </c>
      <c r="J1213" t="inlineStr">
        <is>
          <t>Member</t>
        </is>
      </c>
    </row>
    <row r="1214">
      <c r="A1214" t="n">
        <v/>
      </c>
      <c r="B1214" t="n">
        <v>1031088</v>
      </c>
      <c r="C1214" t="inlineStr">
        <is>
          <t>Docker</t>
        </is>
      </c>
      <c r="D1214" t="inlineStr">
        <is>
          <t>Secondary</t>
        </is>
      </c>
      <c r="E1214" t="inlineStr">
        <is>
          <t>Beginner</t>
        </is>
      </c>
      <c r="F1214" t="n">
        <v>0.8</v>
      </c>
      <c r="G1214" t="inlineStr">
        <is>
          <t>Technical</t>
        </is>
      </c>
      <c r="H1214" t="inlineStr">
        <is>
          <t>Yes</t>
        </is>
      </c>
      <c r="I1214" t="inlineStr">
        <is>
          <t>2022-11-24</t>
        </is>
      </c>
      <c r="J1214" t="inlineStr">
        <is>
          <t>Member</t>
        </is>
      </c>
    </row>
    <row r="1215">
      <c r="A1215" t="n">
        <v/>
      </c>
      <c r="B1215" t="n">
        <v>1030797</v>
      </c>
      <c r="C1215" t="inlineStr">
        <is>
          <t>QA Automation / SDET</t>
        </is>
      </c>
      <c r="D1215" t="inlineStr">
        <is>
          <t>Primary</t>
        </is>
      </c>
      <c r="E1215" t="inlineStr">
        <is>
          <t>Advanced</t>
        </is>
      </c>
      <c r="F1215" t="n">
        <v>5.3</v>
      </c>
      <c r="G1215" t="inlineStr">
        <is>
          <t>Technical</t>
        </is>
      </c>
      <c r="H1215" t="inlineStr">
        <is>
          <t>Yes</t>
        </is>
      </c>
      <c r="I1215" t="inlineStr">
        <is>
          <t>2022-10-31</t>
        </is>
      </c>
    </row>
    <row r="1216">
      <c r="A1216" t="n">
        <v/>
      </c>
      <c r="B1216" t="n">
        <v>1030797</v>
      </c>
      <c r="C1216" t="inlineStr">
        <is>
          <t>Selenium</t>
        </is>
      </c>
      <c r="D1216" t="inlineStr">
        <is>
          <t>Secondary</t>
        </is>
      </c>
      <c r="E1216" t="inlineStr">
        <is>
          <t>Intermediate</t>
        </is>
      </c>
      <c r="F1216" t="n">
        <v>3.2</v>
      </c>
      <c r="G1216" t="inlineStr">
        <is>
          <t>Technical</t>
        </is>
      </c>
      <c r="H1216" t="inlineStr">
        <is>
          <t>Yes</t>
        </is>
      </c>
      <c r="I1216" t="inlineStr">
        <is>
          <t>2022-10-31</t>
        </is>
      </c>
    </row>
    <row r="1217">
      <c r="A1217" t="n">
        <v/>
      </c>
      <c r="B1217" t="n">
        <v>1030797</v>
      </c>
      <c r="C1217" t="inlineStr">
        <is>
          <t>API Testing (Postman)</t>
        </is>
      </c>
      <c r="D1217" t="inlineStr">
        <is>
          <t>Secondary</t>
        </is>
      </c>
      <c r="E1217" t="inlineStr">
        <is>
          <t>Intermediate</t>
        </is>
      </c>
      <c r="F1217" t="n">
        <v>2.4</v>
      </c>
      <c r="G1217" t="inlineStr">
        <is>
          <t>Technical</t>
        </is>
      </c>
      <c r="H1217" t="inlineStr">
        <is>
          <t>Yes</t>
        </is>
      </c>
      <c r="I1217" t="inlineStr">
        <is>
          <t>2022-10-31</t>
        </is>
      </c>
    </row>
    <row r="1218">
      <c r="A1218" t="n">
        <v/>
      </c>
      <c r="B1218" t="n">
        <v>1030797</v>
      </c>
      <c r="C1218" t="inlineStr">
        <is>
          <t>TestNG</t>
        </is>
      </c>
      <c r="D1218" t="inlineStr">
        <is>
          <t>Secondary</t>
        </is>
      </c>
      <c r="E1218" t="inlineStr">
        <is>
          <t>Intermediate</t>
        </is>
      </c>
      <c r="F1218" t="n">
        <v>1.6</v>
      </c>
      <c r="G1218" t="inlineStr">
        <is>
          <t>Technical</t>
        </is>
      </c>
      <c r="H1218" t="inlineStr">
        <is>
          <t>Yes</t>
        </is>
      </c>
      <c r="I1218" t="inlineStr">
        <is>
          <t>2022-10-31</t>
        </is>
      </c>
    </row>
    <row r="1219">
      <c r="A1219" t="n">
        <v/>
      </c>
      <c r="B1219" t="n">
        <v>1025477</v>
      </c>
      <c r="C1219" t="inlineStr">
        <is>
          <t>QA Automation / SDET</t>
        </is>
      </c>
      <c r="D1219" t="inlineStr">
        <is>
          <t>Primary</t>
        </is>
      </c>
      <c r="E1219" t="inlineStr">
        <is>
          <t>Advanced</t>
        </is>
      </c>
      <c r="F1219" t="n">
        <v>6.6</v>
      </c>
      <c r="G1219" t="inlineStr">
        <is>
          <t>Technical</t>
        </is>
      </c>
      <c r="H1219" t="inlineStr">
        <is>
          <t>Yes</t>
        </is>
      </c>
      <c r="I1219" t="inlineStr">
        <is>
          <t>2021-06-09</t>
        </is>
      </c>
    </row>
    <row r="1220">
      <c r="A1220" t="n">
        <v/>
      </c>
      <c r="B1220" t="n">
        <v>1025477</v>
      </c>
      <c r="C1220" t="inlineStr">
        <is>
          <t>Selenium</t>
        </is>
      </c>
      <c r="D1220" t="inlineStr">
        <is>
          <t>Secondary</t>
        </is>
      </c>
      <c r="E1220" t="inlineStr">
        <is>
          <t>Intermediate</t>
        </is>
      </c>
      <c r="F1220" t="n">
        <v>4</v>
      </c>
      <c r="G1220" t="inlineStr">
        <is>
          <t>Technical</t>
        </is>
      </c>
      <c r="H1220" t="inlineStr">
        <is>
          <t>Yes</t>
        </is>
      </c>
      <c r="I1220" t="inlineStr">
        <is>
          <t>2021-06-09</t>
        </is>
      </c>
    </row>
    <row r="1221">
      <c r="A1221" t="n">
        <v/>
      </c>
      <c r="B1221" t="n">
        <v>1025477</v>
      </c>
      <c r="C1221" t="inlineStr">
        <is>
          <t>API Testing (Postman)</t>
        </is>
      </c>
      <c r="D1221" t="inlineStr">
        <is>
          <t>Secondary</t>
        </is>
      </c>
      <c r="E1221" t="inlineStr">
        <is>
          <t>Intermediate</t>
        </is>
      </c>
      <c r="F1221" t="n">
        <v>3</v>
      </c>
      <c r="G1221" t="inlineStr">
        <is>
          <t>Technical</t>
        </is>
      </c>
      <c r="H1221" t="inlineStr">
        <is>
          <t>Yes</t>
        </is>
      </c>
      <c r="I1221" t="inlineStr">
        <is>
          <t>2021-06-09</t>
        </is>
      </c>
    </row>
    <row r="1222">
      <c r="A1222" t="n">
        <v/>
      </c>
      <c r="B1222" t="n">
        <v>1025477</v>
      </c>
      <c r="C1222" t="inlineStr">
        <is>
          <t>TestNG</t>
        </is>
      </c>
      <c r="D1222" t="inlineStr">
        <is>
          <t>Secondary</t>
        </is>
      </c>
      <c r="E1222" t="inlineStr">
        <is>
          <t>Intermediate</t>
        </is>
      </c>
      <c r="F1222" t="n">
        <v>2</v>
      </c>
      <c r="G1222" t="inlineStr">
        <is>
          <t>Technical</t>
        </is>
      </c>
      <c r="H1222" t="inlineStr">
        <is>
          <t>Yes</t>
        </is>
      </c>
      <c r="I1222" t="inlineStr">
        <is>
          <t>2021-06-09</t>
        </is>
      </c>
    </row>
    <row r="1223">
      <c r="A1223" t="n">
        <v/>
      </c>
      <c r="B1223" t="n">
        <v>1026468</v>
      </c>
      <c r="C1223" t="inlineStr">
        <is>
          <t>QA Automation / SDET</t>
        </is>
      </c>
      <c r="D1223" t="inlineStr">
        <is>
          <t>Primary</t>
        </is>
      </c>
      <c r="E1223" t="inlineStr">
        <is>
          <t>Advanced</t>
        </is>
      </c>
      <c r="F1223" t="n">
        <v>6.4</v>
      </c>
      <c r="G1223" t="inlineStr">
        <is>
          <t>Technical</t>
        </is>
      </c>
      <c r="H1223" t="inlineStr">
        <is>
          <t>Yes</t>
        </is>
      </c>
      <c r="I1223" t="inlineStr">
        <is>
          <t>2021-09-17</t>
        </is>
      </c>
    </row>
    <row r="1224">
      <c r="A1224" t="n">
        <v/>
      </c>
      <c r="B1224" t="n">
        <v>1026468</v>
      </c>
      <c r="C1224" t="inlineStr">
        <is>
          <t>Selenium</t>
        </is>
      </c>
      <c r="D1224" t="inlineStr">
        <is>
          <t>Secondary</t>
        </is>
      </c>
      <c r="E1224" t="inlineStr">
        <is>
          <t>Intermediate</t>
        </is>
      </c>
      <c r="F1224" t="n">
        <v>3.8</v>
      </c>
      <c r="G1224" t="inlineStr">
        <is>
          <t>Technical</t>
        </is>
      </c>
      <c r="H1224" t="inlineStr">
        <is>
          <t>Yes</t>
        </is>
      </c>
      <c r="I1224" t="inlineStr">
        <is>
          <t>2021-09-17</t>
        </is>
      </c>
    </row>
    <row r="1225">
      <c r="A1225" t="n">
        <v/>
      </c>
      <c r="B1225" t="n">
        <v>1026468</v>
      </c>
      <c r="C1225" t="inlineStr">
        <is>
          <t>API Testing (Postman)</t>
        </is>
      </c>
      <c r="D1225" t="inlineStr">
        <is>
          <t>Secondary</t>
        </is>
      </c>
      <c r="E1225" t="inlineStr">
        <is>
          <t>Intermediate</t>
        </is>
      </c>
      <c r="F1225" t="n">
        <v>2.9</v>
      </c>
      <c r="G1225" t="inlineStr">
        <is>
          <t>Technical</t>
        </is>
      </c>
      <c r="H1225" t="inlineStr">
        <is>
          <t>Yes</t>
        </is>
      </c>
      <c r="I1225" t="inlineStr">
        <is>
          <t>2021-09-17</t>
        </is>
      </c>
    </row>
    <row r="1226">
      <c r="A1226" t="n">
        <v/>
      </c>
      <c r="B1226" t="n">
        <v>1026468</v>
      </c>
      <c r="C1226" t="inlineStr">
        <is>
          <t>TestNG</t>
        </is>
      </c>
      <c r="D1226" t="inlineStr">
        <is>
          <t>Secondary</t>
        </is>
      </c>
      <c r="E1226" t="inlineStr">
        <is>
          <t>Intermediate</t>
        </is>
      </c>
      <c r="F1226" t="n">
        <v>1.9</v>
      </c>
      <c r="G1226" t="inlineStr">
        <is>
          <t>Technical</t>
        </is>
      </c>
      <c r="H1226" t="inlineStr">
        <is>
          <t>Yes</t>
        </is>
      </c>
      <c r="I1226" t="inlineStr">
        <is>
          <t>2021-09-17</t>
        </is>
      </c>
    </row>
    <row r="1227">
      <c r="A1227" t="n">
        <v/>
      </c>
      <c r="B1227" t="n">
        <v>1025771</v>
      </c>
      <c r="C1227" t="inlineStr">
        <is>
          <t>Frontend (Angular / TypeScript)</t>
        </is>
      </c>
      <c r="D1227" t="inlineStr">
        <is>
          <t>Primary</t>
        </is>
      </c>
      <c r="E1227" t="inlineStr">
        <is>
          <t>Advanced</t>
        </is>
      </c>
      <c r="F1227" t="n">
        <v>6.5</v>
      </c>
      <c r="G1227" t="inlineStr">
        <is>
          <t>Technical</t>
        </is>
      </c>
      <c r="H1227" t="inlineStr">
        <is>
          <t>Yes</t>
        </is>
      </c>
      <c r="I1227" t="inlineStr">
        <is>
          <t>2021-07-12</t>
        </is>
      </c>
    </row>
    <row r="1228">
      <c r="A1228" t="n">
        <v/>
      </c>
      <c r="B1228" t="n">
        <v>1025771</v>
      </c>
      <c r="C1228" t="inlineStr">
        <is>
          <t>TypeScript</t>
        </is>
      </c>
      <c r="D1228" t="inlineStr">
        <is>
          <t>Secondary</t>
        </is>
      </c>
      <c r="E1228" t="inlineStr">
        <is>
          <t>Intermediate</t>
        </is>
      </c>
      <c r="F1228" t="n">
        <v>3.9</v>
      </c>
      <c r="G1228" t="inlineStr">
        <is>
          <t>Technical</t>
        </is>
      </c>
      <c r="H1228" t="inlineStr">
        <is>
          <t>Yes</t>
        </is>
      </c>
      <c r="I1228" t="inlineStr">
        <is>
          <t>2021-07-12</t>
        </is>
      </c>
    </row>
    <row r="1229">
      <c r="A1229" t="n">
        <v/>
      </c>
      <c r="B1229" t="n">
        <v>1025771</v>
      </c>
      <c r="C1229" t="inlineStr">
        <is>
          <t>JavaScript</t>
        </is>
      </c>
      <c r="D1229" t="inlineStr">
        <is>
          <t>Secondary</t>
        </is>
      </c>
      <c r="E1229" t="inlineStr">
        <is>
          <t>Intermediate</t>
        </is>
      </c>
      <c r="F1229" t="n">
        <v>2.9</v>
      </c>
      <c r="G1229" t="inlineStr">
        <is>
          <t>Technical</t>
        </is>
      </c>
      <c r="H1229" t="inlineStr">
        <is>
          <t>Yes</t>
        </is>
      </c>
      <c r="I1229" t="inlineStr">
        <is>
          <t>2021-07-12</t>
        </is>
      </c>
    </row>
    <row r="1230">
      <c r="A1230" t="n">
        <v/>
      </c>
      <c r="B1230" t="n">
        <v>1025771</v>
      </c>
      <c r="C1230" t="inlineStr">
        <is>
          <t>HTML5</t>
        </is>
      </c>
      <c r="D1230" t="inlineStr">
        <is>
          <t>Secondary</t>
        </is>
      </c>
      <c r="E1230" t="inlineStr">
        <is>
          <t>Intermediate</t>
        </is>
      </c>
      <c r="F1230" t="n">
        <v>1.9</v>
      </c>
      <c r="G1230" t="inlineStr">
        <is>
          <t>Technical</t>
        </is>
      </c>
      <c r="H1230" t="inlineStr">
        <is>
          <t>Yes</t>
        </is>
      </c>
      <c r="I1230" t="inlineStr">
        <is>
          <t>2021-07-12</t>
        </is>
      </c>
    </row>
    <row r="1231">
      <c r="A1231" t="n">
        <v/>
      </c>
      <c r="B1231" t="n">
        <v>1028452</v>
      </c>
      <c r="C1231" t="inlineStr">
        <is>
          <t>Fullstack Web (React / Node)</t>
        </is>
      </c>
      <c r="D1231" t="inlineStr">
        <is>
          <t>Primary</t>
        </is>
      </c>
      <c r="E1231" t="inlineStr">
        <is>
          <t>Advanced</t>
        </is>
      </c>
      <c r="F1231" t="n">
        <v>5.9</v>
      </c>
      <c r="G1231" t="inlineStr">
        <is>
          <t>Technical</t>
        </is>
      </c>
      <c r="H1231" t="inlineStr">
        <is>
          <t>Yes</t>
        </is>
      </c>
      <c r="I1231" t="inlineStr">
        <is>
          <t>2022-02-28</t>
        </is>
      </c>
    </row>
    <row r="1232">
      <c r="A1232" t="n">
        <v/>
      </c>
      <c r="B1232" t="n">
        <v>1028452</v>
      </c>
      <c r="C1232" t="inlineStr">
        <is>
          <t>JavaScript</t>
        </is>
      </c>
      <c r="D1232" t="inlineStr">
        <is>
          <t>Secondary</t>
        </is>
      </c>
      <c r="E1232" t="inlineStr">
        <is>
          <t>Intermediate</t>
        </is>
      </c>
      <c r="F1232" t="n">
        <v>3.5</v>
      </c>
      <c r="G1232" t="inlineStr">
        <is>
          <t>Technical</t>
        </is>
      </c>
      <c r="H1232" t="inlineStr">
        <is>
          <t>Yes</t>
        </is>
      </c>
      <c r="I1232" t="inlineStr">
        <is>
          <t>2022-02-28</t>
        </is>
      </c>
    </row>
    <row r="1233">
      <c r="A1233" t="n">
        <v/>
      </c>
      <c r="B1233" t="n">
        <v>1028452</v>
      </c>
      <c r="C1233" t="inlineStr">
        <is>
          <t>TypeScript</t>
        </is>
      </c>
      <c r="D1233" t="inlineStr">
        <is>
          <t>Secondary</t>
        </is>
      </c>
      <c r="E1233" t="inlineStr">
        <is>
          <t>Intermediate</t>
        </is>
      </c>
      <c r="F1233" t="n">
        <v>2.7</v>
      </c>
      <c r="G1233" t="inlineStr">
        <is>
          <t>Technical</t>
        </is>
      </c>
      <c r="H1233" t="inlineStr">
        <is>
          <t>Yes</t>
        </is>
      </c>
      <c r="I1233" t="inlineStr">
        <is>
          <t>2022-02-28</t>
        </is>
      </c>
    </row>
    <row r="1234">
      <c r="A1234" t="n">
        <v/>
      </c>
      <c r="B1234" t="n">
        <v>1028452</v>
      </c>
      <c r="C1234" t="inlineStr">
        <is>
          <t>CSS/HTML</t>
        </is>
      </c>
      <c r="D1234" t="inlineStr">
        <is>
          <t>Secondary</t>
        </is>
      </c>
      <c r="E1234" t="inlineStr">
        <is>
          <t>Intermediate</t>
        </is>
      </c>
      <c r="F1234" t="n">
        <v>1.8</v>
      </c>
      <c r="G1234" t="inlineStr">
        <is>
          <t>Technical</t>
        </is>
      </c>
      <c r="H1234" t="inlineStr">
        <is>
          <t>Yes</t>
        </is>
      </c>
      <c r="I1234" t="inlineStr">
        <is>
          <t>2022-02-28</t>
        </is>
      </c>
    </row>
    <row r="1235">
      <c r="A1235" t="n">
        <v/>
      </c>
      <c r="B1235" t="n">
        <v>1029029</v>
      </c>
      <c r="C1235" t="inlineStr">
        <is>
          <t>IT Application &amp; Operations Support</t>
        </is>
      </c>
      <c r="D1235" t="inlineStr">
        <is>
          <t>Primary</t>
        </is>
      </c>
      <c r="E1235" t="inlineStr">
        <is>
          <t>Intermediate</t>
        </is>
      </c>
      <c r="F1235" t="n">
        <v>2.2</v>
      </c>
      <c r="G1235" t="inlineStr">
        <is>
          <t>Functional</t>
        </is>
      </c>
      <c r="H1235" t="inlineStr">
        <is>
          <t>Yes</t>
        </is>
      </c>
      <c r="I1235" t="inlineStr">
        <is>
          <t>2022-05-11</t>
        </is>
      </c>
    </row>
    <row r="1236">
      <c r="A1236" t="n">
        <v/>
      </c>
      <c r="B1236" t="n">
        <v>1029029</v>
      </c>
      <c r="C1236" t="inlineStr">
        <is>
          <t>Incident Management</t>
        </is>
      </c>
      <c r="D1236" t="inlineStr">
        <is>
          <t>Secondary</t>
        </is>
      </c>
      <c r="E1236" t="inlineStr">
        <is>
          <t>Beginner</t>
        </is>
      </c>
      <c r="F1236" t="n">
        <v>1.3</v>
      </c>
      <c r="G1236" t="inlineStr">
        <is>
          <t>Functional</t>
        </is>
      </c>
      <c r="H1236" t="inlineStr">
        <is>
          <t>Yes</t>
        </is>
      </c>
      <c r="I1236" t="inlineStr">
        <is>
          <t>2022-05-11</t>
        </is>
      </c>
    </row>
    <row r="1237">
      <c r="A1237" t="n">
        <v/>
      </c>
      <c r="B1237" t="n">
        <v>1029029</v>
      </c>
      <c r="C1237" t="inlineStr">
        <is>
          <t>Production Support</t>
        </is>
      </c>
      <c r="D1237" t="inlineStr">
        <is>
          <t>Secondary</t>
        </is>
      </c>
      <c r="E1237" t="inlineStr">
        <is>
          <t>Beginner</t>
        </is>
      </c>
      <c r="F1237" t="n">
        <v>1</v>
      </c>
      <c r="G1237" t="inlineStr">
        <is>
          <t>Functional</t>
        </is>
      </c>
      <c r="H1237" t="inlineStr">
        <is>
          <t>Yes</t>
        </is>
      </c>
      <c r="I1237" t="inlineStr">
        <is>
          <t>2022-05-11</t>
        </is>
      </c>
    </row>
    <row r="1238">
      <c r="A1238" t="n">
        <v/>
      </c>
      <c r="B1238" t="n">
        <v>1028386</v>
      </c>
      <c r="C1238" t="inlineStr">
        <is>
          <t>QA Automation / SDET</t>
        </is>
      </c>
      <c r="D1238" t="inlineStr">
        <is>
          <t>Primary</t>
        </is>
      </c>
      <c r="E1238" t="inlineStr">
        <is>
          <t>Advanced</t>
        </is>
      </c>
      <c r="F1238" t="n">
        <v>6.9</v>
      </c>
      <c r="G1238" t="inlineStr">
        <is>
          <t>Technical</t>
        </is>
      </c>
      <c r="H1238" t="inlineStr">
        <is>
          <t>Yes</t>
        </is>
      </c>
      <c r="I1238" t="inlineStr">
        <is>
          <t>2022-02-21</t>
        </is>
      </c>
    </row>
    <row r="1239">
      <c r="A1239" t="n">
        <v/>
      </c>
      <c r="B1239" t="n">
        <v>1028386</v>
      </c>
      <c r="C1239" t="inlineStr">
        <is>
          <t>Selenium</t>
        </is>
      </c>
      <c r="D1239" t="inlineStr">
        <is>
          <t>Secondary</t>
        </is>
      </c>
      <c r="E1239" t="inlineStr">
        <is>
          <t>Intermediate</t>
        </is>
      </c>
      <c r="F1239" t="n">
        <v>4.1</v>
      </c>
      <c r="G1239" t="inlineStr">
        <is>
          <t>Technical</t>
        </is>
      </c>
      <c r="H1239" t="inlineStr">
        <is>
          <t>Yes</t>
        </is>
      </c>
      <c r="I1239" t="inlineStr">
        <is>
          <t>2022-02-21</t>
        </is>
      </c>
    </row>
    <row r="1240">
      <c r="A1240" t="n">
        <v/>
      </c>
      <c r="B1240" t="n">
        <v>1028386</v>
      </c>
      <c r="C1240" t="inlineStr">
        <is>
          <t>API Testing (Postman)</t>
        </is>
      </c>
      <c r="D1240" t="inlineStr">
        <is>
          <t>Secondary</t>
        </is>
      </c>
      <c r="E1240" t="inlineStr">
        <is>
          <t>Intermediate</t>
        </is>
      </c>
      <c r="F1240" t="n">
        <v>3.1</v>
      </c>
      <c r="G1240" t="inlineStr">
        <is>
          <t>Technical</t>
        </is>
      </c>
      <c r="H1240" t="inlineStr">
        <is>
          <t>Yes</t>
        </is>
      </c>
      <c r="I1240" t="inlineStr">
        <is>
          <t>2022-02-21</t>
        </is>
      </c>
    </row>
    <row r="1241">
      <c r="A1241" t="n">
        <v/>
      </c>
      <c r="B1241" t="n">
        <v>1028386</v>
      </c>
      <c r="C1241" t="inlineStr">
        <is>
          <t>TestNG</t>
        </is>
      </c>
      <c r="D1241" t="inlineStr">
        <is>
          <t>Secondary</t>
        </is>
      </c>
      <c r="E1241" t="inlineStr">
        <is>
          <t>Intermediate</t>
        </is>
      </c>
      <c r="F1241" t="n">
        <v>2.1</v>
      </c>
      <c r="G1241" t="inlineStr">
        <is>
          <t>Technical</t>
        </is>
      </c>
      <c r="H1241" t="inlineStr">
        <is>
          <t>Yes</t>
        </is>
      </c>
      <c r="I1241" t="inlineStr">
        <is>
          <t>2022-02-21</t>
        </is>
      </c>
    </row>
    <row r="1242">
      <c r="A1242" t="n">
        <v/>
      </c>
      <c r="B1242" t="n">
        <v>1028498</v>
      </c>
      <c r="C1242" t="inlineStr">
        <is>
          <t>Database &amp; SQL Architecture</t>
        </is>
      </c>
      <c r="D1242" t="inlineStr">
        <is>
          <t>Primary</t>
        </is>
      </c>
      <c r="E1242" t="inlineStr">
        <is>
          <t>Advanced</t>
        </is>
      </c>
      <c r="F1242" t="n">
        <v>5.9</v>
      </c>
      <c r="G1242" t="inlineStr">
        <is>
          <t>Technical</t>
        </is>
      </c>
      <c r="H1242" t="inlineStr">
        <is>
          <t>Yes</t>
        </is>
      </c>
      <c r="I1242" t="inlineStr">
        <is>
          <t>2022-03-04</t>
        </is>
      </c>
    </row>
    <row r="1243">
      <c r="A1243" t="n">
        <v/>
      </c>
      <c r="B1243" t="n">
        <v>1028498</v>
      </c>
      <c r="C1243" t="inlineStr">
        <is>
          <t>PostgreSQL</t>
        </is>
      </c>
      <c r="D1243" t="inlineStr">
        <is>
          <t>Secondary</t>
        </is>
      </c>
      <c r="E1243" t="inlineStr">
        <is>
          <t>Intermediate</t>
        </is>
      </c>
      <c r="F1243" t="n">
        <v>3.5</v>
      </c>
      <c r="G1243" t="inlineStr">
        <is>
          <t>Technical</t>
        </is>
      </c>
      <c r="H1243" t="inlineStr">
        <is>
          <t>Yes</t>
        </is>
      </c>
      <c r="I1243" t="inlineStr">
        <is>
          <t>2022-03-04</t>
        </is>
      </c>
    </row>
    <row r="1244">
      <c r="A1244" t="n">
        <v/>
      </c>
      <c r="B1244" t="n">
        <v>1028498</v>
      </c>
      <c r="C1244" t="inlineStr">
        <is>
          <t>Oracle</t>
        </is>
      </c>
      <c r="D1244" t="inlineStr">
        <is>
          <t>Secondary</t>
        </is>
      </c>
      <c r="E1244" t="inlineStr">
        <is>
          <t>Intermediate</t>
        </is>
      </c>
      <c r="F1244" t="n">
        <v>2.7</v>
      </c>
      <c r="G1244" t="inlineStr">
        <is>
          <t>Technical</t>
        </is>
      </c>
      <c r="H1244" t="inlineStr">
        <is>
          <t>Yes</t>
        </is>
      </c>
      <c r="I1244" t="inlineStr">
        <is>
          <t>2022-03-04</t>
        </is>
      </c>
    </row>
    <row r="1245">
      <c r="A1245" t="n">
        <v/>
      </c>
      <c r="B1245" t="n">
        <v>1028498</v>
      </c>
      <c r="C1245" t="inlineStr">
        <is>
          <t>Performance Tuning</t>
        </is>
      </c>
      <c r="D1245" t="inlineStr">
        <is>
          <t>Secondary</t>
        </is>
      </c>
      <c r="E1245" t="inlineStr">
        <is>
          <t>Intermediate</t>
        </is>
      </c>
      <c r="F1245" t="n">
        <v>1.8</v>
      </c>
      <c r="G1245" t="inlineStr">
        <is>
          <t>Technical</t>
        </is>
      </c>
      <c r="H1245" t="inlineStr">
        <is>
          <t>Yes</t>
        </is>
      </c>
      <c r="I1245" t="inlineStr">
        <is>
          <t>2022-03-04</t>
        </is>
      </c>
    </row>
    <row r="1246">
      <c r="A1246" t="n">
        <v/>
      </c>
      <c r="B1246" t="n">
        <v>1030012</v>
      </c>
      <c r="C1246" t="inlineStr">
        <is>
          <t>Fullstack Web (React / Node)</t>
        </is>
      </c>
      <c r="D1246" t="inlineStr">
        <is>
          <t>Primary</t>
        </is>
      </c>
      <c r="E1246" t="inlineStr">
        <is>
          <t>Advanced</t>
        </is>
      </c>
      <c r="F1246" t="n">
        <v>5.5</v>
      </c>
      <c r="G1246" t="inlineStr">
        <is>
          <t>Technical</t>
        </is>
      </c>
      <c r="H1246" t="inlineStr">
        <is>
          <t>Yes</t>
        </is>
      </c>
      <c r="I1246" t="inlineStr">
        <is>
          <t>2022-08-26</t>
        </is>
      </c>
    </row>
    <row r="1247">
      <c r="A1247" t="n">
        <v/>
      </c>
      <c r="B1247" t="n">
        <v>1030012</v>
      </c>
      <c r="C1247" t="inlineStr">
        <is>
          <t>JavaScript</t>
        </is>
      </c>
      <c r="D1247" t="inlineStr">
        <is>
          <t>Secondary</t>
        </is>
      </c>
      <c r="E1247" t="inlineStr">
        <is>
          <t>Intermediate</t>
        </is>
      </c>
      <c r="F1247" t="n">
        <v>3.3</v>
      </c>
      <c r="G1247" t="inlineStr">
        <is>
          <t>Technical</t>
        </is>
      </c>
      <c r="H1247" t="inlineStr">
        <is>
          <t>Yes</t>
        </is>
      </c>
      <c r="I1247" t="inlineStr">
        <is>
          <t>2022-08-26</t>
        </is>
      </c>
    </row>
    <row r="1248">
      <c r="A1248" t="n">
        <v/>
      </c>
      <c r="B1248" t="n">
        <v>1030012</v>
      </c>
      <c r="C1248" t="inlineStr">
        <is>
          <t>TypeScript</t>
        </is>
      </c>
      <c r="D1248" t="inlineStr">
        <is>
          <t>Secondary</t>
        </is>
      </c>
      <c r="E1248" t="inlineStr">
        <is>
          <t>Intermediate</t>
        </is>
      </c>
      <c r="F1248" t="n">
        <v>2.5</v>
      </c>
      <c r="G1248" t="inlineStr">
        <is>
          <t>Technical</t>
        </is>
      </c>
      <c r="H1248" t="inlineStr">
        <is>
          <t>Yes</t>
        </is>
      </c>
      <c r="I1248" t="inlineStr">
        <is>
          <t>2022-08-26</t>
        </is>
      </c>
    </row>
    <row r="1249">
      <c r="A1249" t="n">
        <v/>
      </c>
      <c r="B1249" t="n">
        <v>1030012</v>
      </c>
      <c r="C1249" t="inlineStr">
        <is>
          <t>CSS/HTML</t>
        </is>
      </c>
      <c r="D1249" t="inlineStr">
        <is>
          <t>Secondary</t>
        </is>
      </c>
      <c r="E1249" t="inlineStr">
        <is>
          <t>Intermediate</t>
        </is>
      </c>
      <c r="F1249" t="n">
        <v>1.6</v>
      </c>
      <c r="G1249" t="inlineStr">
        <is>
          <t>Technical</t>
        </is>
      </c>
      <c r="H1249" t="inlineStr">
        <is>
          <t>Yes</t>
        </is>
      </c>
      <c r="I1249" t="inlineStr">
        <is>
          <t>2022-08-26</t>
        </is>
      </c>
    </row>
    <row r="1250">
      <c r="A1250" t="n">
        <v/>
      </c>
      <c r="B1250" t="n">
        <v>1031887</v>
      </c>
      <c r="C1250" t="inlineStr">
        <is>
          <t>Cloud &amp; DevOps (AWS / K8s)</t>
        </is>
      </c>
      <c r="D1250" t="inlineStr">
        <is>
          <t>Primary</t>
        </is>
      </c>
      <c r="E1250" t="inlineStr">
        <is>
          <t>Advanced</t>
        </is>
      </c>
      <c r="F1250" t="n">
        <v>5.2</v>
      </c>
      <c r="G1250" t="inlineStr">
        <is>
          <t>Technical</t>
        </is>
      </c>
      <c r="H1250" t="inlineStr">
        <is>
          <t>Yes</t>
        </is>
      </c>
      <c r="I1250" t="inlineStr">
        <is>
          <t>2022-12-19</t>
        </is>
      </c>
    </row>
    <row r="1251">
      <c r="A1251" t="n">
        <v/>
      </c>
      <c r="B1251" t="n">
        <v>1031887</v>
      </c>
      <c r="C1251" t="inlineStr">
        <is>
          <t>Linux</t>
        </is>
      </c>
      <c r="D1251" t="inlineStr">
        <is>
          <t>Secondary</t>
        </is>
      </c>
      <c r="E1251" t="inlineStr">
        <is>
          <t>Intermediate</t>
        </is>
      </c>
      <c r="F1251" t="n">
        <v>3.1</v>
      </c>
      <c r="G1251" t="inlineStr">
        <is>
          <t>Technical</t>
        </is>
      </c>
      <c r="H1251" t="inlineStr">
        <is>
          <t>Yes</t>
        </is>
      </c>
      <c r="I1251" t="inlineStr">
        <is>
          <t>2022-12-19</t>
        </is>
      </c>
    </row>
    <row r="1252">
      <c r="A1252" t="n">
        <v/>
      </c>
      <c r="B1252" t="n">
        <v>1031887</v>
      </c>
      <c r="C1252" t="inlineStr">
        <is>
          <t>Docker</t>
        </is>
      </c>
      <c r="D1252" t="inlineStr">
        <is>
          <t>Secondary</t>
        </is>
      </c>
      <c r="E1252" t="inlineStr">
        <is>
          <t>Intermediate</t>
        </is>
      </c>
      <c r="F1252" t="n">
        <v>2.3</v>
      </c>
      <c r="G1252" t="inlineStr">
        <is>
          <t>Technical</t>
        </is>
      </c>
      <c r="H1252" t="inlineStr">
        <is>
          <t>Yes</t>
        </is>
      </c>
      <c r="I1252" t="inlineStr">
        <is>
          <t>2022-12-19</t>
        </is>
      </c>
    </row>
    <row r="1253">
      <c r="A1253" t="n">
        <v/>
      </c>
      <c r="B1253" t="n">
        <v>1031887</v>
      </c>
      <c r="C1253" t="inlineStr">
        <is>
          <t>Kubernetes</t>
        </is>
      </c>
      <c r="D1253" t="inlineStr">
        <is>
          <t>Secondary</t>
        </is>
      </c>
      <c r="E1253" t="inlineStr">
        <is>
          <t>Intermediate</t>
        </is>
      </c>
      <c r="F1253" t="n">
        <v>1.6</v>
      </c>
      <c r="G1253" t="inlineStr">
        <is>
          <t>Technical</t>
        </is>
      </c>
      <c r="H1253" t="inlineStr">
        <is>
          <t>Yes</t>
        </is>
      </c>
      <c r="I1253" t="inlineStr">
        <is>
          <t>2022-12-19</t>
        </is>
      </c>
    </row>
    <row r="1254">
      <c r="A1254" t="n">
        <v/>
      </c>
      <c r="B1254" t="n">
        <v>1033626</v>
      </c>
      <c r="C1254" t="inlineStr">
        <is>
          <t>Cognos BI &amp; Analytics</t>
        </is>
      </c>
      <c r="D1254" t="inlineStr">
        <is>
          <t>Primary</t>
        </is>
      </c>
      <c r="E1254" t="inlineStr">
        <is>
          <t>Advanced</t>
        </is>
      </c>
      <c r="F1254" t="n">
        <v>4.5</v>
      </c>
      <c r="G1254" t="inlineStr">
        <is>
          <t>Technical</t>
        </is>
      </c>
      <c r="H1254" t="inlineStr">
        <is>
          <t>Yes</t>
        </is>
      </c>
      <c r="I1254" t="inlineStr">
        <is>
          <t>2023-09-29</t>
        </is>
      </c>
    </row>
    <row r="1255">
      <c r="A1255" t="n">
        <v/>
      </c>
      <c r="B1255" t="n">
        <v>1033626</v>
      </c>
      <c r="C1255" t="inlineStr">
        <is>
          <t>SQL</t>
        </is>
      </c>
      <c r="D1255" t="inlineStr">
        <is>
          <t>Secondary</t>
        </is>
      </c>
      <c r="E1255" t="inlineStr">
        <is>
          <t>Intermediate</t>
        </is>
      </c>
      <c r="F1255" t="n">
        <v>2.7</v>
      </c>
      <c r="G1255" t="inlineStr">
        <is>
          <t>Technical</t>
        </is>
      </c>
      <c r="H1255" t="inlineStr">
        <is>
          <t>Yes</t>
        </is>
      </c>
      <c r="I1255" t="inlineStr">
        <is>
          <t>2023-09-29</t>
        </is>
      </c>
    </row>
    <row r="1256">
      <c r="A1256" t="n">
        <v/>
      </c>
      <c r="B1256" t="n">
        <v>1033626</v>
      </c>
      <c r="C1256" t="inlineStr">
        <is>
          <t>Data Modeling</t>
        </is>
      </c>
      <c r="D1256" t="inlineStr">
        <is>
          <t>Secondary</t>
        </is>
      </c>
      <c r="E1256" t="inlineStr">
        <is>
          <t>Intermediate</t>
        </is>
      </c>
      <c r="F1256" t="n">
        <v>2</v>
      </c>
      <c r="G1256" t="inlineStr">
        <is>
          <t>Technical</t>
        </is>
      </c>
      <c r="H1256" t="inlineStr">
        <is>
          <t>Yes</t>
        </is>
      </c>
      <c r="I1256" t="inlineStr">
        <is>
          <t>2023-09-29</t>
        </is>
      </c>
    </row>
    <row r="1257">
      <c r="A1257" t="n">
        <v/>
      </c>
      <c r="B1257" t="n">
        <v>1033626</v>
      </c>
      <c r="C1257" t="inlineStr">
        <is>
          <t>Report Studio</t>
        </is>
      </c>
      <c r="D1257" t="inlineStr">
        <is>
          <t>Secondary</t>
        </is>
      </c>
      <c r="E1257" t="inlineStr">
        <is>
          <t>Beginner</t>
        </is>
      </c>
      <c r="F1257" t="n">
        <v>1.3</v>
      </c>
      <c r="G1257" t="inlineStr">
        <is>
          <t>Technical</t>
        </is>
      </c>
      <c r="H1257" t="inlineStr">
        <is>
          <t>Yes</t>
        </is>
      </c>
      <c r="I1257" t="inlineStr">
        <is>
          <t>2023-09-29</t>
        </is>
      </c>
    </row>
    <row r="1258">
      <c r="A1258" t="n">
        <v/>
      </c>
      <c r="B1258" t="n">
        <v>1027315</v>
      </c>
      <c r="C1258" t="inlineStr">
        <is>
          <t>Python / Data Engineering</t>
        </is>
      </c>
      <c r="D1258" t="inlineStr">
        <is>
          <t>Primary</t>
        </is>
      </c>
      <c r="E1258" t="inlineStr">
        <is>
          <t>Advanced</t>
        </is>
      </c>
      <c r="F1258" t="n">
        <v>6.2</v>
      </c>
      <c r="G1258" t="inlineStr">
        <is>
          <t>Technical</t>
        </is>
      </c>
      <c r="H1258" t="inlineStr">
        <is>
          <t>Yes</t>
        </is>
      </c>
      <c r="I1258" t="inlineStr">
        <is>
          <t>2021-11-24</t>
        </is>
      </c>
    </row>
    <row r="1259">
      <c r="A1259" t="n">
        <v/>
      </c>
      <c r="B1259" t="n">
        <v>1027315</v>
      </c>
      <c r="C1259" t="inlineStr">
        <is>
          <t>SQL</t>
        </is>
      </c>
      <c r="D1259" t="inlineStr">
        <is>
          <t>Secondary</t>
        </is>
      </c>
      <c r="E1259" t="inlineStr">
        <is>
          <t>Intermediate</t>
        </is>
      </c>
      <c r="F1259" t="n">
        <v>3.7</v>
      </c>
      <c r="G1259" t="inlineStr">
        <is>
          <t>Technical</t>
        </is>
      </c>
      <c r="H1259" t="inlineStr">
        <is>
          <t>Yes</t>
        </is>
      </c>
      <c r="I1259" t="inlineStr">
        <is>
          <t>2021-11-24</t>
        </is>
      </c>
    </row>
    <row r="1260">
      <c r="A1260" t="n">
        <v/>
      </c>
      <c r="B1260" t="n">
        <v>1027315</v>
      </c>
      <c r="C1260" t="inlineStr">
        <is>
          <t>Docker</t>
        </is>
      </c>
      <c r="D1260" t="inlineStr">
        <is>
          <t>Secondary</t>
        </is>
      </c>
      <c r="E1260" t="inlineStr">
        <is>
          <t>Intermediate</t>
        </is>
      </c>
      <c r="F1260" t="n">
        <v>2.8</v>
      </c>
      <c r="G1260" t="inlineStr">
        <is>
          <t>Technical</t>
        </is>
      </c>
      <c r="H1260" t="inlineStr">
        <is>
          <t>Yes</t>
        </is>
      </c>
      <c r="I1260" t="inlineStr">
        <is>
          <t>2021-11-24</t>
        </is>
      </c>
    </row>
    <row r="1261">
      <c r="A1261" t="n">
        <v/>
      </c>
      <c r="B1261" t="n">
        <v>1027315</v>
      </c>
      <c r="C1261" t="inlineStr">
        <is>
          <t>Pandas</t>
        </is>
      </c>
      <c r="D1261" t="inlineStr">
        <is>
          <t>Secondary</t>
        </is>
      </c>
      <c r="E1261" t="inlineStr">
        <is>
          <t>Intermediate</t>
        </is>
      </c>
      <c r="F1261" t="n">
        <v>1.9</v>
      </c>
      <c r="G1261" t="inlineStr">
        <is>
          <t>Technical</t>
        </is>
      </c>
      <c r="H1261" t="inlineStr">
        <is>
          <t>Yes</t>
        </is>
      </c>
      <c r="I1261" t="inlineStr">
        <is>
          <t>2021-11-24</t>
        </is>
      </c>
    </row>
    <row r="1262">
      <c r="A1262" t="n">
        <v/>
      </c>
      <c r="B1262" t="n">
        <v>1031042</v>
      </c>
      <c r="C1262" t="inlineStr">
        <is>
          <t>Fullstack Web (React / Node)</t>
        </is>
      </c>
      <c r="D1262" t="inlineStr">
        <is>
          <t>Primary</t>
        </is>
      </c>
      <c r="E1262" t="inlineStr">
        <is>
          <t>Intermediate</t>
        </is>
      </c>
      <c r="F1262" t="n">
        <v>1.7</v>
      </c>
      <c r="G1262" t="inlineStr">
        <is>
          <t>Technical</t>
        </is>
      </c>
      <c r="H1262" t="inlineStr">
        <is>
          <t>Yes</t>
        </is>
      </c>
      <c r="I1262" t="inlineStr">
        <is>
          <t>2022-11-24</t>
        </is>
      </c>
    </row>
    <row r="1263">
      <c r="A1263" t="n">
        <v/>
      </c>
      <c r="B1263" t="n">
        <v>1031042</v>
      </c>
      <c r="C1263" t="inlineStr">
        <is>
          <t>JavaScript</t>
        </is>
      </c>
      <c r="D1263" t="inlineStr">
        <is>
          <t>Secondary</t>
        </is>
      </c>
      <c r="E1263" t="inlineStr">
        <is>
          <t>Beginner</t>
        </is>
      </c>
      <c r="F1263" t="n">
        <v>1</v>
      </c>
      <c r="G1263" t="inlineStr">
        <is>
          <t>Technical</t>
        </is>
      </c>
      <c r="H1263" t="inlineStr">
        <is>
          <t>Yes</t>
        </is>
      </c>
      <c r="I1263" t="inlineStr">
        <is>
          <t>2022-11-24</t>
        </is>
      </c>
    </row>
    <row r="1264">
      <c r="A1264" t="n">
        <v/>
      </c>
      <c r="B1264" t="n">
        <v>1031042</v>
      </c>
      <c r="C1264" t="inlineStr">
        <is>
          <t>TypeScript</t>
        </is>
      </c>
      <c r="D1264" t="inlineStr">
        <is>
          <t>Secondary</t>
        </is>
      </c>
      <c r="E1264" t="inlineStr">
        <is>
          <t>Beginner</t>
        </is>
      </c>
      <c r="F1264" t="n">
        <v>0.8</v>
      </c>
      <c r="G1264" t="inlineStr">
        <is>
          <t>Technical</t>
        </is>
      </c>
      <c r="H1264" t="inlineStr">
        <is>
          <t>Yes</t>
        </is>
      </c>
      <c r="I1264" t="inlineStr">
        <is>
          <t>2022-11-24</t>
        </is>
      </c>
    </row>
    <row r="1265">
      <c r="A1265" t="n">
        <v/>
      </c>
      <c r="B1265" t="n">
        <v>1026264</v>
      </c>
      <c r="C1265" t="inlineStr">
        <is>
          <t>QA Automation / SDET</t>
        </is>
      </c>
      <c r="D1265" t="inlineStr">
        <is>
          <t>Primary</t>
        </is>
      </c>
      <c r="E1265" t="inlineStr">
        <is>
          <t>Advanced</t>
        </is>
      </c>
      <c r="F1265" t="n">
        <v>6.4</v>
      </c>
      <c r="G1265" t="inlineStr">
        <is>
          <t>Technical</t>
        </is>
      </c>
      <c r="H1265" t="inlineStr">
        <is>
          <t>Yes</t>
        </is>
      </c>
      <c r="I1265" t="inlineStr">
        <is>
          <t>2021-08-27</t>
        </is>
      </c>
    </row>
    <row r="1266">
      <c r="A1266" t="n">
        <v/>
      </c>
      <c r="B1266" t="n">
        <v>1026264</v>
      </c>
      <c r="C1266" t="inlineStr">
        <is>
          <t>Selenium</t>
        </is>
      </c>
      <c r="D1266" t="inlineStr">
        <is>
          <t>Secondary</t>
        </is>
      </c>
      <c r="E1266" t="inlineStr">
        <is>
          <t>Intermediate</t>
        </is>
      </c>
      <c r="F1266" t="n">
        <v>3.8</v>
      </c>
      <c r="G1266" t="inlineStr">
        <is>
          <t>Technical</t>
        </is>
      </c>
      <c r="H1266" t="inlineStr">
        <is>
          <t>Yes</t>
        </is>
      </c>
      <c r="I1266" t="inlineStr">
        <is>
          <t>2021-08-27</t>
        </is>
      </c>
    </row>
    <row r="1267">
      <c r="A1267" t="n">
        <v/>
      </c>
      <c r="B1267" t="n">
        <v>1026264</v>
      </c>
      <c r="C1267" t="inlineStr">
        <is>
          <t>API Testing (Postman)</t>
        </is>
      </c>
      <c r="D1267" t="inlineStr">
        <is>
          <t>Secondary</t>
        </is>
      </c>
      <c r="E1267" t="inlineStr">
        <is>
          <t>Intermediate</t>
        </is>
      </c>
      <c r="F1267" t="n">
        <v>2.9</v>
      </c>
      <c r="G1267" t="inlineStr">
        <is>
          <t>Technical</t>
        </is>
      </c>
      <c r="H1267" t="inlineStr">
        <is>
          <t>Yes</t>
        </is>
      </c>
      <c r="I1267" t="inlineStr">
        <is>
          <t>2021-08-27</t>
        </is>
      </c>
    </row>
    <row r="1268">
      <c r="A1268" t="n">
        <v/>
      </c>
      <c r="B1268" t="n">
        <v>1026264</v>
      </c>
      <c r="C1268" t="inlineStr">
        <is>
          <t>TestNG</t>
        </is>
      </c>
      <c r="D1268" t="inlineStr">
        <is>
          <t>Secondary</t>
        </is>
      </c>
      <c r="E1268" t="inlineStr">
        <is>
          <t>Intermediate</t>
        </is>
      </c>
      <c r="F1268" t="n">
        <v>1.9</v>
      </c>
      <c r="G1268" t="inlineStr">
        <is>
          <t>Technical</t>
        </is>
      </c>
      <c r="H1268" t="inlineStr">
        <is>
          <t>Yes</t>
        </is>
      </c>
      <c r="I1268" t="inlineStr">
        <is>
          <t>2021-08-27</t>
        </is>
      </c>
    </row>
    <row r="1269">
      <c r="A1269" t="n">
        <v/>
      </c>
      <c r="B1269" t="n">
        <v>1033500</v>
      </c>
      <c r="C1269" t="inlineStr">
        <is>
          <t>IT Application &amp; Operations Support</t>
        </is>
      </c>
      <c r="D1269" t="inlineStr">
        <is>
          <t>Primary</t>
        </is>
      </c>
      <c r="E1269" t="inlineStr">
        <is>
          <t>Advanced</t>
        </is>
      </c>
      <c r="F1269" t="n">
        <v>4.6</v>
      </c>
      <c r="G1269" t="inlineStr">
        <is>
          <t>Functional</t>
        </is>
      </c>
      <c r="H1269" t="inlineStr">
        <is>
          <t>Yes</t>
        </is>
      </c>
      <c r="I1269" t="inlineStr">
        <is>
          <t>2023-09-08</t>
        </is>
      </c>
    </row>
    <row r="1270">
      <c r="A1270" t="n">
        <v/>
      </c>
      <c r="B1270" t="n">
        <v>1033500</v>
      </c>
      <c r="C1270" t="inlineStr">
        <is>
          <t>Incident Management</t>
        </is>
      </c>
      <c r="D1270" t="inlineStr">
        <is>
          <t>Secondary</t>
        </is>
      </c>
      <c r="E1270" t="inlineStr">
        <is>
          <t>Intermediate</t>
        </is>
      </c>
      <c r="F1270" t="n">
        <v>2.8</v>
      </c>
      <c r="G1270" t="inlineStr">
        <is>
          <t>Functional</t>
        </is>
      </c>
      <c r="H1270" t="inlineStr">
        <is>
          <t>Yes</t>
        </is>
      </c>
      <c r="I1270" t="inlineStr">
        <is>
          <t>2023-09-08</t>
        </is>
      </c>
    </row>
    <row r="1271">
      <c r="A1271" t="n">
        <v/>
      </c>
      <c r="B1271" t="n">
        <v>1033500</v>
      </c>
      <c r="C1271" t="inlineStr">
        <is>
          <t>Production Support</t>
        </is>
      </c>
      <c r="D1271" t="inlineStr">
        <is>
          <t>Secondary</t>
        </is>
      </c>
      <c r="E1271" t="inlineStr">
        <is>
          <t>Intermediate</t>
        </is>
      </c>
      <c r="F1271" t="n">
        <v>2.1</v>
      </c>
      <c r="G1271" t="inlineStr">
        <is>
          <t>Functional</t>
        </is>
      </c>
      <c r="H1271" t="inlineStr">
        <is>
          <t>Yes</t>
        </is>
      </c>
      <c r="I1271" t="inlineStr">
        <is>
          <t>2023-09-08</t>
        </is>
      </c>
    </row>
    <row r="1272">
      <c r="A1272" t="n">
        <v/>
      </c>
      <c r="B1272" t="n">
        <v>1033500</v>
      </c>
      <c r="C1272" t="inlineStr">
        <is>
          <t>SQL</t>
        </is>
      </c>
      <c r="D1272" t="inlineStr">
        <is>
          <t>Secondary</t>
        </is>
      </c>
      <c r="E1272" t="inlineStr">
        <is>
          <t>Beginner</t>
        </is>
      </c>
      <c r="F1272" t="n">
        <v>1.4</v>
      </c>
      <c r="G1272" t="inlineStr">
        <is>
          <t>Functional</t>
        </is>
      </c>
      <c r="H1272" t="inlineStr">
        <is>
          <t>Yes</t>
        </is>
      </c>
      <c r="I1272" t="inlineStr">
        <is>
          <t>2023-09-08</t>
        </is>
      </c>
    </row>
    <row r="1273">
      <c r="A1273" t="n">
        <v/>
      </c>
      <c r="B1273" t="n">
        <v>1030629</v>
      </c>
      <c r="C1273" t="inlineStr">
        <is>
          <t>Cloud &amp; DevOps (AWS / K8s)</t>
        </is>
      </c>
      <c r="D1273" t="inlineStr">
        <is>
          <t>Primary</t>
        </is>
      </c>
      <c r="E1273" t="inlineStr">
        <is>
          <t>Advanced</t>
        </is>
      </c>
      <c r="F1273" t="n">
        <v>5.4</v>
      </c>
      <c r="G1273" t="inlineStr">
        <is>
          <t>Technical</t>
        </is>
      </c>
      <c r="H1273" t="inlineStr">
        <is>
          <t>Yes</t>
        </is>
      </c>
      <c r="I1273" t="inlineStr">
        <is>
          <t>2022-10-14</t>
        </is>
      </c>
    </row>
    <row r="1274">
      <c r="A1274" t="n">
        <v/>
      </c>
      <c r="B1274" t="n">
        <v>1030629</v>
      </c>
      <c r="C1274" t="inlineStr">
        <is>
          <t>Docker</t>
        </is>
      </c>
      <c r="D1274" t="inlineStr">
        <is>
          <t>Secondary</t>
        </is>
      </c>
      <c r="E1274" t="inlineStr">
        <is>
          <t>Intermediate</t>
        </is>
      </c>
      <c r="F1274" t="n">
        <v>3.2</v>
      </c>
      <c r="G1274" t="inlineStr">
        <is>
          <t>Technical</t>
        </is>
      </c>
      <c r="H1274" t="inlineStr">
        <is>
          <t>Yes</t>
        </is>
      </c>
      <c r="I1274" t="inlineStr">
        <is>
          <t>2022-10-14</t>
        </is>
      </c>
    </row>
    <row r="1275">
      <c r="A1275" t="n">
        <v/>
      </c>
      <c r="B1275" t="n">
        <v>1030629</v>
      </c>
      <c r="C1275" t="inlineStr">
        <is>
          <t>Kubernetes</t>
        </is>
      </c>
      <c r="D1275" t="inlineStr">
        <is>
          <t>Secondary</t>
        </is>
      </c>
      <c r="E1275" t="inlineStr">
        <is>
          <t>Intermediate</t>
        </is>
      </c>
      <c r="F1275" t="n">
        <v>2.4</v>
      </c>
      <c r="G1275" t="inlineStr">
        <is>
          <t>Technical</t>
        </is>
      </c>
      <c r="H1275" t="inlineStr">
        <is>
          <t>Yes</t>
        </is>
      </c>
      <c r="I1275" t="inlineStr">
        <is>
          <t>2022-10-14</t>
        </is>
      </c>
    </row>
    <row r="1276">
      <c r="A1276" t="n">
        <v/>
      </c>
      <c r="B1276" t="n">
        <v>1030629</v>
      </c>
      <c r="C1276" t="inlineStr">
        <is>
          <t>Linux</t>
        </is>
      </c>
      <c r="D1276" t="inlineStr">
        <is>
          <t>Secondary</t>
        </is>
      </c>
      <c r="E1276" t="inlineStr">
        <is>
          <t>Intermediate</t>
        </is>
      </c>
      <c r="F1276" t="n">
        <v>1.6</v>
      </c>
      <c r="G1276" t="inlineStr">
        <is>
          <t>Technical</t>
        </is>
      </c>
      <c r="H1276" t="inlineStr">
        <is>
          <t>Yes</t>
        </is>
      </c>
      <c r="I1276" t="inlineStr">
        <is>
          <t>2022-10-14</t>
        </is>
      </c>
    </row>
    <row r="1277">
      <c r="A1277" t="n">
        <v/>
      </c>
      <c r="B1277" t="n">
        <v>1031064</v>
      </c>
      <c r="C1277" t="inlineStr">
        <is>
          <t>Java / Spring Boot</t>
        </is>
      </c>
      <c r="D1277" t="inlineStr">
        <is>
          <t>Primary</t>
        </is>
      </c>
      <c r="E1277" t="inlineStr">
        <is>
          <t>Intermediate</t>
        </is>
      </c>
      <c r="F1277" t="n">
        <v>1.7</v>
      </c>
      <c r="G1277" t="inlineStr">
        <is>
          <t>Technical</t>
        </is>
      </c>
      <c r="H1277" t="inlineStr">
        <is>
          <t>Yes</t>
        </is>
      </c>
      <c r="I1277" t="inlineStr">
        <is>
          <t>2022-11-24</t>
        </is>
      </c>
      <c r="J1277" t="inlineStr">
        <is>
          <t>Provider</t>
        </is>
      </c>
    </row>
    <row r="1278">
      <c r="A1278" t="n">
        <v/>
      </c>
      <c r="B1278" t="n">
        <v>1031064</v>
      </c>
      <c r="C1278" t="inlineStr">
        <is>
          <t>SQL</t>
        </is>
      </c>
      <c r="D1278" t="inlineStr">
        <is>
          <t>Secondary</t>
        </is>
      </c>
      <c r="E1278" t="inlineStr">
        <is>
          <t>Beginner</t>
        </is>
      </c>
      <c r="F1278" t="n">
        <v>1</v>
      </c>
      <c r="G1278" t="inlineStr">
        <is>
          <t>Technical</t>
        </is>
      </c>
      <c r="H1278" t="inlineStr">
        <is>
          <t>Yes</t>
        </is>
      </c>
      <c r="I1278" t="inlineStr">
        <is>
          <t>2022-11-24</t>
        </is>
      </c>
      <c r="J1278" t="inlineStr">
        <is>
          <t>Provider</t>
        </is>
      </c>
    </row>
    <row r="1279">
      <c r="A1279" t="n">
        <v/>
      </c>
      <c r="B1279" t="n">
        <v>1031064</v>
      </c>
      <c r="C1279" t="inlineStr">
        <is>
          <t>Docker</t>
        </is>
      </c>
      <c r="D1279" t="inlineStr">
        <is>
          <t>Secondary</t>
        </is>
      </c>
      <c r="E1279" t="inlineStr">
        <is>
          <t>Beginner</t>
        </is>
      </c>
      <c r="F1279" t="n">
        <v>0.8</v>
      </c>
      <c r="G1279" t="inlineStr">
        <is>
          <t>Technical</t>
        </is>
      </c>
      <c r="H1279" t="inlineStr">
        <is>
          <t>Yes</t>
        </is>
      </c>
      <c r="I1279" t="inlineStr">
        <is>
          <t>2022-11-24</t>
        </is>
      </c>
      <c r="J1279" t="inlineStr">
        <is>
          <t>Provider</t>
        </is>
      </c>
    </row>
    <row r="1280">
      <c r="A1280" t="n">
        <v/>
      </c>
      <c r="B1280" t="n">
        <v>1033621</v>
      </c>
      <c r="C1280" t="inlineStr">
        <is>
          <t>Frontend (Angular / TypeScript)</t>
        </is>
      </c>
      <c r="D1280" t="inlineStr">
        <is>
          <t>Primary</t>
        </is>
      </c>
      <c r="E1280" t="inlineStr">
        <is>
          <t>Advanced</t>
        </is>
      </c>
      <c r="F1280" t="n">
        <v>4.5</v>
      </c>
      <c r="G1280" t="inlineStr">
        <is>
          <t>Technical</t>
        </is>
      </c>
      <c r="H1280" t="inlineStr">
        <is>
          <t>Yes</t>
        </is>
      </c>
      <c r="I1280" t="inlineStr">
        <is>
          <t>2023-09-29</t>
        </is>
      </c>
    </row>
    <row r="1281">
      <c r="A1281" t="n">
        <v/>
      </c>
      <c r="B1281" t="n">
        <v>1033621</v>
      </c>
      <c r="C1281" t="inlineStr">
        <is>
          <t>TypeScript</t>
        </is>
      </c>
      <c r="D1281" t="inlineStr">
        <is>
          <t>Secondary</t>
        </is>
      </c>
      <c r="E1281" t="inlineStr">
        <is>
          <t>Intermediate</t>
        </is>
      </c>
      <c r="F1281" t="n">
        <v>2.7</v>
      </c>
      <c r="G1281" t="inlineStr">
        <is>
          <t>Technical</t>
        </is>
      </c>
      <c r="H1281" t="inlineStr">
        <is>
          <t>Yes</t>
        </is>
      </c>
      <c r="I1281" t="inlineStr">
        <is>
          <t>2023-09-29</t>
        </is>
      </c>
    </row>
    <row r="1282">
      <c r="A1282" t="n">
        <v/>
      </c>
      <c r="B1282" t="n">
        <v>1033621</v>
      </c>
      <c r="C1282" t="inlineStr">
        <is>
          <t>JavaScript</t>
        </is>
      </c>
      <c r="D1282" t="inlineStr">
        <is>
          <t>Secondary</t>
        </is>
      </c>
      <c r="E1282" t="inlineStr">
        <is>
          <t>Intermediate</t>
        </is>
      </c>
      <c r="F1282" t="n">
        <v>2</v>
      </c>
      <c r="G1282" t="inlineStr">
        <is>
          <t>Technical</t>
        </is>
      </c>
      <c r="H1282" t="inlineStr">
        <is>
          <t>Yes</t>
        </is>
      </c>
      <c r="I1282" t="inlineStr">
        <is>
          <t>2023-09-29</t>
        </is>
      </c>
    </row>
    <row r="1283">
      <c r="A1283" t="n">
        <v/>
      </c>
      <c r="B1283" t="n">
        <v>1033621</v>
      </c>
      <c r="C1283" t="inlineStr">
        <is>
          <t>HTML5</t>
        </is>
      </c>
      <c r="D1283" t="inlineStr">
        <is>
          <t>Secondary</t>
        </is>
      </c>
      <c r="E1283" t="inlineStr">
        <is>
          <t>Beginner</t>
        </is>
      </c>
      <c r="F1283" t="n">
        <v>1.3</v>
      </c>
      <c r="G1283" t="inlineStr">
        <is>
          <t>Technical</t>
        </is>
      </c>
      <c r="H1283" t="inlineStr">
        <is>
          <t>Yes</t>
        </is>
      </c>
      <c r="I1283" t="inlineStr">
        <is>
          <t>2023-09-29</t>
        </is>
      </c>
    </row>
    <row r="1284">
      <c r="A1284" t="n">
        <v/>
      </c>
      <c r="B1284" t="n">
        <v>1028110</v>
      </c>
      <c r="C1284" t="inlineStr">
        <is>
          <t>Python / Data Engineering</t>
        </is>
      </c>
      <c r="D1284" t="inlineStr">
        <is>
          <t>Primary</t>
        </is>
      </c>
      <c r="E1284" t="inlineStr">
        <is>
          <t>Advanced</t>
        </is>
      </c>
      <c r="F1284" t="n">
        <v>6</v>
      </c>
      <c r="G1284" t="inlineStr">
        <is>
          <t>Technical</t>
        </is>
      </c>
      <c r="H1284" t="inlineStr">
        <is>
          <t>Yes</t>
        </is>
      </c>
      <c r="I1284" t="inlineStr">
        <is>
          <t>2022-01-21</t>
        </is>
      </c>
    </row>
    <row r="1285">
      <c r="A1285" t="n">
        <v/>
      </c>
      <c r="B1285" t="n">
        <v>1028110</v>
      </c>
      <c r="C1285" t="inlineStr">
        <is>
          <t>SQL</t>
        </is>
      </c>
      <c r="D1285" t="inlineStr">
        <is>
          <t>Secondary</t>
        </is>
      </c>
      <c r="E1285" t="inlineStr">
        <is>
          <t>Intermediate</t>
        </is>
      </c>
      <c r="F1285" t="n">
        <v>3.6</v>
      </c>
      <c r="G1285" t="inlineStr">
        <is>
          <t>Technical</t>
        </is>
      </c>
      <c r="H1285" t="inlineStr">
        <is>
          <t>Yes</t>
        </is>
      </c>
      <c r="I1285" t="inlineStr">
        <is>
          <t>2022-01-21</t>
        </is>
      </c>
    </row>
    <row r="1286">
      <c r="A1286" t="n">
        <v/>
      </c>
      <c r="B1286" t="n">
        <v>1028110</v>
      </c>
      <c r="C1286" t="inlineStr">
        <is>
          <t>Docker</t>
        </is>
      </c>
      <c r="D1286" t="inlineStr">
        <is>
          <t>Secondary</t>
        </is>
      </c>
      <c r="E1286" t="inlineStr">
        <is>
          <t>Intermediate</t>
        </is>
      </c>
      <c r="F1286" t="n">
        <v>2.7</v>
      </c>
      <c r="G1286" t="inlineStr">
        <is>
          <t>Technical</t>
        </is>
      </c>
      <c r="H1286" t="inlineStr">
        <is>
          <t>Yes</t>
        </is>
      </c>
      <c r="I1286" t="inlineStr">
        <is>
          <t>2022-01-21</t>
        </is>
      </c>
    </row>
    <row r="1287">
      <c r="A1287" t="n">
        <v/>
      </c>
      <c r="B1287" t="n">
        <v>1028110</v>
      </c>
      <c r="C1287" t="inlineStr">
        <is>
          <t>Pandas</t>
        </is>
      </c>
      <c r="D1287" t="inlineStr">
        <is>
          <t>Secondary</t>
        </is>
      </c>
      <c r="E1287" t="inlineStr">
        <is>
          <t>Intermediate</t>
        </is>
      </c>
      <c r="F1287" t="n">
        <v>1.8</v>
      </c>
      <c r="G1287" t="inlineStr">
        <is>
          <t>Technical</t>
        </is>
      </c>
      <c r="H1287" t="inlineStr">
        <is>
          <t>Yes</t>
        </is>
      </c>
      <c r="I1287" t="inlineStr">
        <is>
          <t>2022-01-21</t>
        </is>
      </c>
    </row>
    <row r="1288">
      <c r="A1288" t="n">
        <v/>
      </c>
      <c r="B1288" t="n">
        <v>1031048</v>
      </c>
      <c r="C1288" t="inlineStr">
        <is>
          <t>Cognos BI &amp; Analytics</t>
        </is>
      </c>
      <c r="D1288" t="inlineStr">
        <is>
          <t>Primary</t>
        </is>
      </c>
      <c r="E1288" t="inlineStr">
        <is>
          <t>Advanced</t>
        </is>
      </c>
      <c r="F1288" t="n">
        <v>1.7</v>
      </c>
      <c r="G1288" t="inlineStr">
        <is>
          <t>Technical</t>
        </is>
      </c>
      <c r="H1288" t="inlineStr">
        <is>
          <t>Yes</t>
        </is>
      </c>
      <c r="I1288" t="inlineStr">
        <is>
          <t>2022-11-24</t>
        </is>
      </c>
    </row>
    <row r="1289">
      <c r="A1289" t="n">
        <v/>
      </c>
      <c r="B1289" t="n">
        <v>1031048</v>
      </c>
      <c r="C1289" t="inlineStr">
        <is>
          <t>SQL</t>
        </is>
      </c>
      <c r="D1289" t="inlineStr">
        <is>
          <t>Secondary</t>
        </is>
      </c>
      <c r="E1289" t="inlineStr">
        <is>
          <t>Beginner</t>
        </is>
      </c>
      <c r="F1289" t="n">
        <v>1</v>
      </c>
      <c r="G1289" t="inlineStr">
        <is>
          <t>Technical</t>
        </is>
      </c>
      <c r="H1289" t="inlineStr">
        <is>
          <t>Yes</t>
        </is>
      </c>
      <c r="I1289" t="inlineStr">
        <is>
          <t>2022-11-24</t>
        </is>
      </c>
    </row>
    <row r="1290">
      <c r="A1290" t="n">
        <v/>
      </c>
      <c r="B1290" t="n">
        <v>1031048</v>
      </c>
      <c r="C1290" t="inlineStr">
        <is>
          <t>Data Modeling</t>
        </is>
      </c>
      <c r="D1290" t="inlineStr">
        <is>
          <t>Secondary</t>
        </is>
      </c>
      <c r="E1290" t="inlineStr">
        <is>
          <t>Beginner</t>
        </is>
      </c>
      <c r="F1290" t="n">
        <v>0.8</v>
      </c>
      <c r="G1290" t="inlineStr">
        <is>
          <t>Technical</t>
        </is>
      </c>
      <c r="H1290" t="inlineStr">
        <is>
          <t>Yes</t>
        </is>
      </c>
      <c r="I1290" t="inlineStr">
        <is>
          <t>2022-11-24</t>
        </is>
      </c>
    </row>
    <row r="1291">
      <c r="A1291" t="n">
        <v/>
      </c>
      <c r="B1291" t="n">
        <v>1022134</v>
      </c>
      <c r="C1291" t="inlineStr">
        <is>
          <t>QA Automation / SDET</t>
        </is>
      </c>
      <c r="D1291" t="inlineStr">
        <is>
          <t>Primary</t>
        </is>
      </c>
      <c r="E1291" t="inlineStr">
        <is>
          <t>Advanced</t>
        </is>
      </c>
      <c r="F1291" t="n">
        <v>8.4</v>
      </c>
      <c r="G1291" t="inlineStr">
        <is>
          <t>Technical</t>
        </is>
      </c>
      <c r="H1291" t="inlineStr">
        <is>
          <t>Yes</t>
        </is>
      </c>
      <c r="I1291" t="inlineStr">
        <is>
          <t>2019-05-29</t>
        </is>
      </c>
    </row>
    <row r="1292">
      <c r="A1292" t="n">
        <v/>
      </c>
      <c r="B1292" t="n">
        <v>1022134</v>
      </c>
      <c r="C1292" t="inlineStr">
        <is>
          <t>Selenium</t>
        </is>
      </c>
      <c r="D1292" t="inlineStr">
        <is>
          <t>Secondary</t>
        </is>
      </c>
      <c r="E1292" t="inlineStr">
        <is>
          <t>Advanced</t>
        </is>
      </c>
      <c r="F1292" t="n">
        <v>5</v>
      </c>
      <c r="G1292" t="inlineStr">
        <is>
          <t>Technical</t>
        </is>
      </c>
      <c r="H1292" t="inlineStr">
        <is>
          <t>Yes</t>
        </is>
      </c>
      <c r="I1292" t="inlineStr">
        <is>
          <t>2019-05-29</t>
        </is>
      </c>
    </row>
    <row r="1293">
      <c r="A1293" t="n">
        <v/>
      </c>
      <c r="B1293" t="n">
        <v>1022134</v>
      </c>
      <c r="C1293" t="inlineStr">
        <is>
          <t>API Testing (Postman)</t>
        </is>
      </c>
      <c r="D1293" t="inlineStr">
        <is>
          <t>Secondary</t>
        </is>
      </c>
      <c r="E1293" t="inlineStr">
        <is>
          <t>Intermediate</t>
        </is>
      </c>
      <c r="F1293" t="n">
        <v>3.8</v>
      </c>
      <c r="G1293" t="inlineStr">
        <is>
          <t>Technical</t>
        </is>
      </c>
      <c r="H1293" t="inlineStr">
        <is>
          <t>Yes</t>
        </is>
      </c>
      <c r="I1293" t="inlineStr">
        <is>
          <t>2019-05-29</t>
        </is>
      </c>
    </row>
    <row r="1294">
      <c r="A1294" t="n">
        <v/>
      </c>
      <c r="B1294" t="n">
        <v>1022134</v>
      </c>
      <c r="C1294" t="inlineStr">
        <is>
          <t>TestNG</t>
        </is>
      </c>
      <c r="D1294" t="inlineStr">
        <is>
          <t>Secondary</t>
        </is>
      </c>
      <c r="E1294" t="inlineStr">
        <is>
          <t>Intermediate</t>
        </is>
      </c>
      <c r="F1294" t="n">
        <v>2.5</v>
      </c>
      <c r="G1294" t="inlineStr">
        <is>
          <t>Technical</t>
        </is>
      </c>
      <c r="H1294" t="inlineStr">
        <is>
          <t>Yes</t>
        </is>
      </c>
      <c r="I1294" t="inlineStr">
        <is>
          <t>2019-05-29</t>
        </is>
      </c>
    </row>
    <row r="1295">
      <c r="A1295" t="n">
        <v/>
      </c>
      <c r="B1295" t="n">
        <v>1033506</v>
      </c>
      <c r="C1295" t="inlineStr">
        <is>
          <t>Java / Spring Boot</t>
        </is>
      </c>
      <c r="D1295" t="inlineStr">
        <is>
          <t>Primary</t>
        </is>
      </c>
      <c r="E1295" t="inlineStr">
        <is>
          <t>Intermediate</t>
        </is>
      </c>
      <c r="F1295" t="n">
        <v>1</v>
      </c>
      <c r="G1295" t="inlineStr">
        <is>
          <t>Technical</t>
        </is>
      </c>
      <c r="H1295" t="inlineStr">
        <is>
          <t>Yes</t>
        </is>
      </c>
      <c r="I1295" t="inlineStr">
        <is>
          <t>2023-09-11</t>
        </is>
      </c>
      <c r="J1295" t="inlineStr">
        <is>
          <t>Member</t>
        </is>
      </c>
    </row>
    <row r="1296">
      <c r="A1296" t="n">
        <v/>
      </c>
      <c r="B1296" t="n">
        <v>1033506</v>
      </c>
      <c r="C1296" t="inlineStr">
        <is>
          <t>SQL</t>
        </is>
      </c>
      <c r="D1296" t="inlineStr">
        <is>
          <t>Secondary</t>
        </is>
      </c>
      <c r="E1296" t="inlineStr">
        <is>
          <t>Beginner</t>
        </is>
      </c>
      <c r="F1296" t="n">
        <v>0.6</v>
      </c>
      <c r="G1296" t="inlineStr">
        <is>
          <t>Technical</t>
        </is>
      </c>
      <c r="H1296" t="inlineStr">
        <is>
          <t>Yes</t>
        </is>
      </c>
      <c r="I1296" t="inlineStr">
        <is>
          <t>2023-09-11</t>
        </is>
      </c>
      <c r="J1296" t="inlineStr">
        <is>
          <t>Member</t>
        </is>
      </c>
    </row>
    <row r="1297">
      <c r="A1297" t="n">
        <v/>
      </c>
      <c r="B1297" t="n">
        <v>1033506</v>
      </c>
      <c r="C1297" t="inlineStr">
        <is>
          <t>Docker</t>
        </is>
      </c>
      <c r="D1297" t="inlineStr">
        <is>
          <t>Secondary</t>
        </is>
      </c>
      <c r="E1297" t="inlineStr">
        <is>
          <t>Beginner</t>
        </is>
      </c>
      <c r="F1297" t="n">
        <v>0.5</v>
      </c>
      <c r="G1297" t="inlineStr">
        <is>
          <t>Technical</t>
        </is>
      </c>
      <c r="H1297" t="inlineStr">
        <is>
          <t>Yes</t>
        </is>
      </c>
      <c r="I1297" t="inlineStr">
        <is>
          <t>2023-09-11</t>
        </is>
      </c>
      <c r="J1297" t="inlineStr">
        <is>
          <t>Member</t>
        </is>
      </c>
    </row>
    <row r="1298">
      <c r="A1298" t="n">
        <v/>
      </c>
      <c r="B1298" t="n">
        <v>1031093</v>
      </c>
      <c r="C1298" t="inlineStr">
        <is>
          <t>Database &amp; SQL Architecture</t>
        </is>
      </c>
      <c r="D1298" t="inlineStr">
        <is>
          <t>Primary</t>
        </is>
      </c>
      <c r="E1298" t="inlineStr">
        <is>
          <t>Intermediate</t>
        </is>
      </c>
      <c r="F1298" t="n">
        <v>1.7</v>
      </c>
      <c r="G1298" t="inlineStr">
        <is>
          <t>Technical</t>
        </is>
      </c>
      <c r="H1298" t="inlineStr">
        <is>
          <t>Yes</t>
        </is>
      </c>
      <c r="I1298" t="inlineStr">
        <is>
          <t>2022-11-24</t>
        </is>
      </c>
    </row>
    <row r="1299">
      <c r="A1299" t="n">
        <v/>
      </c>
      <c r="B1299" t="n">
        <v>1031093</v>
      </c>
      <c r="C1299" t="inlineStr">
        <is>
          <t>PostgreSQL</t>
        </is>
      </c>
      <c r="D1299" t="inlineStr">
        <is>
          <t>Secondary</t>
        </is>
      </c>
      <c r="E1299" t="inlineStr">
        <is>
          <t>Beginner</t>
        </is>
      </c>
      <c r="F1299" t="n">
        <v>1</v>
      </c>
      <c r="G1299" t="inlineStr">
        <is>
          <t>Technical</t>
        </is>
      </c>
      <c r="H1299" t="inlineStr">
        <is>
          <t>Yes</t>
        </is>
      </c>
      <c r="I1299" t="inlineStr">
        <is>
          <t>2022-11-24</t>
        </is>
      </c>
    </row>
    <row r="1300">
      <c r="A1300" t="n">
        <v/>
      </c>
      <c r="B1300" t="n">
        <v>1031093</v>
      </c>
      <c r="C1300" t="inlineStr">
        <is>
          <t>Oracle</t>
        </is>
      </c>
      <c r="D1300" t="inlineStr">
        <is>
          <t>Secondary</t>
        </is>
      </c>
      <c r="E1300" t="inlineStr">
        <is>
          <t>Beginner</t>
        </is>
      </c>
      <c r="F1300" t="n">
        <v>0.8</v>
      </c>
      <c r="G1300" t="inlineStr">
        <is>
          <t>Technical</t>
        </is>
      </c>
      <c r="H1300" t="inlineStr">
        <is>
          <t>Yes</t>
        </is>
      </c>
      <c r="I1300" t="inlineStr">
        <is>
          <t>2022-11-24</t>
        </is>
      </c>
    </row>
    <row r="1301">
      <c r="A1301" t="n">
        <v/>
      </c>
      <c r="B1301" t="n">
        <v>1032201</v>
      </c>
      <c r="C1301" t="inlineStr">
        <is>
          <t>Frontend (Angular / TypeScript)</t>
        </is>
      </c>
      <c r="D1301" t="inlineStr">
        <is>
          <t>Primary</t>
        </is>
      </c>
      <c r="E1301" t="inlineStr">
        <is>
          <t>Advanced</t>
        </is>
      </c>
      <c r="F1301" t="n">
        <v>5.1</v>
      </c>
      <c r="G1301" t="inlineStr">
        <is>
          <t>Technical</t>
        </is>
      </c>
      <c r="H1301" t="inlineStr">
        <is>
          <t>Yes</t>
        </is>
      </c>
      <c r="I1301" t="inlineStr">
        <is>
          <t>2023-02-10</t>
        </is>
      </c>
    </row>
    <row r="1302">
      <c r="A1302" t="n">
        <v/>
      </c>
      <c r="B1302" t="n">
        <v>1032201</v>
      </c>
      <c r="C1302" t="inlineStr">
        <is>
          <t>TypeScript</t>
        </is>
      </c>
      <c r="D1302" t="inlineStr">
        <is>
          <t>Secondary</t>
        </is>
      </c>
      <c r="E1302" t="inlineStr">
        <is>
          <t>Intermediate</t>
        </is>
      </c>
      <c r="F1302" t="n">
        <v>3.1</v>
      </c>
      <c r="G1302" t="inlineStr">
        <is>
          <t>Technical</t>
        </is>
      </c>
      <c r="H1302" t="inlineStr">
        <is>
          <t>Yes</t>
        </is>
      </c>
      <c r="I1302" t="inlineStr">
        <is>
          <t>2023-02-10</t>
        </is>
      </c>
    </row>
    <row r="1303">
      <c r="A1303" t="n">
        <v/>
      </c>
      <c r="B1303" t="n">
        <v>1032201</v>
      </c>
      <c r="C1303" t="inlineStr">
        <is>
          <t>JavaScript</t>
        </is>
      </c>
      <c r="D1303" t="inlineStr">
        <is>
          <t>Secondary</t>
        </is>
      </c>
      <c r="E1303" t="inlineStr">
        <is>
          <t>Intermediate</t>
        </is>
      </c>
      <c r="F1303" t="n">
        <v>2.3</v>
      </c>
      <c r="G1303" t="inlineStr">
        <is>
          <t>Technical</t>
        </is>
      </c>
      <c r="H1303" t="inlineStr">
        <is>
          <t>Yes</t>
        </is>
      </c>
      <c r="I1303" t="inlineStr">
        <is>
          <t>2023-02-10</t>
        </is>
      </c>
    </row>
    <row r="1304">
      <c r="A1304" t="n">
        <v/>
      </c>
      <c r="B1304" t="n">
        <v>1032201</v>
      </c>
      <c r="C1304" t="inlineStr">
        <is>
          <t>HTML5</t>
        </is>
      </c>
      <c r="D1304" t="inlineStr">
        <is>
          <t>Secondary</t>
        </is>
      </c>
      <c r="E1304" t="inlineStr">
        <is>
          <t>Intermediate</t>
        </is>
      </c>
      <c r="F1304" t="n">
        <v>1.5</v>
      </c>
      <c r="G1304" t="inlineStr">
        <is>
          <t>Technical</t>
        </is>
      </c>
      <c r="H1304" t="inlineStr">
        <is>
          <t>Yes</t>
        </is>
      </c>
      <c r="I1304" t="inlineStr">
        <is>
          <t>2023-02-10</t>
        </is>
      </c>
    </row>
    <row r="1305">
      <c r="A1305" t="n">
        <v/>
      </c>
      <c r="B1305" t="n">
        <v>1022124</v>
      </c>
      <c r="C1305" t="inlineStr">
        <is>
          <t>Java / Spring Boot</t>
        </is>
      </c>
      <c r="D1305" t="inlineStr">
        <is>
          <t>Primary</t>
        </is>
      </c>
      <c r="E1305" t="inlineStr">
        <is>
          <t>Advanced</t>
        </is>
      </c>
      <c r="F1305" t="n">
        <v>8.4</v>
      </c>
      <c r="G1305" t="inlineStr">
        <is>
          <t>Technical</t>
        </is>
      </c>
      <c r="H1305" t="inlineStr">
        <is>
          <t>Yes</t>
        </is>
      </c>
      <c r="I1305" t="inlineStr">
        <is>
          <t>2019-05-29</t>
        </is>
      </c>
      <c r="J1305" t="inlineStr">
        <is>
          <t>Member</t>
        </is>
      </c>
    </row>
    <row r="1306">
      <c r="A1306" t="n">
        <v/>
      </c>
      <c r="B1306" t="n">
        <v>1022124</v>
      </c>
      <c r="C1306" t="inlineStr">
        <is>
          <t>SQL</t>
        </is>
      </c>
      <c r="D1306" t="inlineStr">
        <is>
          <t>Secondary</t>
        </is>
      </c>
      <c r="E1306" t="inlineStr">
        <is>
          <t>Advanced</t>
        </is>
      </c>
      <c r="F1306" t="n">
        <v>5</v>
      </c>
      <c r="G1306" t="inlineStr">
        <is>
          <t>Technical</t>
        </is>
      </c>
      <c r="H1306" t="inlineStr">
        <is>
          <t>Yes</t>
        </is>
      </c>
      <c r="I1306" t="inlineStr">
        <is>
          <t>2019-05-29</t>
        </is>
      </c>
      <c r="J1306" t="inlineStr">
        <is>
          <t>Member</t>
        </is>
      </c>
    </row>
    <row r="1307">
      <c r="A1307" t="n">
        <v/>
      </c>
      <c r="B1307" t="n">
        <v>1022124</v>
      </c>
      <c r="C1307" t="inlineStr">
        <is>
          <t>Docker</t>
        </is>
      </c>
      <c r="D1307" t="inlineStr">
        <is>
          <t>Secondary</t>
        </is>
      </c>
      <c r="E1307" t="inlineStr">
        <is>
          <t>Intermediate</t>
        </is>
      </c>
      <c r="F1307" t="n">
        <v>3.8</v>
      </c>
      <c r="G1307" t="inlineStr">
        <is>
          <t>Technical</t>
        </is>
      </c>
      <c r="H1307" t="inlineStr">
        <is>
          <t>Yes</t>
        </is>
      </c>
      <c r="I1307" t="inlineStr">
        <is>
          <t>2019-05-29</t>
        </is>
      </c>
      <c r="J1307" t="inlineStr">
        <is>
          <t>Member</t>
        </is>
      </c>
    </row>
    <row r="1308">
      <c r="A1308" t="n">
        <v/>
      </c>
      <c r="B1308" t="n">
        <v>1022124</v>
      </c>
      <c r="C1308" t="inlineStr">
        <is>
          <t>Git</t>
        </is>
      </c>
      <c r="D1308" t="inlineStr">
        <is>
          <t>Secondary</t>
        </is>
      </c>
      <c r="E1308" t="inlineStr">
        <is>
          <t>Intermediate</t>
        </is>
      </c>
      <c r="F1308" t="n">
        <v>2.5</v>
      </c>
      <c r="G1308" t="inlineStr">
        <is>
          <t>Technical</t>
        </is>
      </c>
      <c r="H1308" t="inlineStr">
        <is>
          <t>Yes</t>
        </is>
      </c>
      <c r="I1308" t="inlineStr">
        <is>
          <t>2019-05-29</t>
        </is>
      </c>
      <c r="J1308" t="inlineStr">
        <is>
          <t>Member</t>
        </is>
      </c>
    </row>
    <row r="1309">
      <c r="A1309" t="n">
        <v/>
      </c>
      <c r="B1309" t="n">
        <v>1027703</v>
      </c>
      <c r="C1309" t="inlineStr">
        <is>
          <t>QA Automation / SDET</t>
        </is>
      </c>
      <c r="D1309" t="inlineStr">
        <is>
          <t>Primary</t>
        </is>
      </c>
      <c r="E1309" t="inlineStr">
        <is>
          <t>Advanced</t>
        </is>
      </c>
      <c r="F1309" t="n">
        <v>6.1</v>
      </c>
      <c r="G1309" t="inlineStr">
        <is>
          <t>Technical</t>
        </is>
      </c>
      <c r="H1309" t="inlineStr">
        <is>
          <t>Yes</t>
        </is>
      </c>
      <c r="I1309" t="inlineStr">
        <is>
          <t>2021-12-20</t>
        </is>
      </c>
    </row>
    <row r="1310">
      <c r="A1310" t="n">
        <v/>
      </c>
      <c r="B1310" t="n">
        <v>1027703</v>
      </c>
      <c r="C1310" t="inlineStr">
        <is>
          <t>Selenium</t>
        </is>
      </c>
      <c r="D1310" t="inlineStr">
        <is>
          <t>Secondary</t>
        </is>
      </c>
      <c r="E1310" t="inlineStr">
        <is>
          <t>Intermediate</t>
        </is>
      </c>
      <c r="F1310" t="n">
        <v>3.7</v>
      </c>
      <c r="G1310" t="inlineStr">
        <is>
          <t>Technical</t>
        </is>
      </c>
      <c r="H1310" t="inlineStr">
        <is>
          <t>Yes</t>
        </is>
      </c>
      <c r="I1310" t="inlineStr">
        <is>
          <t>2021-12-20</t>
        </is>
      </c>
    </row>
    <row r="1311">
      <c r="A1311" t="n">
        <v/>
      </c>
      <c r="B1311" t="n">
        <v>1027703</v>
      </c>
      <c r="C1311" t="inlineStr">
        <is>
          <t>API Testing (Postman)</t>
        </is>
      </c>
      <c r="D1311" t="inlineStr">
        <is>
          <t>Secondary</t>
        </is>
      </c>
      <c r="E1311" t="inlineStr">
        <is>
          <t>Intermediate</t>
        </is>
      </c>
      <c r="F1311" t="n">
        <v>2.7</v>
      </c>
      <c r="G1311" t="inlineStr">
        <is>
          <t>Technical</t>
        </is>
      </c>
      <c r="H1311" t="inlineStr">
        <is>
          <t>Yes</t>
        </is>
      </c>
      <c r="I1311" t="inlineStr">
        <is>
          <t>2021-12-20</t>
        </is>
      </c>
    </row>
    <row r="1312">
      <c r="A1312" t="n">
        <v/>
      </c>
      <c r="B1312" t="n">
        <v>1027703</v>
      </c>
      <c r="C1312" t="inlineStr">
        <is>
          <t>TestNG</t>
        </is>
      </c>
      <c r="D1312" t="inlineStr">
        <is>
          <t>Secondary</t>
        </is>
      </c>
      <c r="E1312" t="inlineStr">
        <is>
          <t>Intermediate</t>
        </is>
      </c>
      <c r="F1312" t="n">
        <v>1.8</v>
      </c>
      <c r="G1312" t="inlineStr">
        <is>
          <t>Technical</t>
        </is>
      </c>
      <c r="H1312" t="inlineStr">
        <is>
          <t>Yes</t>
        </is>
      </c>
      <c r="I1312" t="inlineStr">
        <is>
          <t>2021-12-20</t>
        </is>
      </c>
    </row>
    <row r="1313">
      <c r="A1313" t="n">
        <v/>
      </c>
      <c r="B1313" t="n">
        <v>1031051</v>
      </c>
      <c r="C1313" t="inlineStr">
        <is>
          <t>Frontend (Angular / TypeScript)</t>
        </is>
      </c>
      <c r="D1313" t="inlineStr">
        <is>
          <t>Primary</t>
        </is>
      </c>
      <c r="E1313" t="inlineStr">
        <is>
          <t>Intermediate</t>
        </is>
      </c>
      <c r="F1313" t="n">
        <v>1.7</v>
      </c>
      <c r="G1313" t="inlineStr">
        <is>
          <t>Technical</t>
        </is>
      </c>
      <c r="H1313" t="inlineStr">
        <is>
          <t>Yes</t>
        </is>
      </c>
      <c r="I1313" t="inlineStr">
        <is>
          <t>2022-11-24</t>
        </is>
      </c>
    </row>
    <row r="1314">
      <c r="A1314" t="n">
        <v/>
      </c>
      <c r="B1314" t="n">
        <v>1031051</v>
      </c>
      <c r="C1314" t="inlineStr">
        <is>
          <t>TypeScript</t>
        </is>
      </c>
      <c r="D1314" t="inlineStr">
        <is>
          <t>Secondary</t>
        </is>
      </c>
      <c r="E1314" t="inlineStr">
        <is>
          <t>Beginner</t>
        </is>
      </c>
      <c r="F1314" t="n">
        <v>1</v>
      </c>
      <c r="G1314" t="inlineStr">
        <is>
          <t>Technical</t>
        </is>
      </c>
      <c r="H1314" t="inlineStr">
        <is>
          <t>Yes</t>
        </is>
      </c>
      <c r="I1314" t="inlineStr">
        <is>
          <t>2022-11-24</t>
        </is>
      </c>
    </row>
    <row r="1315">
      <c r="A1315" t="n">
        <v/>
      </c>
      <c r="B1315" t="n">
        <v>1031051</v>
      </c>
      <c r="C1315" t="inlineStr">
        <is>
          <t>JavaScript</t>
        </is>
      </c>
      <c r="D1315" t="inlineStr">
        <is>
          <t>Secondary</t>
        </is>
      </c>
      <c r="E1315" t="inlineStr">
        <is>
          <t>Beginner</t>
        </is>
      </c>
      <c r="F1315" t="n">
        <v>0.8</v>
      </c>
      <c r="G1315" t="inlineStr">
        <is>
          <t>Technical</t>
        </is>
      </c>
      <c r="H1315" t="inlineStr">
        <is>
          <t>Yes</t>
        </is>
      </c>
      <c r="I1315" t="inlineStr">
        <is>
          <t>2022-11-24</t>
        </is>
      </c>
    </row>
    <row r="1316">
      <c r="A1316" t="n">
        <v/>
      </c>
      <c r="B1316" t="n">
        <v>1027797</v>
      </c>
      <c r="C1316" t="inlineStr">
        <is>
          <t>IT Application &amp; Operations Support</t>
        </is>
      </c>
      <c r="D1316" t="inlineStr">
        <is>
          <t>Primary</t>
        </is>
      </c>
      <c r="E1316" t="inlineStr">
        <is>
          <t>Advanced</t>
        </is>
      </c>
      <c r="F1316" t="n">
        <v>6.1</v>
      </c>
      <c r="G1316" t="inlineStr">
        <is>
          <t>Functional</t>
        </is>
      </c>
      <c r="H1316" t="inlineStr">
        <is>
          <t>Yes</t>
        </is>
      </c>
      <c r="I1316" t="inlineStr">
        <is>
          <t>2021-12-27</t>
        </is>
      </c>
    </row>
    <row r="1317">
      <c r="A1317" t="n">
        <v/>
      </c>
      <c r="B1317" t="n">
        <v>1027797</v>
      </c>
      <c r="C1317" t="inlineStr">
        <is>
          <t>Incident Management</t>
        </is>
      </c>
      <c r="D1317" t="inlineStr">
        <is>
          <t>Secondary</t>
        </is>
      </c>
      <c r="E1317" t="inlineStr">
        <is>
          <t>Intermediate</t>
        </is>
      </c>
      <c r="F1317" t="n">
        <v>3.7</v>
      </c>
      <c r="G1317" t="inlineStr">
        <is>
          <t>Functional</t>
        </is>
      </c>
      <c r="H1317" t="inlineStr">
        <is>
          <t>Yes</t>
        </is>
      </c>
      <c r="I1317" t="inlineStr">
        <is>
          <t>2021-12-27</t>
        </is>
      </c>
    </row>
    <row r="1318">
      <c r="A1318" t="n">
        <v/>
      </c>
      <c r="B1318" t="n">
        <v>1027797</v>
      </c>
      <c r="C1318" t="inlineStr">
        <is>
          <t>Production Support</t>
        </is>
      </c>
      <c r="D1318" t="inlineStr">
        <is>
          <t>Secondary</t>
        </is>
      </c>
      <c r="E1318" t="inlineStr">
        <is>
          <t>Intermediate</t>
        </is>
      </c>
      <c r="F1318" t="n">
        <v>2.7</v>
      </c>
      <c r="G1318" t="inlineStr">
        <is>
          <t>Functional</t>
        </is>
      </c>
      <c r="H1318" t="inlineStr">
        <is>
          <t>Yes</t>
        </is>
      </c>
      <c r="I1318" t="inlineStr">
        <is>
          <t>2021-12-27</t>
        </is>
      </c>
    </row>
    <row r="1319">
      <c r="A1319" t="n">
        <v/>
      </c>
      <c r="B1319" t="n">
        <v>1027797</v>
      </c>
      <c r="C1319" t="inlineStr">
        <is>
          <t>SQL</t>
        </is>
      </c>
      <c r="D1319" t="inlineStr">
        <is>
          <t>Secondary</t>
        </is>
      </c>
      <c r="E1319" t="inlineStr">
        <is>
          <t>Intermediate</t>
        </is>
      </c>
      <c r="F1319" t="n">
        <v>1.8</v>
      </c>
      <c r="G1319" t="inlineStr">
        <is>
          <t>Functional</t>
        </is>
      </c>
      <c r="H1319" t="inlineStr">
        <is>
          <t>Yes</t>
        </is>
      </c>
      <c r="I1319" t="inlineStr">
        <is>
          <t>2021-12-27</t>
        </is>
      </c>
    </row>
    <row r="1320">
      <c r="A1320" t="n">
        <v/>
      </c>
      <c r="B1320" t="n">
        <v>1028066</v>
      </c>
      <c r="C1320" t="inlineStr">
        <is>
          <t>Frontend (Angular / TypeScript)</t>
        </is>
      </c>
      <c r="D1320" t="inlineStr">
        <is>
          <t>Primary</t>
        </is>
      </c>
      <c r="E1320" t="inlineStr">
        <is>
          <t>Advanced</t>
        </is>
      </c>
      <c r="F1320" t="n">
        <v>6.1</v>
      </c>
      <c r="G1320" t="inlineStr">
        <is>
          <t>Technical</t>
        </is>
      </c>
      <c r="H1320" t="inlineStr">
        <is>
          <t>Yes</t>
        </is>
      </c>
      <c r="I1320" t="inlineStr">
        <is>
          <t>2022-01-18</t>
        </is>
      </c>
    </row>
    <row r="1321">
      <c r="A1321" t="n">
        <v/>
      </c>
      <c r="B1321" t="n">
        <v>1028066</v>
      </c>
      <c r="C1321" t="inlineStr">
        <is>
          <t>TypeScript</t>
        </is>
      </c>
      <c r="D1321" t="inlineStr">
        <is>
          <t>Secondary</t>
        </is>
      </c>
      <c r="E1321" t="inlineStr">
        <is>
          <t>Intermediate</t>
        </is>
      </c>
      <c r="F1321" t="n">
        <v>3.7</v>
      </c>
      <c r="G1321" t="inlineStr">
        <is>
          <t>Technical</t>
        </is>
      </c>
      <c r="H1321" t="inlineStr">
        <is>
          <t>Yes</t>
        </is>
      </c>
      <c r="I1321" t="inlineStr">
        <is>
          <t>2022-01-18</t>
        </is>
      </c>
    </row>
    <row r="1322">
      <c r="A1322" t="n">
        <v/>
      </c>
      <c r="B1322" t="n">
        <v>1028066</v>
      </c>
      <c r="C1322" t="inlineStr">
        <is>
          <t>JavaScript</t>
        </is>
      </c>
      <c r="D1322" t="inlineStr">
        <is>
          <t>Secondary</t>
        </is>
      </c>
      <c r="E1322" t="inlineStr">
        <is>
          <t>Intermediate</t>
        </is>
      </c>
      <c r="F1322" t="n">
        <v>2.7</v>
      </c>
      <c r="G1322" t="inlineStr">
        <is>
          <t>Technical</t>
        </is>
      </c>
      <c r="H1322" t="inlineStr">
        <is>
          <t>Yes</t>
        </is>
      </c>
      <c r="I1322" t="inlineStr">
        <is>
          <t>2022-01-18</t>
        </is>
      </c>
    </row>
    <row r="1323">
      <c r="A1323" t="n">
        <v/>
      </c>
      <c r="B1323" t="n">
        <v>1028066</v>
      </c>
      <c r="C1323" t="inlineStr">
        <is>
          <t>HTML5</t>
        </is>
      </c>
      <c r="D1323" t="inlineStr">
        <is>
          <t>Secondary</t>
        </is>
      </c>
      <c r="E1323" t="inlineStr">
        <is>
          <t>Intermediate</t>
        </is>
      </c>
      <c r="F1323" t="n">
        <v>1.8</v>
      </c>
      <c r="G1323" t="inlineStr">
        <is>
          <t>Technical</t>
        </is>
      </c>
      <c r="H1323" t="inlineStr">
        <is>
          <t>Yes</t>
        </is>
      </c>
      <c r="I1323" t="inlineStr">
        <is>
          <t>2022-01-18</t>
        </is>
      </c>
    </row>
    <row r="1324">
      <c r="A1324" t="n">
        <v/>
      </c>
      <c r="B1324" t="n">
        <v>1031029</v>
      </c>
      <c r="C1324" t="inlineStr">
        <is>
          <t>Cloud &amp; DevOps (AWS / K8s)</t>
        </is>
      </c>
      <c r="D1324" t="inlineStr">
        <is>
          <t>Primary</t>
        </is>
      </c>
      <c r="E1324" t="inlineStr">
        <is>
          <t>Intermediate</t>
        </is>
      </c>
      <c r="F1324" t="n">
        <v>1.7</v>
      </c>
      <c r="G1324" t="inlineStr">
        <is>
          <t>Technical</t>
        </is>
      </c>
      <c r="H1324" t="inlineStr">
        <is>
          <t>Yes</t>
        </is>
      </c>
      <c r="I1324" t="inlineStr">
        <is>
          <t>2022-11-24</t>
        </is>
      </c>
    </row>
    <row r="1325">
      <c r="A1325" t="n">
        <v/>
      </c>
      <c r="B1325" t="n">
        <v>1031029</v>
      </c>
      <c r="C1325" t="inlineStr">
        <is>
          <t>Docker</t>
        </is>
      </c>
      <c r="D1325" t="inlineStr">
        <is>
          <t>Secondary</t>
        </is>
      </c>
      <c r="E1325" t="inlineStr">
        <is>
          <t>Beginner</t>
        </is>
      </c>
      <c r="F1325" t="n">
        <v>1</v>
      </c>
      <c r="G1325" t="inlineStr">
        <is>
          <t>Technical</t>
        </is>
      </c>
      <c r="H1325" t="inlineStr">
        <is>
          <t>Yes</t>
        </is>
      </c>
      <c r="I1325" t="inlineStr">
        <is>
          <t>2022-11-24</t>
        </is>
      </c>
    </row>
    <row r="1326">
      <c r="A1326" t="n">
        <v/>
      </c>
      <c r="B1326" t="n">
        <v>1031029</v>
      </c>
      <c r="C1326" t="inlineStr">
        <is>
          <t>Kubernetes</t>
        </is>
      </c>
      <c r="D1326" t="inlineStr">
        <is>
          <t>Secondary</t>
        </is>
      </c>
      <c r="E1326" t="inlineStr">
        <is>
          <t>Beginner</t>
        </is>
      </c>
      <c r="F1326" t="n">
        <v>0.8</v>
      </c>
      <c r="G1326" t="inlineStr">
        <is>
          <t>Technical</t>
        </is>
      </c>
      <c r="H1326" t="inlineStr">
        <is>
          <t>Yes</t>
        </is>
      </c>
      <c r="I1326" t="inlineStr">
        <is>
          <t>2022-11-24</t>
        </is>
      </c>
    </row>
    <row r="1327">
      <c r="A1327" t="n">
        <v/>
      </c>
      <c r="B1327" t="n">
        <v>1031880</v>
      </c>
      <c r="C1327" t="inlineStr">
        <is>
          <t>Java / Spring Boot</t>
        </is>
      </c>
      <c r="D1327" t="inlineStr">
        <is>
          <t>Primary</t>
        </is>
      </c>
      <c r="E1327" t="inlineStr">
        <is>
          <t>Advanced</t>
        </is>
      </c>
      <c r="F1327" t="n">
        <v>6.1</v>
      </c>
      <c r="G1327" t="inlineStr">
        <is>
          <t>Technical</t>
        </is>
      </c>
      <c r="H1327" t="inlineStr">
        <is>
          <t>Yes</t>
        </is>
      </c>
      <c r="I1327" t="inlineStr">
        <is>
          <t>2022-12-19</t>
        </is>
      </c>
      <c r="J1327" t="inlineStr">
        <is>
          <t>Claims Financial</t>
        </is>
      </c>
    </row>
    <row r="1328">
      <c r="A1328" t="n">
        <v/>
      </c>
      <c r="B1328" t="n">
        <v>1031880</v>
      </c>
      <c r="C1328" t="inlineStr">
        <is>
          <t>SQL</t>
        </is>
      </c>
      <c r="D1328" t="inlineStr">
        <is>
          <t>Secondary</t>
        </is>
      </c>
      <c r="E1328" t="inlineStr">
        <is>
          <t>Intermediate</t>
        </is>
      </c>
      <c r="F1328" t="n">
        <v>3.7</v>
      </c>
      <c r="G1328" t="inlineStr">
        <is>
          <t>Technical</t>
        </is>
      </c>
      <c r="H1328" t="inlineStr">
        <is>
          <t>Yes</t>
        </is>
      </c>
      <c r="I1328" t="inlineStr">
        <is>
          <t>2022-12-19</t>
        </is>
      </c>
      <c r="J1328" t="inlineStr">
        <is>
          <t>Claims Financial</t>
        </is>
      </c>
    </row>
    <row r="1329">
      <c r="A1329" t="n">
        <v/>
      </c>
      <c r="B1329" t="n">
        <v>1031880</v>
      </c>
      <c r="C1329" t="inlineStr">
        <is>
          <t>Docker</t>
        </is>
      </c>
      <c r="D1329" t="inlineStr">
        <is>
          <t>Secondary</t>
        </is>
      </c>
      <c r="E1329" t="inlineStr">
        <is>
          <t>Intermediate</t>
        </is>
      </c>
      <c r="F1329" t="n">
        <v>2.7</v>
      </c>
      <c r="G1329" t="inlineStr">
        <is>
          <t>Technical</t>
        </is>
      </c>
      <c r="H1329" t="inlineStr">
        <is>
          <t>Yes</t>
        </is>
      </c>
      <c r="I1329" t="inlineStr">
        <is>
          <t>2022-12-19</t>
        </is>
      </c>
      <c r="J1329" t="inlineStr">
        <is>
          <t>Claims Financial</t>
        </is>
      </c>
    </row>
    <row r="1330">
      <c r="A1330" t="n">
        <v/>
      </c>
      <c r="B1330" t="n">
        <v>1031880</v>
      </c>
      <c r="C1330" t="inlineStr">
        <is>
          <t>Git</t>
        </is>
      </c>
      <c r="D1330" t="inlineStr">
        <is>
          <t>Secondary</t>
        </is>
      </c>
      <c r="E1330" t="inlineStr">
        <is>
          <t>Intermediate</t>
        </is>
      </c>
      <c r="F1330" t="n">
        <v>1.8</v>
      </c>
      <c r="G1330" t="inlineStr">
        <is>
          <t>Technical</t>
        </is>
      </c>
      <c r="H1330" t="inlineStr">
        <is>
          <t>Yes</t>
        </is>
      </c>
      <c r="I1330" t="inlineStr">
        <is>
          <t>2022-12-19</t>
        </is>
      </c>
      <c r="J1330" t="inlineStr">
        <is>
          <t>Claims Financial</t>
        </is>
      </c>
    </row>
    <row r="1331">
      <c r="A1331" t="n">
        <v/>
      </c>
      <c r="B1331" t="n">
        <v>1031055</v>
      </c>
      <c r="C1331" t="inlineStr">
        <is>
          <t>Cloud &amp; DevOps (AWS / K8s)</t>
        </is>
      </c>
      <c r="D1331" t="inlineStr">
        <is>
          <t>Primary</t>
        </is>
      </c>
      <c r="E1331" t="inlineStr">
        <is>
          <t>Intermediate</t>
        </is>
      </c>
      <c r="F1331" t="n">
        <v>1.7</v>
      </c>
      <c r="G1331" t="inlineStr">
        <is>
          <t>Technical</t>
        </is>
      </c>
      <c r="H1331" t="inlineStr">
        <is>
          <t>Yes</t>
        </is>
      </c>
      <c r="I1331" t="inlineStr">
        <is>
          <t>2022-11-24</t>
        </is>
      </c>
    </row>
    <row r="1332">
      <c r="A1332" t="n">
        <v/>
      </c>
      <c r="B1332" t="n">
        <v>1031055</v>
      </c>
      <c r="C1332" t="inlineStr">
        <is>
          <t>Linux</t>
        </is>
      </c>
      <c r="D1332" t="inlineStr">
        <is>
          <t>Secondary</t>
        </is>
      </c>
      <c r="E1332" t="inlineStr">
        <is>
          <t>Beginner</t>
        </is>
      </c>
      <c r="F1332" t="n">
        <v>1</v>
      </c>
      <c r="G1332" t="inlineStr">
        <is>
          <t>Technical</t>
        </is>
      </c>
      <c r="H1332" t="inlineStr">
        <is>
          <t>Yes</t>
        </is>
      </c>
      <c r="I1332" t="inlineStr">
        <is>
          <t>2022-11-24</t>
        </is>
      </c>
    </row>
    <row r="1333">
      <c r="A1333" t="n">
        <v/>
      </c>
      <c r="B1333" t="n">
        <v>1031055</v>
      </c>
      <c r="C1333" t="inlineStr">
        <is>
          <t>Docker</t>
        </is>
      </c>
      <c r="D1333" t="inlineStr">
        <is>
          <t>Secondary</t>
        </is>
      </c>
      <c r="E1333" t="inlineStr">
        <is>
          <t>Beginner</t>
        </is>
      </c>
      <c r="F1333" t="n">
        <v>0.8</v>
      </c>
      <c r="G1333" t="inlineStr">
        <is>
          <t>Technical</t>
        </is>
      </c>
      <c r="H1333" t="inlineStr">
        <is>
          <t>Yes</t>
        </is>
      </c>
      <c r="I1333" t="inlineStr">
        <is>
          <t>2022-11-24</t>
        </is>
      </c>
    </row>
    <row r="1334">
      <c r="A1334" t="n">
        <v/>
      </c>
      <c r="B1334" t="n">
        <v>1027164</v>
      </c>
      <c r="C1334" t="inlineStr">
        <is>
          <t>QA Automation / SDET</t>
        </is>
      </c>
      <c r="D1334" t="inlineStr">
        <is>
          <t>Primary</t>
        </is>
      </c>
      <c r="E1334" t="inlineStr">
        <is>
          <t>Advanced</t>
        </is>
      </c>
      <c r="F1334" t="n">
        <v>6.2</v>
      </c>
      <c r="G1334" t="inlineStr">
        <is>
          <t>Technical</t>
        </is>
      </c>
      <c r="H1334" t="inlineStr">
        <is>
          <t>Yes</t>
        </is>
      </c>
      <c r="I1334" t="inlineStr">
        <is>
          <t>2021-11-12</t>
        </is>
      </c>
    </row>
    <row r="1335">
      <c r="A1335" t="n">
        <v/>
      </c>
      <c r="B1335" t="n">
        <v>1027164</v>
      </c>
      <c r="C1335" t="inlineStr">
        <is>
          <t>Selenium</t>
        </is>
      </c>
      <c r="D1335" t="inlineStr">
        <is>
          <t>Secondary</t>
        </is>
      </c>
      <c r="E1335" t="inlineStr">
        <is>
          <t>Intermediate</t>
        </is>
      </c>
      <c r="F1335" t="n">
        <v>3.7</v>
      </c>
      <c r="G1335" t="inlineStr">
        <is>
          <t>Technical</t>
        </is>
      </c>
      <c r="H1335" t="inlineStr">
        <is>
          <t>Yes</t>
        </is>
      </c>
      <c r="I1335" t="inlineStr">
        <is>
          <t>2021-11-12</t>
        </is>
      </c>
    </row>
    <row r="1336">
      <c r="A1336" t="n">
        <v/>
      </c>
      <c r="B1336" t="n">
        <v>1027164</v>
      </c>
      <c r="C1336" t="inlineStr">
        <is>
          <t>API Testing (Postman)</t>
        </is>
      </c>
      <c r="D1336" t="inlineStr">
        <is>
          <t>Secondary</t>
        </is>
      </c>
      <c r="E1336" t="inlineStr">
        <is>
          <t>Intermediate</t>
        </is>
      </c>
      <c r="F1336" t="n">
        <v>2.8</v>
      </c>
      <c r="G1336" t="inlineStr">
        <is>
          <t>Technical</t>
        </is>
      </c>
      <c r="H1336" t="inlineStr">
        <is>
          <t>Yes</t>
        </is>
      </c>
      <c r="I1336" t="inlineStr">
        <is>
          <t>2021-11-12</t>
        </is>
      </c>
    </row>
    <row r="1337">
      <c r="A1337" t="n">
        <v/>
      </c>
      <c r="B1337" t="n">
        <v>1027164</v>
      </c>
      <c r="C1337" t="inlineStr">
        <is>
          <t>TestNG</t>
        </is>
      </c>
      <c r="D1337" t="inlineStr">
        <is>
          <t>Secondary</t>
        </is>
      </c>
      <c r="E1337" t="inlineStr">
        <is>
          <t>Intermediate</t>
        </is>
      </c>
      <c r="F1337" t="n">
        <v>1.9</v>
      </c>
      <c r="G1337" t="inlineStr">
        <is>
          <t>Technical</t>
        </is>
      </c>
      <c r="H1337" t="inlineStr">
        <is>
          <t>Yes</t>
        </is>
      </c>
      <c r="I1337" t="inlineStr">
        <is>
          <t>2021-11-12</t>
        </is>
      </c>
    </row>
    <row r="1338">
      <c r="A1338" t="n">
        <v/>
      </c>
      <c r="B1338" t="n">
        <v>1032297</v>
      </c>
      <c r="C1338" t="inlineStr">
        <is>
          <t>Cloud &amp; DevOps (AWS / K8s)</t>
        </is>
      </c>
      <c r="D1338" t="inlineStr">
        <is>
          <t>Primary</t>
        </is>
      </c>
      <c r="E1338" t="inlineStr">
        <is>
          <t>Advanced</t>
        </is>
      </c>
      <c r="F1338" t="n">
        <v>5</v>
      </c>
      <c r="G1338" t="inlineStr">
        <is>
          <t>Technical</t>
        </is>
      </c>
      <c r="H1338" t="inlineStr">
        <is>
          <t>Yes</t>
        </is>
      </c>
      <c r="I1338" t="inlineStr">
        <is>
          <t>2023-03-01</t>
        </is>
      </c>
    </row>
    <row r="1339">
      <c r="A1339" t="n">
        <v/>
      </c>
      <c r="B1339" t="n">
        <v>1032297</v>
      </c>
      <c r="C1339" t="inlineStr">
        <is>
          <t>Linux</t>
        </is>
      </c>
      <c r="D1339" t="inlineStr">
        <is>
          <t>Secondary</t>
        </is>
      </c>
      <c r="E1339" t="inlineStr">
        <is>
          <t>Intermediate</t>
        </is>
      </c>
      <c r="F1339" t="n">
        <v>3</v>
      </c>
      <c r="G1339" t="inlineStr">
        <is>
          <t>Technical</t>
        </is>
      </c>
      <c r="H1339" t="inlineStr">
        <is>
          <t>Yes</t>
        </is>
      </c>
      <c r="I1339" t="inlineStr">
        <is>
          <t>2023-03-01</t>
        </is>
      </c>
    </row>
    <row r="1340">
      <c r="A1340" t="n">
        <v/>
      </c>
      <c r="B1340" t="n">
        <v>1032297</v>
      </c>
      <c r="C1340" t="inlineStr">
        <is>
          <t>Docker</t>
        </is>
      </c>
      <c r="D1340" t="inlineStr">
        <is>
          <t>Secondary</t>
        </is>
      </c>
      <c r="E1340" t="inlineStr">
        <is>
          <t>Intermediate</t>
        </is>
      </c>
      <c r="F1340" t="n">
        <v>2.2</v>
      </c>
      <c r="G1340" t="inlineStr">
        <is>
          <t>Technical</t>
        </is>
      </c>
      <c r="H1340" t="inlineStr">
        <is>
          <t>Yes</t>
        </is>
      </c>
      <c r="I1340" t="inlineStr">
        <is>
          <t>2023-03-01</t>
        </is>
      </c>
    </row>
    <row r="1341">
      <c r="A1341" t="n">
        <v/>
      </c>
      <c r="B1341" t="n">
        <v>1032297</v>
      </c>
      <c r="C1341" t="inlineStr">
        <is>
          <t>Kubernetes</t>
        </is>
      </c>
      <c r="D1341" t="inlineStr">
        <is>
          <t>Secondary</t>
        </is>
      </c>
      <c r="E1341" t="inlineStr">
        <is>
          <t>Intermediate</t>
        </is>
      </c>
      <c r="F1341" t="n">
        <v>1.5</v>
      </c>
      <c r="G1341" t="inlineStr">
        <is>
          <t>Technical</t>
        </is>
      </c>
      <c r="H1341" t="inlineStr">
        <is>
          <t>Yes</t>
        </is>
      </c>
      <c r="I1341" t="inlineStr">
        <is>
          <t>2023-03-01</t>
        </is>
      </c>
    </row>
    <row r="1342">
      <c r="A1342" t="n">
        <v/>
      </c>
      <c r="B1342" t="n">
        <v>1029935</v>
      </c>
      <c r="C1342" t="inlineStr">
        <is>
          <t>Cloud &amp; DevOps (AWS / K8s)</t>
        </is>
      </c>
      <c r="D1342" t="inlineStr">
        <is>
          <t>Primary</t>
        </is>
      </c>
      <c r="E1342" t="inlineStr">
        <is>
          <t>Advanced</t>
        </is>
      </c>
      <c r="F1342" t="n">
        <v>5.5</v>
      </c>
      <c r="G1342" t="inlineStr">
        <is>
          <t>Technical</t>
        </is>
      </c>
      <c r="H1342" t="inlineStr">
        <is>
          <t>Yes</t>
        </is>
      </c>
      <c r="I1342" t="inlineStr">
        <is>
          <t>2022-08-22</t>
        </is>
      </c>
    </row>
    <row r="1343">
      <c r="A1343" t="n">
        <v/>
      </c>
      <c r="B1343" t="n">
        <v>1029935</v>
      </c>
      <c r="C1343" t="inlineStr">
        <is>
          <t>Linux</t>
        </is>
      </c>
      <c r="D1343" t="inlineStr">
        <is>
          <t>Secondary</t>
        </is>
      </c>
      <c r="E1343" t="inlineStr">
        <is>
          <t>Intermediate</t>
        </is>
      </c>
      <c r="F1343" t="n">
        <v>3.3</v>
      </c>
      <c r="G1343" t="inlineStr">
        <is>
          <t>Technical</t>
        </is>
      </c>
      <c r="H1343" t="inlineStr">
        <is>
          <t>Yes</t>
        </is>
      </c>
      <c r="I1343" t="inlineStr">
        <is>
          <t>2022-08-22</t>
        </is>
      </c>
    </row>
    <row r="1344">
      <c r="A1344" t="n">
        <v/>
      </c>
      <c r="B1344" t="n">
        <v>1029935</v>
      </c>
      <c r="C1344" t="inlineStr">
        <is>
          <t>Docker</t>
        </is>
      </c>
      <c r="D1344" t="inlineStr">
        <is>
          <t>Secondary</t>
        </is>
      </c>
      <c r="E1344" t="inlineStr">
        <is>
          <t>Intermediate</t>
        </is>
      </c>
      <c r="F1344" t="n">
        <v>2.5</v>
      </c>
      <c r="G1344" t="inlineStr">
        <is>
          <t>Technical</t>
        </is>
      </c>
      <c r="H1344" t="inlineStr">
        <is>
          <t>Yes</t>
        </is>
      </c>
      <c r="I1344" t="inlineStr">
        <is>
          <t>2022-08-22</t>
        </is>
      </c>
    </row>
    <row r="1345">
      <c r="A1345" t="n">
        <v/>
      </c>
      <c r="B1345" t="n">
        <v>1029935</v>
      </c>
      <c r="C1345" t="inlineStr">
        <is>
          <t>Kubernetes</t>
        </is>
      </c>
      <c r="D1345" t="inlineStr">
        <is>
          <t>Secondary</t>
        </is>
      </c>
      <c r="E1345" t="inlineStr">
        <is>
          <t>Intermediate</t>
        </is>
      </c>
      <c r="F1345" t="n">
        <v>1.6</v>
      </c>
      <c r="G1345" t="inlineStr">
        <is>
          <t>Technical</t>
        </is>
      </c>
      <c r="H1345" t="inlineStr">
        <is>
          <t>Yes</t>
        </is>
      </c>
      <c r="I1345" t="inlineStr">
        <is>
          <t>2022-08-22</t>
        </is>
      </c>
    </row>
    <row r="1346">
      <c r="A1346" t="n">
        <v/>
      </c>
      <c r="B1346" t="n">
        <v>1029444</v>
      </c>
      <c r="C1346" t="inlineStr">
        <is>
          <t>IT Application &amp; Operations Support</t>
        </is>
      </c>
      <c r="D1346" t="inlineStr">
        <is>
          <t>Primary</t>
        </is>
      </c>
      <c r="E1346" t="inlineStr">
        <is>
          <t>Advanced</t>
        </is>
      </c>
      <c r="F1346" t="n">
        <v>5.6</v>
      </c>
      <c r="G1346" t="inlineStr">
        <is>
          <t>Functional</t>
        </is>
      </c>
      <c r="H1346" t="inlineStr">
        <is>
          <t>Yes</t>
        </is>
      </c>
      <c r="I1346" t="inlineStr">
        <is>
          <t>2022-07-04</t>
        </is>
      </c>
    </row>
    <row r="1347">
      <c r="A1347" t="n">
        <v/>
      </c>
      <c r="B1347" t="n">
        <v>1029444</v>
      </c>
      <c r="C1347" t="inlineStr">
        <is>
          <t>Incident Management</t>
        </is>
      </c>
      <c r="D1347" t="inlineStr">
        <is>
          <t>Secondary</t>
        </is>
      </c>
      <c r="E1347" t="inlineStr">
        <is>
          <t>Intermediate</t>
        </is>
      </c>
      <c r="F1347" t="n">
        <v>3.4</v>
      </c>
      <c r="G1347" t="inlineStr">
        <is>
          <t>Functional</t>
        </is>
      </c>
      <c r="H1347" t="inlineStr">
        <is>
          <t>Yes</t>
        </is>
      </c>
      <c r="I1347" t="inlineStr">
        <is>
          <t>2022-07-04</t>
        </is>
      </c>
    </row>
    <row r="1348">
      <c r="A1348" t="n">
        <v/>
      </c>
      <c r="B1348" t="n">
        <v>1029444</v>
      </c>
      <c r="C1348" t="inlineStr">
        <is>
          <t>Production Support</t>
        </is>
      </c>
      <c r="D1348" t="inlineStr">
        <is>
          <t>Secondary</t>
        </is>
      </c>
      <c r="E1348" t="inlineStr">
        <is>
          <t>Intermediate</t>
        </is>
      </c>
      <c r="F1348" t="n">
        <v>2.5</v>
      </c>
      <c r="G1348" t="inlineStr">
        <is>
          <t>Functional</t>
        </is>
      </c>
      <c r="H1348" t="inlineStr">
        <is>
          <t>Yes</t>
        </is>
      </c>
      <c r="I1348" t="inlineStr">
        <is>
          <t>2022-07-04</t>
        </is>
      </c>
    </row>
    <row r="1349">
      <c r="A1349" t="n">
        <v/>
      </c>
      <c r="B1349" t="n">
        <v>1029444</v>
      </c>
      <c r="C1349" t="inlineStr">
        <is>
          <t>SQL</t>
        </is>
      </c>
      <c r="D1349" t="inlineStr">
        <is>
          <t>Secondary</t>
        </is>
      </c>
      <c r="E1349" t="inlineStr">
        <is>
          <t>Intermediate</t>
        </is>
      </c>
      <c r="F1349" t="n">
        <v>1.7</v>
      </c>
      <c r="G1349" t="inlineStr">
        <is>
          <t>Functional</t>
        </is>
      </c>
      <c r="H1349" t="inlineStr">
        <is>
          <t>Yes</t>
        </is>
      </c>
      <c r="I1349" t="inlineStr">
        <is>
          <t>2022-07-04</t>
        </is>
      </c>
    </row>
    <row r="1350">
      <c r="A1350" t="n">
        <v/>
      </c>
      <c r="B1350" t="n">
        <v>1031065</v>
      </c>
      <c r="C1350" t="inlineStr">
        <is>
          <t>Python / Data Engineering</t>
        </is>
      </c>
      <c r="D1350" t="inlineStr">
        <is>
          <t>Primary</t>
        </is>
      </c>
      <c r="E1350" t="inlineStr">
        <is>
          <t>Intermediate</t>
        </is>
      </c>
      <c r="F1350" t="n">
        <v>1.7</v>
      </c>
      <c r="G1350" t="inlineStr">
        <is>
          <t>Technical</t>
        </is>
      </c>
      <c r="H1350" t="inlineStr">
        <is>
          <t>Yes</t>
        </is>
      </c>
      <c r="I1350" t="inlineStr">
        <is>
          <t>2022-11-24</t>
        </is>
      </c>
    </row>
    <row r="1351">
      <c r="A1351" t="n">
        <v/>
      </c>
      <c r="B1351" t="n">
        <v>1031065</v>
      </c>
      <c r="C1351" t="inlineStr">
        <is>
          <t>SQL</t>
        </is>
      </c>
      <c r="D1351" t="inlineStr">
        <is>
          <t>Secondary</t>
        </is>
      </c>
      <c r="E1351" t="inlineStr">
        <is>
          <t>Beginner</t>
        </is>
      </c>
      <c r="F1351" t="n">
        <v>1</v>
      </c>
      <c r="G1351" t="inlineStr">
        <is>
          <t>Technical</t>
        </is>
      </c>
      <c r="H1351" t="inlineStr">
        <is>
          <t>Yes</t>
        </is>
      </c>
      <c r="I1351" t="inlineStr">
        <is>
          <t>2022-11-24</t>
        </is>
      </c>
    </row>
    <row r="1352">
      <c r="A1352" t="n">
        <v/>
      </c>
      <c r="B1352" t="n">
        <v>1031065</v>
      </c>
      <c r="C1352" t="inlineStr">
        <is>
          <t>Docker</t>
        </is>
      </c>
      <c r="D1352" t="inlineStr">
        <is>
          <t>Secondary</t>
        </is>
      </c>
      <c r="E1352" t="inlineStr">
        <is>
          <t>Beginner</t>
        </is>
      </c>
      <c r="F1352" t="n">
        <v>0.8</v>
      </c>
      <c r="G1352" t="inlineStr">
        <is>
          <t>Technical</t>
        </is>
      </c>
      <c r="H1352" t="inlineStr">
        <is>
          <t>Yes</t>
        </is>
      </c>
      <c r="I1352" t="inlineStr">
        <is>
          <t>2022-11-24</t>
        </is>
      </c>
    </row>
    <row r="1353">
      <c r="A1353" t="n">
        <v/>
      </c>
      <c r="B1353" t="n">
        <v>1028495</v>
      </c>
      <c r="C1353" t="inlineStr">
        <is>
          <t>Python / Data Engineering</t>
        </is>
      </c>
      <c r="D1353" t="inlineStr">
        <is>
          <t>Primary</t>
        </is>
      </c>
      <c r="E1353" t="inlineStr">
        <is>
          <t>Advanced</t>
        </is>
      </c>
      <c r="F1353" t="n">
        <v>5.9</v>
      </c>
      <c r="G1353" t="inlineStr">
        <is>
          <t>Technical</t>
        </is>
      </c>
      <c r="H1353" t="inlineStr">
        <is>
          <t>Yes</t>
        </is>
      </c>
      <c r="I1353" t="inlineStr">
        <is>
          <t>2022-03-04</t>
        </is>
      </c>
    </row>
    <row r="1354">
      <c r="A1354" t="n">
        <v/>
      </c>
      <c r="B1354" t="n">
        <v>1028495</v>
      </c>
      <c r="C1354" t="inlineStr">
        <is>
          <t>SQL</t>
        </is>
      </c>
      <c r="D1354" t="inlineStr">
        <is>
          <t>Secondary</t>
        </is>
      </c>
      <c r="E1354" t="inlineStr">
        <is>
          <t>Intermediate</t>
        </is>
      </c>
      <c r="F1354" t="n">
        <v>3.5</v>
      </c>
      <c r="G1354" t="inlineStr">
        <is>
          <t>Technical</t>
        </is>
      </c>
      <c r="H1354" t="inlineStr">
        <is>
          <t>Yes</t>
        </is>
      </c>
      <c r="I1354" t="inlineStr">
        <is>
          <t>2022-03-04</t>
        </is>
      </c>
    </row>
    <row r="1355">
      <c r="A1355" t="n">
        <v/>
      </c>
      <c r="B1355" t="n">
        <v>1028495</v>
      </c>
      <c r="C1355" t="inlineStr">
        <is>
          <t>Docker</t>
        </is>
      </c>
      <c r="D1355" t="inlineStr">
        <is>
          <t>Secondary</t>
        </is>
      </c>
      <c r="E1355" t="inlineStr">
        <is>
          <t>Intermediate</t>
        </is>
      </c>
      <c r="F1355" t="n">
        <v>2.7</v>
      </c>
      <c r="G1355" t="inlineStr">
        <is>
          <t>Technical</t>
        </is>
      </c>
      <c r="H1355" t="inlineStr">
        <is>
          <t>Yes</t>
        </is>
      </c>
      <c r="I1355" t="inlineStr">
        <is>
          <t>2022-03-04</t>
        </is>
      </c>
    </row>
    <row r="1356">
      <c r="A1356" t="n">
        <v/>
      </c>
      <c r="B1356" t="n">
        <v>1028495</v>
      </c>
      <c r="C1356" t="inlineStr">
        <is>
          <t>Pandas</t>
        </is>
      </c>
      <c r="D1356" t="inlineStr">
        <is>
          <t>Secondary</t>
        </is>
      </c>
      <c r="E1356" t="inlineStr">
        <is>
          <t>Intermediate</t>
        </is>
      </c>
      <c r="F1356" t="n">
        <v>1.8</v>
      </c>
      <c r="G1356" t="inlineStr">
        <is>
          <t>Technical</t>
        </is>
      </c>
      <c r="H1356" t="inlineStr">
        <is>
          <t>Yes</t>
        </is>
      </c>
      <c r="I1356" t="inlineStr">
        <is>
          <t>2022-03-04</t>
        </is>
      </c>
    </row>
    <row r="1357">
      <c r="A1357" t="n">
        <v/>
      </c>
      <c r="B1357" t="n">
        <v>1032582</v>
      </c>
      <c r="C1357" t="inlineStr">
        <is>
          <t>Java / Spring Boot</t>
        </is>
      </c>
      <c r="D1357" t="inlineStr">
        <is>
          <t>Primary</t>
        </is>
      </c>
      <c r="E1357" t="inlineStr">
        <is>
          <t>Advanced</t>
        </is>
      </c>
      <c r="F1357" t="n">
        <v>4.9</v>
      </c>
      <c r="G1357" t="inlineStr">
        <is>
          <t>Technical</t>
        </is>
      </c>
      <c r="H1357" t="inlineStr">
        <is>
          <t>Yes</t>
        </is>
      </c>
      <c r="I1357" t="inlineStr">
        <is>
          <t>2023-04-17</t>
        </is>
      </c>
      <c r="J1357" t="inlineStr">
        <is>
          <t>Claims Financial</t>
        </is>
      </c>
    </row>
    <row r="1358">
      <c r="A1358" t="n">
        <v/>
      </c>
      <c r="B1358" t="n">
        <v>1032582</v>
      </c>
      <c r="C1358" t="inlineStr">
        <is>
          <t>SQL</t>
        </is>
      </c>
      <c r="D1358" t="inlineStr">
        <is>
          <t>Secondary</t>
        </is>
      </c>
      <c r="E1358" t="inlineStr">
        <is>
          <t>Intermediate</t>
        </is>
      </c>
      <c r="F1358" t="n">
        <v>2.9</v>
      </c>
      <c r="G1358" t="inlineStr">
        <is>
          <t>Technical</t>
        </is>
      </c>
      <c r="H1358" t="inlineStr">
        <is>
          <t>Yes</t>
        </is>
      </c>
      <c r="I1358" t="inlineStr">
        <is>
          <t>2023-04-17</t>
        </is>
      </c>
      <c r="J1358" t="inlineStr">
        <is>
          <t>Claims Financial</t>
        </is>
      </c>
    </row>
    <row r="1359">
      <c r="A1359" t="n">
        <v/>
      </c>
      <c r="B1359" t="n">
        <v>1032582</v>
      </c>
      <c r="C1359" t="inlineStr">
        <is>
          <t>Docker</t>
        </is>
      </c>
      <c r="D1359" t="inlineStr">
        <is>
          <t>Secondary</t>
        </is>
      </c>
      <c r="E1359" t="inlineStr">
        <is>
          <t>Intermediate</t>
        </is>
      </c>
      <c r="F1359" t="n">
        <v>2.2</v>
      </c>
      <c r="G1359" t="inlineStr">
        <is>
          <t>Technical</t>
        </is>
      </c>
      <c r="H1359" t="inlineStr">
        <is>
          <t>Yes</t>
        </is>
      </c>
      <c r="I1359" t="inlineStr">
        <is>
          <t>2023-04-17</t>
        </is>
      </c>
      <c r="J1359" t="inlineStr">
        <is>
          <t>Claims Financial</t>
        </is>
      </c>
    </row>
    <row r="1360">
      <c r="A1360" t="n">
        <v/>
      </c>
      <c r="B1360" t="n">
        <v>1032582</v>
      </c>
      <c r="C1360" t="inlineStr">
        <is>
          <t>Git</t>
        </is>
      </c>
      <c r="D1360" t="inlineStr">
        <is>
          <t>Secondary</t>
        </is>
      </c>
      <c r="E1360" t="inlineStr">
        <is>
          <t>Intermediate</t>
        </is>
      </c>
      <c r="F1360" t="n">
        <v>1.5</v>
      </c>
      <c r="G1360" t="inlineStr">
        <is>
          <t>Technical</t>
        </is>
      </c>
      <c r="H1360" t="inlineStr">
        <is>
          <t>Yes</t>
        </is>
      </c>
      <c r="I1360" t="inlineStr">
        <is>
          <t>2023-04-17</t>
        </is>
      </c>
      <c r="J1360" t="inlineStr">
        <is>
          <t>Claims Financial</t>
        </is>
      </c>
    </row>
    <row r="1361">
      <c r="A1361" t="n">
        <v/>
      </c>
      <c r="B1361" t="n">
        <v>1023756</v>
      </c>
      <c r="C1361" t="inlineStr">
        <is>
          <t>Cloud &amp; DevOps (AWS / K8s)</t>
        </is>
      </c>
      <c r="D1361" t="inlineStr">
        <is>
          <t>Primary</t>
        </is>
      </c>
      <c r="E1361" t="inlineStr">
        <is>
          <t>Advanced</t>
        </is>
      </c>
      <c r="F1361" t="n">
        <v>7.3</v>
      </c>
      <c r="G1361" t="inlineStr">
        <is>
          <t>Technical</t>
        </is>
      </c>
      <c r="H1361" t="inlineStr">
        <is>
          <t>Yes</t>
        </is>
      </c>
      <c r="I1361" t="inlineStr">
        <is>
          <t>2020-09-01</t>
        </is>
      </c>
    </row>
    <row r="1362">
      <c r="A1362" t="n">
        <v/>
      </c>
      <c r="B1362" t="n">
        <v>1023756</v>
      </c>
      <c r="C1362" t="inlineStr">
        <is>
          <t>Linux</t>
        </is>
      </c>
      <c r="D1362" t="inlineStr">
        <is>
          <t>Secondary</t>
        </is>
      </c>
      <c r="E1362" t="inlineStr">
        <is>
          <t>Intermediate</t>
        </is>
      </c>
      <c r="F1362" t="n">
        <v>4.4</v>
      </c>
      <c r="G1362" t="inlineStr">
        <is>
          <t>Technical</t>
        </is>
      </c>
      <c r="H1362" t="inlineStr">
        <is>
          <t>Yes</t>
        </is>
      </c>
      <c r="I1362" t="inlineStr">
        <is>
          <t>2020-09-01</t>
        </is>
      </c>
    </row>
    <row r="1363">
      <c r="A1363" t="n">
        <v/>
      </c>
      <c r="B1363" t="n">
        <v>1023756</v>
      </c>
      <c r="C1363" t="inlineStr">
        <is>
          <t>Docker</t>
        </is>
      </c>
      <c r="D1363" t="inlineStr">
        <is>
          <t>Secondary</t>
        </is>
      </c>
      <c r="E1363" t="inlineStr">
        <is>
          <t>Intermediate</t>
        </is>
      </c>
      <c r="F1363" t="n">
        <v>3.3</v>
      </c>
      <c r="G1363" t="inlineStr">
        <is>
          <t>Technical</t>
        </is>
      </c>
      <c r="H1363" t="inlineStr">
        <is>
          <t>Yes</t>
        </is>
      </c>
      <c r="I1363" t="inlineStr">
        <is>
          <t>2020-09-01</t>
        </is>
      </c>
    </row>
    <row r="1364">
      <c r="A1364" t="n">
        <v/>
      </c>
      <c r="B1364" t="n">
        <v>1023756</v>
      </c>
      <c r="C1364" t="inlineStr">
        <is>
          <t>Kubernetes</t>
        </is>
      </c>
      <c r="D1364" t="inlineStr">
        <is>
          <t>Secondary</t>
        </is>
      </c>
      <c r="E1364" t="inlineStr">
        <is>
          <t>Intermediate</t>
        </is>
      </c>
      <c r="F1364" t="n">
        <v>2.2</v>
      </c>
      <c r="G1364" t="inlineStr">
        <is>
          <t>Technical</t>
        </is>
      </c>
      <c r="H1364" t="inlineStr">
        <is>
          <t>Yes</t>
        </is>
      </c>
      <c r="I1364" t="inlineStr">
        <is>
          <t>2020-09-01</t>
        </is>
      </c>
    </row>
    <row r="1365">
      <c r="A1365" t="n">
        <v/>
      </c>
      <c r="B1365" t="n">
        <v>1030075</v>
      </c>
      <c r="C1365" t="inlineStr">
        <is>
          <t>Python / Data Engineering</t>
        </is>
      </c>
      <c r="D1365" t="inlineStr">
        <is>
          <t>Primary</t>
        </is>
      </c>
      <c r="E1365" t="inlineStr">
        <is>
          <t>Advanced</t>
        </is>
      </c>
      <c r="F1365" t="n">
        <v>5.5</v>
      </c>
      <c r="G1365" t="inlineStr">
        <is>
          <t>Technical</t>
        </is>
      </c>
      <c r="H1365" t="inlineStr">
        <is>
          <t>Yes</t>
        </is>
      </c>
      <c r="I1365" t="inlineStr">
        <is>
          <t>2022-09-02</t>
        </is>
      </c>
    </row>
    <row r="1366">
      <c r="A1366" t="n">
        <v/>
      </c>
      <c r="B1366" t="n">
        <v>1030075</v>
      </c>
      <c r="C1366" t="inlineStr">
        <is>
          <t>SQL</t>
        </is>
      </c>
      <c r="D1366" t="inlineStr">
        <is>
          <t>Secondary</t>
        </is>
      </c>
      <c r="E1366" t="inlineStr">
        <is>
          <t>Intermediate</t>
        </is>
      </c>
      <c r="F1366" t="n">
        <v>3.3</v>
      </c>
      <c r="G1366" t="inlineStr">
        <is>
          <t>Technical</t>
        </is>
      </c>
      <c r="H1366" t="inlineStr">
        <is>
          <t>Yes</t>
        </is>
      </c>
      <c r="I1366" t="inlineStr">
        <is>
          <t>2022-09-02</t>
        </is>
      </c>
    </row>
    <row r="1367">
      <c r="A1367" t="n">
        <v/>
      </c>
      <c r="B1367" t="n">
        <v>1030075</v>
      </c>
      <c r="C1367" t="inlineStr">
        <is>
          <t>Docker</t>
        </is>
      </c>
      <c r="D1367" t="inlineStr">
        <is>
          <t>Secondary</t>
        </is>
      </c>
      <c r="E1367" t="inlineStr">
        <is>
          <t>Intermediate</t>
        </is>
      </c>
      <c r="F1367" t="n">
        <v>2.5</v>
      </c>
      <c r="G1367" t="inlineStr">
        <is>
          <t>Technical</t>
        </is>
      </c>
      <c r="H1367" t="inlineStr">
        <is>
          <t>Yes</t>
        </is>
      </c>
      <c r="I1367" t="inlineStr">
        <is>
          <t>2022-09-02</t>
        </is>
      </c>
    </row>
    <row r="1368">
      <c r="A1368" t="n">
        <v/>
      </c>
      <c r="B1368" t="n">
        <v>1030075</v>
      </c>
      <c r="C1368" t="inlineStr">
        <is>
          <t>Pandas</t>
        </is>
      </c>
      <c r="D1368" t="inlineStr">
        <is>
          <t>Secondary</t>
        </is>
      </c>
      <c r="E1368" t="inlineStr">
        <is>
          <t>Intermediate</t>
        </is>
      </c>
      <c r="F1368" t="n">
        <v>1.6</v>
      </c>
      <c r="G1368" t="inlineStr">
        <is>
          <t>Technical</t>
        </is>
      </c>
      <c r="H1368" t="inlineStr">
        <is>
          <t>Yes</t>
        </is>
      </c>
      <c r="I1368" t="inlineStr">
        <is>
          <t>2022-09-02</t>
        </is>
      </c>
    </row>
    <row r="1369">
      <c r="A1369" t="n">
        <v/>
      </c>
      <c r="B1369" t="n">
        <v>1031039</v>
      </c>
      <c r="C1369" t="inlineStr">
        <is>
          <t>Cloud &amp; DevOps (AWS / K8s)</t>
        </is>
      </c>
      <c r="D1369" t="inlineStr">
        <is>
          <t>Primary</t>
        </is>
      </c>
      <c r="E1369" t="inlineStr">
        <is>
          <t>Intermediate</t>
        </is>
      </c>
      <c r="F1369" t="n">
        <v>1.7</v>
      </c>
      <c r="G1369" t="inlineStr">
        <is>
          <t>Technical</t>
        </is>
      </c>
      <c r="H1369" t="inlineStr">
        <is>
          <t>Yes</t>
        </is>
      </c>
      <c r="I1369" t="inlineStr">
        <is>
          <t>2022-11-24</t>
        </is>
      </c>
    </row>
    <row r="1370">
      <c r="A1370" t="n">
        <v/>
      </c>
      <c r="B1370" t="n">
        <v>1031039</v>
      </c>
      <c r="C1370" t="inlineStr">
        <is>
          <t>Docker</t>
        </is>
      </c>
      <c r="D1370" t="inlineStr">
        <is>
          <t>Secondary</t>
        </is>
      </c>
      <c r="E1370" t="inlineStr">
        <is>
          <t>Beginner</t>
        </is>
      </c>
      <c r="F1370" t="n">
        <v>1</v>
      </c>
      <c r="G1370" t="inlineStr">
        <is>
          <t>Technical</t>
        </is>
      </c>
      <c r="H1370" t="inlineStr">
        <is>
          <t>Yes</t>
        </is>
      </c>
      <c r="I1370" t="inlineStr">
        <is>
          <t>2022-11-24</t>
        </is>
      </c>
    </row>
    <row r="1371">
      <c r="A1371" t="n">
        <v/>
      </c>
      <c r="B1371" t="n">
        <v>1031039</v>
      </c>
      <c r="C1371" t="inlineStr">
        <is>
          <t>Kubernetes</t>
        </is>
      </c>
      <c r="D1371" t="inlineStr">
        <is>
          <t>Secondary</t>
        </is>
      </c>
      <c r="E1371" t="inlineStr">
        <is>
          <t>Beginner</t>
        </is>
      </c>
      <c r="F1371" t="n">
        <v>0.8</v>
      </c>
      <c r="G1371" t="inlineStr">
        <is>
          <t>Technical</t>
        </is>
      </c>
      <c r="H1371" t="inlineStr">
        <is>
          <t>Yes</t>
        </is>
      </c>
      <c r="I1371" t="inlineStr">
        <is>
          <t>2022-11-24</t>
        </is>
      </c>
    </row>
    <row r="1372">
      <c r="A1372" t="n">
        <v/>
      </c>
      <c r="B1372" t="n">
        <v>1031091</v>
      </c>
      <c r="C1372" t="inlineStr">
        <is>
          <t>Frontend (Angular / TypeScript)</t>
        </is>
      </c>
      <c r="D1372" t="inlineStr">
        <is>
          <t>Primary</t>
        </is>
      </c>
      <c r="E1372" t="inlineStr">
        <is>
          <t>Intermediate</t>
        </is>
      </c>
      <c r="F1372" t="n">
        <v>1.7</v>
      </c>
      <c r="G1372" t="inlineStr">
        <is>
          <t>Technical</t>
        </is>
      </c>
      <c r="H1372" t="inlineStr">
        <is>
          <t>Yes</t>
        </is>
      </c>
      <c r="I1372" t="inlineStr">
        <is>
          <t>2022-11-24</t>
        </is>
      </c>
    </row>
    <row r="1373">
      <c r="A1373" t="n">
        <v/>
      </c>
      <c r="B1373" t="n">
        <v>1031091</v>
      </c>
      <c r="C1373" t="inlineStr">
        <is>
          <t>TypeScript</t>
        </is>
      </c>
      <c r="D1373" t="inlineStr">
        <is>
          <t>Secondary</t>
        </is>
      </c>
      <c r="E1373" t="inlineStr">
        <is>
          <t>Beginner</t>
        </is>
      </c>
      <c r="F1373" t="n">
        <v>1</v>
      </c>
      <c r="G1373" t="inlineStr">
        <is>
          <t>Technical</t>
        </is>
      </c>
      <c r="H1373" t="inlineStr">
        <is>
          <t>Yes</t>
        </is>
      </c>
      <c r="I1373" t="inlineStr">
        <is>
          <t>2022-11-24</t>
        </is>
      </c>
    </row>
    <row r="1374">
      <c r="A1374" t="n">
        <v/>
      </c>
      <c r="B1374" t="n">
        <v>1031091</v>
      </c>
      <c r="C1374" t="inlineStr">
        <is>
          <t>JavaScript</t>
        </is>
      </c>
      <c r="D1374" t="inlineStr">
        <is>
          <t>Secondary</t>
        </is>
      </c>
      <c r="E1374" t="inlineStr">
        <is>
          <t>Beginner</t>
        </is>
      </c>
      <c r="F1374" t="n">
        <v>0.8</v>
      </c>
      <c r="G1374" t="inlineStr">
        <is>
          <t>Technical</t>
        </is>
      </c>
      <c r="H1374" t="inlineStr">
        <is>
          <t>Yes</t>
        </is>
      </c>
      <c r="I1374" t="inlineStr">
        <is>
          <t>2022-11-24</t>
        </is>
      </c>
    </row>
    <row r="1375">
      <c r="A1375" t="n">
        <v/>
      </c>
      <c r="B1375" t="n">
        <v>1031067</v>
      </c>
      <c r="C1375" t="inlineStr">
        <is>
          <t>Fullstack Web (React / Node)</t>
        </is>
      </c>
      <c r="D1375" t="inlineStr">
        <is>
          <t>Primary</t>
        </is>
      </c>
      <c r="E1375" t="inlineStr">
        <is>
          <t>Intermediate</t>
        </is>
      </c>
      <c r="F1375" t="n">
        <v>1.7</v>
      </c>
      <c r="G1375" t="inlineStr">
        <is>
          <t>Technical</t>
        </is>
      </c>
      <c r="H1375" t="inlineStr">
        <is>
          <t>Yes</t>
        </is>
      </c>
      <c r="I1375" t="inlineStr">
        <is>
          <t>2022-11-24</t>
        </is>
      </c>
    </row>
    <row r="1376">
      <c r="A1376" t="n">
        <v/>
      </c>
      <c r="B1376" t="n">
        <v>1031067</v>
      </c>
      <c r="C1376" t="inlineStr">
        <is>
          <t>JavaScript</t>
        </is>
      </c>
      <c r="D1376" t="inlineStr">
        <is>
          <t>Secondary</t>
        </is>
      </c>
      <c r="E1376" t="inlineStr">
        <is>
          <t>Beginner</t>
        </is>
      </c>
      <c r="F1376" t="n">
        <v>1</v>
      </c>
      <c r="G1376" t="inlineStr">
        <is>
          <t>Technical</t>
        </is>
      </c>
      <c r="H1376" t="inlineStr">
        <is>
          <t>Yes</t>
        </is>
      </c>
      <c r="I1376" t="inlineStr">
        <is>
          <t>2022-11-24</t>
        </is>
      </c>
    </row>
    <row r="1377">
      <c r="A1377" t="n">
        <v/>
      </c>
      <c r="B1377" t="n">
        <v>1031067</v>
      </c>
      <c r="C1377" t="inlineStr">
        <is>
          <t>TypeScript</t>
        </is>
      </c>
      <c r="D1377" t="inlineStr">
        <is>
          <t>Secondary</t>
        </is>
      </c>
      <c r="E1377" t="inlineStr">
        <is>
          <t>Beginner</t>
        </is>
      </c>
      <c r="F1377" t="n">
        <v>0.8</v>
      </c>
      <c r="G1377" t="inlineStr">
        <is>
          <t>Technical</t>
        </is>
      </c>
      <c r="H1377" t="inlineStr">
        <is>
          <t>Yes</t>
        </is>
      </c>
      <c r="I1377" t="inlineStr">
        <is>
          <t>2022-11-24</t>
        </is>
      </c>
    </row>
    <row r="1378">
      <c r="A1378" t="n">
        <v/>
      </c>
      <c r="B1378" t="n">
        <v>1022131</v>
      </c>
      <c r="C1378" t="inlineStr">
        <is>
          <t>Frontend (Angular / TypeScript)</t>
        </is>
      </c>
      <c r="D1378" t="inlineStr">
        <is>
          <t>Primary</t>
        </is>
      </c>
      <c r="E1378" t="inlineStr">
        <is>
          <t>Advanced</t>
        </is>
      </c>
      <c r="F1378" t="n">
        <v>8.4</v>
      </c>
      <c r="G1378" t="inlineStr">
        <is>
          <t>Technical</t>
        </is>
      </c>
      <c r="H1378" t="inlineStr">
        <is>
          <t>Yes</t>
        </is>
      </c>
      <c r="I1378" t="inlineStr">
        <is>
          <t>2019-05-29</t>
        </is>
      </c>
    </row>
    <row r="1379">
      <c r="A1379" t="n">
        <v/>
      </c>
      <c r="B1379" t="n">
        <v>1022131</v>
      </c>
      <c r="C1379" t="inlineStr">
        <is>
          <t>TypeScript</t>
        </is>
      </c>
      <c r="D1379" t="inlineStr">
        <is>
          <t>Secondary</t>
        </is>
      </c>
      <c r="E1379" t="inlineStr">
        <is>
          <t>Advanced</t>
        </is>
      </c>
      <c r="F1379" t="n">
        <v>5</v>
      </c>
      <c r="G1379" t="inlineStr">
        <is>
          <t>Technical</t>
        </is>
      </c>
      <c r="H1379" t="inlineStr">
        <is>
          <t>Yes</t>
        </is>
      </c>
      <c r="I1379" t="inlineStr">
        <is>
          <t>2019-05-29</t>
        </is>
      </c>
    </row>
    <row r="1380">
      <c r="A1380" t="n">
        <v/>
      </c>
      <c r="B1380" t="n">
        <v>1022131</v>
      </c>
      <c r="C1380" t="inlineStr">
        <is>
          <t>JavaScript</t>
        </is>
      </c>
      <c r="D1380" t="inlineStr">
        <is>
          <t>Secondary</t>
        </is>
      </c>
      <c r="E1380" t="inlineStr">
        <is>
          <t>Intermediate</t>
        </is>
      </c>
      <c r="F1380" t="n">
        <v>3.8</v>
      </c>
      <c r="G1380" t="inlineStr">
        <is>
          <t>Technical</t>
        </is>
      </c>
      <c r="H1380" t="inlineStr">
        <is>
          <t>Yes</t>
        </is>
      </c>
      <c r="I1380" t="inlineStr">
        <is>
          <t>2019-05-29</t>
        </is>
      </c>
    </row>
    <row r="1381">
      <c r="A1381" t="n">
        <v/>
      </c>
      <c r="B1381" t="n">
        <v>1022131</v>
      </c>
      <c r="C1381" t="inlineStr">
        <is>
          <t>HTML5</t>
        </is>
      </c>
      <c r="D1381" t="inlineStr">
        <is>
          <t>Secondary</t>
        </is>
      </c>
      <c r="E1381" t="inlineStr">
        <is>
          <t>Intermediate</t>
        </is>
      </c>
      <c r="F1381" t="n">
        <v>2.5</v>
      </c>
      <c r="G1381" t="inlineStr">
        <is>
          <t>Technical</t>
        </is>
      </c>
      <c r="H1381" t="inlineStr">
        <is>
          <t>Yes</t>
        </is>
      </c>
      <c r="I1381" t="inlineStr">
        <is>
          <t>2019-05-29</t>
        </is>
      </c>
    </row>
    <row r="1382">
      <c r="A1382" t="n">
        <v/>
      </c>
      <c r="B1382" t="n">
        <v>1031054</v>
      </c>
      <c r="C1382" t="inlineStr">
        <is>
          <t>Cloud &amp; DevOps (AWS / K8s)</t>
        </is>
      </c>
      <c r="D1382" t="inlineStr">
        <is>
          <t>Primary</t>
        </is>
      </c>
      <c r="E1382" t="inlineStr">
        <is>
          <t>Intermediate</t>
        </is>
      </c>
      <c r="F1382" t="n">
        <v>1.7</v>
      </c>
      <c r="G1382" t="inlineStr">
        <is>
          <t>Technical</t>
        </is>
      </c>
      <c r="H1382" t="inlineStr">
        <is>
          <t>Yes</t>
        </is>
      </c>
      <c r="I1382" t="inlineStr">
        <is>
          <t>2022-11-24</t>
        </is>
      </c>
    </row>
    <row r="1383">
      <c r="A1383" t="n">
        <v/>
      </c>
      <c r="B1383" t="n">
        <v>1031054</v>
      </c>
      <c r="C1383" t="inlineStr">
        <is>
          <t>Docker</t>
        </is>
      </c>
      <c r="D1383" t="inlineStr">
        <is>
          <t>Secondary</t>
        </is>
      </c>
      <c r="E1383" t="inlineStr">
        <is>
          <t>Beginner</t>
        </is>
      </c>
      <c r="F1383" t="n">
        <v>1</v>
      </c>
      <c r="G1383" t="inlineStr">
        <is>
          <t>Technical</t>
        </is>
      </c>
      <c r="H1383" t="inlineStr">
        <is>
          <t>Yes</t>
        </is>
      </c>
      <c r="I1383" t="inlineStr">
        <is>
          <t>2022-11-24</t>
        </is>
      </c>
    </row>
    <row r="1384">
      <c r="A1384" t="n">
        <v/>
      </c>
      <c r="B1384" t="n">
        <v>1031054</v>
      </c>
      <c r="C1384" t="inlineStr">
        <is>
          <t>Kubernetes</t>
        </is>
      </c>
      <c r="D1384" t="inlineStr">
        <is>
          <t>Secondary</t>
        </is>
      </c>
      <c r="E1384" t="inlineStr">
        <is>
          <t>Beginner</t>
        </is>
      </c>
      <c r="F1384" t="n">
        <v>0.8</v>
      </c>
      <c r="G1384" t="inlineStr">
        <is>
          <t>Technical</t>
        </is>
      </c>
      <c r="H1384" t="inlineStr">
        <is>
          <t>Yes</t>
        </is>
      </c>
      <c r="I1384" t="inlineStr">
        <is>
          <t>2022-11-24</t>
        </is>
      </c>
    </row>
    <row r="1385">
      <c r="A1385" t="n">
        <v/>
      </c>
      <c r="B1385" t="n">
        <v>1024573</v>
      </c>
      <c r="C1385" t="inlineStr">
        <is>
          <t>QA Automation / SDET</t>
        </is>
      </c>
      <c r="D1385" t="inlineStr">
        <is>
          <t>Primary</t>
        </is>
      </c>
      <c r="E1385" t="inlineStr">
        <is>
          <t>Advanced</t>
        </is>
      </c>
      <c r="F1385" t="n">
        <v>6.9</v>
      </c>
      <c r="G1385" t="inlineStr">
        <is>
          <t>Technical</t>
        </is>
      </c>
      <c r="H1385" t="inlineStr">
        <is>
          <t>Yes</t>
        </is>
      </c>
      <c r="I1385" t="inlineStr">
        <is>
          <t>2021-02-19</t>
        </is>
      </c>
    </row>
    <row r="1386">
      <c r="A1386" t="n">
        <v/>
      </c>
      <c r="B1386" t="n">
        <v>1024573</v>
      </c>
      <c r="C1386" t="inlineStr">
        <is>
          <t>Selenium</t>
        </is>
      </c>
      <c r="D1386" t="inlineStr">
        <is>
          <t>Secondary</t>
        </is>
      </c>
      <c r="E1386" t="inlineStr">
        <is>
          <t>Intermediate</t>
        </is>
      </c>
      <c r="F1386" t="n">
        <v>4.1</v>
      </c>
      <c r="G1386" t="inlineStr">
        <is>
          <t>Technical</t>
        </is>
      </c>
      <c r="H1386" t="inlineStr">
        <is>
          <t>Yes</t>
        </is>
      </c>
      <c r="I1386" t="inlineStr">
        <is>
          <t>2021-02-19</t>
        </is>
      </c>
    </row>
    <row r="1387">
      <c r="A1387" t="n">
        <v/>
      </c>
      <c r="B1387" t="n">
        <v>1024573</v>
      </c>
      <c r="C1387" t="inlineStr">
        <is>
          <t>API Testing (Postman)</t>
        </is>
      </c>
      <c r="D1387" t="inlineStr">
        <is>
          <t>Secondary</t>
        </is>
      </c>
      <c r="E1387" t="inlineStr">
        <is>
          <t>Intermediate</t>
        </is>
      </c>
      <c r="F1387" t="n">
        <v>3.1</v>
      </c>
      <c r="G1387" t="inlineStr">
        <is>
          <t>Technical</t>
        </is>
      </c>
      <c r="H1387" t="inlineStr">
        <is>
          <t>Yes</t>
        </is>
      </c>
      <c r="I1387" t="inlineStr">
        <is>
          <t>2021-02-19</t>
        </is>
      </c>
    </row>
    <row r="1388">
      <c r="A1388" t="n">
        <v/>
      </c>
      <c r="B1388" t="n">
        <v>1024573</v>
      </c>
      <c r="C1388" t="inlineStr">
        <is>
          <t>TestNG</t>
        </is>
      </c>
      <c r="D1388" t="inlineStr">
        <is>
          <t>Secondary</t>
        </is>
      </c>
      <c r="E1388" t="inlineStr">
        <is>
          <t>Intermediate</t>
        </is>
      </c>
      <c r="F1388" t="n">
        <v>2.1</v>
      </c>
      <c r="G1388" t="inlineStr">
        <is>
          <t>Technical</t>
        </is>
      </c>
      <c r="H1388" t="inlineStr">
        <is>
          <t>Yes</t>
        </is>
      </c>
      <c r="I1388" t="inlineStr">
        <is>
          <t>2021-02-19</t>
        </is>
      </c>
    </row>
    <row r="1389">
      <c r="A1389" t="n">
        <v/>
      </c>
      <c r="B1389" t="n">
        <v>1033768</v>
      </c>
      <c r="C1389" t="inlineStr">
        <is>
          <t>IT Application &amp; Operations Support</t>
        </is>
      </c>
      <c r="D1389" t="inlineStr">
        <is>
          <t>Primary</t>
        </is>
      </c>
      <c r="E1389" t="inlineStr">
        <is>
          <t>Intermediate</t>
        </is>
      </c>
      <c r="F1389" t="n">
        <v>4.5</v>
      </c>
      <c r="G1389" t="inlineStr">
        <is>
          <t>Functional</t>
        </is>
      </c>
      <c r="H1389" t="inlineStr">
        <is>
          <t>Yes</t>
        </is>
      </c>
      <c r="I1389" t="inlineStr">
        <is>
          <t>2023-10-23</t>
        </is>
      </c>
    </row>
    <row r="1390">
      <c r="A1390" t="n">
        <v/>
      </c>
      <c r="B1390" t="n">
        <v>1033768</v>
      </c>
      <c r="C1390" t="inlineStr">
        <is>
          <t>Incident Management</t>
        </is>
      </c>
      <c r="D1390" t="inlineStr">
        <is>
          <t>Secondary</t>
        </is>
      </c>
      <c r="E1390" t="inlineStr">
        <is>
          <t>Intermediate</t>
        </is>
      </c>
      <c r="F1390" t="n">
        <v>2.7</v>
      </c>
      <c r="G1390" t="inlineStr">
        <is>
          <t>Functional</t>
        </is>
      </c>
      <c r="H1390" t="inlineStr">
        <is>
          <t>Yes</t>
        </is>
      </c>
      <c r="I1390" t="inlineStr">
        <is>
          <t>2023-10-23</t>
        </is>
      </c>
    </row>
    <row r="1391">
      <c r="A1391" t="n">
        <v/>
      </c>
      <c r="B1391" t="n">
        <v>1033768</v>
      </c>
      <c r="C1391" t="inlineStr">
        <is>
          <t>Production Support</t>
        </is>
      </c>
      <c r="D1391" t="inlineStr">
        <is>
          <t>Secondary</t>
        </is>
      </c>
      <c r="E1391" t="inlineStr">
        <is>
          <t>Intermediate</t>
        </is>
      </c>
      <c r="F1391" t="n">
        <v>2</v>
      </c>
      <c r="G1391" t="inlineStr">
        <is>
          <t>Functional</t>
        </is>
      </c>
      <c r="H1391" t="inlineStr">
        <is>
          <t>Yes</t>
        </is>
      </c>
      <c r="I1391" t="inlineStr">
        <is>
          <t>2023-10-23</t>
        </is>
      </c>
    </row>
    <row r="1392">
      <c r="A1392" t="n">
        <v/>
      </c>
      <c r="B1392" t="n">
        <v>1033768</v>
      </c>
      <c r="C1392" t="inlineStr">
        <is>
          <t>SQL</t>
        </is>
      </c>
      <c r="D1392" t="inlineStr">
        <is>
          <t>Secondary</t>
        </is>
      </c>
      <c r="E1392" t="inlineStr">
        <is>
          <t>Beginner</t>
        </is>
      </c>
      <c r="F1392" t="n">
        <v>1.3</v>
      </c>
      <c r="G1392" t="inlineStr">
        <is>
          <t>Functional</t>
        </is>
      </c>
      <c r="H1392" t="inlineStr">
        <is>
          <t>Yes</t>
        </is>
      </c>
      <c r="I1392" t="inlineStr">
        <is>
          <t>2023-10-23</t>
        </is>
      </c>
    </row>
    <row r="1393">
      <c r="A1393" t="n">
        <v/>
      </c>
      <c r="B1393" t="n">
        <v>1028364</v>
      </c>
      <c r="C1393" t="inlineStr">
        <is>
          <t>Java / Spring Boot</t>
        </is>
      </c>
      <c r="D1393" t="inlineStr">
        <is>
          <t>Primary</t>
        </is>
      </c>
      <c r="E1393" t="inlineStr">
        <is>
          <t>Advanced</t>
        </is>
      </c>
      <c r="F1393" t="n">
        <v>6</v>
      </c>
      <c r="G1393" t="inlineStr">
        <is>
          <t>Technical</t>
        </is>
      </c>
      <c r="H1393" t="inlineStr">
        <is>
          <t>Yes</t>
        </is>
      </c>
      <c r="I1393" t="inlineStr">
        <is>
          <t>2022-02-16</t>
        </is>
      </c>
      <c r="J1393" t="inlineStr">
        <is>
          <t>Provider</t>
        </is>
      </c>
    </row>
    <row r="1394">
      <c r="A1394" t="n">
        <v/>
      </c>
      <c r="B1394" t="n">
        <v>1028364</v>
      </c>
      <c r="C1394" t="inlineStr">
        <is>
          <t>SQL</t>
        </is>
      </c>
      <c r="D1394" t="inlineStr">
        <is>
          <t>Secondary</t>
        </is>
      </c>
      <c r="E1394" t="inlineStr">
        <is>
          <t>Intermediate</t>
        </is>
      </c>
      <c r="F1394" t="n">
        <v>3.6</v>
      </c>
      <c r="G1394" t="inlineStr">
        <is>
          <t>Technical</t>
        </is>
      </c>
      <c r="H1394" t="inlineStr">
        <is>
          <t>Yes</t>
        </is>
      </c>
      <c r="I1394" t="inlineStr">
        <is>
          <t>2022-02-16</t>
        </is>
      </c>
      <c r="J1394" t="inlineStr">
        <is>
          <t>Provider</t>
        </is>
      </c>
    </row>
    <row r="1395">
      <c r="A1395" t="n">
        <v/>
      </c>
      <c r="B1395" t="n">
        <v>1028364</v>
      </c>
      <c r="C1395" t="inlineStr">
        <is>
          <t>Docker</t>
        </is>
      </c>
      <c r="D1395" t="inlineStr">
        <is>
          <t>Secondary</t>
        </is>
      </c>
      <c r="E1395" t="inlineStr">
        <is>
          <t>Intermediate</t>
        </is>
      </c>
      <c r="F1395" t="n">
        <v>2.7</v>
      </c>
      <c r="G1395" t="inlineStr">
        <is>
          <t>Technical</t>
        </is>
      </c>
      <c r="H1395" t="inlineStr">
        <is>
          <t>Yes</t>
        </is>
      </c>
      <c r="I1395" t="inlineStr">
        <is>
          <t>2022-02-16</t>
        </is>
      </c>
      <c r="J1395" t="inlineStr">
        <is>
          <t>Provider</t>
        </is>
      </c>
    </row>
    <row r="1396">
      <c r="A1396" t="n">
        <v/>
      </c>
      <c r="B1396" t="n">
        <v>1028364</v>
      </c>
      <c r="C1396" t="inlineStr">
        <is>
          <t>Git</t>
        </is>
      </c>
      <c r="D1396" t="inlineStr">
        <is>
          <t>Secondary</t>
        </is>
      </c>
      <c r="E1396" t="inlineStr">
        <is>
          <t>Intermediate</t>
        </is>
      </c>
      <c r="F1396" t="n">
        <v>1.8</v>
      </c>
      <c r="G1396" t="inlineStr">
        <is>
          <t>Technical</t>
        </is>
      </c>
      <c r="H1396" t="inlineStr">
        <is>
          <t>Yes</t>
        </is>
      </c>
      <c r="I1396" t="inlineStr">
        <is>
          <t>2022-02-16</t>
        </is>
      </c>
      <c r="J1396" t="inlineStr">
        <is>
          <t>Provider</t>
        </is>
      </c>
    </row>
    <row r="1397">
      <c r="A1397" t="n">
        <v/>
      </c>
      <c r="B1397" t="n">
        <v>1031090</v>
      </c>
      <c r="C1397" t="inlineStr">
        <is>
          <t>Python / Data Engineering</t>
        </is>
      </c>
      <c r="D1397" t="inlineStr">
        <is>
          <t>Primary</t>
        </is>
      </c>
      <c r="E1397" t="inlineStr">
        <is>
          <t>Intermediate</t>
        </is>
      </c>
      <c r="F1397" t="n">
        <v>1.7</v>
      </c>
      <c r="G1397" t="inlineStr">
        <is>
          <t>Technical</t>
        </is>
      </c>
      <c r="H1397" t="inlineStr">
        <is>
          <t>Yes</t>
        </is>
      </c>
      <c r="I1397" t="inlineStr">
        <is>
          <t>2022-11-24</t>
        </is>
      </c>
    </row>
    <row r="1398">
      <c r="A1398" t="n">
        <v/>
      </c>
      <c r="B1398" t="n">
        <v>1031090</v>
      </c>
      <c r="C1398" t="inlineStr">
        <is>
          <t>SQL</t>
        </is>
      </c>
      <c r="D1398" t="inlineStr">
        <is>
          <t>Secondary</t>
        </is>
      </c>
      <c r="E1398" t="inlineStr">
        <is>
          <t>Beginner</t>
        </is>
      </c>
      <c r="F1398" t="n">
        <v>1</v>
      </c>
      <c r="G1398" t="inlineStr">
        <is>
          <t>Technical</t>
        </is>
      </c>
      <c r="H1398" t="inlineStr">
        <is>
          <t>Yes</t>
        </is>
      </c>
      <c r="I1398" t="inlineStr">
        <is>
          <t>2022-11-24</t>
        </is>
      </c>
    </row>
    <row r="1399">
      <c r="A1399" t="n">
        <v/>
      </c>
      <c r="B1399" t="n">
        <v>1031090</v>
      </c>
      <c r="C1399" t="inlineStr">
        <is>
          <t>Docker</t>
        </is>
      </c>
      <c r="D1399" t="inlineStr">
        <is>
          <t>Secondary</t>
        </is>
      </c>
      <c r="E1399" t="inlineStr">
        <is>
          <t>Beginner</t>
        </is>
      </c>
      <c r="F1399" t="n">
        <v>0.8</v>
      </c>
      <c r="G1399" t="inlineStr">
        <is>
          <t>Technical</t>
        </is>
      </c>
      <c r="H1399" t="inlineStr">
        <is>
          <t>Yes</t>
        </is>
      </c>
      <c r="I1399" t="inlineStr">
        <is>
          <t>2022-11-24</t>
        </is>
      </c>
    </row>
    <row r="1400">
      <c r="A1400" t="n">
        <v/>
      </c>
      <c r="B1400" t="n">
        <v>1028582</v>
      </c>
      <c r="C1400" t="inlineStr">
        <is>
          <t>QA Automation / SDET</t>
        </is>
      </c>
      <c r="D1400" t="inlineStr">
        <is>
          <t>Primary</t>
        </is>
      </c>
      <c r="E1400" t="inlineStr">
        <is>
          <t>Advanced</t>
        </is>
      </c>
      <c r="F1400" t="n">
        <v>5.9</v>
      </c>
      <c r="G1400" t="inlineStr">
        <is>
          <t>Technical</t>
        </is>
      </c>
      <c r="H1400" t="inlineStr">
        <is>
          <t>Yes</t>
        </is>
      </c>
      <c r="I1400" t="inlineStr">
        <is>
          <t>2022-03-15</t>
        </is>
      </c>
    </row>
    <row r="1401">
      <c r="A1401" t="n">
        <v/>
      </c>
      <c r="B1401" t="n">
        <v>1028582</v>
      </c>
      <c r="C1401" t="inlineStr">
        <is>
          <t>Selenium</t>
        </is>
      </c>
      <c r="D1401" t="inlineStr">
        <is>
          <t>Secondary</t>
        </is>
      </c>
      <c r="E1401" t="inlineStr">
        <is>
          <t>Intermediate</t>
        </is>
      </c>
      <c r="F1401" t="n">
        <v>3.5</v>
      </c>
      <c r="G1401" t="inlineStr">
        <is>
          <t>Technical</t>
        </is>
      </c>
      <c r="H1401" t="inlineStr">
        <is>
          <t>Yes</t>
        </is>
      </c>
      <c r="I1401" t="inlineStr">
        <is>
          <t>2022-03-15</t>
        </is>
      </c>
    </row>
    <row r="1402">
      <c r="A1402" t="n">
        <v/>
      </c>
      <c r="B1402" t="n">
        <v>1028582</v>
      </c>
      <c r="C1402" t="inlineStr">
        <is>
          <t>API Testing (Postman)</t>
        </is>
      </c>
      <c r="D1402" t="inlineStr">
        <is>
          <t>Secondary</t>
        </is>
      </c>
      <c r="E1402" t="inlineStr">
        <is>
          <t>Intermediate</t>
        </is>
      </c>
      <c r="F1402" t="n">
        <v>2.7</v>
      </c>
      <c r="G1402" t="inlineStr">
        <is>
          <t>Technical</t>
        </is>
      </c>
      <c r="H1402" t="inlineStr">
        <is>
          <t>Yes</t>
        </is>
      </c>
      <c r="I1402" t="inlineStr">
        <is>
          <t>2022-03-15</t>
        </is>
      </c>
    </row>
    <row r="1403">
      <c r="A1403" t="n">
        <v/>
      </c>
      <c r="B1403" t="n">
        <v>1028582</v>
      </c>
      <c r="C1403" t="inlineStr">
        <is>
          <t>TestNG</t>
        </is>
      </c>
      <c r="D1403" t="inlineStr">
        <is>
          <t>Secondary</t>
        </is>
      </c>
      <c r="E1403" t="inlineStr">
        <is>
          <t>Intermediate</t>
        </is>
      </c>
      <c r="F1403" t="n">
        <v>1.8</v>
      </c>
      <c r="G1403" t="inlineStr">
        <is>
          <t>Technical</t>
        </is>
      </c>
      <c r="H1403" t="inlineStr">
        <is>
          <t>Yes</t>
        </is>
      </c>
      <c r="I1403" t="inlineStr">
        <is>
          <t>2022-03-15</t>
        </is>
      </c>
    </row>
    <row r="1404">
      <c r="A1404" t="n">
        <v/>
      </c>
      <c r="B1404" t="n">
        <v>1031070</v>
      </c>
      <c r="C1404" t="inlineStr">
        <is>
          <t>Cloud &amp; DevOps (AWS / K8s)</t>
        </is>
      </c>
      <c r="D1404" t="inlineStr">
        <is>
          <t>Primary</t>
        </is>
      </c>
      <c r="E1404" t="inlineStr">
        <is>
          <t>Intermediate</t>
        </is>
      </c>
      <c r="F1404" t="n">
        <v>1.7</v>
      </c>
      <c r="G1404" t="inlineStr">
        <is>
          <t>Technical</t>
        </is>
      </c>
      <c r="H1404" t="inlineStr">
        <is>
          <t>Yes</t>
        </is>
      </c>
      <c r="I1404" t="inlineStr">
        <is>
          <t>2022-11-24</t>
        </is>
      </c>
    </row>
    <row r="1405">
      <c r="A1405" t="n">
        <v/>
      </c>
      <c r="B1405" t="n">
        <v>1031070</v>
      </c>
      <c r="C1405" t="inlineStr">
        <is>
          <t>Linux</t>
        </is>
      </c>
      <c r="D1405" t="inlineStr">
        <is>
          <t>Secondary</t>
        </is>
      </c>
      <c r="E1405" t="inlineStr">
        <is>
          <t>Beginner</t>
        </is>
      </c>
      <c r="F1405" t="n">
        <v>1</v>
      </c>
      <c r="G1405" t="inlineStr">
        <is>
          <t>Technical</t>
        </is>
      </c>
      <c r="H1405" t="inlineStr">
        <is>
          <t>Yes</t>
        </is>
      </c>
      <c r="I1405" t="inlineStr">
        <is>
          <t>2022-11-24</t>
        </is>
      </c>
    </row>
    <row r="1406">
      <c r="A1406" t="n">
        <v/>
      </c>
      <c r="B1406" t="n">
        <v>1031070</v>
      </c>
      <c r="C1406" t="inlineStr">
        <is>
          <t>Docker</t>
        </is>
      </c>
      <c r="D1406" t="inlineStr">
        <is>
          <t>Secondary</t>
        </is>
      </c>
      <c r="E1406" t="inlineStr">
        <is>
          <t>Beginner</t>
        </is>
      </c>
      <c r="F1406" t="n">
        <v>0.8</v>
      </c>
      <c r="G1406" t="inlineStr">
        <is>
          <t>Technical</t>
        </is>
      </c>
      <c r="H1406" t="inlineStr">
        <is>
          <t>Yes</t>
        </is>
      </c>
      <c r="I1406" t="inlineStr">
        <is>
          <t>2022-11-24</t>
        </is>
      </c>
    </row>
    <row r="1407">
      <c r="A1407" t="n">
        <v/>
      </c>
      <c r="B1407" t="n">
        <v>1032853</v>
      </c>
      <c r="C1407" t="inlineStr">
        <is>
          <t>IT Application &amp; Operations Support</t>
        </is>
      </c>
      <c r="D1407" t="inlineStr">
        <is>
          <t>Primary</t>
        </is>
      </c>
      <c r="E1407" t="inlineStr">
        <is>
          <t>Advanced</t>
        </is>
      </c>
      <c r="F1407" t="n">
        <v>4.8</v>
      </c>
      <c r="G1407" t="inlineStr">
        <is>
          <t>Functional</t>
        </is>
      </c>
      <c r="H1407" t="inlineStr">
        <is>
          <t>Yes</t>
        </is>
      </c>
      <c r="I1407" t="inlineStr">
        <is>
          <t>2023-05-24</t>
        </is>
      </c>
    </row>
    <row r="1408">
      <c r="A1408" t="n">
        <v/>
      </c>
      <c r="B1408" t="n">
        <v>1032853</v>
      </c>
      <c r="C1408" t="inlineStr">
        <is>
          <t>Incident Management</t>
        </is>
      </c>
      <c r="D1408" t="inlineStr">
        <is>
          <t>Secondary</t>
        </is>
      </c>
      <c r="E1408" t="inlineStr">
        <is>
          <t>Intermediate</t>
        </is>
      </c>
      <c r="F1408" t="n">
        <v>2.9</v>
      </c>
      <c r="G1408" t="inlineStr">
        <is>
          <t>Functional</t>
        </is>
      </c>
      <c r="H1408" t="inlineStr">
        <is>
          <t>Yes</t>
        </is>
      </c>
      <c r="I1408" t="inlineStr">
        <is>
          <t>2023-05-24</t>
        </is>
      </c>
    </row>
    <row r="1409">
      <c r="A1409" t="n">
        <v/>
      </c>
      <c r="B1409" t="n">
        <v>1032853</v>
      </c>
      <c r="C1409" t="inlineStr">
        <is>
          <t>Production Support</t>
        </is>
      </c>
      <c r="D1409" t="inlineStr">
        <is>
          <t>Secondary</t>
        </is>
      </c>
      <c r="E1409" t="inlineStr">
        <is>
          <t>Intermediate</t>
        </is>
      </c>
      <c r="F1409" t="n">
        <v>2.2</v>
      </c>
      <c r="G1409" t="inlineStr">
        <is>
          <t>Functional</t>
        </is>
      </c>
      <c r="H1409" t="inlineStr">
        <is>
          <t>Yes</t>
        </is>
      </c>
      <c r="I1409" t="inlineStr">
        <is>
          <t>2023-05-24</t>
        </is>
      </c>
    </row>
    <row r="1410">
      <c r="A1410" t="n">
        <v/>
      </c>
      <c r="B1410" t="n">
        <v>1032853</v>
      </c>
      <c r="C1410" t="inlineStr">
        <is>
          <t>SQL</t>
        </is>
      </c>
      <c r="D1410" t="inlineStr">
        <is>
          <t>Secondary</t>
        </is>
      </c>
      <c r="E1410" t="inlineStr">
        <is>
          <t>Beginner</t>
        </is>
      </c>
      <c r="F1410" t="n">
        <v>1.4</v>
      </c>
      <c r="G1410" t="inlineStr">
        <is>
          <t>Functional</t>
        </is>
      </c>
      <c r="H1410" t="inlineStr">
        <is>
          <t>Yes</t>
        </is>
      </c>
      <c r="I1410" t="inlineStr">
        <is>
          <t>2023-05-24</t>
        </is>
      </c>
    </row>
    <row r="1411">
      <c r="A1411" t="n">
        <v/>
      </c>
      <c r="B1411" t="n">
        <v>1031087</v>
      </c>
      <c r="C1411" t="inlineStr">
        <is>
          <t>Fullstack Web (React / Node)</t>
        </is>
      </c>
      <c r="D1411" t="inlineStr">
        <is>
          <t>Primary</t>
        </is>
      </c>
      <c r="E1411" t="inlineStr">
        <is>
          <t>Intermediate</t>
        </is>
      </c>
      <c r="F1411" t="n">
        <v>1.7</v>
      </c>
      <c r="G1411" t="inlineStr">
        <is>
          <t>Technical</t>
        </is>
      </c>
      <c r="H1411" t="inlineStr">
        <is>
          <t>Yes</t>
        </is>
      </c>
      <c r="I1411" t="inlineStr">
        <is>
          <t>2022-11-24</t>
        </is>
      </c>
    </row>
    <row r="1412">
      <c r="A1412" t="n">
        <v/>
      </c>
      <c r="B1412" t="n">
        <v>1031087</v>
      </c>
      <c r="C1412" t="inlineStr">
        <is>
          <t>JavaScript</t>
        </is>
      </c>
      <c r="D1412" t="inlineStr">
        <is>
          <t>Secondary</t>
        </is>
      </c>
      <c r="E1412" t="inlineStr">
        <is>
          <t>Beginner</t>
        </is>
      </c>
      <c r="F1412" t="n">
        <v>1</v>
      </c>
      <c r="G1412" t="inlineStr">
        <is>
          <t>Technical</t>
        </is>
      </c>
      <c r="H1412" t="inlineStr">
        <is>
          <t>Yes</t>
        </is>
      </c>
      <c r="I1412" t="inlineStr">
        <is>
          <t>2022-11-24</t>
        </is>
      </c>
    </row>
    <row r="1413">
      <c r="A1413" t="n">
        <v/>
      </c>
      <c r="B1413" t="n">
        <v>1031087</v>
      </c>
      <c r="C1413" t="inlineStr">
        <is>
          <t>TypeScript</t>
        </is>
      </c>
      <c r="D1413" t="inlineStr">
        <is>
          <t>Secondary</t>
        </is>
      </c>
      <c r="E1413" t="inlineStr">
        <is>
          <t>Beginner</t>
        </is>
      </c>
      <c r="F1413" t="n">
        <v>0.8</v>
      </c>
      <c r="G1413" t="inlineStr">
        <is>
          <t>Technical</t>
        </is>
      </c>
      <c r="H1413" t="inlineStr">
        <is>
          <t>Yes</t>
        </is>
      </c>
      <c r="I1413" t="inlineStr">
        <is>
          <t>2022-11-24</t>
        </is>
      </c>
    </row>
    <row r="1414">
      <c r="A1414" t="n">
        <v/>
      </c>
      <c r="B1414" t="n">
        <v>1026051</v>
      </c>
      <c r="C1414" t="inlineStr">
        <is>
          <t>Frontend (Angular / TypeScript)</t>
        </is>
      </c>
      <c r="D1414" t="inlineStr">
        <is>
          <t>Primary</t>
        </is>
      </c>
      <c r="E1414" t="inlineStr">
        <is>
          <t>Advanced</t>
        </is>
      </c>
      <c r="F1414" t="n">
        <v>6.5</v>
      </c>
      <c r="G1414" t="inlineStr">
        <is>
          <t>Technical</t>
        </is>
      </c>
      <c r="H1414" t="inlineStr">
        <is>
          <t>Yes</t>
        </is>
      </c>
      <c r="I1414" t="inlineStr">
        <is>
          <t>2021-08-09</t>
        </is>
      </c>
    </row>
    <row r="1415">
      <c r="A1415" t="n">
        <v/>
      </c>
      <c r="B1415" t="n">
        <v>1026051</v>
      </c>
      <c r="C1415" t="inlineStr">
        <is>
          <t>TypeScript</t>
        </is>
      </c>
      <c r="D1415" t="inlineStr">
        <is>
          <t>Secondary</t>
        </is>
      </c>
      <c r="E1415" t="inlineStr">
        <is>
          <t>Intermediate</t>
        </is>
      </c>
      <c r="F1415" t="n">
        <v>3.9</v>
      </c>
      <c r="G1415" t="inlineStr">
        <is>
          <t>Technical</t>
        </is>
      </c>
      <c r="H1415" t="inlineStr">
        <is>
          <t>Yes</t>
        </is>
      </c>
      <c r="I1415" t="inlineStr">
        <is>
          <t>2021-08-09</t>
        </is>
      </c>
    </row>
    <row r="1416">
      <c r="A1416" t="n">
        <v/>
      </c>
      <c r="B1416" t="n">
        <v>1026051</v>
      </c>
      <c r="C1416" t="inlineStr">
        <is>
          <t>JavaScript</t>
        </is>
      </c>
      <c r="D1416" t="inlineStr">
        <is>
          <t>Secondary</t>
        </is>
      </c>
      <c r="E1416" t="inlineStr">
        <is>
          <t>Intermediate</t>
        </is>
      </c>
      <c r="F1416" t="n">
        <v>2.9</v>
      </c>
      <c r="G1416" t="inlineStr">
        <is>
          <t>Technical</t>
        </is>
      </c>
      <c r="H1416" t="inlineStr">
        <is>
          <t>Yes</t>
        </is>
      </c>
      <c r="I1416" t="inlineStr">
        <is>
          <t>2021-08-09</t>
        </is>
      </c>
    </row>
    <row r="1417">
      <c r="A1417" t="n">
        <v/>
      </c>
      <c r="B1417" t="n">
        <v>1026051</v>
      </c>
      <c r="C1417" t="inlineStr">
        <is>
          <t>HTML5</t>
        </is>
      </c>
      <c r="D1417" t="inlineStr">
        <is>
          <t>Secondary</t>
        </is>
      </c>
      <c r="E1417" t="inlineStr">
        <is>
          <t>Intermediate</t>
        </is>
      </c>
      <c r="F1417" t="n">
        <v>1.9</v>
      </c>
      <c r="G1417" t="inlineStr">
        <is>
          <t>Technical</t>
        </is>
      </c>
      <c r="H1417" t="inlineStr">
        <is>
          <t>Yes</t>
        </is>
      </c>
      <c r="I1417" t="inlineStr">
        <is>
          <t>2021-08-09</t>
        </is>
      </c>
    </row>
    <row r="1418">
      <c r="A1418" t="n">
        <v/>
      </c>
      <c r="B1418" t="n">
        <v>1028378</v>
      </c>
      <c r="C1418" t="inlineStr">
        <is>
          <t>IT Application &amp; Operations Support</t>
        </is>
      </c>
      <c r="D1418" t="inlineStr">
        <is>
          <t>Primary</t>
        </is>
      </c>
      <c r="E1418" t="inlineStr">
        <is>
          <t>Advanced</t>
        </is>
      </c>
      <c r="F1418" t="n">
        <v>6</v>
      </c>
      <c r="G1418" t="inlineStr">
        <is>
          <t>Functional</t>
        </is>
      </c>
      <c r="H1418" t="inlineStr">
        <is>
          <t>Yes</t>
        </is>
      </c>
      <c r="I1418" t="inlineStr">
        <is>
          <t>2022-02-18</t>
        </is>
      </c>
    </row>
    <row r="1419">
      <c r="A1419" t="n">
        <v/>
      </c>
      <c r="B1419" t="n">
        <v>1028378</v>
      </c>
      <c r="C1419" t="inlineStr">
        <is>
          <t>Incident Management</t>
        </is>
      </c>
      <c r="D1419" t="inlineStr">
        <is>
          <t>Secondary</t>
        </is>
      </c>
      <c r="E1419" t="inlineStr">
        <is>
          <t>Intermediate</t>
        </is>
      </c>
      <c r="F1419" t="n">
        <v>3.6</v>
      </c>
      <c r="G1419" t="inlineStr">
        <is>
          <t>Functional</t>
        </is>
      </c>
      <c r="H1419" t="inlineStr">
        <is>
          <t>Yes</t>
        </is>
      </c>
      <c r="I1419" t="inlineStr">
        <is>
          <t>2022-02-18</t>
        </is>
      </c>
    </row>
    <row r="1420">
      <c r="A1420" t="n">
        <v/>
      </c>
      <c r="B1420" t="n">
        <v>1028378</v>
      </c>
      <c r="C1420" t="inlineStr">
        <is>
          <t>Production Support</t>
        </is>
      </c>
      <c r="D1420" t="inlineStr">
        <is>
          <t>Secondary</t>
        </is>
      </c>
      <c r="E1420" t="inlineStr">
        <is>
          <t>Intermediate</t>
        </is>
      </c>
      <c r="F1420" t="n">
        <v>2.7</v>
      </c>
      <c r="G1420" t="inlineStr">
        <is>
          <t>Functional</t>
        </is>
      </c>
      <c r="H1420" t="inlineStr">
        <is>
          <t>Yes</t>
        </is>
      </c>
      <c r="I1420" t="inlineStr">
        <is>
          <t>2022-02-18</t>
        </is>
      </c>
    </row>
    <row r="1421">
      <c r="A1421" t="n">
        <v/>
      </c>
      <c r="B1421" t="n">
        <v>1028378</v>
      </c>
      <c r="C1421" t="inlineStr">
        <is>
          <t>SQL</t>
        </is>
      </c>
      <c r="D1421" t="inlineStr">
        <is>
          <t>Secondary</t>
        </is>
      </c>
      <c r="E1421" t="inlineStr">
        <is>
          <t>Intermediate</t>
        </is>
      </c>
      <c r="F1421" t="n">
        <v>1.8</v>
      </c>
      <c r="G1421" t="inlineStr">
        <is>
          <t>Functional</t>
        </is>
      </c>
      <c r="H1421" t="inlineStr">
        <is>
          <t>Yes</t>
        </is>
      </c>
      <c r="I1421" t="inlineStr">
        <is>
          <t>2022-02-18</t>
        </is>
      </c>
    </row>
    <row r="1422">
      <c r="A1422" t="n">
        <v/>
      </c>
      <c r="B1422" t="n">
        <v>1029520</v>
      </c>
      <c r="C1422" t="inlineStr">
        <is>
          <t>Python / Data Engineering</t>
        </is>
      </c>
      <c r="D1422" t="inlineStr">
        <is>
          <t>Primary</t>
        </is>
      </c>
      <c r="E1422" t="inlineStr">
        <is>
          <t>Intermediate</t>
        </is>
      </c>
      <c r="F1422" t="n">
        <v>2</v>
      </c>
      <c r="G1422" t="inlineStr">
        <is>
          <t>Technical</t>
        </is>
      </c>
      <c r="H1422" t="inlineStr">
        <is>
          <t>Yes</t>
        </is>
      </c>
      <c r="I1422" t="inlineStr">
        <is>
          <t>2022-07-15</t>
        </is>
      </c>
    </row>
    <row r="1423">
      <c r="A1423" t="n">
        <v/>
      </c>
      <c r="B1423" t="n">
        <v>1029520</v>
      </c>
      <c r="C1423" t="inlineStr">
        <is>
          <t>SQL</t>
        </is>
      </c>
      <c r="D1423" t="inlineStr">
        <is>
          <t>Secondary</t>
        </is>
      </c>
      <c r="E1423" t="inlineStr">
        <is>
          <t>Beginner</t>
        </is>
      </c>
      <c r="F1423" t="n">
        <v>1.2</v>
      </c>
      <c r="G1423" t="inlineStr">
        <is>
          <t>Technical</t>
        </is>
      </c>
      <c r="H1423" t="inlineStr">
        <is>
          <t>Yes</t>
        </is>
      </c>
      <c r="I1423" t="inlineStr">
        <is>
          <t>2022-07-15</t>
        </is>
      </c>
    </row>
    <row r="1424">
      <c r="A1424" t="n">
        <v/>
      </c>
      <c r="B1424" t="n">
        <v>1029520</v>
      </c>
      <c r="C1424" t="inlineStr">
        <is>
          <t>Docker</t>
        </is>
      </c>
      <c r="D1424" t="inlineStr">
        <is>
          <t>Secondary</t>
        </is>
      </c>
      <c r="E1424" t="inlineStr">
        <is>
          <t>Beginner</t>
        </is>
      </c>
      <c r="F1424" t="n">
        <v>0.9</v>
      </c>
      <c r="G1424" t="inlineStr">
        <is>
          <t>Technical</t>
        </is>
      </c>
      <c r="H1424" t="inlineStr">
        <is>
          <t>Yes</t>
        </is>
      </c>
      <c r="I1424" t="inlineStr">
        <is>
          <t>2022-07-15</t>
        </is>
      </c>
    </row>
    <row r="1425">
      <c r="A1425" t="n">
        <v/>
      </c>
      <c r="B1425" t="n">
        <v>1030910</v>
      </c>
      <c r="C1425" t="inlineStr">
        <is>
          <t>Python / Data Engineering</t>
        </is>
      </c>
      <c r="D1425" t="inlineStr">
        <is>
          <t>Primary</t>
        </is>
      </c>
      <c r="E1425" t="inlineStr">
        <is>
          <t>Intermediate</t>
        </is>
      </c>
      <c r="F1425" t="n">
        <v>1.7</v>
      </c>
      <c r="G1425" t="inlineStr">
        <is>
          <t>Technical</t>
        </is>
      </c>
      <c r="H1425" t="inlineStr">
        <is>
          <t>Yes</t>
        </is>
      </c>
      <c r="I1425" t="inlineStr">
        <is>
          <t>2022-11-11</t>
        </is>
      </c>
    </row>
    <row r="1426">
      <c r="A1426" t="n">
        <v/>
      </c>
      <c r="B1426" t="n">
        <v>1030910</v>
      </c>
      <c r="C1426" t="inlineStr">
        <is>
          <t>SQL</t>
        </is>
      </c>
      <c r="D1426" t="inlineStr">
        <is>
          <t>Secondary</t>
        </is>
      </c>
      <c r="E1426" t="inlineStr">
        <is>
          <t>Beginner</t>
        </is>
      </c>
      <c r="F1426" t="n">
        <v>1</v>
      </c>
      <c r="G1426" t="inlineStr">
        <is>
          <t>Technical</t>
        </is>
      </c>
      <c r="H1426" t="inlineStr">
        <is>
          <t>Yes</t>
        </is>
      </c>
      <c r="I1426" t="inlineStr">
        <is>
          <t>2022-11-11</t>
        </is>
      </c>
    </row>
    <row r="1427">
      <c r="A1427" t="n">
        <v/>
      </c>
      <c r="B1427" t="n">
        <v>1030910</v>
      </c>
      <c r="C1427" t="inlineStr">
        <is>
          <t>Docker</t>
        </is>
      </c>
      <c r="D1427" t="inlineStr">
        <is>
          <t>Secondary</t>
        </is>
      </c>
      <c r="E1427" t="inlineStr">
        <is>
          <t>Beginner</t>
        </is>
      </c>
      <c r="F1427" t="n">
        <v>0.8</v>
      </c>
      <c r="G1427" t="inlineStr">
        <is>
          <t>Technical</t>
        </is>
      </c>
      <c r="H1427" t="inlineStr">
        <is>
          <t>Yes</t>
        </is>
      </c>
      <c r="I1427" t="inlineStr">
        <is>
          <t>2022-11-11</t>
        </is>
      </c>
    </row>
    <row r="1428">
      <c r="A1428" t="n">
        <v/>
      </c>
      <c r="B1428" t="n">
        <v>1023748</v>
      </c>
      <c r="C1428" t="inlineStr">
        <is>
          <t>Database &amp; SQL Architecture</t>
        </is>
      </c>
      <c r="D1428" t="inlineStr">
        <is>
          <t>Primary</t>
        </is>
      </c>
      <c r="E1428" t="inlineStr">
        <is>
          <t>Advanced</t>
        </is>
      </c>
      <c r="F1428" t="n">
        <v>7.3</v>
      </c>
      <c r="G1428" t="inlineStr">
        <is>
          <t>Technical</t>
        </is>
      </c>
      <c r="H1428" t="inlineStr">
        <is>
          <t>Yes</t>
        </is>
      </c>
      <c r="I1428" t="inlineStr">
        <is>
          <t>2020-09-01</t>
        </is>
      </c>
    </row>
    <row r="1429">
      <c r="A1429" t="n">
        <v/>
      </c>
      <c r="B1429" t="n">
        <v>1023748</v>
      </c>
      <c r="C1429" t="inlineStr">
        <is>
          <t>PostgreSQL</t>
        </is>
      </c>
      <c r="D1429" t="inlineStr">
        <is>
          <t>Secondary</t>
        </is>
      </c>
      <c r="E1429" t="inlineStr">
        <is>
          <t>Intermediate</t>
        </is>
      </c>
      <c r="F1429" t="n">
        <v>4.4</v>
      </c>
      <c r="G1429" t="inlineStr">
        <is>
          <t>Technical</t>
        </is>
      </c>
      <c r="H1429" t="inlineStr">
        <is>
          <t>Yes</t>
        </is>
      </c>
      <c r="I1429" t="inlineStr">
        <is>
          <t>2020-09-01</t>
        </is>
      </c>
    </row>
    <row r="1430">
      <c r="A1430" t="n">
        <v/>
      </c>
      <c r="B1430" t="n">
        <v>1023748</v>
      </c>
      <c r="C1430" t="inlineStr">
        <is>
          <t>Oracle</t>
        </is>
      </c>
      <c r="D1430" t="inlineStr">
        <is>
          <t>Secondary</t>
        </is>
      </c>
      <c r="E1430" t="inlineStr">
        <is>
          <t>Intermediate</t>
        </is>
      </c>
      <c r="F1430" t="n">
        <v>3.3</v>
      </c>
      <c r="G1430" t="inlineStr">
        <is>
          <t>Technical</t>
        </is>
      </c>
      <c r="H1430" t="inlineStr">
        <is>
          <t>Yes</t>
        </is>
      </c>
      <c r="I1430" t="inlineStr">
        <is>
          <t>2020-09-01</t>
        </is>
      </c>
    </row>
    <row r="1431">
      <c r="A1431" t="n">
        <v/>
      </c>
      <c r="B1431" t="n">
        <v>1023748</v>
      </c>
      <c r="C1431" t="inlineStr">
        <is>
          <t>Performance Tuning</t>
        </is>
      </c>
      <c r="D1431" t="inlineStr">
        <is>
          <t>Secondary</t>
        </is>
      </c>
      <c r="E1431" t="inlineStr">
        <is>
          <t>Intermediate</t>
        </is>
      </c>
      <c r="F1431" t="n">
        <v>2.2</v>
      </c>
      <c r="G1431" t="inlineStr">
        <is>
          <t>Technical</t>
        </is>
      </c>
      <c r="H1431" t="inlineStr">
        <is>
          <t>Yes</t>
        </is>
      </c>
      <c r="I1431" t="inlineStr">
        <is>
          <t>2020-09-01</t>
        </is>
      </c>
    </row>
    <row r="1432">
      <c r="A1432" t="n">
        <v/>
      </c>
      <c r="B1432" t="n">
        <v>1028228</v>
      </c>
      <c r="C1432" t="inlineStr">
        <is>
          <t>QA Automation / SDET</t>
        </is>
      </c>
      <c r="D1432" t="inlineStr">
        <is>
          <t>Primary</t>
        </is>
      </c>
      <c r="E1432" t="inlineStr">
        <is>
          <t>Advanced</t>
        </is>
      </c>
      <c r="F1432" t="n">
        <v>6</v>
      </c>
      <c r="G1432" t="inlineStr">
        <is>
          <t>Technical</t>
        </is>
      </c>
      <c r="H1432" t="inlineStr">
        <is>
          <t>Yes</t>
        </is>
      </c>
      <c r="I1432" t="inlineStr">
        <is>
          <t>2022-02-02</t>
        </is>
      </c>
    </row>
    <row r="1433">
      <c r="A1433" t="n">
        <v/>
      </c>
      <c r="B1433" t="n">
        <v>1028228</v>
      </c>
      <c r="C1433" t="inlineStr">
        <is>
          <t>Selenium</t>
        </is>
      </c>
      <c r="D1433" t="inlineStr">
        <is>
          <t>Secondary</t>
        </is>
      </c>
      <c r="E1433" t="inlineStr">
        <is>
          <t>Intermediate</t>
        </is>
      </c>
      <c r="F1433" t="n">
        <v>3.6</v>
      </c>
      <c r="G1433" t="inlineStr">
        <is>
          <t>Technical</t>
        </is>
      </c>
      <c r="H1433" t="inlineStr">
        <is>
          <t>Yes</t>
        </is>
      </c>
      <c r="I1433" t="inlineStr">
        <is>
          <t>2022-02-02</t>
        </is>
      </c>
    </row>
    <row r="1434">
      <c r="A1434" t="n">
        <v/>
      </c>
      <c r="B1434" t="n">
        <v>1028228</v>
      </c>
      <c r="C1434" t="inlineStr">
        <is>
          <t>API Testing (Postman)</t>
        </is>
      </c>
      <c r="D1434" t="inlineStr">
        <is>
          <t>Secondary</t>
        </is>
      </c>
      <c r="E1434" t="inlineStr">
        <is>
          <t>Intermediate</t>
        </is>
      </c>
      <c r="F1434" t="n">
        <v>2.7</v>
      </c>
      <c r="G1434" t="inlineStr">
        <is>
          <t>Technical</t>
        </is>
      </c>
      <c r="H1434" t="inlineStr">
        <is>
          <t>Yes</t>
        </is>
      </c>
      <c r="I1434" t="inlineStr">
        <is>
          <t>2022-02-02</t>
        </is>
      </c>
    </row>
    <row r="1435">
      <c r="A1435" t="n">
        <v/>
      </c>
      <c r="B1435" t="n">
        <v>1028228</v>
      </c>
      <c r="C1435" t="inlineStr">
        <is>
          <t>TestNG</t>
        </is>
      </c>
      <c r="D1435" t="inlineStr">
        <is>
          <t>Secondary</t>
        </is>
      </c>
      <c r="E1435" t="inlineStr">
        <is>
          <t>Intermediate</t>
        </is>
      </c>
      <c r="F1435" t="n">
        <v>1.8</v>
      </c>
      <c r="G1435" t="inlineStr">
        <is>
          <t>Technical</t>
        </is>
      </c>
      <c r="H1435" t="inlineStr">
        <is>
          <t>Yes</t>
        </is>
      </c>
      <c r="I1435" t="inlineStr">
        <is>
          <t>2022-02-02</t>
        </is>
      </c>
    </row>
    <row r="1436">
      <c r="A1436" t="n">
        <v/>
      </c>
      <c r="B1436" t="n">
        <v>1023770</v>
      </c>
      <c r="C1436" t="inlineStr">
        <is>
          <t>Cloud &amp; DevOps (AWS / K8s)</t>
        </is>
      </c>
      <c r="D1436" t="inlineStr">
        <is>
          <t>Primary</t>
        </is>
      </c>
      <c r="E1436" t="inlineStr">
        <is>
          <t>Advanced</t>
        </is>
      </c>
      <c r="F1436" t="n">
        <v>7.3</v>
      </c>
      <c r="G1436" t="inlineStr">
        <is>
          <t>Technical</t>
        </is>
      </c>
      <c r="H1436" t="inlineStr">
        <is>
          <t>Yes</t>
        </is>
      </c>
      <c r="I1436" t="inlineStr">
        <is>
          <t>2020-09-01</t>
        </is>
      </c>
    </row>
    <row r="1437">
      <c r="A1437" t="n">
        <v/>
      </c>
      <c r="B1437" t="n">
        <v>1023770</v>
      </c>
      <c r="C1437" t="inlineStr">
        <is>
          <t>Linux</t>
        </is>
      </c>
      <c r="D1437" t="inlineStr">
        <is>
          <t>Secondary</t>
        </is>
      </c>
      <c r="E1437" t="inlineStr">
        <is>
          <t>Intermediate</t>
        </is>
      </c>
      <c r="F1437" t="n">
        <v>4.4</v>
      </c>
      <c r="G1437" t="inlineStr">
        <is>
          <t>Technical</t>
        </is>
      </c>
      <c r="H1437" t="inlineStr">
        <is>
          <t>Yes</t>
        </is>
      </c>
      <c r="I1437" t="inlineStr">
        <is>
          <t>2020-09-01</t>
        </is>
      </c>
    </row>
    <row r="1438">
      <c r="A1438" t="n">
        <v/>
      </c>
      <c r="B1438" t="n">
        <v>1023770</v>
      </c>
      <c r="C1438" t="inlineStr">
        <is>
          <t>Docker</t>
        </is>
      </c>
      <c r="D1438" t="inlineStr">
        <is>
          <t>Secondary</t>
        </is>
      </c>
      <c r="E1438" t="inlineStr">
        <is>
          <t>Intermediate</t>
        </is>
      </c>
      <c r="F1438" t="n">
        <v>3.3</v>
      </c>
      <c r="G1438" t="inlineStr">
        <is>
          <t>Technical</t>
        </is>
      </c>
      <c r="H1438" t="inlineStr">
        <is>
          <t>Yes</t>
        </is>
      </c>
      <c r="I1438" t="inlineStr">
        <is>
          <t>2020-09-01</t>
        </is>
      </c>
    </row>
    <row r="1439">
      <c r="A1439" t="n">
        <v/>
      </c>
      <c r="B1439" t="n">
        <v>1023770</v>
      </c>
      <c r="C1439" t="inlineStr">
        <is>
          <t>Kubernetes</t>
        </is>
      </c>
      <c r="D1439" t="inlineStr">
        <is>
          <t>Secondary</t>
        </is>
      </c>
      <c r="E1439" t="inlineStr">
        <is>
          <t>Intermediate</t>
        </is>
      </c>
      <c r="F1439" t="n">
        <v>2.2</v>
      </c>
      <c r="G1439" t="inlineStr">
        <is>
          <t>Technical</t>
        </is>
      </c>
      <c r="H1439" t="inlineStr">
        <is>
          <t>Yes</t>
        </is>
      </c>
      <c r="I1439" t="inlineStr">
        <is>
          <t>2020-09-01</t>
        </is>
      </c>
    </row>
    <row r="1440">
      <c r="A1440" t="n">
        <v/>
      </c>
      <c r="B1440" t="n">
        <v>1027415</v>
      </c>
      <c r="C1440" t="inlineStr">
        <is>
          <t>Python / Data Engineering</t>
        </is>
      </c>
      <c r="D1440" t="inlineStr">
        <is>
          <t>Primary</t>
        </is>
      </c>
      <c r="E1440" t="inlineStr">
        <is>
          <t>Advanced</t>
        </is>
      </c>
      <c r="F1440" t="n">
        <v>6.2</v>
      </c>
      <c r="G1440" t="inlineStr">
        <is>
          <t>Technical</t>
        </is>
      </c>
      <c r="H1440" t="inlineStr">
        <is>
          <t>Yes</t>
        </is>
      </c>
      <c r="I1440" t="inlineStr">
        <is>
          <t>2021-12-01</t>
        </is>
      </c>
    </row>
    <row r="1441">
      <c r="A1441" t="n">
        <v/>
      </c>
      <c r="B1441" t="n">
        <v>1027415</v>
      </c>
      <c r="C1441" t="inlineStr">
        <is>
          <t>SQL</t>
        </is>
      </c>
      <c r="D1441" t="inlineStr">
        <is>
          <t>Secondary</t>
        </is>
      </c>
      <c r="E1441" t="inlineStr">
        <is>
          <t>Intermediate</t>
        </is>
      </c>
      <c r="F1441" t="n">
        <v>3.7</v>
      </c>
      <c r="G1441" t="inlineStr">
        <is>
          <t>Technical</t>
        </is>
      </c>
      <c r="H1441" t="inlineStr">
        <is>
          <t>Yes</t>
        </is>
      </c>
      <c r="I1441" t="inlineStr">
        <is>
          <t>2021-12-01</t>
        </is>
      </c>
    </row>
    <row r="1442">
      <c r="A1442" t="n">
        <v/>
      </c>
      <c r="B1442" t="n">
        <v>1027415</v>
      </c>
      <c r="C1442" t="inlineStr">
        <is>
          <t>Docker</t>
        </is>
      </c>
      <c r="D1442" t="inlineStr">
        <is>
          <t>Secondary</t>
        </is>
      </c>
      <c r="E1442" t="inlineStr">
        <is>
          <t>Intermediate</t>
        </is>
      </c>
      <c r="F1442" t="n">
        <v>2.8</v>
      </c>
      <c r="G1442" t="inlineStr">
        <is>
          <t>Technical</t>
        </is>
      </c>
      <c r="H1442" t="inlineStr">
        <is>
          <t>Yes</t>
        </is>
      </c>
      <c r="I1442" t="inlineStr">
        <is>
          <t>2021-12-01</t>
        </is>
      </c>
    </row>
    <row r="1443">
      <c r="A1443" t="n">
        <v/>
      </c>
      <c r="B1443" t="n">
        <v>1027415</v>
      </c>
      <c r="C1443" t="inlineStr">
        <is>
          <t>Pandas</t>
        </is>
      </c>
      <c r="D1443" t="inlineStr">
        <is>
          <t>Secondary</t>
        </is>
      </c>
      <c r="E1443" t="inlineStr">
        <is>
          <t>Intermediate</t>
        </is>
      </c>
      <c r="F1443" t="n">
        <v>1.9</v>
      </c>
      <c r="G1443" t="inlineStr">
        <is>
          <t>Technical</t>
        </is>
      </c>
      <c r="H1443" t="inlineStr">
        <is>
          <t>Yes</t>
        </is>
      </c>
      <c r="I1443" t="inlineStr">
        <is>
          <t>2021-12-01</t>
        </is>
      </c>
    </row>
    <row r="1444">
      <c r="A1444" t="n">
        <v/>
      </c>
      <c r="B1444" t="n">
        <v>1031903</v>
      </c>
      <c r="C1444" t="inlineStr">
        <is>
          <t>Database &amp; SQL Architecture</t>
        </is>
      </c>
      <c r="D1444" t="inlineStr">
        <is>
          <t>Primary</t>
        </is>
      </c>
      <c r="E1444" t="inlineStr">
        <is>
          <t>Advanced</t>
        </is>
      </c>
      <c r="F1444" t="n">
        <v>5.2</v>
      </c>
      <c r="G1444" t="inlineStr">
        <is>
          <t>Technical</t>
        </is>
      </c>
      <c r="H1444" t="inlineStr">
        <is>
          <t>Yes</t>
        </is>
      </c>
      <c r="I1444" t="inlineStr">
        <is>
          <t>2022-12-23</t>
        </is>
      </c>
    </row>
    <row r="1445">
      <c r="A1445" t="n">
        <v/>
      </c>
      <c r="B1445" t="n">
        <v>1031903</v>
      </c>
      <c r="C1445" t="inlineStr">
        <is>
          <t>PostgreSQL</t>
        </is>
      </c>
      <c r="D1445" t="inlineStr">
        <is>
          <t>Secondary</t>
        </is>
      </c>
      <c r="E1445" t="inlineStr">
        <is>
          <t>Intermediate</t>
        </is>
      </c>
      <c r="F1445" t="n">
        <v>3.1</v>
      </c>
      <c r="G1445" t="inlineStr">
        <is>
          <t>Technical</t>
        </is>
      </c>
      <c r="H1445" t="inlineStr">
        <is>
          <t>Yes</t>
        </is>
      </c>
      <c r="I1445" t="inlineStr">
        <is>
          <t>2022-12-23</t>
        </is>
      </c>
    </row>
    <row r="1446">
      <c r="A1446" t="n">
        <v/>
      </c>
      <c r="B1446" t="n">
        <v>1031903</v>
      </c>
      <c r="C1446" t="inlineStr">
        <is>
          <t>Oracle</t>
        </is>
      </c>
      <c r="D1446" t="inlineStr">
        <is>
          <t>Secondary</t>
        </is>
      </c>
      <c r="E1446" t="inlineStr">
        <is>
          <t>Intermediate</t>
        </is>
      </c>
      <c r="F1446" t="n">
        <v>2.3</v>
      </c>
      <c r="G1446" t="inlineStr">
        <is>
          <t>Technical</t>
        </is>
      </c>
      <c r="H1446" t="inlineStr">
        <is>
          <t>Yes</t>
        </is>
      </c>
      <c r="I1446" t="inlineStr">
        <is>
          <t>2022-12-23</t>
        </is>
      </c>
    </row>
    <row r="1447">
      <c r="A1447" t="n">
        <v/>
      </c>
      <c r="B1447" t="n">
        <v>1031903</v>
      </c>
      <c r="C1447" t="inlineStr">
        <is>
          <t>Performance Tuning</t>
        </is>
      </c>
      <c r="D1447" t="inlineStr">
        <is>
          <t>Secondary</t>
        </is>
      </c>
      <c r="E1447" t="inlineStr">
        <is>
          <t>Intermediate</t>
        </is>
      </c>
      <c r="F1447" t="n">
        <v>1.6</v>
      </c>
      <c r="G1447" t="inlineStr">
        <is>
          <t>Technical</t>
        </is>
      </c>
      <c r="H1447" t="inlineStr">
        <is>
          <t>Yes</t>
        </is>
      </c>
      <c r="I1447" t="inlineStr">
        <is>
          <t>2022-12-23</t>
        </is>
      </c>
    </row>
    <row r="1448">
      <c r="A1448" t="n">
        <v/>
      </c>
      <c r="B1448" t="n">
        <v>1026952</v>
      </c>
      <c r="C1448" t="inlineStr">
        <is>
          <t>Fullstack Web (React / Node)</t>
        </is>
      </c>
      <c r="D1448" t="inlineStr">
        <is>
          <t>Primary</t>
        </is>
      </c>
      <c r="E1448" t="inlineStr">
        <is>
          <t>Advanced</t>
        </is>
      </c>
      <c r="F1448" t="n">
        <v>6.3</v>
      </c>
      <c r="G1448" t="inlineStr">
        <is>
          <t>Technical</t>
        </is>
      </c>
      <c r="H1448" t="inlineStr">
        <is>
          <t>Yes</t>
        </is>
      </c>
      <c r="I1448" t="inlineStr">
        <is>
          <t>2021-10-25</t>
        </is>
      </c>
    </row>
    <row r="1449">
      <c r="A1449" t="n">
        <v/>
      </c>
      <c r="B1449" t="n">
        <v>1026952</v>
      </c>
      <c r="C1449" t="inlineStr">
        <is>
          <t>JavaScript</t>
        </is>
      </c>
      <c r="D1449" t="inlineStr">
        <is>
          <t>Secondary</t>
        </is>
      </c>
      <c r="E1449" t="inlineStr">
        <is>
          <t>Intermediate</t>
        </is>
      </c>
      <c r="F1449" t="n">
        <v>3.8</v>
      </c>
      <c r="G1449" t="inlineStr">
        <is>
          <t>Technical</t>
        </is>
      </c>
      <c r="H1449" t="inlineStr">
        <is>
          <t>Yes</t>
        </is>
      </c>
      <c r="I1449" t="inlineStr">
        <is>
          <t>2021-10-25</t>
        </is>
      </c>
    </row>
    <row r="1450">
      <c r="A1450" t="n">
        <v/>
      </c>
      <c r="B1450" t="n">
        <v>1026952</v>
      </c>
      <c r="C1450" t="inlineStr">
        <is>
          <t>TypeScript</t>
        </is>
      </c>
      <c r="D1450" t="inlineStr">
        <is>
          <t>Secondary</t>
        </is>
      </c>
      <c r="E1450" t="inlineStr">
        <is>
          <t>Intermediate</t>
        </is>
      </c>
      <c r="F1450" t="n">
        <v>2.8</v>
      </c>
      <c r="G1450" t="inlineStr">
        <is>
          <t>Technical</t>
        </is>
      </c>
      <c r="H1450" t="inlineStr">
        <is>
          <t>Yes</t>
        </is>
      </c>
      <c r="I1450" t="inlineStr">
        <is>
          <t>2021-10-25</t>
        </is>
      </c>
    </row>
    <row r="1451">
      <c r="A1451" t="n">
        <v/>
      </c>
      <c r="B1451" t="n">
        <v>1026952</v>
      </c>
      <c r="C1451" t="inlineStr">
        <is>
          <t>CSS/HTML</t>
        </is>
      </c>
      <c r="D1451" t="inlineStr">
        <is>
          <t>Secondary</t>
        </is>
      </c>
      <c r="E1451" t="inlineStr">
        <is>
          <t>Intermediate</t>
        </is>
      </c>
      <c r="F1451" t="n">
        <v>1.9</v>
      </c>
      <c r="G1451" t="inlineStr">
        <is>
          <t>Technical</t>
        </is>
      </c>
      <c r="H1451" t="inlineStr">
        <is>
          <t>Yes</t>
        </is>
      </c>
      <c r="I1451" t="inlineStr">
        <is>
          <t>2021-10-25</t>
        </is>
      </c>
    </row>
    <row r="1452">
      <c r="A1452" t="n">
        <v/>
      </c>
      <c r="B1452" t="n">
        <v>1030387</v>
      </c>
      <c r="C1452" t="inlineStr">
        <is>
          <t>Fullstack Web (React / Node)</t>
        </is>
      </c>
      <c r="D1452" t="inlineStr">
        <is>
          <t>Primary</t>
        </is>
      </c>
      <c r="E1452" t="inlineStr">
        <is>
          <t>Intermediate</t>
        </is>
      </c>
      <c r="F1452" t="n">
        <v>1.8</v>
      </c>
      <c r="G1452" t="inlineStr">
        <is>
          <t>Technical</t>
        </is>
      </c>
      <c r="H1452" t="inlineStr">
        <is>
          <t>Yes</t>
        </is>
      </c>
      <c r="I1452" t="inlineStr">
        <is>
          <t>2022-09-21</t>
        </is>
      </c>
    </row>
    <row r="1453">
      <c r="A1453" t="n">
        <v/>
      </c>
      <c r="B1453" t="n">
        <v>1030387</v>
      </c>
      <c r="C1453" t="inlineStr">
        <is>
          <t>JavaScript</t>
        </is>
      </c>
      <c r="D1453" t="inlineStr">
        <is>
          <t>Secondary</t>
        </is>
      </c>
      <c r="E1453" t="inlineStr">
        <is>
          <t>Beginner</t>
        </is>
      </c>
      <c r="F1453" t="n">
        <v>1.1</v>
      </c>
      <c r="G1453" t="inlineStr">
        <is>
          <t>Technical</t>
        </is>
      </c>
      <c r="H1453" t="inlineStr">
        <is>
          <t>Yes</t>
        </is>
      </c>
      <c r="I1453" t="inlineStr">
        <is>
          <t>2022-09-21</t>
        </is>
      </c>
    </row>
    <row r="1454">
      <c r="A1454" t="n">
        <v/>
      </c>
      <c r="B1454" t="n">
        <v>1030387</v>
      </c>
      <c r="C1454" t="inlineStr">
        <is>
          <t>TypeScript</t>
        </is>
      </c>
      <c r="D1454" t="inlineStr">
        <is>
          <t>Secondary</t>
        </is>
      </c>
      <c r="E1454" t="inlineStr">
        <is>
          <t>Beginner</t>
        </is>
      </c>
      <c r="F1454" t="n">
        <v>0.8</v>
      </c>
      <c r="G1454" t="inlineStr">
        <is>
          <t>Technical</t>
        </is>
      </c>
      <c r="H1454" t="inlineStr">
        <is>
          <t>Yes</t>
        </is>
      </c>
      <c r="I1454" t="inlineStr">
        <is>
          <t>2022-09-21</t>
        </is>
      </c>
    </row>
    <row r="1455">
      <c r="A1455" t="n">
        <v/>
      </c>
      <c r="B1455" t="n">
        <v>1024023</v>
      </c>
      <c r="C1455" t="inlineStr">
        <is>
          <t>Database &amp; SQL Architecture</t>
        </is>
      </c>
      <c r="D1455" t="inlineStr">
        <is>
          <t>Primary</t>
        </is>
      </c>
      <c r="E1455" t="inlineStr">
        <is>
          <t>Advanced</t>
        </is>
      </c>
      <c r="F1455" t="n">
        <v>7.2</v>
      </c>
      <c r="G1455" t="inlineStr">
        <is>
          <t>Technical</t>
        </is>
      </c>
      <c r="H1455" t="inlineStr">
        <is>
          <t>Yes</t>
        </is>
      </c>
      <c r="I1455" t="inlineStr">
        <is>
          <t>2020-10-28</t>
        </is>
      </c>
    </row>
    <row r="1456">
      <c r="A1456" t="n">
        <v/>
      </c>
      <c r="B1456" t="n">
        <v>1024023</v>
      </c>
      <c r="C1456" t="inlineStr">
        <is>
          <t>PostgreSQL</t>
        </is>
      </c>
      <c r="D1456" t="inlineStr">
        <is>
          <t>Secondary</t>
        </is>
      </c>
      <c r="E1456" t="inlineStr">
        <is>
          <t>Intermediate</t>
        </is>
      </c>
      <c r="F1456" t="n">
        <v>4.3</v>
      </c>
      <c r="G1456" t="inlineStr">
        <is>
          <t>Technical</t>
        </is>
      </c>
      <c r="H1456" t="inlineStr">
        <is>
          <t>Yes</t>
        </is>
      </c>
      <c r="I1456" t="inlineStr">
        <is>
          <t>2020-10-28</t>
        </is>
      </c>
    </row>
    <row r="1457">
      <c r="A1457" t="n">
        <v/>
      </c>
      <c r="B1457" t="n">
        <v>1024023</v>
      </c>
      <c r="C1457" t="inlineStr">
        <is>
          <t>Oracle</t>
        </is>
      </c>
      <c r="D1457" t="inlineStr">
        <is>
          <t>Secondary</t>
        </is>
      </c>
      <c r="E1457" t="inlineStr">
        <is>
          <t>Intermediate</t>
        </is>
      </c>
      <c r="F1457" t="n">
        <v>3.2</v>
      </c>
      <c r="G1457" t="inlineStr">
        <is>
          <t>Technical</t>
        </is>
      </c>
      <c r="H1457" t="inlineStr">
        <is>
          <t>Yes</t>
        </is>
      </c>
      <c r="I1457" t="inlineStr">
        <is>
          <t>2020-10-28</t>
        </is>
      </c>
    </row>
    <row r="1458">
      <c r="A1458" t="n">
        <v/>
      </c>
      <c r="B1458" t="n">
        <v>1024023</v>
      </c>
      <c r="C1458" t="inlineStr">
        <is>
          <t>Performance Tuning</t>
        </is>
      </c>
      <c r="D1458" t="inlineStr">
        <is>
          <t>Secondary</t>
        </is>
      </c>
      <c r="E1458" t="inlineStr">
        <is>
          <t>Intermediate</t>
        </is>
      </c>
      <c r="F1458" t="n">
        <v>2.2</v>
      </c>
      <c r="G1458" t="inlineStr">
        <is>
          <t>Technical</t>
        </is>
      </c>
      <c r="H1458" t="inlineStr">
        <is>
          <t>Yes</t>
        </is>
      </c>
      <c r="I1458" t="inlineStr">
        <is>
          <t>2020-10-28</t>
        </is>
      </c>
    </row>
    <row r="1459">
      <c r="A1459" t="n">
        <v/>
      </c>
      <c r="B1459" t="n">
        <v>1024946</v>
      </c>
      <c r="C1459" t="inlineStr">
        <is>
          <t>QA Automation / SDET</t>
        </is>
      </c>
      <c r="D1459" t="inlineStr">
        <is>
          <t>Primary</t>
        </is>
      </c>
      <c r="E1459" t="inlineStr">
        <is>
          <t>Advanced</t>
        </is>
      </c>
      <c r="F1459" t="n">
        <v>6.8</v>
      </c>
      <c r="G1459" t="inlineStr">
        <is>
          <t>Technical</t>
        </is>
      </c>
      <c r="H1459" t="inlineStr">
        <is>
          <t>Yes</t>
        </is>
      </c>
      <c r="I1459" t="inlineStr">
        <is>
          <t>2021-04-01</t>
        </is>
      </c>
    </row>
    <row r="1460">
      <c r="A1460" t="n">
        <v/>
      </c>
      <c r="B1460" t="n">
        <v>1024946</v>
      </c>
      <c r="C1460" t="inlineStr">
        <is>
          <t>Selenium</t>
        </is>
      </c>
      <c r="D1460" t="inlineStr">
        <is>
          <t>Secondary</t>
        </is>
      </c>
      <c r="E1460" t="inlineStr">
        <is>
          <t>Intermediate</t>
        </is>
      </c>
      <c r="F1460" t="n">
        <v>4.1</v>
      </c>
      <c r="G1460" t="inlineStr">
        <is>
          <t>Technical</t>
        </is>
      </c>
      <c r="H1460" t="inlineStr">
        <is>
          <t>Yes</t>
        </is>
      </c>
      <c r="I1460" t="inlineStr">
        <is>
          <t>2021-04-01</t>
        </is>
      </c>
    </row>
    <row r="1461">
      <c r="A1461" t="n">
        <v/>
      </c>
      <c r="B1461" t="n">
        <v>1024946</v>
      </c>
      <c r="C1461" t="inlineStr">
        <is>
          <t>API Testing (Postman)</t>
        </is>
      </c>
      <c r="D1461" t="inlineStr">
        <is>
          <t>Secondary</t>
        </is>
      </c>
      <c r="E1461" t="inlineStr">
        <is>
          <t>Intermediate</t>
        </is>
      </c>
      <c r="F1461" t="n">
        <v>3.1</v>
      </c>
      <c r="G1461" t="inlineStr">
        <is>
          <t>Technical</t>
        </is>
      </c>
      <c r="H1461" t="inlineStr">
        <is>
          <t>Yes</t>
        </is>
      </c>
      <c r="I1461" t="inlineStr">
        <is>
          <t>2021-04-01</t>
        </is>
      </c>
    </row>
    <row r="1462">
      <c r="A1462" t="n">
        <v/>
      </c>
      <c r="B1462" t="n">
        <v>1024946</v>
      </c>
      <c r="C1462" t="inlineStr">
        <is>
          <t>TestNG</t>
        </is>
      </c>
      <c r="D1462" t="inlineStr">
        <is>
          <t>Secondary</t>
        </is>
      </c>
      <c r="E1462" t="inlineStr">
        <is>
          <t>Intermediate</t>
        </is>
      </c>
      <c r="F1462" t="n">
        <v>2</v>
      </c>
      <c r="G1462" t="inlineStr">
        <is>
          <t>Technical</t>
        </is>
      </c>
      <c r="H1462" t="inlineStr">
        <is>
          <t>Yes</t>
        </is>
      </c>
      <c r="I1462" t="inlineStr">
        <is>
          <t>2021-04-01</t>
        </is>
      </c>
    </row>
    <row r="1463">
      <c r="A1463" t="n">
        <v/>
      </c>
      <c r="B1463" t="n">
        <v>1021855</v>
      </c>
      <c r="C1463" t="inlineStr">
        <is>
          <t>Python / Data Engineering</t>
        </is>
      </c>
      <c r="D1463" t="inlineStr">
        <is>
          <t>Primary</t>
        </is>
      </c>
      <c r="E1463" t="inlineStr">
        <is>
          <t>Advanced</t>
        </is>
      </c>
      <c r="F1463" t="n">
        <v>8.5</v>
      </c>
      <c r="G1463" t="inlineStr">
        <is>
          <t>Technical</t>
        </is>
      </c>
      <c r="H1463" t="inlineStr">
        <is>
          <t>Yes</t>
        </is>
      </c>
      <c r="I1463" t="inlineStr">
        <is>
          <t>2019-04-22</t>
        </is>
      </c>
    </row>
    <row r="1464">
      <c r="A1464" t="n">
        <v/>
      </c>
      <c r="B1464" t="n">
        <v>1021855</v>
      </c>
      <c r="C1464" t="inlineStr">
        <is>
          <t>SQL</t>
        </is>
      </c>
      <c r="D1464" t="inlineStr">
        <is>
          <t>Secondary</t>
        </is>
      </c>
      <c r="E1464" t="inlineStr">
        <is>
          <t>Advanced</t>
        </is>
      </c>
      <c r="F1464" t="n">
        <v>5.1</v>
      </c>
      <c r="G1464" t="inlineStr">
        <is>
          <t>Technical</t>
        </is>
      </c>
      <c r="H1464" t="inlineStr">
        <is>
          <t>Yes</t>
        </is>
      </c>
      <c r="I1464" t="inlineStr">
        <is>
          <t>2019-04-22</t>
        </is>
      </c>
    </row>
    <row r="1465">
      <c r="A1465" t="n">
        <v/>
      </c>
      <c r="B1465" t="n">
        <v>1021855</v>
      </c>
      <c r="C1465" t="inlineStr">
        <is>
          <t>Docker</t>
        </is>
      </c>
      <c r="D1465" t="inlineStr">
        <is>
          <t>Secondary</t>
        </is>
      </c>
      <c r="E1465" t="inlineStr">
        <is>
          <t>Intermediate</t>
        </is>
      </c>
      <c r="F1465" t="n">
        <v>3.8</v>
      </c>
      <c r="G1465" t="inlineStr">
        <is>
          <t>Technical</t>
        </is>
      </c>
      <c r="H1465" t="inlineStr">
        <is>
          <t>Yes</t>
        </is>
      </c>
      <c r="I1465" t="inlineStr">
        <is>
          <t>2019-04-22</t>
        </is>
      </c>
    </row>
    <row r="1466">
      <c r="A1466" t="n">
        <v/>
      </c>
      <c r="B1466" t="n">
        <v>1021855</v>
      </c>
      <c r="C1466" t="inlineStr">
        <is>
          <t>Pandas</t>
        </is>
      </c>
      <c r="D1466" t="inlineStr">
        <is>
          <t>Secondary</t>
        </is>
      </c>
      <c r="E1466" t="inlineStr">
        <is>
          <t>Intermediate</t>
        </is>
      </c>
      <c r="F1466" t="n">
        <v>2.5</v>
      </c>
      <c r="G1466" t="inlineStr">
        <is>
          <t>Technical</t>
        </is>
      </c>
      <c r="H1466" t="inlineStr">
        <is>
          <t>Yes</t>
        </is>
      </c>
      <c r="I1466" t="inlineStr">
        <is>
          <t>2019-04-22</t>
        </is>
      </c>
    </row>
    <row r="1467">
      <c r="A1467" t="n">
        <v/>
      </c>
      <c r="B1467" t="n">
        <v>1031063</v>
      </c>
      <c r="C1467" t="inlineStr">
        <is>
          <t>Database &amp; SQL Architecture</t>
        </is>
      </c>
      <c r="D1467" t="inlineStr">
        <is>
          <t>Primary</t>
        </is>
      </c>
      <c r="E1467" t="inlineStr">
        <is>
          <t>Intermediate</t>
        </is>
      </c>
      <c r="F1467" t="n">
        <v>1.7</v>
      </c>
      <c r="G1467" t="inlineStr">
        <is>
          <t>Technical</t>
        </is>
      </c>
      <c r="H1467" t="inlineStr">
        <is>
          <t>Yes</t>
        </is>
      </c>
      <c r="I1467" t="inlineStr">
        <is>
          <t>2022-11-24</t>
        </is>
      </c>
    </row>
    <row r="1468">
      <c r="A1468" t="n">
        <v/>
      </c>
      <c r="B1468" t="n">
        <v>1031063</v>
      </c>
      <c r="C1468" t="inlineStr">
        <is>
          <t>PostgreSQL</t>
        </is>
      </c>
      <c r="D1468" t="inlineStr">
        <is>
          <t>Secondary</t>
        </is>
      </c>
      <c r="E1468" t="inlineStr">
        <is>
          <t>Beginner</t>
        </is>
      </c>
      <c r="F1468" t="n">
        <v>1</v>
      </c>
      <c r="G1468" t="inlineStr">
        <is>
          <t>Technical</t>
        </is>
      </c>
      <c r="H1468" t="inlineStr">
        <is>
          <t>Yes</t>
        </is>
      </c>
      <c r="I1468" t="inlineStr">
        <is>
          <t>2022-11-24</t>
        </is>
      </c>
    </row>
    <row r="1469">
      <c r="A1469" t="n">
        <v/>
      </c>
      <c r="B1469" t="n">
        <v>1031063</v>
      </c>
      <c r="C1469" t="inlineStr">
        <is>
          <t>Oracle</t>
        </is>
      </c>
      <c r="D1469" t="inlineStr">
        <is>
          <t>Secondary</t>
        </is>
      </c>
      <c r="E1469" t="inlineStr">
        <is>
          <t>Beginner</t>
        </is>
      </c>
      <c r="F1469" t="n">
        <v>0.8</v>
      </c>
      <c r="G1469" t="inlineStr">
        <is>
          <t>Technical</t>
        </is>
      </c>
      <c r="H1469" t="inlineStr">
        <is>
          <t>Yes</t>
        </is>
      </c>
      <c r="I1469" t="inlineStr">
        <is>
          <t>2022-11-24</t>
        </is>
      </c>
    </row>
    <row r="1470">
      <c r="A1470" t="n">
        <v/>
      </c>
      <c r="B1470" t="n">
        <v>1029912</v>
      </c>
      <c r="C1470" t="inlineStr">
        <is>
          <t>Java / Spring Boot</t>
        </is>
      </c>
      <c r="D1470" t="inlineStr">
        <is>
          <t>Primary</t>
        </is>
      </c>
      <c r="E1470" t="inlineStr">
        <is>
          <t>Intermediate</t>
        </is>
      </c>
      <c r="F1470" t="n">
        <v>1.9</v>
      </c>
      <c r="G1470" t="inlineStr">
        <is>
          <t>Technical</t>
        </is>
      </c>
      <c r="H1470" t="inlineStr">
        <is>
          <t>Yes</t>
        </is>
      </c>
      <c r="I1470" t="inlineStr">
        <is>
          <t>2022-08-18</t>
        </is>
      </c>
      <c r="J1470" t="inlineStr">
        <is>
          <t>Member</t>
        </is>
      </c>
    </row>
    <row r="1471">
      <c r="A1471" t="n">
        <v/>
      </c>
      <c r="B1471" t="n">
        <v>1029912</v>
      </c>
      <c r="C1471" t="inlineStr">
        <is>
          <t>SQL</t>
        </is>
      </c>
      <c r="D1471" t="inlineStr">
        <is>
          <t>Secondary</t>
        </is>
      </c>
      <c r="E1471" t="inlineStr">
        <is>
          <t>Beginner</t>
        </is>
      </c>
      <c r="F1471" t="n">
        <v>1.1</v>
      </c>
      <c r="G1471" t="inlineStr">
        <is>
          <t>Technical</t>
        </is>
      </c>
      <c r="H1471" t="inlineStr">
        <is>
          <t>Yes</t>
        </is>
      </c>
      <c r="I1471" t="inlineStr">
        <is>
          <t>2022-08-18</t>
        </is>
      </c>
      <c r="J1471" t="inlineStr">
        <is>
          <t>Member</t>
        </is>
      </c>
    </row>
    <row r="1472">
      <c r="A1472" t="n">
        <v/>
      </c>
      <c r="B1472" t="n">
        <v>1029912</v>
      </c>
      <c r="C1472" t="inlineStr">
        <is>
          <t>Docker</t>
        </is>
      </c>
      <c r="D1472" t="inlineStr">
        <is>
          <t>Secondary</t>
        </is>
      </c>
      <c r="E1472" t="inlineStr">
        <is>
          <t>Beginner</t>
        </is>
      </c>
      <c r="F1472" t="n">
        <v>0.9</v>
      </c>
      <c r="G1472" t="inlineStr">
        <is>
          <t>Technical</t>
        </is>
      </c>
      <c r="H1472" t="inlineStr">
        <is>
          <t>Yes</t>
        </is>
      </c>
      <c r="I1472" t="inlineStr">
        <is>
          <t>2022-08-18</t>
        </is>
      </c>
      <c r="J1472" t="inlineStr">
        <is>
          <t>Member</t>
        </is>
      </c>
    </row>
    <row r="1473">
      <c r="A1473" t="n">
        <v/>
      </c>
      <c r="B1473" t="n">
        <v>1024957</v>
      </c>
      <c r="C1473" t="inlineStr">
        <is>
          <t>QA Automation / SDET</t>
        </is>
      </c>
      <c r="D1473" t="inlineStr">
        <is>
          <t>Primary</t>
        </is>
      </c>
      <c r="E1473" t="inlineStr">
        <is>
          <t>Advanced</t>
        </is>
      </c>
      <c r="F1473" t="n">
        <v>6.8</v>
      </c>
      <c r="G1473" t="inlineStr">
        <is>
          <t>Technical</t>
        </is>
      </c>
      <c r="H1473" t="inlineStr">
        <is>
          <t>Yes</t>
        </is>
      </c>
      <c r="I1473" t="inlineStr">
        <is>
          <t>2021-04-01</t>
        </is>
      </c>
    </row>
    <row r="1474">
      <c r="A1474" t="n">
        <v/>
      </c>
      <c r="B1474" t="n">
        <v>1024957</v>
      </c>
      <c r="C1474" t="inlineStr">
        <is>
          <t>Selenium</t>
        </is>
      </c>
      <c r="D1474" t="inlineStr">
        <is>
          <t>Secondary</t>
        </is>
      </c>
      <c r="E1474" t="inlineStr">
        <is>
          <t>Intermediate</t>
        </is>
      </c>
      <c r="F1474" t="n">
        <v>4.1</v>
      </c>
      <c r="G1474" t="inlineStr">
        <is>
          <t>Technical</t>
        </is>
      </c>
      <c r="H1474" t="inlineStr">
        <is>
          <t>Yes</t>
        </is>
      </c>
      <c r="I1474" t="inlineStr">
        <is>
          <t>2021-04-01</t>
        </is>
      </c>
    </row>
    <row r="1475">
      <c r="A1475" t="n">
        <v/>
      </c>
      <c r="B1475" t="n">
        <v>1024957</v>
      </c>
      <c r="C1475" t="inlineStr">
        <is>
          <t>API Testing (Postman)</t>
        </is>
      </c>
      <c r="D1475" t="inlineStr">
        <is>
          <t>Secondary</t>
        </is>
      </c>
      <c r="E1475" t="inlineStr">
        <is>
          <t>Intermediate</t>
        </is>
      </c>
      <c r="F1475" t="n">
        <v>3.1</v>
      </c>
      <c r="G1475" t="inlineStr">
        <is>
          <t>Technical</t>
        </is>
      </c>
      <c r="H1475" t="inlineStr">
        <is>
          <t>Yes</t>
        </is>
      </c>
      <c r="I1475" t="inlineStr">
        <is>
          <t>2021-04-01</t>
        </is>
      </c>
    </row>
    <row r="1476">
      <c r="A1476" t="n">
        <v/>
      </c>
      <c r="B1476" t="n">
        <v>1024957</v>
      </c>
      <c r="C1476" t="inlineStr">
        <is>
          <t>TestNG</t>
        </is>
      </c>
      <c r="D1476" t="inlineStr">
        <is>
          <t>Secondary</t>
        </is>
      </c>
      <c r="E1476" t="inlineStr">
        <is>
          <t>Intermediate</t>
        </is>
      </c>
      <c r="F1476" t="n">
        <v>2</v>
      </c>
      <c r="G1476" t="inlineStr">
        <is>
          <t>Technical</t>
        </is>
      </c>
      <c r="H1476" t="inlineStr">
        <is>
          <t>Yes</t>
        </is>
      </c>
      <c r="I1476" t="inlineStr">
        <is>
          <t>2021-04-01</t>
        </is>
      </c>
    </row>
    <row r="1477">
      <c r="A1477" t="n">
        <v/>
      </c>
      <c r="B1477" t="n">
        <v>1026542</v>
      </c>
      <c r="C1477" t="inlineStr">
        <is>
          <t>QA Automation / SDET</t>
        </is>
      </c>
      <c r="D1477" t="inlineStr">
        <is>
          <t>Primary</t>
        </is>
      </c>
      <c r="E1477" t="inlineStr">
        <is>
          <t>Advanced</t>
        </is>
      </c>
      <c r="F1477" t="n">
        <v>6.3</v>
      </c>
      <c r="G1477" t="inlineStr">
        <is>
          <t>Technical</t>
        </is>
      </c>
      <c r="H1477" t="inlineStr">
        <is>
          <t>Yes</t>
        </is>
      </c>
      <c r="I1477" t="inlineStr">
        <is>
          <t>2021-09-24</t>
        </is>
      </c>
    </row>
    <row r="1478">
      <c r="A1478" t="n">
        <v/>
      </c>
      <c r="B1478" t="n">
        <v>1026542</v>
      </c>
      <c r="C1478" t="inlineStr">
        <is>
          <t>Selenium</t>
        </is>
      </c>
      <c r="D1478" t="inlineStr">
        <is>
          <t>Secondary</t>
        </is>
      </c>
      <c r="E1478" t="inlineStr">
        <is>
          <t>Intermediate</t>
        </is>
      </c>
      <c r="F1478" t="n">
        <v>3.8</v>
      </c>
      <c r="G1478" t="inlineStr">
        <is>
          <t>Technical</t>
        </is>
      </c>
      <c r="H1478" t="inlineStr">
        <is>
          <t>Yes</t>
        </is>
      </c>
      <c r="I1478" t="inlineStr">
        <is>
          <t>2021-09-24</t>
        </is>
      </c>
    </row>
    <row r="1479">
      <c r="A1479" t="n">
        <v/>
      </c>
      <c r="B1479" t="n">
        <v>1026542</v>
      </c>
      <c r="C1479" t="inlineStr">
        <is>
          <t>API Testing (Postman)</t>
        </is>
      </c>
      <c r="D1479" t="inlineStr">
        <is>
          <t>Secondary</t>
        </is>
      </c>
      <c r="E1479" t="inlineStr">
        <is>
          <t>Intermediate</t>
        </is>
      </c>
      <c r="F1479" t="n">
        <v>2.8</v>
      </c>
      <c r="G1479" t="inlineStr">
        <is>
          <t>Technical</t>
        </is>
      </c>
      <c r="H1479" t="inlineStr">
        <is>
          <t>Yes</t>
        </is>
      </c>
      <c r="I1479" t="inlineStr">
        <is>
          <t>2021-09-24</t>
        </is>
      </c>
    </row>
    <row r="1480">
      <c r="A1480" t="n">
        <v/>
      </c>
      <c r="B1480" t="n">
        <v>1026542</v>
      </c>
      <c r="C1480" t="inlineStr">
        <is>
          <t>TestNG</t>
        </is>
      </c>
      <c r="D1480" t="inlineStr">
        <is>
          <t>Secondary</t>
        </is>
      </c>
      <c r="E1480" t="inlineStr">
        <is>
          <t>Intermediate</t>
        </is>
      </c>
      <c r="F1480" t="n">
        <v>1.9</v>
      </c>
      <c r="G1480" t="inlineStr">
        <is>
          <t>Technical</t>
        </is>
      </c>
      <c r="H1480" t="inlineStr">
        <is>
          <t>Yes</t>
        </is>
      </c>
      <c r="I1480" t="inlineStr">
        <is>
          <t>2021-09-24</t>
        </is>
      </c>
    </row>
    <row r="1481">
      <c r="A1481" t="n">
        <v/>
      </c>
      <c r="B1481" t="n">
        <v>1027163</v>
      </c>
      <c r="C1481" t="inlineStr">
        <is>
          <t>QA Automation / SDET</t>
        </is>
      </c>
      <c r="D1481" t="inlineStr">
        <is>
          <t>Primary</t>
        </is>
      </c>
      <c r="E1481" t="inlineStr">
        <is>
          <t>Advanced</t>
        </is>
      </c>
      <c r="F1481" t="n">
        <v>6.2</v>
      </c>
      <c r="G1481" t="inlineStr">
        <is>
          <t>Technical</t>
        </is>
      </c>
      <c r="H1481" t="inlineStr">
        <is>
          <t>Yes</t>
        </is>
      </c>
      <c r="I1481" t="inlineStr">
        <is>
          <t>2021-11-12</t>
        </is>
      </c>
    </row>
    <row r="1482">
      <c r="A1482" t="n">
        <v/>
      </c>
      <c r="B1482" t="n">
        <v>1027163</v>
      </c>
      <c r="C1482" t="inlineStr">
        <is>
          <t>Selenium</t>
        </is>
      </c>
      <c r="D1482" t="inlineStr">
        <is>
          <t>Secondary</t>
        </is>
      </c>
      <c r="E1482" t="inlineStr">
        <is>
          <t>Intermediate</t>
        </is>
      </c>
      <c r="F1482" t="n">
        <v>3.7</v>
      </c>
      <c r="G1482" t="inlineStr">
        <is>
          <t>Technical</t>
        </is>
      </c>
      <c r="H1482" t="inlineStr">
        <is>
          <t>Yes</t>
        </is>
      </c>
      <c r="I1482" t="inlineStr">
        <is>
          <t>2021-11-12</t>
        </is>
      </c>
    </row>
    <row r="1483">
      <c r="A1483" t="n">
        <v/>
      </c>
      <c r="B1483" t="n">
        <v>1027163</v>
      </c>
      <c r="C1483" t="inlineStr">
        <is>
          <t>API Testing (Postman)</t>
        </is>
      </c>
      <c r="D1483" t="inlineStr">
        <is>
          <t>Secondary</t>
        </is>
      </c>
      <c r="E1483" t="inlineStr">
        <is>
          <t>Intermediate</t>
        </is>
      </c>
      <c r="F1483" t="n">
        <v>2.8</v>
      </c>
      <c r="G1483" t="inlineStr">
        <is>
          <t>Technical</t>
        </is>
      </c>
      <c r="H1483" t="inlineStr">
        <is>
          <t>Yes</t>
        </is>
      </c>
      <c r="I1483" t="inlineStr">
        <is>
          <t>2021-11-12</t>
        </is>
      </c>
    </row>
    <row r="1484">
      <c r="A1484" t="n">
        <v/>
      </c>
      <c r="B1484" t="n">
        <v>1027163</v>
      </c>
      <c r="C1484" t="inlineStr">
        <is>
          <t>TestNG</t>
        </is>
      </c>
      <c r="D1484" t="inlineStr">
        <is>
          <t>Secondary</t>
        </is>
      </c>
      <c r="E1484" t="inlineStr">
        <is>
          <t>Intermediate</t>
        </is>
      </c>
      <c r="F1484" t="n">
        <v>1.9</v>
      </c>
      <c r="G1484" t="inlineStr">
        <is>
          <t>Technical</t>
        </is>
      </c>
      <c r="H1484" t="inlineStr">
        <is>
          <t>Yes</t>
        </is>
      </c>
      <c r="I1484" t="inlineStr">
        <is>
          <t>2021-11-12</t>
        </is>
      </c>
    </row>
    <row r="1485">
      <c r="A1485" t="n">
        <v/>
      </c>
      <c r="B1485" t="n">
        <v>1033710</v>
      </c>
      <c r="C1485" t="inlineStr">
        <is>
          <t>Java / Spring Boot</t>
        </is>
      </c>
      <c r="D1485" t="inlineStr">
        <is>
          <t>Primary</t>
        </is>
      </c>
      <c r="E1485" t="inlineStr">
        <is>
          <t>Advanced</t>
        </is>
      </c>
      <c r="F1485" t="n">
        <v>4.5</v>
      </c>
      <c r="G1485" t="inlineStr">
        <is>
          <t>Technical</t>
        </is>
      </c>
      <c r="H1485" t="inlineStr">
        <is>
          <t>Yes</t>
        </is>
      </c>
      <c r="I1485" t="inlineStr">
        <is>
          <t>2023-10-11</t>
        </is>
      </c>
      <c r="J1485" t="inlineStr">
        <is>
          <t>Claims</t>
        </is>
      </c>
    </row>
    <row r="1486">
      <c r="A1486" t="n">
        <v/>
      </c>
      <c r="B1486" t="n">
        <v>1033710</v>
      </c>
      <c r="C1486" t="inlineStr">
        <is>
          <t>SQL</t>
        </is>
      </c>
      <c r="D1486" t="inlineStr">
        <is>
          <t>Secondary</t>
        </is>
      </c>
      <c r="E1486" t="inlineStr">
        <is>
          <t>Intermediate</t>
        </is>
      </c>
      <c r="F1486" t="n">
        <v>2.7</v>
      </c>
      <c r="G1486" t="inlineStr">
        <is>
          <t>Technical</t>
        </is>
      </c>
      <c r="H1486" t="inlineStr">
        <is>
          <t>Yes</t>
        </is>
      </c>
      <c r="I1486" t="inlineStr">
        <is>
          <t>2023-10-11</t>
        </is>
      </c>
      <c r="J1486" t="inlineStr">
        <is>
          <t>Claims</t>
        </is>
      </c>
    </row>
    <row r="1487">
      <c r="A1487" t="n">
        <v/>
      </c>
      <c r="B1487" t="n">
        <v>1033710</v>
      </c>
      <c r="C1487" t="inlineStr">
        <is>
          <t>Docker</t>
        </is>
      </c>
      <c r="D1487" t="inlineStr">
        <is>
          <t>Secondary</t>
        </is>
      </c>
      <c r="E1487" t="inlineStr">
        <is>
          <t>Intermediate</t>
        </is>
      </c>
      <c r="F1487" t="n">
        <v>2</v>
      </c>
      <c r="G1487" t="inlineStr">
        <is>
          <t>Technical</t>
        </is>
      </c>
      <c r="H1487" t="inlineStr">
        <is>
          <t>Yes</t>
        </is>
      </c>
      <c r="I1487" t="inlineStr">
        <is>
          <t>2023-10-11</t>
        </is>
      </c>
      <c r="J1487" t="inlineStr">
        <is>
          <t>Claims</t>
        </is>
      </c>
    </row>
    <row r="1488">
      <c r="A1488" t="n">
        <v/>
      </c>
      <c r="B1488" t="n">
        <v>1033710</v>
      </c>
      <c r="C1488" t="inlineStr">
        <is>
          <t>Git</t>
        </is>
      </c>
      <c r="D1488" t="inlineStr">
        <is>
          <t>Secondary</t>
        </is>
      </c>
      <c r="E1488" t="inlineStr">
        <is>
          <t>Beginner</t>
        </is>
      </c>
      <c r="F1488" t="n">
        <v>1.3</v>
      </c>
      <c r="G1488" t="inlineStr">
        <is>
          <t>Technical</t>
        </is>
      </c>
      <c r="H1488" t="inlineStr">
        <is>
          <t>Yes</t>
        </is>
      </c>
      <c r="I1488" t="inlineStr">
        <is>
          <t>2023-10-11</t>
        </is>
      </c>
      <c r="J1488" t="inlineStr">
        <is>
          <t>Claims</t>
        </is>
      </c>
    </row>
    <row r="1489">
      <c r="A1489" t="n">
        <v/>
      </c>
      <c r="B1489" t="n">
        <v>1031040</v>
      </c>
      <c r="C1489" t="inlineStr">
        <is>
          <t>Java / Spring Boot</t>
        </is>
      </c>
      <c r="D1489" t="inlineStr">
        <is>
          <t>Primary</t>
        </is>
      </c>
      <c r="E1489" t="inlineStr">
        <is>
          <t>Intermediate</t>
        </is>
      </c>
      <c r="F1489" t="n">
        <v>1.7</v>
      </c>
      <c r="G1489" t="inlineStr">
        <is>
          <t>Technical</t>
        </is>
      </c>
      <c r="H1489" t="inlineStr">
        <is>
          <t>Yes</t>
        </is>
      </c>
      <c r="I1489" t="inlineStr">
        <is>
          <t>2022-11-24</t>
        </is>
      </c>
      <c r="J1489" t="inlineStr">
        <is>
          <t>Claims</t>
        </is>
      </c>
    </row>
    <row r="1490">
      <c r="A1490" t="n">
        <v/>
      </c>
      <c r="B1490" t="n">
        <v>1031040</v>
      </c>
      <c r="C1490" t="inlineStr">
        <is>
          <t>SQL</t>
        </is>
      </c>
      <c r="D1490" t="inlineStr">
        <is>
          <t>Secondary</t>
        </is>
      </c>
      <c r="E1490" t="inlineStr">
        <is>
          <t>Beginner</t>
        </is>
      </c>
      <c r="F1490" t="n">
        <v>1</v>
      </c>
      <c r="G1490" t="inlineStr">
        <is>
          <t>Technical</t>
        </is>
      </c>
      <c r="H1490" t="inlineStr">
        <is>
          <t>Yes</t>
        </is>
      </c>
      <c r="I1490" t="inlineStr">
        <is>
          <t>2022-11-24</t>
        </is>
      </c>
      <c r="J1490" t="inlineStr">
        <is>
          <t>Claims</t>
        </is>
      </c>
    </row>
    <row r="1491">
      <c r="A1491" t="n">
        <v/>
      </c>
      <c r="B1491" t="n">
        <v>1031040</v>
      </c>
      <c r="C1491" t="inlineStr">
        <is>
          <t>Docker</t>
        </is>
      </c>
      <c r="D1491" t="inlineStr">
        <is>
          <t>Secondary</t>
        </is>
      </c>
      <c r="E1491" t="inlineStr">
        <is>
          <t>Beginner</t>
        </is>
      </c>
      <c r="F1491" t="n">
        <v>0.8</v>
      </c>
      <c r="G1491" t="inlineStr">
        <is>
          <t>Technical</t>
        </is>
      </c>
      <c r="H1491" t="inlineStr">
        <is>
          <t>Yes</t>
        </is>
      </c>
      <c r="I1491" t="inlineStr">
        <is>
          <t>2022-11-24</t>
        </is>
      </c>
      <c r="J1491" t="inlineStr">
        <is>
          <t>Claims</t>
        </is>
      </c>
    </row>
    <row r="1492">
      <c r="A1492" t="n">
        <v/>
      </c>
      <c r="B1492" t="n">
        <v>1024580</v>
      </c>
      <c r="C1492" t="inlineStr">
        <is>
          <t>QA Automation / SDET</t>
        </is>
      </c>
      <c r="D1492" t="inlineStr">
        <is>
          <t>Primary</t>
        </is>
      </c>
      <c r="E1492" t="inlineStr">
        <is>
          <t>Advanced</t>
        </is>
      </c>
      <c r="F1492" t="n">
        <v>6.9</v>
      </c>
      <c r="G1492" t="inlineStr">
        <is>
          <t>Technical</t>
        </is>
      </c>
      <c r="H1492" t="inlineStr">
        <is>
          <t>Yes</t>
        </is>
      </c>
      <c r="I1492" t="inlineStr">
        <is>
          <t>2021-02-19</t>
        </is>
      </c>
    </row>
    <row r="1493">
      <c r="A1493" t="n">
        <v/>
      </c>
      <c r="B1493" t="n">
        <v>1024580</v>
      </c>
      <c r="C1493" t="inlineStr">
        <is>
          <t>Selenium</t>
        </is>
      </c>
      <c r="D1493" t="inlineStr">
        <is>
          <t>Secondary</t>
        </is>
      </c>
      <c r="E1493" t="inlineStr">
        <is>
          <t>Intermediate</t>
        </is>
      </c>
      <c r="F1493" t="n">
        <v>4.1</v>
      </c>
      <c r="G1493" t="inlineStr">
        <is>
          <t>Technical</t>
        </is>
      </c>
      <c r="H1493" t="inlineStr">
        <is>
          <t>Yes</t>
        </is>
      </c>
      <c r="I1493" t="inlineStr">
        <is>
          <t>2021-02-19</t>
        </is>
      </c>
    </row>
    <row r="1494">
      <c r="A1494" t="n">
        <v/>
      </c>
      <c r="B1494" t="n">
        <v>1024580</v>
      </c>
      <c r="C1494" t="inlineStr">
        <is>
          <t>API Testing (Postman)</t>
        </is>
      </c>
      <c r="D1494" t="inlineStr">
        <is>
          <t>Secondary</t>
        </is>
      </c>
      <c r="E1494" t="inlineStr">
        <is>
          <t>Intermediate</t>
        </is>
      </c>
      <c r="F1494" t="n">
        <v>3.1</v>
      </c>
      <c r="G1494" t="inlineStr">
        <is>
          <t>Technical</t>
        </is>
      </c>
      <c r="H1494" t="inlineStr">
        <is>
          <t>Yes</t>
        </is>
      </c>
      <c r="I1494" t="inlineStr">
        <is>
          <t>2021-02-19</t>
        </is>
      </c>
    </row>
    <row r="1495">
      <c r="A1495" t="n">
        <v/>
      </c>
      <c r="B1495" t="n">
        <v>1024580</v>
      </c>
      <c r="C1495" t="inlineStr">
        <is>
          <t>TestNG</t>
        </is>
      </c>
      <c r="D1495" t="inlineStr">
        <is>
          <t>Secondary</t>
        </is>
      </c>
      <c r="E1495" t="inlineStr">
        <is>
          <t>Intermediate</t>
        </is>
      </c>
      <c r="F1495" t="n">
        <v>2.1</v>
      </c>
      <c r="G1495" t="inlineStr">
        <is>
          <t>Technical</t>
        </is>
      </c>
      <c r="H1495" t="inlineStr">
        <is>
          <t>Yes</t>
        </is>
      </c>
      <c r="I1495" t="inlineStr">
        <is>
          <t>2021-02-19</t>
        </is>
      </c>
    </row>
    <row r="1496">
      <c r="A1496" t="n">
        <v/>
      </c>
      <c r="B1496" t="n">
        <v>1024022</v>
      </c>
      <c r="C1496" t="inlineStr">
        <is>
          <t>Fullstack Web (React / Node)</t>
        </is>
      </c>
      <c r="D1496" t="inlineStr">
        <is>
          <t>Primary</t>
        </is>
      </c>
      <c r="E1496" t="inlineStr">
        <is>
          <t>Advanced</t>
        </is>
      </c>
      <c r="F1496" t="n">
        <v>7.2</v>
      </c>
      <c r="G1496" t="inlineStr">
        <is>
          <t>Technical</t>
        </is>
      </c>
      <c r="H1496" t="inlineStr">
        <is>
          <t>Yes</t>
        </is>
      </c>
      <c r="I1496" t="inlineStr">
        <is>
          <t>2020-10-28</t>
        </is>
      </c>
    </row>
    <row r="1497">
      <c r="A1497" t="n">
        <v/>
      </c>
      <c r="B1497" t="n">
        <v>1024022</v>
      </c>
      <c r="C1497" t="inlineStr">
        <is>
          <t>JavaScript</t>
        </is>
      </c>
      <c r="D1497" t="inlineStr">
        <is>
          <t>Secondary</t>
        </is>
      </c>
      <c r="E1497" t="inlineStr">
        <is>
          <t>Intermediate</t>
        </is>
      </c>
      <c r="F1497" t="n">
        <v>4.3</v>
      </c>
      <c r="G1497" t="inlineStr">
        <is>
          <t>Technical</t>
        </is>
      </c>
      <c r="H1497" t="inlineStr">
        <is>
          <t>Yes</t>
        </is>
      </c>
      <c r="I1497" t="inlineStr">
        <is>
          <t>2020-10-28</t>
        </is>
      </c>
    </row>
    <row r="1498">
      <c r="A1498" t="n">
        <v/>
      </c>
      <c r="B1498" t="n">
        <v>1024022</v>
      </c>
      <c r="C1498" t="inlineStr">
        <is>
          <t>TypeScript</t>
        </is>
      </c>
      <c r="D1498" t="inlineStr">
        <is>
          <t>Secondary</t>
        </is>
      </c>
      <c r="E1498" t="inlineStr">
        <is>
          <t>Intermediate</t>
        </is>
      </c>
      <c r="F1498" t="n">
        <v>3.2</v>
      </c>
      <c r="G1498" t="inlineStr">
        <is>
          <t>Technical</t>
        </is>
      </c>
      <c r="H1498" t="inlineStr">
        <is>
          <t>Yes</t>
        </is>
      </c>
      <c r="I1498" t="inlineStr">
        <is>
          <t>2020-10-28</t>
        </is>
      </c>
    </row>
    <row r="1499">
      <c r="A1499" t="n">
        <v/>
      </c>
      <c r="B1499" t="n">
        <v>1024022</v>
      </c>
      <c r="C1499" t="inlineStr">
        <is>
          <t>CSS/HTML</t>
        </is>
      </c>
      <c r="D1499" t="inlineStr">
        <is>
          <t>Secondary</t>
        </is>
      </c>
      <c r="E1499" t="inlineStr">
        <is>
          <t>Intermediate</t>
        </is>
      </c>
      <c r="F1499" t="n">
        <v>2.2</v>
      </c>
      <c r="G1499" t="inlineStr">
        <is>
          <t>Technical</t>
        </is>
      </c>
      <c r="H1499" t="inlineStr">
        <is>
          <t>Yes</t>
        </is>
      </c>
      <c r="I1499" t="inlineStr">
        <is>
          <t>2020-10-28</t>
        </is>
      </c>
    </row>
    <row r="1500">
      <c r="A1500" t="n">
        <v/>
      </c>
      <c r="B1500" t="n">
        <v>1022859</v>
      </c>
      <c r="C1500" t="inlineStr">
        <is>
          <t>QA Automation / SDET</t>
        </is>
      </c>
      <c r="D1500" t="inlineStr">
        <is>
          <t>Primary</t>
        </is>
      </c>
      <c r="E1500" t="inlineStr">
        <is>
          <t>Advanced</t>
        </is>
      </c>
      <c r="F1500" t="n">
        <v>8</v>
      </c>
      <c r="G1500" t="inlineStr">
        <is>
          <t>Technical</t>
        </is>
      </c>
      <c r="H1500" t="inlineStr">
        <is>
          <t>Yes</t>
        </is>
      </c>
      <c r="I1500" t="inlineStr">
        <is>
          <t>2019-11-21</t>
        </is>
      </c>
    </row>
    <row r="1501">
      <c r="A1501" t="n">
        <v/>
      </c>
      <c r="B1501" t="n">
        <v>1022859</v>
      </c>
      <c r="C1501" t="inlineStr">
        <is>
          <t>Selenium</t>
        </is>
      </c>
      <c r="D1501" t="inlineStr">
        <is>
          <t>Secondary</t>
        </is>
      </c>
      <c r="E1501" t="inlineStr">
        <is>
          <t>Intermediate</t>
        </is>
      </c>
      <c r="F1501" t="n">
        <v>4.8</v>
      </c>
      <c r="G1501" t="inlineStr">
        <is>
          <t>Technical</t>
        </is>
      </c>
      <c r="H1501" t="inlineStr">
        <is>
          <t>Yes</t>
        </is>
      </c>
      <c r="I1501" t="inlineStr">
        <is>
          <t>2019-11-21</t>
        </is>
      </c>
    </row>
    <row r="1502">
      <c r="A1502" t="n">
        <v/>
      </c>
      <c r="B1502" t="n">
        <v>1022859</v>
      </c>
      <c r="C1502" t="inlineStr">
        <is>
          <t>API Testing (Postman)</t>
        </is>
      </c>
      <c r="D1502" t="inlineStr">
        <is>
          <t>Secondary</t>
        </is>
      </c>
      <c r="E1502" t="inlineStr">
        <is>
          <t>Intermediate</t>
        </is>
      </c>
      <c r="F1502" t="n">
        <v>3.6</v>
      </c>
      <c r="G1502" t="inlineStr">
        <is>
          <t>Technical</t>
        </is>
      </c>
      <c r="H1502" t="inlineStr">
        <is>
          <t>Yes</t>
        </is>
      </c>
      <c r="I1502" t="inlineStr">
        <is>
          <t>2019-11-21</t>
        </is>
      </c>
    </row>
    <row r="1503">
      <c r="A1503" t="n">
        <v/>
      </c>
      <c r="B1503" t="n">
        <v>1022859</v>
      </c>
      <c r="C1503" t="inlineStr">
        <is>
          <t>TestNG</t>
        </is>
      </c>
      <c r="D1503" t="inlineStr">
        <is>
          <t>Secondary</t>
        </is>
      </c>
      <c r="E1503" t="inlineStr">
        <is>
          <t>Intermediate</t>
        </is>
      </c>
      <c r="F1503" t="n">
        <v>2.4</v>
      </c>
      <c r="G1503" t="inlineStr">
        <is>
          <t>Technical</t>
        </is>
      </c>
      <c r="H1503" t="inlineStr">
        <is>
          <t>Yes</t>
        </is>
      </c>
      <c r="I1503" t="inlineStr">
        <is>
          <t>2019-11-21</t>
        </is>
      </c>
    </row>
    <row r="1504">
      <c r="A1504" t="n">
        <v/>
      </c>
      <c r="B1504" t="n">
        <v>1032906</v>
      </c>
      <c r="C1504" t="inlineStr">
        <is>
          <t>IT Application &amp; Operations Support</t>
        </is>
      </c>
      <c r="D1504" t="inlineStr">
        <is>
          <t>Primary</t>
        </is>
      </c>
      <c r="E1504" t="inlineStr">
        <is>
          <t>Advanced</t>
        </is>
      </c>
      <c r="F1504" t="n">
        <v>4.8</v>
      </c>
      <c r="G1504" t="inlineStr">
        <is>
          <t>Functional</t>
        </is>
      </c>
      <c r="H1504" t="inlineStr">
        <is>
          <t>Yes</t>
        </is>
      </c>
      <c r="I1504" t="inlineStr">
        <is>
          <t>2023-06-07</t>
        </is>
      </c>
    </row>
    <row r="1505">
      <c r="A1505" t="n">
        <v/>
      </c>
      <c r="B1505" t="n">
        <v>1032906</v>
      </c>
      <c r="C1505" t="inlineStr">
        <is>
          <t>Incident Management</t>
        </is>
      </c>
      <c r="D1505" t="inlineStr">
        <is>
          <t>Secondary</t>
        </is>
      </c>
      <c r="E1505" t="inlineStr">
        <is>
          <t>Intermediate</t>
        </is>
      </c>
      <c r="F1505" t="n">
        <v>2.9</v>
      </c>
      <c r="G1505" t="inlineStr">
        <is>
          <t>Functional</t>
        </is>
      </c>
      <c r="H1505" t="inlineStr">
        <is>
          <t>Yes</t>
        </is>
      </c>
      <c r="I1505" t="inlineStr">
        <is>
          <t>2023-06-07</t>
        </is>
      </c>
    </row>
    <row r="1506">
      <c r="A1506" t="n">
        <v/>
      </c>
      <c r="B1506" t="n">
        <v>1032906</v>
      </c>
      <c r="C1506" t="inlineStr">
        <is>
          <t>Production Support</t>
        </is>
      </c>
      <c r="D1506" t="inlineStr">
        <is>
          <t>Secondary</t>
        </is>
      </c>
      <c r="E1506" t="inlineStr">
        <is>
          <t>Intermediate</t>
        </is>
      </c>
      <c r="F1506" t="n">
        <v>2.2</v>
      </c>
      <c r="G1506" t="inlineStr">
        <is>
          <t>Functional</t>
        </is>
      </c>
      <c r="H1506" t="inlineStr">
        <is>
          <t>Yes</t>
        </is>
      </c>
      <c r="I1506" t="inlineStr">
        <is>
          <t>2023-06-07</t>
        </is>
      </c>
    </row>
    <row r="1507">
      <c r="A1507" t="n">
        <v/>
      </c>
      <c r="B1507" t="n">
        <v>1032906</v>
      </c>
      <c r="C1507" t="inlineStr">
        <is>
          <t>SQL</t>
        </is>
      </c>
      <c r="D1507" t="inlineStr">
        <is>
          <t>Secondary</t>
        </is>
      </c>
      <c r="E1507" t="inlineStr">
        <is>
          <t>Beginner</t>
        </is>
      </c>
      <c r="F1507" t="n">
        <v>1.4</v>
      </c>
      <c r="G1507" t="inlineStr">
        <is>
          <t>Functional</t>
        </is>
      </c>
      <c r="H1507" t="inlineStr">
        <is>
          <t>Yes</t>
        </is>
      </c>
      <c r="I1507" t="inlineStr">
        <is>
          <t>2023-06-07</t>
        </is>
      </c>
    </row>
    <row r="1508">
      <c r="A1508" t="n">
        <v/>
      </c>
      <c r="B1508" t="n">
        <v>1028407</v>
      </c>
      <c r="C1508" t="inlineStr">
        <is>
          <t>Fullstack Web (React / Node)</t>
        </is>
      </c>
      <c r="D1508" t="inlineStr">
        <is>
          <t>Primary</t>
        </is>
      </c>
      <c r="E1508" t="inlineStr">
        <is>
          <t>Advanced</t>
        </is>
      </c>
      <c r="F1508" t="n">
        <v>6</v>
      </c>
      <c r="G1508" t="inlineStr">
        <is>
          <t>Technical</t>
        </is>
      </c>
      <c r="H1508" t="inlineStr">
        <is>
          <t>Yes</t>
        </is>
      </c>
      <c r="I1508" t="inlineStr">
        <is>
          <t>2022-02-23</t>
        </is>
      </c>
    </row>
    <row r="1509">
      <c r="A1509" t="n">
        <v/>
      </c>
      <c r="B1509" t="n">
        <v>1028407</v>
      </c>
      <c r="C1509" t="inlineStr">
        <is>
          <t>JavaScript</t>
        </is>
      </c>
      <c r="D1509" t="inlineStr">
        <is>
          <t>Secondary</t>
        </is>
      </c>
      <c r="E1509" t="inlineStr">
        <is>
          <t>Intermediate</t>
        </is>
      </c>
      <c r="F1509" t="n">
        <v>3.6</v>
      </c>
      <c r="G1509" t="inlineStr">
        <is>
          <t>Technical</t>
        </is>
      </c>
      <c r="H1509" t="inlineStr">
        <is>
          <t>Yes</t>
        </is>
      </c>
      <c r="I1509" t="inlineStr">
        <is>
          <t>2022-02-23</t>
        </is>
      </c>
    </row>
    <row r="1510">
      <c r="A1510" t="n">
        <v/>
      </c>
      <c r="B1510" t="n">
        <v>1028407</v>
      </c>
      <c r="C1510" t="inlineStr">
        <is>
          <t>TypeScript</t>
        </is>
      </c>
      <c r="D1510" t="inlineStr">
        <is>
          <t>Secondary</t>
        </is>
      </c>
      <c r="E1510" t="inlineStr">
        <is>
          <t>Intermediate</t>
        </is>
      </c>
      <c r="F1510" t="n">
        <v>2.7</v>
      </c>
      <c r="G1510" t="inlineStr">
        <is>
          <t>Technical</t>
        </is>
      </c>
      <c r="H1510" t="inlineStr">
        <is>
          <t>Yes</t>
        </is>
      </c>
      <c r="I1510" t="inlineStr">
        <is>
          <t>2022-02-23</t>
        </is>
      </c>
    </row>
    <row r="1511">
      <c r="A1511" t="n">
        <v/>
      </c>
      <c r="B1511" t="n">
        <v>1028407</v>
      </c>
      <c r="C1511" t="inlineStr">
        <is>
          <t>CSS/HTML</t>
        </is>
      </c>
      <c r="D1511" t="inlineStr">
        <is>
          <t>Secondary</t>
        </is>
      </c>
      <c r="E1511" t="inlineStr">
        <is>
          <t>Intermediate</t>
        </is>
      </c>
      <c r="F1511" t="n">
        <v>1.8</v>
      </c>
      <c r="G1511" t="inlineStr">
        <is>
          <t>Technical</t>
        </is>
      </c>
      <c r="H1511" t="inlineStr">
        <is>
          <t>Yes</t>
        </is>
      </c>
      <c r="I1511" t="inlineStr">
        <is>
          <t>2022-02-23</t>
        </is>
      </c>
    </row>
    <row r="1512">
      <c r="A1512" t="n">
        <v/>
      </c>
      <c r="B1512" t="n">
        <v>1029191</v>
      </c>
      <c r="C1512" t="inlineStr">
        <is>
          <t>Frontend (Angular / TypeScript)</t>
        </is>
      </c>
      <c r="D1512" t="inlineStr">
        <is>
          <t>Primary</t>
        </is>
      </c>
      <c r="E1512" t="inlineStr">
        <is>
          <t>Advanced</t>
        </is>
      </c>
      <c r="F1512" t="n">
        <v>5.7</v>
      </c>
      <c r="G1512" t="inlineStr">
        <is>
          <t>Technical</t>
        </is>
      </c>
      <c r="H1512" t="inlineStr">
        <is>
          <t>Yes</t>
        </is>
      </c>
      <c r="I1512" t="inlineStr">
        <is>
          <t>2022-06-02</t>
        </is>
      </c>
    </row>
    <row r="1513">
      <c r="A1513" t="n">
        <v/>
      </c>
      <c r="B1513" t="n">
        <v>1029191</v>
      </c>
      <c r="C1513" t="inlineStr">
        <is>
          <t>TypeScript</t>
        </is>
      </c>
      <c r="D1513" t="inlineStr">
        <is>
          <t>Secondary</t>
        </is>
      </c>
      <c r="E1513" t="inlineStr">
        <is>
          <t>Intermediate</t>
        </is>
      </c>
      <c r="F1513" t="n">
        <v>3.4</v>
      </c>
      <c r="G1513" t="inlineStr">
        <is>
          <t>Technical</t>
        </is>
      </c>
      <c r="H1513" t="inlineStr">
        <is>
          <t>Yes</t>
        </is>
      </c>
      <c r="I1513" t="inlineStr">
        <is>
          <t>2022-06-02</t>
        </is>
      </c>
    </row>
    <row r="1514">
      <c r="A1514" t="n">
        <v/>
      </c>
      <c r="B1514" t="n">
        <v>1029191</v>
      </c>
      <c r="C1514" t="inlineStr">
        <is>
          <t>JavaScript</t>
        </is>
      </c>
      <c r="D1514" t="inlineStr">
        <is>
          <t>Secondary</t>
        </is>
      </c>
      <c r="E1514" t="inlineStr">
        <is>
          <t>Intermediate</t>
        </is>
      </c>
      <c r="F1514" t="n">
        <v>2.6</v>
      </c>
      <c r="G1514" t="inlineStr">
        <is>
          <t>Technical</t>
        </is>
      </c>
      <c r="H1514" t="inlineStr">
        <is>
          <t>Yes</t>
        </is>
      </c>
      <c r="I1514" t="inlineStr">
        <is>
          <t>2022-06-02</t>
        </is>
      </c>
    </row>
    <row r="1515">
      <c r="A1515" t="n">
        <v/>
      </c>
      <c r="B1515" t="n">
        <v>1029191</v>
      </c>
      <c r="C1515" t="inlineStr">
        <is>
          <t>HTML5</t>
        </is>
      </c>
      <c r="D1515" t="inlineStr">
        <is>
          <t>Secondary</t>
        </is>
      </c>
      <c r="E1515" t="inlineStr">
        <is>
          <t>Intermediate</t>
        </is>
      </c>
      <c r="F1515" t="n">
        <v>1.7</v>
      </c>
      <c r="G1515" t="inlineStr">
        <is>
          <t>Technical</t>
        </is>
      </c>
      <c r="H1515" t="inlineStr">
        <is>
          <t>Yes</t>
        </is>
      </c>
      <c r="I1515" t="inlineStr">
        <is>
          <t>2022-06-02</t>
        </is>
      </c>
    </row>
    <row r="1516">
      <c r="A1516" t="n">
        <v/>
      </c>
      <c r="B1516" t="n">
        <v>1024892</v>
      </c>
      <c r="C1516" t="inlineStr">
        <is>
          <t>Operations &amp; IT Support</t>
        </is>
      </c>
      <c r="D1516" t="inlineStr">
        <is>
          <t>Primary</t>
        </is>
      </c>
      <c r="E1516" t="inlineStr">
        <is>
          <t>Advanced</t>
        </is>
      </c>
      <c r="F1516" t="n">
        <v>6.8</v>
      </c>
      <c r="G1516" t="inlineStr">
        <is>
          <t>Functional</t>
        </is>
      </c>
      <c r="H1516" t="inlineStr">
        <is>
          <t>Yes</t>
        </is>
      </c>
      <c r="I1516" t="inlineStr">
        <is>
          <t>2021-03-29</t>
        </is>
      </c>
    </row>
    <row r="1517">
      <c r="A1517" t="n">
        <v/>
      </c>
      <c r="B1517" t="n">
        <v>1024892</v>
      </c>
      <c r="C1517" t="inlineStr">
        <is>
          <t>IT Service Management</t>
        </is>
      </c>
      <c r="D1517" t="inlineStr">
        <is>
          <t>Secondary</t>
        </is>
      </c>
      <c r="E1517" t="inlineStr">
        <is>
          <t>Intermediate</t>
        </is>
      </c>
      <c r="F1517" t="n">
        <v>4.1</v>
      </c>
      <c r="G1517" t="inlineStr">
        <is>
          <t>Functional</t>
        </is>
      </c>
      <c r="H1517" t="inlineStr">
        <is>
          <t>Yes</t>
        </is>
      </c>
      <c r="I1517" t="inlineStr">
        <is>
          <t>2021-03-29</t>
        </is>
      </c>
    </row>
    <row r="1518">
      <c r="A1518" t="n">
        <v/>
      </c>
      <c r="B1518" t="n">
        <v>1024892</v>
      </c>
      <c r="C1518" t="inlineStr">
        <is>
          <t>Reporting</t>
        </is>
      </c>
      <c r="D1518" t="inlineStr">
        <is>
          <t>Secondary</t>
        </is>
      </c>
      <c r="E1518" t="inlineStr">
        <is>
          <t>Intermediate</t>
        </is>
      </c>
      <c r="F1518" t="n">
        <v>3.1</v>
      </c>
      <c r="G1518" t="inlineStr">
        <is>
          <t>Functional</t>
        </is>
      </c>
      <c r="H1518" t="inlineStr">
        <is>
          <t>Yes</t>
        </is>
      </c>
      <c r="I1518" t="inlineStr">
        <is>
          <t>2021-03-29</t>
        </is>
      </c>
    </row>
    <row r="1519">
      <c r="A1519" t="n">
        <v/>
      </c>
      <c r="B1519" t="n">
        <v>1024892</v>
      </c>
      <c r="C1519" t="inlineStr">
        <is>
          <t>Excel</t>
        </is>
      </c>
      <c r="D1519" t="inlineStr">
        <is>
          <t>Secondary</t>
        </is>
      </c>
      <c r="E1519" t="inlineStr">
        <is>
          <t>Intermediate</t>
        </is>
      </c>
      <c r="F1519" t="n">
        <v>2</v>
      </c>
      <c r="G1519" t="inlineStr">
        <is>
          <t>Functional</t>
        </is>
      </c>
      <c r="H1519" t="inlineStr">
        <is>
          <t>Yes</t>
        </is>
      </c>
      <c r="I1519" t="inlineStr">
        <is>
          <t>2021-03-29</t>
        </is>
      </c>
    </row>
    <row r="1520">
      <c r="A1520" t="n">
        <v/>
      </c>
      <c r="B1520" t="n">
        <v>1031069</v>
      </c>
      <c r="C1520" t="inlineStr">
        <is>
          <t>Cloud &amp; DevOps (AWS / K8s)</t>
        </is>
      </c>
      <c r="D1520" t="inlineStr">
        <is>
          <t>Primary</t>
        </is>
      </c>
      <c r="E1520" t="inlineStr">
        <is>
          <t>Intermediate</t>
        </is>
      </c>
      <c r="F1520" t="n">
        <v>1.7</v>
      </c>
      <c r="G1520" t="inlineStr">
        <is>
          <t>Technical</t>
        </is>
      </c>
      <c r="H1520" t="inlineStr">
        <is>
          <t>Yes</t>
        </is>
      </c>
      <c r="I1520" t="inlineStr">
        <is>
          <t>2022-11-24</t>
        </is>
      </c>
    </row>
    <row r="1521">
      <c r="A1521" t="n">
        <v/>
      </c>
      <c r="B1521" t="n">
        <v>1031069</v>
      </c>
      <c r="C1521" t="inlineStr">
        <is>
          <t>Linux</t>
        </is>
      </c>
      <c r="D1521" t="inlineStr">
        <is>
          <t>Secondary</t>
        </is>
      </c>
      <c r="E1521" t="inlineStr">
        <is>
          <t>Beginner</t>
        </is>
      </c>
      <c r="F1521" t="n">
        <v>1</v>
      </c>
      <c r="G1521" t="inlineStr">
        <is>
          <t>Technical</t>
        </is>
      </c>
      <c r="H1521" t="inlineStr">
        <is>
          <t>Yes</t>
        </is>
      </c>
      <c r="I1521" t="inlineStr">
        <is>
          <t>2022-11-24</t>
        </is>
      </c>
    </row>
    <row r="1522">
      <c r="A1522" t="n">
        <v/>
      </c>
      <c r="B1522" t="n">
        <v>1031069</v>
      </c>
      <c r="C1522" t="inlineStr">
        <is>
          <t>Docker</t>
        </is>
      </c>
      <c r="D1522" t="inlineStr">
        <is>
          <t>Secondary</t>
        </is>
      </c>
      <c r="E1522" t="inlineStr">
        <is>
          <t>Beginner</t>
        </is>
      </c>
      <c r="F1522" t="n">
        <v>0.8</v>
      </c>
      <c r="G1522" t="inlineStr">
        <is>
          <t>Technical</t>
        </is>
      </c>
      <c r="H1522" t="inlineStr">
        <is>
          <t>Yes</t>
        </is>
      </c>
      <c r="I1522" t="inlineStr">
        <is>
          <t>2022-11-24</t>
        </is>
      </c>
    </row>
    <row r="1523">
      <c r="A1523" t="n">
        <v/>
      </c>
      <c r="B1523" t="n">
        <v>1023755</v>
      </c>
      <c r="C1523" t="inlineStr">
        <is>
          <t>Python / Data Engineering</t>
        </is>
      </c>
      <c r="D1523" t="inlineStr">
        <is>
          <t>Primary</t>
        </is>
      </c>
      <c r="E1523" t="inlineStr">
        <is>
          <t>Advanced</t>
        </is>
      </c>
      <c r="F1523" t="n">
        <v>7.3</v>
      </c>
      <c r="G1523" t="inlineStr">
        <is>
          <t>Technical</t>
        </is>
      </c>
      <c r="H1523" t="inlineStr">
        <is>
          <t>Yes</t>
        </is>
      </c>
      <c r="I1523" t="inlineStr">
        <is>
          <t>2020-09-01</t>
        </is>
      </c>
    </row>
    <row r="1524">
      <c r="A1524" t="n">
        <v/>
      </c>
      <c r="B1524" t="n">
        <v>1023755</v>
      </c>
      <c r="C1524" t="inlineStr">
        <is>
          <t>SQL</t>
        </is>
      </c>
      <c r="D1524" t="inlineStr">
        <is>
          <t>Secondary</t>
        </is>
      </c>
      <c r="E1524" t="inlineStr">
        <is>
          <t>Intermediate</t>
        </is>
      </c>
      <c r="F1524" t="n">
        <v>4.4</v>
      </c>
      <c r="G1524" t="inlineStr">
        <is>
          <t>Technical</t>
        </is>
      </c>
      <c r="H1524" t="inlineStr">
        <is>
          <t>Yes</t>
        </is>
      </c>
      <c r="I1524" t="inlineStr">
        <is>
          <t>2020-09-01</t>
        </is>
      </c>
    </row>
    <row r="1525">
      <c r="A1525" t="n">
        <v/>
      </c>
      <c r="B1525" t="n">
        <v>1023755</v>
      </c>
      <c r="C1525" t="inlineStr">
        <is>
          <t>Docker</t>
        </is>
      </c>
      <c r="D1525" t="inlineStr">
        <is>
          <t>Secondary</t>
        </is>
      </c>
      <c r="E1525" t="inlineStr">
        <is>
          <t>Intermediate</t>
        </is>
      </c>
      <c r="F1525" t="n">
        <v>3.3</v>
      </c>
      <c r="G1525" t="inlineStr">
        <is>
          <t>Technical</t>
        </is>
      </c>
      <c r="H1525" t="inlineStr">
        <is>
          <t>Yes</t>
        </is>
      </c>
      <c r="I1525" t="inlineStr">
        <is>
          <t>2020-09-01</t>
        </is>
      </c>
    </row>
    <row r="1526">
      <c r="A1526" t="n">
        <v/>
      </c>
      <c r="B1526" t="n">
        <v>1023755</v>
      </c>
      <c r="C1526" t="inlineStr">
        <is>
          <t>Pandas</t>
        </is>
      </c>
      <c r="D1526" t="inlineStr">
        <is>
          <t>Secondary</t>
        </is>
      </c>
      <c r="E1526" t="inlineStr">
        <is>
          <t>Intermediate</t>
        </is>
      </c>
      <c r="F1526" t="n">
        <v>2.2</v>
      </c>
      <c r="G1526" t="inlineStr">
        <is>
          <t>Technical</t>
        </is>
      </c>
      <c r="H1526" t="inlineStr">
        <is>
          <t>Yes</t>
        </is>
      </c>
      <c r="I1526" t="inlineStr">
        <is>
          <t>2020-09-01</t>
        </is>
      </c>
    </row>
    <row r="1527">
      <c r="A1527" t="n">
        <v/>
      </c>
      <c r="B1527" t="n">
        <v>1027110</v>
      </c>
      <c r="C1527" t="inlineStr">
        <is>
          <t>QA Automation / SDET</t>
        </is>
      </c>
      <c r="D1527" t="inlineStr">
        <is>
          <t>Primary</t>
        </is>
      </c>
      <c r="E1527" t="inlineStr">
        <is>
          <t>Advanced</t>
        </is>
      </c>
      <c r="F1527" t="n">
        <v>6.2</v>
      </c>
      <c r="G1527" t="inlineStr">
        <is>
          <t>Technical</t>
        </is>
      </c>
      <c r="H1527" t="inlineStr">
        <is>
          <t>Yes</t>
        </is>
      </c>
      <c r="I1527" t="inlineStr">
        <is>
          <t>2021-11-08</t>
        </is>
      </c>
    </row>
    <row r="1528">
      <c r="A1528" t="n">
        <v/>
      </c>
      <c r="B1528" t="n">
        <v>1027110</v>
      </c>
      <c r="C1528" t="inlineStr">
        <is>
          <t>Selenium</t>
        </is>
      </c>
      <c r="D1528" t="inlineStr">
        <is>
          <t>Secondary</t>
        </is>
      </c>
      <c r="E1528" t="inlineStr">
        <is>
          <t>Intermediate</t>
        </is>
      </c>
      <c r="F1528" t="n">
        <v>3.7</v>
      </c>
      <c r="G1528" t="inlineStr">
        <is>
          <t>Technical</t>
        </is>
      </c>
      <c r="H1528" t="inlineStr">
        <is>
          <t>Yes</t>
        </is>
      </c>
      <c r="I1528" t="inlineStr">
        <is>
          <t>2021-11-08</t>
        </is>
      </c>
    </row>
    <row r="1529">
      <c r="A1529" t="n">
        <v/>
      </c>
      <c r="B1529" t="n">
        <v>1027110</v>
      </c>
      <c r="C1529" t="inlineStr">
        <is>
          <t>API Testing (Postman)</t>
        </is>
      </c>
      <c r="D1529" t="inlineStr">
        <is>
          <t>Secondary</t>
        </is>
      </c>
      <c r="E1529" t="inlineStr">
        <is>
          <t>Intermediate</t>
        </is>
      </c>
      <c r="F1529" t="n">
        <v>2.8</v>
      </c>
      <c r="G1529" t="inlineStr">
        <is>
          <t>Technical</t>
        </is>
      </c>
      <c r="H1529" t="inlineStr">
        <is>
          <t>Yes</t>
        </is>
      </c>
      <c r="I1529" t="inlineStr">
        <is>
          <t>2021-11-08</t>
        </is>
      </c>
    </row>
    <row r="1530">
      <c r="A1530" t="n">
        <v/>
      </c>
      <c r="B1530" t="n">
        <v>1027110</v>
      </c>
      <c r="C1530" t="inlineStr">
        <is>
          <t>TestNG</t>
        </is>
      </c>
      <c r="D1530" t="inlineStr">
        <is>
          <t>Secondary</t>
        </is>
      </c>
      <c r="E1530" t="inlineStr">
        <is>
          <t>Intermediate</t>
        </is>
      </c>
      <c r="F1530" t="n">
        <v>1.9</v>
      </c>
      <c r="G1530" t="inlineStr">
        <is>
          <t>Technical</t>
        </is>
      </c>
      <c r="H1530" t="inlineStr">
        <is>
          <t>Yes</t>
        </is>
      </c>
      <c r="I1530" t="inlineStr">
        <is>
          <t>2021-11-08</t>
        </is>
      </c>
    </row>
    <row r="1531">
      <c r="A1531" t="n">
        <v/>
      </c>
      <c r="B1531" t="n">
        <v>1024939</v>
      </c>
      <c r="C1531" t="inlineStr">
        <is>
          <t>QA Automation / SDET</t>
        </is>
      </c>
      <c r="D1531" t="inlineStr">
        <is>
          <t>Primary</t>
        </is>
      </c>
      <c r="E1531" t="inlineStr">
        <is>
          <t>Advanced</t>
        </is>
      </c>
      <c r="F1531" t="n">
        <v>6.8</v>
      </c>
      <c r="G1531" t="inlineStr">
        <is>
          <t>Technical</t>
        </is>
      </c>
      <c r="H1531" t="inlineStr">
        <is>
          <t>Yes</t>
        </is>
      </c>
      <c r="I1531" t="inlineStr">
        <is>
          <t>2021-04-01</t>
        </is>
      </c>
    </row>
    <row r="1532">
      <c r="A1532" t="n">
        <v/>
      </c>
      <c r="B1532" t="n">
        <v>1024939</v>
      </c>
      <c r="C1532" t="inlineStr">
        <is>
          <t>Selenium</t>
        </is>
      </c>
      <c r="D1532" t="inlineStr">
        <is>
          <t>Secondary</t>
        </is>
      </c>
      <c r="E1532" t="inlineStr">
        <is>
          <t>Intermediate</t>
        </is>
      </c>
      <c r="F1532" t="n">
        <v>4.1</v>
      </c>
      <c r="G1532" t="inlineStr">
        <is>
          <t>Technical</t>
        </is>
      </c>
      <c r="H1532" t="inlineStr">
        <is>
          <t>Yes</t>
        </is>
      </c>
      <c r="I1532" t="inlineStr">
        <is>
          <t>2021-04-01</t>
        </is>
      </c>
    </row>
    <row r="1533">
      <c r="A1533" t="n">
        <v/>
      </c>
      <c r="B1533" t="n">
        <v>1024939</v>
      </c>
      <c r="C1533" t="inlineStr">
        <is>
          <t>API Testing (Postman)</t>
        </is>
      </c>
      <c r="D1533" t="inlineStr">
        <is>
          <t>Secondary</t>
        </is>
      </c>
      <c r="E1533" t="inlineStr">
        <is>
          <t>Intermediate</t>
        </is>
      </c>
      <c r="F1533" t="n">
        <v>3.1</v>
      </c>
      <c r="G1533" t="inlineStr">
        <is>
          <t>Technical</t>
        </is>
      </c>
      <c r="H1533" t="inlineStr">
        <is>
          <t>Yes</t>
        </is>
      </c>
      <c r="I1533" t="inlineStr">
        <is>
          <t>2021-04-01</t>
        </is>
      </c>
    </row>
    <row r="1534">
      <c r="A1534" t="n">
        <v/>
      </c>
      <c r="B1534" t="n">
        <v>1024939</v>
      </c>
      <c r="C1534" t="inlineStr">
        <is>
          <t>TestNG</t>
        </is>
      </c>
      <c r="D1534" t="inlineStr">
        <is>
          <t>Secondary</t>
        </is>
      </c>
      <c r="E1534" t="inlineStr">
        <is>
          <t>Intermediate</t>
        </is>
      </c>
      <c r="F1534" t="n">
        <v>2</v>
      </c>
      <c r="G1534" t="inlineStr">
        <is>
          <t>Technical</t>
        </is>
      </c>
      <c r="H1534" t="inlineStr">
        <is>
          <t>Yes</t>
        </is>
      </c>
      <c r="I1534" t="inlineStr">
        <is>
          <t>2021-04-01</t>
        </is>
      </c>
    </row>
    <row r="1535">
      <c r="A1535" t="n">
        <v/>
      </c>
      <c r="B1535" t="n">
        <v>1023719</v>
      </c>
      <c r="C1535" t="inlineStr">
        <is>
          <t>Cloud &amp; DevOps (AWS / K8s)</t>
        </is>
      </c>
      <c r="D1535" t="inlineStr">
        <is>
          <t>Primary</t>
        </is>
      </c>
      <c r="E1535" t="inlineStr">
        <is>
          <t>Advanced</t>
        </is>
      </c>
      <c r="F1535" t="n">
        <v>7.3</v>
      </c>
      <c r="G1535" t="inlineStr">
        <is>
          <t>Technical</t>
        </is>
      </c>
      <c r="H1535" t="inlineStr">
        <is>
          <t>Yes</t>
        </is>
      </c>
      <c r="I1535" t="inlineStr">
        <is>
          <t>2020-09-01</t>
        </is>
      </c>
    </row>
    <row r="1536">
      <c r="A1536" t="n">
        <v/>
      </c>
      <c r="B1536" t="n">
        <v>1023719</v>
      </c>
      <c r="C1536" t="inlineStr">
        <is>
          <t>Docker</t>
        </is>
      </c>
      <c r="D1536" t="inlineStr">
        <is>
          <t>Secondary</t>
        </is>
      </c>
      <c r="E1536" t="inlineStr">
        <is>
          <t>Intermediate</t>
        </is>
      </c>
      <c r="F1536" t="n">
        <v>4.4</v>
      </c>
      <c r="G1536" t="inlineStr">
        <is>
          <t>Technical</t>
        </is>
      </c>
      <c r="H1536" t="inlineStr">
        <is>
          <t>Yes</t>
        </is>
      </c>
      <c r="I1536" t="inlineStr">
        <is>
          <t>2020-09-01</t>
        </is>
      </c>
    </row>
    <row r="1537">
      <c r="A1537" t="n">
        <v/>
      </c>
      <c r="B1537" t="n">
        <v>1023719</v>
      </c>
      <c r="C1537" t="inlineStr">
        <is>
          <t>Kubernetes</t>
        </is>
      </c>
      <c r="D1537" t="inlineStr">
        <is>
          <t>Secondary</t>
        </is>
      </c>
      <c r="E1537" t="inlineStr">
        <is>
          <t>Intermediate</t>
        </is>
      </c>
      <c r="F1537" t="n">
        <v>3.3</v>
      </c>
      <c r="G1537" t="inlineStr">
        <is>
          <t>Technical</t>
        </is>
      </c>
      <c r="H1537" t="inlineStr">
        <is>
          <t>Yes</t>
        </is>
      </c>
      <c r="I1537" t="inlineStr">
        <is>
          <t>2020-09-01</t>
        </is>
      </c>
    </row>
    <row r="1538">
      <c r="A1538" t="n">
        <v/>
      </c>
      <c r="B1538" t="n">
        <v>1023719</v>
      </c>
      <c r="C1538" t="inlineStr">
        <is>
          <t>Linux</t>
        </is>
      </c>
      <c r="D1538" t="inlineStr">
        <is>
          <t>Secondary</t>
        </is>
      </c>
      <c r="E1538" t="inlineStr">
        <is>
          <t>Intermediate</t>
        </is>
      </c>
      <c r="F1538" t="n">
        <v>2.2</v>
      </c>
      <c r="G1538" t="inlineStr">
        <is>
          <t>Technical</t>
        </is>
      </c>
      <c r="H1538" t="inlineStr">
        <is>
          <t>Yes</t>
        </is>
      </c>
      <c r="I1538" t="inlineStr">
        <is>
          <t>2020-09-01</t>
        </is>
      </c>
    </row>
    <row r="1539">
      <c r="A1539" t="n">
        <v/>
      </c>
      <c r="B1539" t="n">
        <v>1022715</v>
      </c>
      <c r="C1539" t="inlineStr">
        <is>
          <t>Python / Data Engineering</t>
        </is>
      </c>
      <c r="D1539" t="inlineStr">
        <is>
          <t>Primary</t>
        </is>
      </c>
      <c r="E1539" t="inlineStr">
        <is>
          <t>Advanced</t>
        </is>
      </c>
      <c r="F1539" t="n">
        <v>8.1</v>
      </c>
      <c r="G1539" t="inlineStr">
        <is>
          <t>Technical</t>
        </is>
      </c>
      <c r="H1539" t="inlineStr">
        <is>
          <t>Yes</t>
        </is>
      </c>
      <c r="I1539" t="inlineStr">
        <is>
          <t>2019-10-07</t>
        </is>
      </c>
    </row>
    <row r="1540">
      <c r="A1540" t="n">
        <v/>
      </c>
      <c r="B1540" t="n">
        <v>1022715</v>
      </c>
      <c r="C1540" t="inlineStr">
        <is>
          <t>SQL</t>
        </is>
      </c>
      <c r="D1540" t="inlineStr">
        <is>
          <t>Secondary</t>
        </is>
      </c>
      <c r="E1540" t="inlineStr">
        <is>
          <t>Intermediate</t>
        </is>
      </c>
      <c r="F1540" t="n">
        <v>4.9</v>
      </c>
      <c r="G1540" t="inlineStr">
        <is>
          <t>Technical</t>
        </is>
      </c>
      <c r="H1540" t="inlineStr">
        <is>
          <t>Yes</t>
        </is>
      </c>
      <c r="I1540" t="inlineStr">
        <is>
          <t>2019-10-07</t>
        </is>
      </c>
    </row>
    <row r="1541">
      <c r="A1541" t="n">
        <v/>
      </c>
      <c r="B1541" t="n">
        <v>1022715</v>
      </c>
      <c r="C1541" t="inlineStr">
        <is>
          <t>Docker</t>
        </is>
      </c>
      <c r="D1541" t="inlineStr">
        <is>
          <t>Secondary</t>
        </is>
      </c>
      <c r="E1541" t="inlineStr">
        <is>
          <t>Intermediate</t>
        </is>
      </c>
      <c r="F1541" t="n">
        <v>3.6</v>
      </c>
      <c r="G1541" t="inlineStr">
        <is>
          <t>Technical</t>
        </is>
      </c>
      <c r="H1541" t="inlineStr">
        <is>
          <t>Yes</t>
        </is>
      </c>
      <c r="I1541" t="inlineStr">
        <is>
          <t>2019-10-07</t>
        </is>
      </c>
    </row>
    <row r="1542">
      <c r="A1542" t="n">
        <v/>
      </c>
      <c r="B1542" t="n">
        <v>1022715</v>
      </c>
      <c r="C1542" t="inlineStr">
        <is>
          <t>Pandas</t>
        </is>
      </c>
      <c r="D1542" t="inlineStr">
        <is>
          <t>Secondary</t>
        </is>
      </c>
      <c r="E1542" t="inlineStr">
        <is>
          <t>Intermediate</t>
        </is>
      </c>
      <c r="F1542" t="n">
        <v>2.4</v>
      </c>
      <c r="G1542" t="inlineStr">
        <is>
          <t>Technical</t>
        </is>
      </c>
      <c r="H1542" t="inlineStr">
        <is>
          <t>Yes</t>
        </is>
      </c>
      <c r="I1542" t="inlineStr">
        <is>
          <t>2019-10-07</t>
        </is>
      </c>
    </row>
    <row r="1543">
      <c r="A1543" t="n">
        <v/>
      </c>
      <c r="B1543" t="n">
        <v>1024021</v>
      </c>
      <c r="C1543" t="inlineStr">
        <is>
          <t>QA Automation / SDET</t>
        </is>
      </c>
      <c r="D1543" t="inlineStr">
        <is>
          <t>Primary</t>
        </is>
      </c>
      <c r="E1543" t="inlineStr">
        <is>
          <t>Advanced</t>
        </is>
      </c>
      <c r="F1543" t="n">
        <v>7.2</v>
      </c>
      <c r="G1543" t="inlineStr">
        <is>
          <t>Technical</t>
        </is>
      </c>
      <c r="H1543" t="inlineStr">
        <is>
          <t>Yes</t>
        </is>
      </c>
      <c r="I1543" t="inlineStr">
        <is>
          <t>2020-10-28</t>
        </is>
      </c>
    </row>
    <row r="1544">
      <c r="A1544" t="n">
        <v/>
      </c>
      <c r="B1544" t="n">
        <v>1024021</v>
      </c>
      <c r="C1544" t="inlineStr">
        <is>
          <t>Selenium</t>
        </is>
      </c>
      <c r="D1544" t="inlineStr">
        <is>
          <t>Secondary</t>
        </is>
      </c>
      <c r="E1544" t="inlineStr">
        <is>
          <t>Intermediate</t>
        </is>
      </c>
      <c r="F1544" t="n">
        <v>4.3</v>
      </c>
      <c r="G1544" t="inlineStr">
        <is>
          <t>Technical</t>
        </is>
      </c>
      <c r="H1544" t="inlineStr">
        <is>
          <t>Yes</t>
        </is>
      </c>
      <c r="I1544" t="inlineStr">
        <is>
          <t>2020-10-28</t>
        </is>
      </c>
    </row>
    <row r="1545">
      <c r="A1545" t="n">
        <v/>
      </c>
      <c r="B1545" t="n">
        <v>1024021</v>
      </c>
      <c r="C1545" t="inlineStr">
        <is>
          <t>API Testing (Postman)</t>
        </is>
      </c>
      <c r="D1545" t="inlineStr">
        <is>
          <t>Secondary</t>
        </is>
      </c>
      <c r="E1545" t="inlineStr">
        <is>
          <t>Intermediate</t>
        </is>
      </c>
      <c r="F1545" t="n">
        <v>3.2</v>
      </c>
      <c r="G1545" t="inlineStr">
        <is>
          <t>Technical</t>
        </is>
      </c>
      <c r="H1545" t="inlineStr">
        <is>
          <t>Yes</t>
        </is>
      </c>
      <c r="I1545" t="inlineStr">
        <is>
          <t>2020-10-28</t>
        </is>
      </c>
    </row>
    <row r="1546">
      <c r="A1546" t="n">
        <v/>
      </c>
      <c r="B1546" t="n">
        <v>1024021</v>
      </c>
      <c r="C1546" t="inlineStr">
        <is>
          <t>TestNG</t>
        </is>
      </c>
      <c r="D1546" t="inlineStr">
        <is>
          <t>Secondary</t>
        </is>
      </c>
      <c r="E1546" t="inlineStr">
        <is>
          <t>Intermediate</t>
        </is>
      </c>
      <c r="F1546" t="n">
        <v>2.2</v>
      </c>
      <c r="G1546" t="inlineStr">
        <is>
          <t>Technical</t>
        </is>
      </c>
      <c r="H1546" t="inlineStr">
        <is>
          <t>Yes</t>
        </is>
      </c>
      <c r="I1546" t="inlineStr">
        <is>
          <t>2020-10-28</t>
        </is>
      </c>
    </row>
    <row r="1547">
      <c r="A1547" t="n">
        <v/>
      </c>
      <c r="B1547" t="n">
        <v>1031074</v>
      </c>
      <c r="C1547" t="inlineStr">
        <is>
          <t>Cloud &amp; DevOps (AWS / K8s)</t>
        </is>
      </c>
      <c r="D1547" t="inlineStr">
        <is>
          <t>Primary</t>
        </is>
      </c>
      <c r="E1547" t="inlineStr">
        <is>
          <t>Intermediate</t>
        </is>
      </c>
      <c r="F1547" t="n">
        <v>1.7</v>
      </c>
      <c r="G1547" t="inlineStr">
        <is>
          <t>Technical</t>
        </is>
      </c>
      <c r="H1547" t="inlineStr">
        <is>
          <t>Yes</t>
        </is>
      </c>
      <c r="I1547" t="inlineStr">
        <is>
          <t>2022-11-24</t>
        </is>
      </c>
    </row>
    <row r="1548">
      <c r="A1548" t="n">
        <v/>
      </c>
      <c r="B1548" t="n">
        <v>1031074</v>
      </c>
      <c r="C1548" t="inlineStr">
        <is>
          <t>Docker</t>
        </is>
      </c>
      <c r="D1548" t="inlineStr">
        <is>
          <t>Secondary</t>
        </is>
      </c>
      <c r="E1548" t="inlineStr">
        <is>
          <t>Beginner</t>
        </is>
      </c>
      <c r="F1548" t="n">
        <v>1</v>
      </c>
      <c r="G1548" t="inlineStr">
        <is>
          <t>Technical</t>
        </is>
      </c>
      <c r="H1548" t="inlineStr">
        <is>
          <t>Yes</t>
        </is>
      </c>
      <c r="I1548" t="inlineStr">
        <is>
          <t>2022-11-24</t>
        </is>
      </c>
    </row>
    <row r="1549">
      <c r="A1549" t="n">
        <v/>
      </c>
      <c r="B1549" t="n">
        <v>1031074</v>
      </c>
      <c r="C1549" t="inlineStr">
        <is>
          <t>Kubernetes</t>
        </is>
      </c>
      <c r="D1549" t="inlineStr">
        <is>
          <t>Secondary</t>
        </is>
      </c>
      <c r="E1549" t="inlineStr">
        <is>
          <t>Beginner</t>
        </is>
      </c>
      <c r="F1549" t="n">
        <v>0.8</v>
      </c>
      <c r="G1549" t="inlineStr">
        <is>
          <t>Technical</t>
        </is>
      </c>
      <c r="H1549" t="inlineStr">
        <is>
          <t>Yes</t>
        </is>
      </c>
      <c r="I1549" t="inlineStr">
        <is>
          <t>2022-11-24</t>
        </is>
      </c>
    </row>
    <row r="1550">
      <c r="A1550" t="n">
        <v/>
      </c>
      <c r="B1550" t="n">
        <v>1031068</v>
      </c>
      <c r="C1550" t="inlineStr">
        <is>
          <t>Database &amp; SQL Architecture</t>
        </is>
      </c>
      <c r="D1550" t="inlineStr">
        <is>
          <t>Primary</t>
        </is>
      </c>
      <c r="E1550" t="inlineStr">
        <is>
          <t>Intermediate</t>
        </is>
      </c>
      <c r="F1550" t="n">
        <v>1.7</v>
      </c>
      <c r="G1550" t="inlineStr">
        <is>
          <t>Technical</t>
        </is>
      </c>
      <c r="H1550" t="inlineStr">
        <is>
          <t>Yes</t>
        </is>
      </c>
      <c r="I1550" t="inlineStr">
        <is>
          <t>2022-11-24</t>
        </is>
      </c>
    </row>
    <row r="1551">
      <c r="A1551" t="n">
        <v/>
      </c>
      <c r="B1551" t="n">
        <v>1031068</v>
      </c>
      <c r="C1551" t="inlineStr">
        <is>
          <t>PostgreSQL</t>
        </is>
      </c>
      <c r="D1551" t="inlineStr">
        <is>
          <t>Secondary</t>
        </is>
      </c>
      <c r="E1551" t="inlineStr">
        <is>
          <t>Beginner</t>
        </is>
      </c>
      <c r="F1551" t="n">
        <v>1</v>
      </c>
      <c r="G1551" t="inlineStr">
        <is>
          <t>Technical</t>
        </is>
      </c>
      <c r="H1551" t="inlineStr">
        <is>
          <t>Yes</t>
        </is>
      </c>
      <c r="I1551" t="inlineStr">
        <is>
          <t>2022-11-24</t>
        </is>
      </c>
    </row>
    <row r="1552">
      <c r="A1552" t="n">
        <v/>
      </c>
      <c r="B1552" t="n">
        <v>1031068</v>
      </c>
      <c r="C1552" t="inlineStr">
        <is>
          <t>Oracle</t>
        </is>
      </c>
      <c r="D1552" t="inlineStr">
        <is>
          <t>Secondary</t>
        </is>
      </c>
      <c r="E1552" t="inlineStr">
        <is>
          <t>Beginner</t>
        </is>
      </c>
      <c r="F1552" t="n">
        <v>0.8</v>
      </c>
      <c r="G1552" t="inlineStr">
        <is>
          <t>Technical</t>
        </is>
      </c>
      <c r="H1552" t="inlineStr">
        <is>
          <t>Yes</t>
        </is>
      </c>
      <c r="I1552" t="inlineStr">
        <is>
          <t>2022-11-24</t>
        </is>
      </c>
    </row>
    <row r="1553">
      <c r="A1553" t="n">
        <v/>
      </c>
      <c r="B1553" t="n">
        <v>1029888</v>
      </c>
      <c r="C1553" t="inlineStr">
        <is>
          <t>Java / Spring Boot</t>
        </is>
      </c>
      <c r="D1553" t="inlineStr">
        <is>
          <t>Primary</t>
        </is>
      </c>
      <c r="E1553" t="inlineStr">
        <is>
          <t>Intermediate</t>
        </is>
      </c>
      <c r="F1553" t="n">
        <v>1.9</v>
      </c>
      <c r="G1553" t="inlineStr">
        <is>
          <t>Technical</t>
        </is>
      </c>
      <c r="H1553" t="inlineStr">
        <is>
          <t>Yes</t>
        </is>
      </c>
      <c r="I1553" t="inlineStr">
        <is>
          <t>2022-08-18</t>
        </is>
      </c>
      <c r="J1553" t="inlineStr">
        <is>
          <t>Member</t>
        </is>
      </c>
    </row>
    <row r="1554">
      <c r="A1554" t="n">
        <v/>
      </c>
      <c r="B1554" t="n">
        <v>1029888</v>
      </c>
      <c r="C1554" t="inlineStr">
        <is>
          <t>SQL</t>
        </is>
      </c>
      <c r="D1554" t="inlineStr">
        <is>
          <t>Secondary</t>
        </is>
      </c>
      <c r="E1554" t="inlineStr">
        <is>
          <t>Beginner</t>
        </is>
      </c>
      <c r="F1554" t="n">
        <v>1.1</v>
      </c>
      <c r="G1554" t="inlineStr">
        <is>
          <t>Technical</t>
        </is>
      </c>
      <c r="H1554" t="inlineStr">
        <is>
          <t>Yes</t>
        </is>
      </c>
      <c r="I1554" t="inlineStr">
        <is>
          <t>2022-08-18</t>
        </is>
      </c>
      <c r="J1554" t="inlineStr">
        <is>
          <t>Member</t>
        </is>
      </c>
    </row>
    <row r="1555">
      <c r="A1555" t="n">
        <v/>
      </c>
      <c r="B1555" t="n">
        <v>1029888</v>
      </c>
      <c r="C1555" t="inlineStr">
        <is>
          <t>Docker</t>
        </is>
      </c>
      <c r="D1555" t="inlineStr">
        <is>
          <t>Secondary</t>
        </is>
      </c>
      <c r="E1555" t="inlineStr">
        <is>
          <t>Beginner</t>
        </is>
      </c>
      <c r="F1555" t="n">
        <v>0.9</v>
      </c>
      <c r="G1555" t="inlineStr">
        <is>
          <t>Technical</t>
        </is>
      </c>
      <c r="H1555" t="inlineStr">
        <is>
          <t>Yes</t>
        </is>
      </c>
      <c r="I1555" t="inlineStr">
        <is>
          <t>2022-08-18</t>
        </is>
      </c>
      <c r="J1555" t="inlineStr">
        <is>
          <t>Member</t>
        </is>
      </c>
    </row>
    <row r="1556">
      <c r="A1556" t="n">
        <v/>
      </c>
      <c r="B1556" t="n">
        <v>1026550</v>
      </c>
      <c r="C1556" t="inlineStr">
        <is>
          <t>QA Automation / SDET</t>
        </is>
      </c>
      <c r="D1556" t="inlineStr">
        <is>
          <t>Primary</t>
        </is>
      </c>
      <c r="E1556" t="inlineStr">
        <is>
          <t>Advanced</t>
        </is>
      </c>
      <c r="F1556" t="n">
        <v>6.3</v>
      </c>
      <c r="G1556" t="inlineStr">
        <is>
          <t>Technical</t>
        </is>
      </c>
      <c r="H1556" t="inlineStr">
        <is>
          <t>Yes</t>
        </is>
      </c>
      <c r="I1556" t="inlineStr">
        <is>
          <t>2021-09-24</t>
        </is>
      </c>
    </row>
    <row r="1557">
      <c r="A1557" t="n">
        <v/>
      </c>
      <c r="B1557" t="n">
        <v>1026550</v>
      </c>
      <c r="C1557" t="inlineStr">
        <is>
          <t>Selenium</t>
        </is>
      </c>
      <c r="D1557" t="inlineStr">
        <is>
          <t>Secondary</t>
        </is>
      </c>
      <c r="E1557" t="inlineStr">
        <is>
          <t>Intermediate</t>
        </is>
      </c>
      <c r="F1557" t="n">
        <v>3.8</v>
      </c>
      <c r="G1557" t="inlineStr">
        <is>
          <t>Technical</t>
        </is>
      </c>
      <c r="H1557" t="inlineStr">
        <is>
          <t>Yes</t>
        </is>
      </c>
      <c r="I1557" t="inlineStr">
        <is>
          <t>2021-09-24</t>
        </is>
      </c>
    </row>
    <row r="1558">
      <c r="A1558" t="n">
        <v/>
      </c>
      <c r="B1558" t="n">
        <v>1026550</v>
      </c>
      <c r="C1558" t="inlineStr">
        <is>
          <t>API Testing (Postman)</t>
        </is>
      </c>
      <c r="D1558" t="inlineStr">
        <is>
          <t>Secondary</t>
        </is>
      </c>
      <c r="E1558" t="inlineStr">
        <is>
          <t>Intermediate</t>
        </is>
      </c>
      <c r="F1558" t="n">
        <v>2.8</v>
      </c>
      <c r="G1558" t="inlineStr">
        <is>
          <t>Technical</t>
        </is>
      </c>
      <c r="H1558" t="inlineStr">
        <is>
          <t>Yes</t>
        </is>
      </c>
      <c r="I1558" t="inlineStr">
        <is>
          <t>2021-09-24</t>
        </is>
      </c>
    </row>
    <row r="1559">
      <c r="A1559" t="n">
        <v/>
      </c>
      <c r="B1559" t="n">
        <v>1026550</v>
      </c>
      <c r="C1559" t="inlineStr">
        <is>
          <t>TestNG</t>
        </is>
      </c>
      <c r="D1559" t="inlineStr">
        <is>
          <t>Secondary</t>
        </is>
      </c>
      <c r="E1559" t="inlineStr">
        <is>
          <t>Intermediate</t>
        </is>
      </c>
      <c r="F1559" t="n">
        <v>1.9</v>
      </c>
      <c r="G1559" t="inlineStr">
        <is>
          <t>Technical</t>
        </is>
      </c>
      <c r="H1559" t="inlineStr">
        <is>
          <t>Yes</t>
        </is>
      </c>
      <c r="I1559" t="inlineStr">
        <is>
          <t>2021-09-24</t>
        </is>
      </c>
    </row>
    <row r="1560">
      <c r="A1560" t="n">
        <v/>
      </c>
      <c r="B1560" t="n">
        <v>1026419</v>
      </c>
      <c r="C1560" t="inlineStr">
        <is>
          <t>QA Automation / SDET</t>
        </is>
      </c>
      <c r="D1560" t="inlineStr">
        <is>
          <t>Primary</t>
        </is>
      </c>
      <c r="E1560" t="inlineStr">
        <is>
          <t>Advanced</t>
        </is>
      </c>
      <c r="F1560" t="n">
        <v>6.4</v>
      </c>
      <c r="G1560" t="inlineStr">
        <is>
          <t>Technical</t>
        </is>
      </c>
      <c r="H1560" t="inlineStr">
        <is>
          <t>Yes</t>
        </is>
      </c>
      <c r="I1560" t="inlineStr">
        <is>
          <t>2021-09-14</t>
        </is>
      </c>
    </row>
    <row r="1561">
      <c r="A1561" t="n">
        <v/>
      </c>
      <c r="B1561" t="n">
        <v>1026419</v>
      </c>
      <c r="C1561" t="inlineStr">
        <is>
          <t>Selenium</t>
        </is>
      </c>
      <c r="D1561" t="inlineStr">
        <is>
          <t>Secondary</t>
        </is>
      </c>
      <c r="E1561" t="inlineStr">
        <is>
          <t>Intermediate</t>
        </is>
      </c>
      <c r="F1561" t="n">
        <v>3.8</v>
      </c>
      <c r="G1561" t="inlineStr">
        <is>
          <t>Technical</t>
        </is>
      </c>
      <c r="H1561" t="inlineStr">
        <is>
          <t>Yes</t>
        </is>
      </c>
      <c r="I1561" t="inlineStr">
        <is>
          <t>2021-09-14</t>
        </is>
      </c>
    </row>
    <row r="1562">
      <c r="A1562" t="n">
        <v/>
      </c>
      <c r="B1562" t="n">
        <v>1026419</v>
      </c>
      <c r="C1562" t="inlineStr">
        <is>
          <t>API Testing (Postman)</t>
        </is>
      </c>
      <c r="D1562" t="inlineStr">
        <is>
          <t>Secondary</t>
        </is>
      </c>
      <c r="E1562" t="inlineStr">
        <is>
          <t>Intermediate</t>
        </is>
      </c>
      <c r="F1562" t="n">
        <v>2.9</v>
      </c>
      <c r="G1562" t="inlineStr">
        <is>
          <t>Technical</t>
        </is>
      </c>
      <c r="H1562" t="inlineStr">
        <is>
          <t>Yes</t>
        </is>
      </c>
      <c r="I1562" t="inlineStr">
        <is>
          <t>2021-09-14</t>
        </is>
      </c>
    </row>
    <row r="1563">
      <c r="A1563" t="n">
        <v/>
      </c>
      <c r="B1563" t="n">
        <v>1026419</v>
      </c>
      <c r="C1563" t="inlineStr">
        <is>
          <t>TestNG</t>
        </is>
      </c>
      <c r="D1563" t="inlineStr">
        <is>
          <t>Secondary</t>
        </is>
      </c>
      <c r="E1563" t="inlineStr">
        <is>
          <t>Intermediate</t>
        </is>
      </c>
      <c r="F1563" t="n">
        <v>1.9</v>
      </c>
      <c r="G1563" t="inlineStr">
        <is>
          <t>Technical</t>
        </is>
      </c>
      <c r="H1563" t="inlineStr">
        <is>
          <t>Yes</t>
        </is>
      </c>
      <c r="I1563" t="inlineStr">
        <is>
          <t>2021-09-14</t>
        </is>
      </c>
    </row>
    <row r="1564">
      <c r="A1564" t="n">
        <v/>
      </c>
      <c r="B1564" t="n">
        <v>1026546</v>
      </c>
      <c r="C1564" t="inlineStr">
        <is>
          <t>QA Automation / SDET</t>
        </is>
      </c>
      <c r="D1564" t="inlineStr">
        <is>
          <t>Primary</t>
        </is>
      </c>
      <c r="E1564" t="inlineStr">
        <is>
          <t>Advanced</t>
        </is>
      </c>
      <c r="F1564" t="n">
        <v>6.3</v>
      </c>
      <c r="G1564" t="inlineStr">
        <is>
          <t>Technical</t>
        </is>
      </c>
      <c r="H1564" t="inlineStr">
        <is>
          <t>Yes</t>
        </is>
      </c>
      <c r="I1564" t="inlineStr">
        <is>
          <t>2021-09-24</t>
        </is>
      </c>
    </row>
    <row r="1565">
      <c r="A1565" t="n">
        <v/>
      </c>
      <c r="B1565" t="n">
        <v>1026546</v>
      </c>
      <c r="C1565" t="inlineStr">
        <is>
          <t>Selenium</t>
        </is>
      </c>
      <c r="D1565" t="inlineStr">
        <is>
          <t>Secondary</t>
        </is>
      </c>
      <c r="E1565" t="inlineStr">
        <is>
          <t>Intermediate</t>
        </is>
      </c>
      <c r="F1565" t="n">
        <v>3.8</v>
      </c>
      <c r="G1565" t="inlineStr">
        <is>
          <t>Technical</t>
        </is>
      </c>
      <c r="H1565" t="inlineStr">
        <is>
          <t>Yes</t>
        </is>
      </c>
      <c r="I1565" t="inlineStr">
        <is>
          <t>2021-09-24</t>
        </is>
      </c>
    </row>
    <row r="1566">
      <c r="A1566" t="n">
        <v/>
      </c>
      <c r="B1566" t="n">
        <v>1026546</v>
      </c>
      <c r="C1566" t="inlineStr">
        <is>
          <t>API Testing (Postman)</t>
        </is>
      </c>
      <c r="D1566" t="inlineStr">
        <is>
          <t>Secondary</t>
        </is>
      </c>
      <c r="E1566" t="inlineStr">
        <is>
          <t>Intermediate</t>
        </is>
      </c>
      <c r="F1566" t="n">
        <v>2.8</v>
      </c>
      <c r="G1566" t="inlineStr">
        <is>
          <t>Technical</t>
        </is>
      </c>
      <c r="H1566" t="inlineStr">
        <is>
          <t>Yes</t>
        </is>
      </c>
      <c r="I1566" t="inlineStr">
        <is>
          <t>2021-09-24</t>
        </is>
      </c>
    </row>
    <row r="1567">
      <c r="A1567" t="n">
        <v/>
      </c>
      <c r="B1567" t="n">
        <v>1026546</v>
      </c>
      <c r="C1567" t="inlineStr">
        <is>
          <t>TestNG</t>
        </is>
      </c>
      <c r="D1567" t="inlineStr">
        <is>
          <t>Secondary</t>
        </is>
      </c>
      <c r="E1567" t="inlineStr">
        <is>
          <t>Intermediate</t>
        </is>
      </c>
      <c r="F1567" t="n">
        <v>1.9</v>
      </c>
      <c r="G1567" t="inlineStr">
        <is>
          <t>Technical</t>
        </is>
      </c>
      <c r="H1567" t="inlineStr">
        <is>
          <t>Yes</t>
        </is>
      </c>
      <c r="I1567" t="inlineStr">
        <is>
          <t>2021-09-24</t>
        </is>
      </c>
    </row>
    <row r="1568">
      <c r="A1568" t="n">
        <v/>
      </c>
      <c r="B1568" t="n">
        <v>1024962</v>
      </c>
      <c r="C1568" t="inlineStr">
        <is>
          <t>Java / Spring Boot</t>
        </is>
      </c>
      <c r="D1568" t="inlineStr">
        <is>
          <t>Primary</t>
        </is>
      </c>
      <c r="E1568" t="inlineStr">
        <is>
          <t>Advanced</t>
        </is>
      </c>
      <c r="F1568" t="n">
        <v>6.8</v>
      </c>
      <c r="G1568" t="inlineStr">
        <is>
          <t>Technical</t>
        </is>
      </c>
      <c r="H1568" t="inlineStr">
        <is>
          <t>Yes</t>
        </is>
      </c>
      <c r="I1568" t="inlineStr">
        <is>
          <t>2021-04-05</t>
        </is>
      </c>
      <c r="J1568" t="inlineStr">
        <is>
          <t>Claims</t>
        </is>
      </c>
    </row>
    <row r="1569">
      <c r="A1569" t="n">
        <v/>
      </c>
      <c r="B1569" t="n">
        <v>1024962</v>
      </c>
      <c r="C1569" t="inlineStr">
        <is>
          <t>SQL</t>
        </is>
      </c>
      <c r="D1569" t="inlineStr">
        <is>
          <t>Secondary</t>
        </is>
      </c>
      <c r="E1569" t="inlineStr">
        <is>
          <t>Intermediate</t>
        </is>
      </c>
      <c r="F1569" t="n">
        <v>4.1</v>
      </c>
      <c r="G1569" t="inlineStr">
        <is>
          <t>Technical</t>
        </is>
      </c>
      <c r="H1569" t="inlineStr">
        <is>
          <t>Yes</t>
        </is>
      </c>
      <c r="I1569" t="inlineStr">
        <is>
          <t>2021-04-05</t>
        </is>
      </c>
      <c r="J1569" t="inlineStr">
        <is>
          <t>Claims</t>
        </is>
      </c>
    </row>
    <row r="1570">
      <c r="A1570" t="n">
        <v/>
      </c>
      <c r="B1570" t="n">
        <v>1024962</v>
      </c>
      <c r="C1570" t="inlineStr">
        <is>
          <t>Docker</t>
        </is>
      </c>
      <c r="D1570" t="inlineStr">
        <is>
          <t>Secondary</t>
        </is>
      </c>
      <c r="E1570" t="inlineStr">
        <is>
          <t>Intermediate</t>
        </is>
      </c>
      <c r="F1570" t="n">
        <v>3.1</v>
      </c>
      <c r="G1570" t="inlineStr">
        <is>
          <t>Technical</t>
        </is>
      </c>
      <c r="H1570" t="inlineStr">
        <is>
          <t>Yes</t>
        </is>
      </c>
      <c r="I1570" t="inlineStr">
        <is>
          <t>2021-04-05</t>
        </is>
      </c>
      <c r="J1570" t="inlineStr">
        <is>
          <t>Claims</t>
        </is>
      </c>
    </row>
    <row r="1571">
      <c r="A1571" t="n">
        <v/>
      </c>
      <c r="B1571" t="n">
        <v>1024962</v>
      </c>
      <c r="C1571" t="inlineStr">
        <is>
          <t>Git</t>
        </is>
      </c>
      <c r="D1571" t="inlineStr">
        <is>
          <t>Secondary</t>
        </is>
      </c>
      <c r="E1571" t="inlineStr">
        <is>
          <t>Intermediate</t>
        </is>
      </c>
      <c r="F1571" t="n">
        <v>2</v>
      </c>
      <c r="G1571" t="inlineStr">
        <is>
          <t>Technical</t>
        </is>
      </c>
      <c r="H1571" t="inlineStr">
        <is>
          <t>Yes</t>
        </is>
      </c>
      <c r="I1571" t="inlineStr">
        <is>
          <t>2021-04-05</t>
        </is>
      </c>
      <c r="J1571" t="inlineStr">
        <is>
          <t>Claims</t>
        </is>
      </c>
    </row>
    <row r="1572">
      <c r="A1572" t="n">
        <v/>
      </c>
      <c r="B1572" t="n">
        <v>1026152</v>
      </c>
      <c r="C1572" t="inlineStr">
        <is>
          <t>Fullstack Web (React / Node)</t>
        </is>
      </c>
      <c r="D1572" t="inlineStr">
        <is>
          <t>Primary</t>
        </is>
      </c>
      <c r="E1572" t="inlineStr">
        <is>
          <t>Advanced</t>
        </is>
      </c>
      <c r="F1572" t="n">
        <v>6.4</v>
      </c>
      <c r="G1572" t="inlineStr">
        <is>
          <t>Technical</t>
        </is>
      </c>
      <c r="H1572" t="inlineStr">
        <is>
          <t>Yes</t>
        </is>
      </c>
      <c r="I1572" t="inlineStr">
        <is>
          <t>2021-08-17</t>
        </is>
      </c>
    </row>
    <row r="1573">
      <c r="A1573" t="n">
        <v/>
      </c>
      <c r="B1573" t="n">
        <v>1026152</v>
      </c>
      <c r="C1573" t="inlineStr">
        <is>
          <t>JavaScript</t>
        </is>
      </c>
      <c r="D1573" t="inlineStr">
        <is>
          <t>Secondary</t>
        </is>
      </c>
      <c r="E1573" t="inlineStr">
        <is>
          <t>Intermediate</t>
        </is>
      </c>
      <c r="F1573" t="n">
        <v>3.8</v>
      </c>
      <c r="G1573" t="inlineStr">
        <is>
          <t>Technical</t>
        </is>
      </c>
      <c r="H1573" t="inlineStr">
        <is>
          <t>Yes</t>
        </is>
      </c>
      <c r="I1573" t="inlineStr">
        <is>
          <t>2021-08-17</t>
        </is>
      </c>
    </row>
    <row r="1574">
      <c r="A1574" t="n">
        <v/>
      </c>
      <c r="B1574" t="n">
        <v>1026152</v>
      </c>
      <c r="C1574" t="inlineStr">
        <is>
          <t>TypeScript</t>
        </is>
      </c>
      <c r="D1574" t="inlineStr">
        <is>
          <t>Secondary</t>
        </is>
      </c>
      <c r="E1574" t="inlineStr">
        <is>
          <t>Intermediate</t>
        </is>
      </c>
      <c r="F1574" t="n">
        <v>2.9</v>
      </c>
      <c r="G1574" t="inlineStr">
        <is>
          <t>Technical</t>
        </is>
      </c>
      <c r="H1574" t="inlineStr">
        <is>
          <t>Yes</t>
        </is>
      </c>
      <c r="I1574" t="inlineStr">
        <is>
          <t>2021-08-17</t>
        </is>
      </c>
    </row>
    <row r="1575">
      <c r="A1575" t="n">
        <v/>
      </c>
      <c r="B1575" t="n">
        <v>1026152</v>
      </c>
      <c r="C1575" t="inlineStr">
        <is>
          <t>CSS/HTML</t>
        </is>
      </c>
      <c r="D1575" t="inlineStr">
        <is>
          <t>Secondary</t>
        </is>
      </c>
      <c r="E1575" t="inlineStr">
        <is>
          <t>Intermediate</t>
        </is>
      </c>
      <c r="F1575" t="n">
        <v>1.9</v>
      </c>
      <c r="G1575" t="inlineStr">
        <is>
          <t>Technical</t>
        </is>
      </c>
      <c r="H1575" t="inlineStr">
        <is>
          <t>Yes</t>
        </is>
      </c>
      <c r="I1575" t="inlineStr">
        <is>
          <t>2021-08-17</t>
        </is>
      </c>
    </row>
    <row r="1576">
      <c r="A1576" t="n">
        <v/>
      </c>
      <c r="B1576" t="n">
        <v>1033203</v>
      </c>
      <c r="C1576" t="inlineStr">
        <is>
          <t>Database &amp; SQL Architecture</t>
        </is>
      </c>
      <c r="D1576" t="inlineStr">
        <is>
          <t>Primary</t>
        </is>
      </c>
      <c r="E1576" t="inlineStr">
        <is>
          <t>Advanced</t>
        </is>
      </c>
      <c r="F1576" t="n">
        <v>4.6</v>
      </c>
      <c r="G1576" t="inlineStr">
        <is>
          <t>Technical</t>
        </is>
      </c>
      <c r="H1576" t="inlineStr">
        <is>
          <t>Yes</t>
        </is>
      </c>
      <c r="I1576" t="inlineStr">
        <is>
          <t>2023-08-16</t>
        </is>
      </c>
    </row>
    <row r="1577">
      <c r="A1577" t="n">
        <v/>
      </c>
      <c r="B1577" t="n">
        <v>1033203</v>
      </c>
      <c r="C1577" t="inlineStr">
        <is>
          <t>PostgreSQL</t>
        </is>
      </c>
      <c r="D1577" t="inlineStr">
        <is>
          <t>Secondary</t>
        </is>
      </c>
      <c r="E1577" t="inlineStr">
        <is>
          <t>Intermediate</t>
        </is>
      </c>
      <c r="F1577" t="n">
        <v>2.8</v>
      </c>
      <c r="G1577" t="inlineStr">
        <is>
          <t>Technical</t>
        </is>
      </c>
      <c r="H1577" t="inlineStr">
        <is>
          <t>Yes</t>
        </is>
      </c>
      <c r="I1577" t="inlineStr">
        <is>
          <t>2023-08-16</t>
        </is>
      </c>
    </row>
    <row r="1578">
      <c r="A1578" t="n">
        <v/>
      </c>
      <c r="B1578" t="n">
        <v>1033203</v>
      </c>
      <c r="C1578" t="inlineStr">
        <is>
          <t>Oracle</t>
        </is>
      </c>
      <c r="D1578" t="inlineStr">
        <is>
          <t>Secondary</t>
        </is>
      </c>
      <c r="E1578" t="inlineStr">
        <is>
          <t>Intermediate</t>
        </is>
      </c>
      <c r="F1578" t="n">
        <v>2.1</v>
      </c>
      <c r="G1578" t="inlineStr">
        <is>
          <t>Technical</t>
        </is>
      </c>
      <c r="H1578" t="inlineStr">
        <is>
          <t>Yes</t>
        </is>
      </c>
      <c r="I1578" t="inlineStr">
        <is>
          <t>2023-08-16</t>
        </is>
      </c>
    </row>
    <row r="1579">
      <c r="A1579" t="n">
        <v/>
      </c>
      <c r="B1579" t="n">
        <v>1033203</v>
      </c>
      <c r="C1579" t="inlineStr">
        <is>
          <t>Performance Tuning</t>
        </is>
      </c>
      <c r="D1579" t="inlineStr">
        <is>
          <t>Secondary</t>
        </is>
      </c>
      <c r="E1579" t="inlineStr">
        <is>
          <t>Beginner</t>
        </is>
      </c>
      <c r="F1579" t="n">
        <v>1.4</v>
      </c>
      <c r="G1579" t="inlineStr">
        <is>
          <t>Technical</t>
        </is>
      </c>
      <c r="H1579" t="inlineStr">
        <is>
          <t>Yes</t>
        </is>
      </c>
      <c r="I1579" t="inlineStr">
        <is>
          <t>2023-08-16</t>
        </is>
      </c>
    </row>
    <row r="1580">
      <c r="A1580" t="n">
        <v/>
      </c>
      <c r="B1580" t="n">
        <v>1027414</v>
      </c>
      <c r="C1580" t="inlineStr">
        <is>
          <t>Cloud &amp; DevOps (AWS / K8s)</t>
        </is>
      </c>
      <c r="D1580" t="inlineStr">
        <is>
          <t>Primary</t>
        </is>
      </c>
      <c r="E1580" t="inlineStr">
        <is>
          <t>Intermediate</t>
        </is>
      </c>
      <c r="F1580" t="n">
        <v>2.6</v>
      </c>
      <c r="G1580" t="inlineStr">
        <is>
          <t>Technical</t>
        </is>
      </c>
      <c r="H1580" t="inlineStr">
        <is>
          <t>Yes</t>
        </is>
      </c>
      <c r="I1580" t="inlineStr">
        <is>
          <t>2021-12-01</t>
        </is>
      </c>
    </row>
    <row r="1581">
      <c r="A1581" t="n">
        <v/>
      </c>
      <c r="B1581" t="n">
        <v>1027414</v>
      </c>
      <c r="C1581" t="inlineStr">
        <is>
          <t>Docker</t>
        </is>
      </c>
      <c r="D1581" t="inlineStr">
        <is>
          <t>Secondary</t>
        </is>
      </c>
      <c r="E1581" t="inlineStr">
        <is>
          <t>Intermediate</t>
        </is>
      </c>
      <c r="F1581" t="n">
        <v>1.6</v>
      </c>
      <c r="G1581" t="inlineStr">
        <is>
          <t>Technical</t>
        </is>
      </c>
      <c r="H1581" t="inlineStr">
        <is>
          <t>Yes</t>
        </is>
      </c>
      <c r="I1581" t="inlineStr">
        <is>
          <t>2021-12-01</t>
        </is>
      </c>
    </row>
    <row r="1582">
      <c r="A1582" t="n">
        <v/>
      </c>
      <c r="B1582" t="n">
        <v>1027414</v>
      </c>
      <c r="C1582" t="inlineStr">
        <is>
          <t>Kubernetes</t>
        </is>
      </c>
      <c r="D1582" t="inlineStr">
        <is>
          <t>Secondary</t>
        </is>
      </c>
      <c r="E1582" t="inlineStr">
        <is>
          <t>Beginner</t>
        </is>
      </c>
      <c r="F1582" t="n">
        <v>1.2</v>
      </c>
      <c r="G1582" t="inlineStr">
        <is>
          <t>Technical</t>
        </is>
      </c>
      <c r="H1582" t="inlineStr">
        <is>
          <t>Yes</t>
        </is>
      </c>
      <c r="I1582" t="inlineStr">
        <is>
          <t>2021-12-01</t>
        </is>
      </c>
    </row>
    <row r="1583">
      <c r="A1583" t="n">
        <v/>
      </c>
      <c r="B1583" t="n">
        <v>1031052</v>
      </c>
      <c r="C1583" t="inlineStr">
        <is>
          <t>Java / Spring Boot</t>
        </is>
      </c>
      <c r="D1583" t="inlineStr">
        <is>
          <t>Primary</t>
        </is>
      </c>
      <c r="E1583" t="inlineStr">
        <is>
          <t>Intermediate</t>
        </is>
      </c>
      <c r="F1583" t="n">
        <v>1.7</v>
      </c>
      <c r="G1583" t="inlineStr">
        <is>
          <t>Technical</t>
        </is>
      </c>
      <c r="H1583" t="inlineStr">
        <is>
          <t>Yes</t>
        </is>
      </c>
      <c r="I1583" t="inlineStr">
        <is>
          <t>2022-11-24</t>
        </is>
      </c>
      <c r="J1583" t="inlineStr">
        <is>
          <t>Member</t>
        </is>
      </c>
    </row>
    <row r="1584">
      <c r="A1584" t="n">
        <v/>
      </c>
      <c r="B1584" t="n">
        <v>1031052</v>
      </c>
      <c r="C1584" t="inlineStr">
        <is>
          <t>SQL</t>
        </is>
      </c>
      <c r="D1584" t="inlineStr">
        <is>
          <t>Secondary</t>
        </is>
      </c>
      <c r="E1584" t="inlineStr">
        <is>
          <t>Beginner</t>
        </is>
      </c>
      <c r="F1584" t="n">
        <v>1</v>
      </c>
      <c r="G1584" t="inlineStr">
        <is>
          <t>Technical</t>
        </is>
      </c>
      <c r="H1584" t="inlineStr">
        <is>
          <t>Yes</t>
        </is>
      </c>
      <c r="I1584" t="inlineStr">
        <is>
          <t>2022-11-24</t>
        </is>
      </c>
      <c r="J1584" t="inlineStr">
        <is>
          <t>Member</t>
        </is>
      </c>
    </row>
    <row r="1585">
      <c r="A1585" t="n">
        <v/>
      </c>
      <c r="B1585" t="n">
        <v>1031052</v>
      </c>
      <c r="C1585" t="inlineStr">
        <is>
          <t>Docker</t>
        </is>
      </c>
      <c r="D1585" t="inlineStr">
        <is>
          <t>Secondary</t>
        </is>
      </c>
      <c r="E1585" t="inlineStr">
        <is>
          <t>Beginner</t>
        </is>
      </c>
      <c r="F1585" t="n">
        <v>0.8</v>
      </c>
      <c r="G1585" t="inlineStr">
        <is>
          <t>Technical</t>
        </is>
      </c>
      <c r="H1585" t="inlineStr">
        <is>
          <t>Yes</t>
        </is>
      </c>
      <c r="I1585" t="inlineStr">
        <is>
          <t>2022-11-24</t>
        </is>
      </c>
      <c r="J1585" t="inlineStr">
        <is>
          <t>Member</t>
        </is>
      </c>
    </row>
    <row r="1586">
      <c r="A1586" t="n">
        <v/>
      </c>
      <c r="B1586" t="n">
        <v>1030691</v>
      </c>
      <c r="C1586" t="inlineStr">
        <is>
          <t>IT Application &amp; Operations Support</t>
        </is>
      </c>
      <c r="D1586" t="inlineStr">
        <is>
          <t>Primary</t>
        </is>
      </c>
      <c r="E1586" t="inlineStr">
        <is>
          <t>Intermediate</t>
        </is>
      </c>
      <c r="F1586" t="n">
        <v>1.8</v>
      </c>
      <c r="G1586" t="inlineStr">
        <is>
          <t>Functional</t>
        </is>
      </c>
      <c r="H1586" t="inlineStr">
        <is>
          <t>Yes</t>
        </is>
      </c>
      <c r="I1586" t="inlineStr">
        <is>
          <t>2022-10-21</t>
        </is>
      </c>
    </row>
    <row r="1587">
      <c r="A1587" t="n">
        <v/>
      </c>
      <c r="B1587" t="n">
        <v>1030691</v>
      </c>
      <c r="C1587" t="inlineStr">
        <is>
          <t>Incident Management</t>
        </is>
      </c>
      <c r="D1587" t="inlineStr">
        <is>
          <t>Secondary</t>
        </is>
      </c>
      <c r="E1587" t="inlineStr">
        <is>
          <t>Beginner</t>
        </is>
      </c>
      <c r="F1587" t="n">
        <v>1.1</v>
      </c>
      <c r="G1587" t="inlineStr">
        <is>
          <t>Functional</t>
        </is>
      </c>
      <c r="H1587" t="inlineStr">
        <is>
          <t>Yes</t>
        </is>
      </c>
      <c r="I1587" t="inlineStr">
        <is>
          <t>2022-10-21</t>
        </is>
      </c>
    </row>
    <row r="1588">
      <c r="A1588" t="n">
        <v/>
      </c>
      <c r="B1588" t="n">
        <v>1030691</v>
      </c>
      <c r="C1588" t="inlineStr">
        <is>
          <t>Production Support</t>
        </is>
      </c>
      <c r="D1588" t="inlineStr">
        <is>
          <t>Secondary</t>
        </is>
      </c>
      <c r="E1588" t="inlineStr">
        <is>
          <t>Beginner</t>
        </is>
      </c>
      <c r="F1588" t="n">
        <v>0.8</v>
      </c>
      <c r="G1588" t="inlineStr">
        <is>
          <t>Functional</t>
        </is>
      </c>
      <c r="H1588" t="inlineStr">
        <is>
          <t>Yes</t>
        </is>
      </c>
      <c r="I1588" t="inlineStr">
        <is>
          <t>2022-10-21</t>
        </is>
      </c>
    </row>
    <row r="1589">
      <c r="A1589" t="n">
        <v/>
      </c>
      <c r="B1589" t="n">
        <v>1032905</v>
      </c>
      <c r="C1589" t="inlineStr">
        <is>
          <t>IT Application &amp; Operations Support</t>
        </is>
      </c>
      <c r="D1589" t="inlineStr">
        <is>
          <t>Primary</t>
        </is>
      </c>
      <c r="E1589" t="inlineStr">
        <is>
          <t>Advanced</t>
        </is>
      </c>
      <c r="F1589" t="n">
        <v>4.8</v>
      </c>
      <c r="G1589" t="inlineStr">
        <is>
          <t>Functional</t>
        </is>
      </c>
      <c r="H1589" t="inlineStr">
        <is>
          <t>Yes</t>
        </is>
      </c>
      <c r="I1589" t="inlineStr">
        <is>
          <t>2023-06-07</t>
        </is>
      </c>
    </row>
    <row r="1590">
      <c r="A1590" t="n">
        <v/>
      </c>
      <c r="B1590" t="n">
        <v>1032905</v>
      </c>
      <c r="C1590" t="inlineStr">
        <is>
          <t>Incident Management</t>
        </is>
      </c>
      <c r="D1590" t="inlineStr">
        <is>
          <t>Secondary</t>
        </is>
      </c>
      <c r="E1590" t="inlineStr">
        <is>
          <t>Intermediate</t>
        </is>
      </c>
      <c r="F1590" t="n">
        <v>2.9</v>
      </c>
      <c r="G1590" t="inlineStr">
        <is>
          <t>Functional</t>
        </is>
      </c>
      <c r="H1590" t="inlineStr">
        <is>
          <t>Yes</t>
        </is>
      </c>
      <c r="I1590" t="inlineStr">
        <is>
          <t>2023-06-07</t>
        </is>
      </c>
    </row>
    <row r="1591">
      <c r="A1591" t="n">
        <v/>
      </c>
      <c r="B1591" t="n">
        <v>1032905</v>
      </c>
      <c r="C1591" t="inlineStr">
        <is>
          <t>Production Support</t>
        </is>
      </c>
      <c r="D1591" t="inlineStr">
        <is>
          <t>Secondary</t>
        </is>
      </c>
      <c r="E1591" t="inlineStr">
        <is>
          <t>Intermediate</t>
        </is>
      </c>
      <c r="F1591" t="n">
        <v>2.2</v>
      </c>
      <c r="G1591" t="inlineStr">
        <is>
          <t>Functional</t>
        </is>
      </c>
      <c r="H1591" t="inlineStr">
        <is>
          <t>Yes</t>
        </is>
      </c>
      <c r="I1591" t="inlineStr">
        <is>
          <t>2023-06-07</t>
        </is>
      </c>
    </row>
    <row r="1592">
      <c r="A1592" t="n">
        <v/>
      </c>
      <c r="B1592" t="n">
        <v>1032905</v>
      </c>
      <c r="C1592" t="inlineStr">
        <is>
          <t>SQL</t>
        </is>
      </c>
      <c r="D1592" t="inlineStr">
        <is>
          <t>Secondary</t>
        </is>
      </c>
      <c r="E1592" t="inlineStr">
        <is>
          <t>Beginner</t>
        </is>
      </c>
      <c r="F1592" t="n">
        <v>1.4</v>
      </c>
      <c r="G1592" t="inlineStr">
        <is>
          <t>Functional</t>
        </is>
      </c>
      <c r="H1592" t="inlineStr">
        <is>
          <t>Yes</t>
        </is>
      </c>
      <c r="I1592" t="inlineStr">
        <is>
          <t>2023-06-07</t>
        </is>
      </c>
    </row>
    <row r="1593">
      <c r="A1593" t="n">
        <v/>
      </c>
      <c r="B1593" t="n">
        <v>1031060</v>
      </c>
      <c r="C1593" t="inlineStr">
        <is>
          <t>Python / Data Engineering</t>
        </is>
      </c>
      <c r="D1593" t="inlineStr">
        <is>
          <t>Primary</t>
        </is>
      </c>
      <c r="E1593" t="inlineStr">
        <is>
          <t>Intermediate</t>
        </is>
      </c>
      <c r="F1593" t="n">
        <v>1.7</v>
      </c>
      <c r="G1593" t="inlineStr">
        <is>
          <t>Technical</t>
        </is>
      </c>
      <c r="H1593" t="inlineStr">
        <is>
          <t>Yes</t>
        </is>
      </c>
      <c r="I1593" t="inlineStr">
        <is>
          <t>2022-11-24</t>
        </is>
      </c>
    </row>
    <row r="1594">
      <c r="A1594" t="n">
        <v/>
      </c>
      <c r="B1594" t="n">
        <v>1031060</v>
      </c>
      <c r="C1594" t="inlineStr">
        <is>
          <t>SQL</t>
        </is>
      </c>
      <c r="D1594" t="inlineStr">
        <is>
          <t>Secondary</t>
        </is>
      </c>
      <c r="E1594" t="inlineStr">
        <is>
          <t>Beginner</t>
        </is>
      </c>
      <c r="F1594" t="n">
        <v>1</v>
      </c>
      <c r="G1594" t="inlineStr">
        <is>
          <t>Technical</t>
        </is>
      </c>
      <c r="H1594" t="inlineStr">
        <is>
          <t>Yes</t>
        </is>
      </c>
      <c r="I1594" t="inlineStr">
        <is>
          <t>2022-11-24</t>
        </is>
      </c>
    </row>
    <row r="1595">
      <c r="A1595" t="n">
        <v/>
      </c>
      <c r="B1595" t="n">
        <v>1031060</v>
      </c>
      <c r="C1595" t="inlineStr">
        <is>
          <t>Docker</t>
        </is>
      </c>
      <c r="D1595" t="inlineStr">
        <is>
          <t>Secondary</t>
        </is>
      </c>
      <c r="E1595" t="inlineStr">
        <is>
          <t>Beginner</t>
        </is>
      </c>
      <c r="F1595" t="n">
        <v>0.8</v>
      </c>
      <c r="G1595" t="inlineStr">
        <is>
          <t>Technical</t>
        </is>
      </c>
      <c r="H1595" t="inlineStr">
        <is>
          <t>Yes</t>
        </is>
      </c>
      <c r="I1595" t="inlineStr">
        <is>
          <t>2022-11-24</t>
        </is>
      </c>
    </row>
    <row r="1596">
      <c r="A1596" t="n">
        <v/>
      </c>
      <c r="B1596" t="n">
        <v>1026937</v>
      </c>
      <c r="C1596" t="inlineStr">
        <is>
          <t>QA Automation / SDET</t>
        </is>
      </c>
      <c r="D1596" t="inlineStr">
        <is>
          <t>Primary</t>
        </is>
      </c>
      <c r="E1596" t="inlineStr">
        <is>
          <t>Advanced</t>
        </is>
      </c>
      <c r="F1596" t="n">
        <v>6.3</v>
      </c>
      <c r="G1596" t="inlineStr">
        <is>
          <t>Technical</t>
        </is>
      </c>
      <c r="H1596" t="inlineStr">
        <is>
          <t>Yes</t>
        </is>
      </c>
      <c r="I1596" t="inlineStr">
        <is>
          <t>2021-10-22</t>
        </is>
      </c>
    </row>
    <row r="1597">
      <c r="A1597" t="n">
        <v/>
      </c>
      <c r="B1597" t="n">
        <v>1026937</v>
      </c>
      <c r="C1597" t="inlineStr">
        <is>
          <t>Selenium</t>
        </is>
      </c>
      <c r="D1597" t="inlineStr">
        <is>
          <t>Secondary</t>
        </is>
      </c>
      <c r="E1597" t="inlineStr">
        <is>
          <t>Intermediate</t>
        </is>
      </c>
      <c r="F1597" t="n">
        <v>3.8</v>
      </c>
      <c r="G1597" t="inlineStr">
        <is>
          <t>Technical</t>
        </is>
      </c>
      <c r="H1597" t="inlineStr">
        <is>
          <t>Yes</t>
        </is>
      </c>
      <c r="I1597" t="inlineStr">
        <is>
          <t>2021-10-22</t>
        </is>
      </c>
    </row>
    <row r="1598">
      <c r="A1598" t="n">
        <v/>
      </c>
      <c r="B1598" t="n">
        <v>1026937</v>
      </c>
      <c r="C1598" t="inlineStr">
        <is>
          <t>API Testing (Postman)</t>
        </is>
      </c>
      <c r="D1598" t="inlineStr">
        <is>
          <t>Secondary</t>
        </is>
      </c>
      <c r="E1598" t="inlineStr">
        <is>
          <t>Intermediate</t>
        </is>
      </c>
      <c r="F1598" t="n">
        <v>2.8</v>
      </c>
      <c r="G1598" t="inlineStr">
        <is>
          <t>Technical</t>
        </is>
      </c>
      <c r="H1598" t="inlineStr">
        <is>
          <t>Yes</t>
        </is>
      </c>
      <c r="I1598" t="inlineStr">
        <is>
          <t>2021-10-22</t>
        </is>
      </c>
    </row>
    <row r="1599">
      <c r="A1599" t="n">
        <v/>
      </c>
      <c r="B1599" t="n">
        <v>1026937</v>
      </c>
      <c r="C1599" t="inlineStr">
        <is>
          <t>TestNG</t>
        </is>
      </c>
      <c r="D1599" t="inlineStr">
        <is>
          <t>Secondary</t>
        </is>
      </c>
      <c r="E1599" t="inlineStr">
        <is>
          <t>Intermediate</t>
        </is>
      </c>
      <c r="F1599" t="n">
        <v>1.9</v>
      </c>
      <c r="G1599" t="inlineStr">
        <is>
          <t>Technical</t>
        </is>
      </c>
      <c r="H1599" t="inlineStr">
        <is>
          <t>Yes</t>
        </is>
      </c>
      <c r="I1599" t="inlineStr">
        <is>
          <t>2021-10-22</t>
        </is>
      </c>
    </row>
    <row r="1600">
      <c r="A1600" t="n">
        <v/>
      </c>
      <c r="B1600" t="n">
        <v>1026164</v>
      </c>
      <c r="C1600" t="inlineStr">
        <is>
          <t>Cloud &amp; DevOps (AWS / K8s)</t>
        </is>
      </c>
      <c r="D1600" t="inlineStr">
        <is>
          <t>Primary</t>
        </is>
      </c>
      <c r="E1600" t="inlineStr">
        <is>
          <t>Advanced</t>
        </is>
      </c>
      <c r="F1600" t="n">
        <v>6.4</v>
      </c>
      <c r="G1600" t="inlineStr">
        <is>
          <t>Technical</t>
        </is>
      </c>
      <c r="H1600" t="inlineStr">
        <is>
          <t>Yes</t>
        </is>
      </c>
      <c r="I1600" t="inlineStr">
        <is>
          <t>2021-08-17</t>
        </is>
      </c>
    </row>
    <row r="1601">
      <c r="A1601" t="n">
        <v/>
      </c>
      <c r="B1601" t="n">
        <v>1026164</v>
      </c>
      <c r="C1601" t="inlineStr">
        <is>
          <t>Docker</t>
        </is>
      </c>
      <c r="D1601" t="inlineStr">
        <is>
          <t>Secondary</t>
        </is>
      </c>
      <c r="E1601" t="inlineStr">
        <is>
          <t>Intermediate</t>
        </is>
      </c>
      <c r="F1601" t="n">
        <v>3.8</v>
      </c>
      <c r="G1601" t="inlineStr">
        <is>
          <t>Technical</t>
        </is>
      </c>
      <c r="H1601" t="inlineStr">
        <is>
          <t>Yes</t>
        </is>
      </c>
      <c r="I1601" t="inlineStr">
        <is>
          <t>2021-08-17</t>
        </is>
      </c>
    </row>
    <row r="1602">
      <c r="A1602" t="n">
        <v/>
      </c>
      <c r="B1602" t="n">
        <v>1026164</v>
      </c>
      <c r="C1602" t="inlineStr">
        <is>
          <t>Kubernetes</t>
        </is>
      </c>
      <c r="D1602" t="inlineStr">
        <is>
          <t>Secondary</t>
        </is>
      </c>
      <c r="E1602" t="inlineStr">
        <is>
          <t>Intermediate</t>
        </is>
      </c>
      <c r="F1602" t="n">
        <v>2.9</v>
      </c>
      <c r="G1602" t="inlineStr">
        <is>
          <t>Technical</t>
        </is>
      </c>
      <c r="H1602" t="inlineStr">
        <is>
          <t>Yes</t>
        </is>
      </c>
      <c r="I1602" t="inlineStr">
        <is>
          <t>2021-08-17</t>
        </is>
      </c>
    </row>
    <row r="1603">
      <c r="A1603" t="n">
        <v/>
      </c>
      <c r="B1603" t="n">
        <v>1026164</v>
      </c>
      <c r="C1603" t="inlineStr">
        <is>
          <t>Linux</t>
        </is>
      </c>
      <c r="D1603" t="inlineStr">
        <is>
          <t>Secondary</t>
        </is>
      </c>
      <c r="E1603" t="inlineStr">
        <is>
          <t>Intermediate</t>
        </is>
      </c>
      <c r="F1603" t="n">
        <v>1.9</v>
      </c>
      <c r="G1603" t="inlineStr">
        <is>
          <t>Technical</t>
        </is>
      </c>
      <c r="H1603" t="inlineStr">
        <is>
          <t>Yes</t>
        </is>
      </c>
      <c r="I1603" t="inlineStr">
        <is>
          <t>2021-08-17</t>
        </is>
      </c>
    </row>
    <row r="1604">
      <c r="A1604" t="n">
        <v/>
      </c>
      <c r="B1604" t="n">
        <v>1024830</v>
      </c>
      <c r="C1604" t="inlineStr">
        <is>
          <t>QA Automation / SDET</t>
        </is>
      </c>
      <c r="D1604" t="inlineStr">
        <is>
          <t>Primary</t>
        </is>
      </c>
      <c r="E1604" t="inlineStr">
        <is>
          <t>Advanced</t>
        </is>
      </c>
      <c r="F1604" t="n">
        <v>6.8</v>
      </c>
      <c r="G1604" t="inlineStr">
        <is>
          <t>Technical</t>
        </is>
      </c>
      <c r="H1604" t="inlineStr">
        <is>
          <t>Yes</t>
        </is>
      </c>
      <c r="I1604" t="inlineStr">
        <is>
          <t>2021-03-19</t>
        </is>
      </c>
    </row>
    <row r="1605">
      <c r="A1605" t="n">
        <v/>
      </c>
      <c r="B1605" t="n">
        <v>1024830</v>
      </c>
      <c r="C1605" t="inlineStr">
        <is>
          <t>Selenium</t>
        </is>
      </c>
      <c r="D1605" t="inlineStr">
        <is>
          <t>Secondary</t>
        </is>
      </c>
      <c r="E1605" t="inlineStr">
        <is>
          <t>Intermediate</t>
        </is>
      </c>
      <c r="F1605" t="n">
        <v>4.1</v>
      </c>
      <c r="G1605" t="inlineStr">
        <is>
          <t>Technical</t>
        </is>
      </c>
      <c r="H1605" t="inlineStr">
        <is>
          <t>Yes</t>
        </is>
      </c>
      <c r="I1605" t="inlineStr">
        <is>
          <t>2021-03-19</t>
        </is>
      </c>
    </row>
    <row r="1606">
      <c r="A1606" t="n">
        <v/>
      </c>
      <c r="B1606" t="n">
        <v>1024830</v>
      </c>
      <c r="C1606" t="inlineStr">
        <is>
          <t>API Testing (Postman)</t>
        </is>
      </c>
      <c r="D1606" t="inlineStr">
        <is>
          <t>Secondary</t>
        </is>
      </c>
      <c r="E1606" t="inlineStr">
        <is>
          <t>Intermediate</t>
        </is>
      </c>
      <c r="F1606" t="n">
        <v>3.1</v>
      </c>
      <c r="G1606" t="inlineStr">
        <is>
          <t>Technical</t>
        </is>
      </c>
      <c r="H1606" t="inlineStr">
        <is>
          <t>Yes</t>
        </is>
      </c>
      <c r="I1606" t="inlineStr">
        <is>
          <t>2021-03-19</t>
        </is>
      </c>
    </row>
    <row r="1607">
      <c r="A1607" t="n">
        <v/>
      </c>
      <c r="B1607" t="n">
        <v>1024830</v>
      </c>
      <c r="C1607" t="inlineStr">
        <is>
          <t>TestNG</t>
        </is>
      </c>
      <c r="D1607" t="inlineStr">
        <is>
          <t>Secondary</t>
        </is>
      </c>
      <c r="E1607" t="inlineStr">
        <is>
          <t>Intermediate</t>
        </is>
      </c>
      <c r="F1607" t="n">
        <v>2</v>
      </c>
      <c r="G1607" t="inlineStr">
        <is>
          <t>Technical</t>
        </is>
      </c>
      <c r="H1607" t="inlineStr">
        <is>
          <t>Yes</t>
        </is>
      </c>
      <c r="I1607" t="inlineStr">
        <is>
          <t>2021-03-19</t>
        </is>
      </c>
    </row>
    <row r="1608">
      <c r="A1608" t="n">
        <v/>
      </c>
      <c r="B1608" t="n">
        <v>1027021</v>
      </c>
      <c r="C1608" t="inlineStr">
        <is>
          <t>QA Automation / SDET</t>
        </is>
      </c>
      <c r="D1608" t="inlineStr">
        <is>
          <t>Primary</t>
        </is>
      </c>
      <c r="E1608" t="inlineStr">
        <is>
          <t>Advanced</t>
        </is>
      </c>
      <c r="F1608" t="n">
        <v>6.3</v>
      </c>
      <c r="G1608" t="inlineStr">
        <is>
          <t>Technical</t>
        </is>
      </c>
      <c r="H1608" t="inlineStr">
        <is>
          <t>Yes</t>
        </is>
      </c>
      <c r="I1608" t="inlineStr">
        <is>
          <t>2021-10-29</t>
        </is>
      </c>
    </row>
    <row r="1609">
      <c r="A1609" t="n">
        <v/>
      </c>
      <c r="B1609" t="n">
        <v>1027021</v>
      </c>
      <c r="C1609" t="inlineStr">
        <is>
          <t>Selenium</t>
        </is>
      </c>
      <c r="D1609" t="inlineStr">
        <is>
          <t>Secondary</t>
        </is>
      </c>
      <c r="E1609" t="inlineStr">
        <is>
          <t>Intermediate</t>
        </is>
      </c>
      <c r="F1609" t="n">
        <v>3.8</v>
      </c>
      <c r="G1609" t="inlineStr">
        <is>
          <t>Technical</t>
        </is>
      </c>
      <c r="H1609" t="inlineStr">
        <is>
          <t>Yes</t>
        </is>
      </c>
      <c r="I1609" t="inlineStr">
        <is>
          <t>2021-10-29</t>
        </is>
      </c>
    </row>
    <row r="1610">
      <c r="A1610" t="n">
        <v/>
      </c>
      <c r="B1610" t="n">
        <v>1027021</v>
      </c>
      <c r="C1610" t="inlineStr">
        <is>
          <t>API Testing (Postman)</t>
        </is>
      </c>
      <c r="D1610" t="inlineStr">
        <is>
          <t>Secondary</t>
        </is>
      </c>
      <c r="E1610" t="inlineStr">
        <is>
          <t>Intermediate</t>
        </is>
      </c>
      <c r="F1610" t="n">
        <v>2.8</v>
      </c>
      <c r="G1610" t="inlineStr">
        <is>
          <t>Technical</t>
        </is>
      </c>
      <c r="H1610" t="inlineStr">
        <is>
          <t>Yes</t>
        </is>
      </c>
      <c r="I1610" t="inlineStr">
        <is>
          <t>2021-10-29</t>
        </is>
      </c>
    </row>
    <row r="1611">
      <c r="A1611" t="n">
        <v/>
      </c>
      <c r="B1611" t="n">
        <v>1027021</v>
      </c>
      <c r="C1611" t="inlineStr">
        <is>
          <t>TestNG</t>
        </is>
      </c>
      <c r="D1611" t="inlineStr">
        <is>
          <t>Secondary</t>
        </is>
      </c>
      <c r="E1611" t="inlineStr">
        <is>
          <t>Intermediate</t>
        </is>
      </c>
      <c r="F1611" t="n">
        <v>1.9</v>
      </c>
      <c r="G1611" t="inlineStr">
        <is>
          <t>Technical</t>
        </is>
      </c>
      <c r="H1611" t="inlineStr">
        <is>
          <t>Yes</t>
        </is>
      </c>
      <c r="I1611" t="inlineStr">
        <is>
          <t>2021-10-29</t>
        </is>
      </c>
    </row>
    <row r="1612">
      <c r="A1612" t="n">
        <v/>
      </c>
      <c r="B1612" t="n">
        <v>1028139</v>
      </c>
      <c r="C1612" t="inlineStr">
        <is>
          <t>Cloud &amp; DevOps (AWS / K8s)</t>
        </is>
      </c>
      <c r="D1612" t="inlineStr">
        <is>
          <t>Primary</t>
        </is>
      </c>
      <c r="E1612" t="inlineStr">
        <is>
          <t>Advanced</t>
        </is>
      </c>
      <c r="F1612" t="n">
        <v>6</v>
      </c>
      <c r="G1612" t="inlineStr">
        <is>
          <t>Technical</t>
        </is>
      </c>
      <c r="H1612" t="inlineStr">
        <is>
          <t>Yes</t>
        </is>
      </c>
      <c r="I1612" t="inlineStr">
        <is>
          <t>2022-01-24</t>
        </is>
      </c>
    </row>
    <row r="1613">
      <c r="A1613" t="n">
        <v/>
      </c>
      <c r="B1613" t="n">
        <v>1028139</v>
      </c>
      <c r="C1613" t="inlineStr">
        <is>
          <t>Docker</t>
        </is>
      </c>
      <c r="D1613" t="inlineStr">
        <is>
          <t>Secondary</t>
        </is>
      </c>
      <c r="E1613" t="inlineStr">
        <is>
          <t>Intermediate</t>
        </is>
      </c>
      <c r="F1613" t="n">
        <v>3.6</v>
      </c>
      <c r="G1613" t="inlineStr">
        <is>
          <t>Technical</t>
        </is>
      </c>
      <c r="H1613" t="inlineStr">
        <is>
          <t>Yes</t>
        </is>
      </c>
      <c r="I1613" t="inlineStr">
        <is>
          <t>2022-01-24</t>
        </is>
      </c>
    </row>
    <row r="1614">
      <c r="A1614" t="n">
        <v/>
      </c>
      <c r="B1614" t="n">
        <v>1028139</v>
      </c>
      <c r="C1614" t="inlineStr">
        <is>
          <t>Kubernetes</t>
        </is>
      </c>
      <c r="D1614" t="inlineStr">
        <is>
          <t>Secondary</t>
        </is>
      </c>
      <c r="E1614" t="inlineStr">
        <is>
          <t>Intermediate</t>
        </is>
      </c>
      <c r="F1614" t="n">
        <v>2.7</v>
      </c>
      <c r="G1614" t="inlineStr">
        <is>
          <t>Technical</t>
        </is>
      </c>
      <c r="H1614" t="inlineStr">
        <is>
          <t>Yes</t>
        </is>
      </c>
      <c r="I1614" t="inlineStr">
        <is>
          <t>2022-01-24</t>
        </is>
      </c>
    </row>
    <row r="1615">
      <c r="A1615" t="n">
        <v/>
      </c>
      <c r="B1615" t="n">
        <v>1028139</v>
      </c>
      <c r="C1615" t="inlineStr">
        <is>
          <t>Linux</t>
        </is>
      </c>
      <c r="D1615" t="inlineStr">
        <is>
          <t>Secondary</t>
        </is>
      </c>
      <c r="E1615" t="inlineStr">
        <is>
          <t>Intermediate</t>
        </is>
      </c>
      <c r="F1615" t="n">
        <v>1.8</v>
      </c>
      <c r="G1615" t="inlineStr">
        <is>
          <t>Technical</t>
        </is>
      </c>
      <c r="H1615" t="inlineStr">
        <is>
          <t>Yes</t>
        </is>
      </c>
      <c r="I1615" t="inlineStr">
        <is>
          <t>2022-01-24</t>
        </is>
      </c>
    </row>
    <row r="1616">
      <c r="A1616" t="n">
        <v/>
      </c>
      <c r="B1616" t="n">
        <v>1027112</v>
      </c>
      <c r="C1616" t="inlineStr">
        <is>
          <t>QA Automation / SDET</t>
        </is>
      </c>
      <c r="D1616" t="inlineStr">
        <is>
          <t>Primary</t>
        </is>
      </c>
      <c r="E1616" t="inlineStr">
        <is>
          <t>Advanced</t>
        </is>
      </c>
      <c r="F1616" t="n">
        <v>6.2</v>
      </c>
      <c r="G1616" t="inlineStr">
        <is>
          <t>Technical</t>
        </is>
      </c>
      <c r="H1616" t="inlineStr">
        <is>
          <t>Yes</t>
        </is>
      </c>
      <c r="I1616" t="inlineStr">
        <is>
          <t>2021-11-08</t>
        </is>
      </c>
    </row>
    <row r="1617">
      <c r="A1617" t="n">
        <v/>
      </c>
      <c r="B1617" t="n">
        <v>1027112</v>
      </c>
      <c r="C1617" t="inlineStr">
        <is>
          <t>Selenium</t>
        </is>
      </c>
      <c r="D1617" t="inlineStr">
        <is>
          <t>Secondary</t>
        </is>
      </c>
      <c r="E1617" t="inlineStr">
        <is>
          <t>Intermediate</t>
        </is>
      </c>
      <c r="F1617" t="n">
        <v>3.7</v>
      </c>
      <c r="G1617" t="inlineStr">
        <is>
          <t>Technical</t>
        </is>
      </c>
      <c r="H1617" t="inlineStr">
        <is>
          <t>Yes</t>
        </is>
      </c>
      <c r="I1617" t="inlineStr">
        <is>
          <t>2021-11-08</t>
        </is>
      </c>
    </row>
    <row r="1618">
      <c r="A1618" t="n">
        <v/>
      </c>
      <c r="B1618" t="n">
        <v>1027112</v>
      </c>
      <c r="C1618" t="inlineStr">
        <is>
          <t>API Testing (Postman)</t>
        </is>
      </c>
      <c r="D1618" t="inlineStr">
        <is>
          <t>Secondary</t>
        </is>
      </c>
      <c r="E1618" t="inlineStr">
        <is>
          <t>Intermediate</t>
        </is>
      </c>
      <c r="F1618" t="n">
        <v>2.8</v>
      </c>
      <c r="G1618" t="inlineStr">
        <is>
          <t>Technical</t>
        </is>
      </c>
      <c r="H1618" t="inlineStr">
        <is>
          <t>Yes</t>
        </is>
      </c>
      <c r="I1618" t="inlineStr">
        <is>
          <t>2021-11-08</t>
        </is>
      </c>
    </row>
    <row r="1619">
      <c r="A1619" t="n">
        <v/>
      </c>
      <c r="B1619" t="n">
        <v>1027112</v>
      </c>
      <c r="C1619" t="inlineStr">
        <is>
          <t>TestNG</t>
        </is>
      </c>
      <c r="D1619" t="inlineStr">
        <is>
          <t>Secondary</t>
        </is>
      </c>
      <c r="E1619" t="inlineStr">
        <is>
          <t>Intermediate</t>
        </is>
      </c>
      <c r="F1619" t="n">
        <v>1.9</v>
      </c>
      <c r="G1619" t="inlineStr">
        <is>
          <t>Technical</t>
        </is>
      </c>
      <c r="H1619" t="inlineStr">
        <is>
          <t>Yes</t>
        </is>
      </c>
      <c r="I1619" t="inlineStr">
        <is>
          <t>2021-11-08</t>
        </is>
      </c>
    </row>
    <row r="1620">
      <c r="A1620" t="n">
        <v/>
      </c>
      <c r="B1620" t="n">
        <v>1026361</v>
      </c>
      <c r="C1620" t="inlineStr">
        <is>
          <t>QA Automation / SDET</t>
        </is>
      </c>
      <c r="D1620" t="inlineStr">
        <is>
          <t>Primary</t>
        </is>
      </c>
      <c r="E1620" t="inlineStr">
        <is>
          <t>Advanced</t>
        </is>
      </c>
      <c r="F1620" t="n">
        <v>6.4</v>
      </c>
      <c r="G1620" t="inlineStr">
        <is>
          <t>Technical</t>
        </is>
      </c>
      <c r="H1620" t="inlineStr">
        <is>
          <t>Yes</t>
        </is>
      </c>
      <c r="I1620" t="inlineStr">
        <is>
          <t>2021-09-07</t>
        </is>
      </c>
    </row>
    <row r="1621">
      <c r="A1621" t="n">
        <v/>
      </c>
      <c r="B1621" t="n">
        <v>1026361</v>
      </c>
      <c r="C1621" t="inlineStr">
        <is>
          <t>Selenium</t>
        </is>
      </c>
      <c r="D1621" t="inlineStr">
        <is>
          <t>Secondary</t>
        </is>
      </c>
      <c r="E1621" t="inlineStr">
        <is>
          <t>Intermediate</t>
        </is>
      </c>
      <c r="F1621" t="n">
        <v>3.8</v>
      </c>
      <c r="G1621" t="inlineStr">
        <is>
          <t>Technical</t>
        </is>
      </c>
      <c r="H1621" t="inlineStr">
        <is>
          <t>Yes</t>
        </is>
      </c>
      <c r="I1621" t="inlineStr">
        <is>
          <t>2021-09-07</t>
        </is>
      </c>
    </row>
    <row r="1622">
      <c r="A1622" t="n">
        <v/>
      </c>
      <c r="B1622" t="n">
        <v>1026361</v>
      </c>
      <c r="C1622" t="inlineStr">
        <is>
          <t>API Testing (Postman)</t>
        </is>
      </c>
      <c r="D1622" t="inlineStr">
        <is>
          <t>Secondary</t>
        </is>
      </c>
      <c r="E1622" t="inlineStr">
        <is>
          <t>Intermediate</t>
        </is>
      </c>
      <c r="F1622" t="n">
        <v>2.9</v>
      </c>
      <c r="G1622" t="inlineStr">
        <is>
          <t>Technical</t>
        </is>
      </c>
      <c r="H1622" t="inlineStr">
        <is>
          <t>Yes</t>
        </is>
      </c>
      <c r="I1622" t="inlineStr">
        <is>
          <t>2021-09-07</t>
        </is>
      </c>
    </row>
    <row r="1623">
      <c r="A1623" t="n">
        <v/>
      </c>
      <c r="B1623" t="n">
        <v>1026361</v>
      </c>
      <c r="C1623" t="inlineStr">
        <is>
          <t>TestNG</t>
        </is>
      </c>
      <c r="D1623" t="inlineStr">
        <is>
          <t>Secondary</t>
        </is>
      </c>
      <c r="E1623" t="inlineStr">
        <is>
          <t>Intermediate</t>
        </is>
      </c>
      <c r="F1623" t="n">
        <v>1.9</v>
      </c>
      <c r="G1623" t="inlineStr">
        <is>
          <t>Technical</t>
        </is>
      </c>
      <c r="H1623" t="inlineStr">
        <is>
          <t>Yes</t>
        </is>
      </c>
      <c r="I1623" t="inlineStr">
        <is>
          <t>2021-09-07</t>
        </is>
      </c>
    </row>
    <row r="1624">
      <c r="A1624" t="n">
        <v/>
      </c>
      <c r="B1624" t="n">
        <v>1027973</v>
      </c>
      <c r="C1624" t="inlineStr">
        <is>
          <t>QA Automation / SDET</t>
        </is>
      </c>
      <c r="D1624" t="inlineStr">
        <is>
          <t>Primary</t>
        </is>
      </c>
      <c r="E1624" t="inlineStr">
        <is>
          <t>Advanced</t>
        </is>
      </c>
      <c r="F1624" t="n">
        <v>6.1</v>
      </c>
      <c r="G1624" t="inlineStr">
        <is>
          <t>Technical</t>
        </is>
      </c>
      <c r="H1624" t="inlineStr">
        <is>
          <t>Yes</t>
        </is>
      </c>
      <c r="I1624" t="inlineStr">
        <is>
          <t>2022-01-10</t>
        </is>
      </c>
    </row>
    <row r="1625">
      <c r="A1625" t="n">
        <v/>
      </c>
      <c r="B1625" t="n">
        <v>1027973</v>
      </c>
      <c r="C1625" t="inlineStr">
        <is>
          <t>Selenium</t>
        </is>
      </c>
      <c r="D1625" t="inlineStr">
        <is>
          <t>Secondary</t>
        </is>
      </c>
      <c r="E1625" t="inlineStr">
        <is>
          <t>Intermediate</t>
        </is>
      </c>
      <c r="F1625" t="n">
        <v>3.7</v>
      </c>
      <c r="G1625" t="inlineStr">
        <is>
          <t>Technical</t>
        </is>
      </c>
      <c r="H1625" t="inlineStr">
        <is>
          <t>Yes</t>
        </is>
      </c>
      <c r="I1625" t="inlineStr">
        <is>
          <t>2022-01-10</t>
        </is>
      </c>
    </row>
    <row r="1626">
      <c r="A1626" t="n">
        <v/>
      </c>
      <c r="B1626" t="n">
        <v>1027973</v>
      </c>
      <c r="C1626" t="inlineStr">
        <is>
          <t>API Testing (Postman)</t>
        </is>
      </c>
      <c r="D1626" t="inlineStr">
        <is>
          <t>Secondary</t>
        </is>
      </c>
      <c r="E1626" t="inlineStr">
        <is>
          <t>Intermediate</t>
        </is>
      </c>
      <c r="F1626" t="n">
        <v>2.7</v>
      </c>
      <c r="G1626" t="inlineStr">
        <is>
          <t>Technical</t>
        </is>
      </c>
      <c r="H1626" t="inlineStr">
        <is>
          <t>Yes</t>
        </is>
      </c>
      <c r="I1626" t="inlineStr">
        <is>
          <t>2022-01-10</t>
        </is>
      </c>
    </row>
    <row r="1627">
      <c r="A1627" t="n">
        <v/>
      </c>
      <c r="B1627" t="n">
        <v>1027973</v>
      </c>
      <c r="C1627" t="inlineStr">
        <is>
          <t>TestNG</t>
        </is>
      </c>
      <c r="D1627" t="inlineStr">
        <is>
          <t>Secondary</t>
        </is>
      </c>
      <c r="E1627" t="inlineStr">
        <is>
          <t>Intermediate</t>
        </is>
      </c>
      <c r="F1627" t="n">
        <v>1.8</v>
      </c>
      <c r="G1627" t="inlineStr">
        <is>
          <t>Technical</t>
        </is>
      </c>
      <c r="H1627" t="inlineStr">
        <is>
          <t>Yes</t>
        </is>
      </c>
      <c r="I1627" t="inlineStr">
        <is>
          <t>2022-01-10</t>
        </is>
      </c>
    </row>
    <row r="1628">
      <c r="A1628" t="n">
        <v/>
      </c>
      <c r="B1628" t="n">
        <v>1026244</v>
      </c>
      <c r="C1628" t="inlineStr">
        <is>
          <t>Cloud &amp; DevOps (AWS / K8s)</t>
        </is>
      </c>
      <c r="D1628" t="inlineStr">
        <is>
          <t>Primary</t>
        </is>
      </c>
      <c r="E1628" t="inlineStr">
        <is>
          <t>Advanced</t>
        </is>
      </c>
      <c r="F1628" t="n">
        <v>6.4</v>
      </c>
      <c r="G1628" t="inlineStr">
        <is>
          <t>Technical</t>
        </is>
      </c>
      <c r="H1628" t="inlineStr">
        <is>
          <t>Yes</t>
        </is>
      </c>
      <c r="I1628" t="inlineStr">
        <is>
          <t>2021-08-25</t>
        </is>
      </c>
    </row>
    <row r="1629">
      <c r="A1629" t="n">
        <v/>
      </c>
      <c r="B1629" t="n">
        <v>1026244</v>
      </c>
      <c r="C1629" t="inlineStr">
        <is>
          <t>Docker</t>
        </is>
      </c>
      <c r="D1629" t="inlineStr">
        <is>
          <t>Secondary</t>
        </is>
      </c>
      <c r="E1629" t="inlineStr">
        <is>
          <t>Intermediate</t>
        </is>
      </c>
      <c r="F1629" t="n">
        <v>3.8</v>
      </c>
      <c r="G1629" t="inlineStr">
        <is>
          <t>Technical</t>
        </is>
      </c>
      <c r="H1629" t="inlineStr">
        <is>
          <t>Yes</t>
        </is>
      </c>
      <c r="I1629" t="inlineStr">
        <is>
          <t>2021-08-25</t>
        </is>
      </c>
    </row>
    <row r="1630">
      <c r="A1630" t="n">
        <v/>
      </c>
      <c r="B1630" t="n">
        <v>1026244</v>
      </c>
      <c r="C1630" t="inlineStr">
        <is>
          <t>Kubernetes</t>
        </is>
      </c>
      <c r="D1630" t="inlineStr">
        <is>
          <t>Secondary</t>
        </is>
      </c>
      <c r="E1630" t="inlineStr">
        <is>
          <t>Intermediate</t>
        </is>
      </c>
      <c r="F1630" t="n">
        <v>2.9</v>
      </c>
      <c r="G1630" t="inlineStr">
        <is>
          <t>Technical</t>
        </is>
      </c>
      <c r="H1630" t="inlineStr">
        <is>
          <t>Yes</t>
        </is>
      </c>
      <c r="I1630" t="inlineStr">
        <is>
          <t>2021-08-25</t>
        </is>
      </c>
    </row>
    <row r="1631">
      <c r="A1631" t="n">
        <v/>
      </c>
      <c r="B1631" t="n">
        <v>1026244</v>
      </c>
      <c r="C1631" t="inlineStr">
        <is>
          <t>Linux</t>
        </is>
      </c>
      <c r="D1631" t="inlineStr">
        <is>
          <t>Secondary</t>
        </is>
      </c>
      <c r="E1631" t="inlineStr">
        <is>
          <t>Intermediate</t>
        </is>
      </c>
      <c r="F1631" t="n">
        <v>1.9</v>
      </c>
      <c r="G1631" t="inlineStr">
        <is>
          <t>Technical</t>
        </is>
      </c>
      <c r="H1631" t="inlineStr">
        <is>
          <t>Yes</t>
        </is>
      </c>
      <c r="I1631" t="inlineStr">
        <is>
          <t>2021-08-25</t>
        </is>
      </c>
    </row>
    <row r="1632">
      <c r="A1632" t="n">
        <v/>
      </c>
      <c r="B1632" t="n">
        <v>1027109</v>
      </c>
      <c r="C1632" t="inlineStr">
        <is>
          <t>QA Automation / SDET</t>
        </is>
      </c>
      <c r="D1632" t="inlineStr">
        <is>
          <t>Primary</t>
        </is>
      </c>
      <c r="E1632" t="inlineStr">
        <is>
          <t>Advanced</t>
        </is>
      </c>
      <c r="F1632" t="n">
        <v>6.2</v>
      </c>
      <c r="G1632" t="inlineStr">
        <is>
          <t>Technical</t>
        </is>
      </c>
      <c r="H1632" t="inlineStr">
        <is>
          <t>Yes</t>
        </is>
      </c>
      <c r="I1632" t="inlineStr">
        <is>
          <t>2021-11-08</t>
        </is>
      </c>
    </row>
    <row r="1633">
      <c r="A1633" t="n">
        <v/>
      </c>
      <c r="B1633" t="n">
        <v>1027109</v>
      </c>
      <c r="C1633" t="inlineStr">
        <is>
          <t>Selenium</t>
        </is>
      </c>
      <c r="D1633" t="inlineStr">
        <is>
          <t>Secondary</t>
        </is>
      </c>
      <c r="E1633" t="inlineStr">
        <is>
          <t>Intermediate</t>
        </is>
      </c>
      <c r="F1633" t="n">
        <v>3.7</v>
      </c>
      <c r="G1633" t="inlineStr">
        <is>
          <t>Technical</t>
        </is>
      </c>
      <c r="H1633" t="inlineStr">
        <is>
          <t>Yes</t>
        </is>
      </c>
      <c r="I1633" t="inlineStr">
        <is>
          <t>2021-11-08</t>
        </is>
      </c>
    </row>
    <row r="1634">
      <c r="A1634" t="n">
        <v/>
      </c>
      <c r="B1634" t="n">
        <v>1027109</v>
      </c>
      <c r="C1634" t="inlineStr">
        <is>
          <t>API Testing (Postman)</t>
        </is>
      </c>
      <c r="D1634" t="inlineStr">
        <is>
          <t>Secondary</t>
        </is>
      </c>
      <c r="E1634" t="inlineStr">
        <is>
          <t>Intermediate</t>
        </is>
      </c>
      <c r="F1634" t="n">
        <v>2.8</v>
      </c>
      <c r="G1634" t="inlineStr">
        <is>
          <t>Technical</t>
        </is>
      </c>
      <c r="H1634" t="inlineStr">
        <is>
          <t>Yes</t>
        </is>
      </c>
      <c r="I1634" t="inlineStr">
        <is>
          <t>2021-11-08</t>
        </is>
      </c>
    </row>
    <row r="1635">
      <c r="A1635" t="n">
        <v/>
      </c>
      <c r="B1635" t="n">
        <v>1027109</v>
      </c>
      <c r="C1635" t="inlineStr">
        <is>
          <t>TestNG</t>
        </is>
      </c>
      <c r="D1635" t="inlineStr">
        <is>
          <t>Secondary</t>
        </is>
      </c>
      <c r="E1635" t="inlineStr">
        <is>
          <t>Intermediate</t>
        </is>
      </c>
      <c r="F1635" t="n">
        <v>1.9</v>
      </c>
      <c r="G1635" t="inlineStr">
        <is>
          <t>Technical</t>
        </is>
      </c>
      <c r="H1635" t="inlineStr">
        <is>
          <t>Yes</t>
        </is>
      </c>
      <c r="I1635" t="inlineStr">
        <is>
          <t>2021-11-08</t>
        </is>
      </c>
    </row>
    <row r="1636">
      <c r="A1636" t="n">
        <v/>
      </c>
      <c r="B1636" t="n">
        <v>1027416</v>
      </c>
      <c r="C1636" t="inlineStr">
        <is>
          <t>Java / Spring Boot</t>
        </is>
      </c>
      <c r="D1636" t="inlineStr">
        <is>
          <t>Primary</t>
        </is>
      </c>
      <c r="E1636" t="inlineStr">
        <is>
          <t>Advanced</t>
        </is>
      </c>
      <c r="F1636" t="n">
        <v>6.2</v>
      </c>
      <c r="G1636" t="inlineStr">
        <is>
          <t>Technical</t>
        </is>
      </c>
      <c r="H1636" t="inlineStr">
        <is>
          <t>Yes</t>
        </is>
      </c>
      <c r="I1636" t="inlineStr">
        <is>
          <t>2021-12-01</t>
        </is>
      </c>
      <c r="J1636" t="inlineStr">
        <is>
          <t>Claims</t>
        </is>
      </c>
    </row>
    <row r="1637">
      <c r="A1637" t="n">
        <v/>
      </c>
      <c r="B1637" t="n">
        <v>1027416</v>
      </c>
      <c r="C1637" t="inlineStr">
        <is>
          <t>SQL</t>
        </is>
      </c>
      <c r="D1637" t="inlineStr">
        <is>
          <t>Secondary</t>
        </is>
      </c>
      <c r="E1637" t="inlineStr">
        <is>
          <t>Intermediate</t>
        </is>
      </c>
      <c r="F1637" t="n">
        <v>3.7</v>
      </c>
      <c r="G1637" t="inlineStr">
        <is>
          <t>Technical</t>
        </is>
      </c>
      <c r="H1637" t="inlineStr">
        <is>
          <t>Yes</t>
        </is>
      </c>
      <c r="I1637" t="inlineStr">
        <is>
          <t>2021-12-01</t>
        </is>
      </c>
      <c r="J1637" t="inlineStr">
        <is>
          <t>Claims</t>
        </is>
      </c>
    </row>
    <row r="1638">
      <c r="A1638" t="n">
        <v/>
      </c>
      <c r="B1638" t="n">
        <v>1027416</v>
      </c>
      <c r="C1638" t="inlineStr">
        <is>
          <t>Docker</t>
        </is>
      </c>
      <c r="D1638" t="inlineStr">
        <is>
          <t>Secondary</t>
        </is>
      </c>
      <c r="E1638" t="inlineStr">
        <is>
          <t>Intermediate</t>
        </is>
      </c>
      <c r="F1638" t="n">
        <v>2.8</v>
      </c>
      <c r="G1638" t="inlineStr">
        <is>
          <t>Technical</t>
        </is>
      </c>
      <c r="H1638" t="inlineStr">
        <is>
          <t>Yes</t>
        </is>
      </c>
      <c r="I1638" t="inlineStr">
        <is>
          <t>2021-12-01</t>
        </is>
      </c>
      <c r="J1638" t="inlineStr">
        <is>
          <t>Claims</t>
        </is>
      </c>
    </row>
    <row r="1639">
      <c r="A1639" t="n">
        <v/>
      </c>
      <c r="B1639" t="n">
        <v>1027416</v>
      </c>
      <c r="C1639" t="inlineStr">
        <is>
          <t>Git</t>
        </is>
      </c>
      <c r="D1639" t="inlineStr">
        <is>
          <t>Secondary</t>
        </is>
      </c>
      <c r="E1639" t="inlineStr">
        <is>
          <t>Intermediate</t>
        </is>
      </c>
      <c r="F1639" t="n">
        <v>1.9</v>
      </c>
      <c r="G1639" t="inlineStr">
        <is>
          <t>Technical</t>
        </is>
      </c>
      <c r="H1639" t="inlineStr">
        <is>
          <t>Yes</t>
        </is>
      </c>
      <c r="I1639" t="inlineStr">
        <is>
          <t>2021-12-01</t>
        </is>
      </c>
      <c r="J1639" t="inlineStr">
        <is>
          <t>Claims</t>
        </is>
      </c>
    </row>
    <row r="1640">
      <c r="A1640" t="n">
        <v/>
      </c>
      <c r="B1640" t="n">
        <v>1026162</v>
      </c>
      <c r="C1640" t="inlineStr">
        <is>
          <t>Java / Spring Boot</t>
        </is>
      </c>
      <c r="D1640" t="inlineStr">
        <is>
          <t>Primary</t>
        </is>
      </c>
      <c r="E1640" t="inlineStr">
        <is>
          <t>Advanced</t>
        </is>
      </c>
      <c r="F1640" t="n">
        <v>6.4</v>
      </c>
      <c r="G1640" t="inlineStr">
        <is>
          <t>Technical</t>
        </is>
      </c>
      <c r="H1640" t="inlineStr">
        <is>
          <t>Yes</t>
        </is>
      </c>
      <c r="I1640" t="inlineStr">
        <is>
          <t>2021-08-17</t>
        </is>
      </c>
      <c r="J1640" t="inlineStr">
        <is>
          <t>Claims</t>
        </is>
      </c>
    </row>
    <row r="1641">
      <c r="A1641" t="n">
        <v/>
      </c>
      <c r="B1641" t="n">
        <v>1026162</v>
      </c>
      <c r="C1641" t="inlineStr">
        <is>
          <t>SQL</t>
        </is>
      </c>
      <c r="D1641" t="inlineStr">
        <is>
          <t>Secondary</t>
        </is>
      </c>
      <c r="E1641" t="inlineStr">
        <is>
          <t>Intermediate</t>
        </is>
      </c>
      <c r="F1641" t="n">
        <v>3.8</v>
      </c>
      <c r="G1641" t="inlineStr">
        <is>
          <t>Technical</t>
        </is>
      </c>
      <c r="H1641" t="inlineStr">
        <is>
          <t>Yes</t>
        </is>
      </c>
      <c r="I1641" t="inlineStr">
        <is>
          <t>2021-08-17</t>
        </is>
      </c>
      <c r="J1641" t="inlineStr">
        <is>
          <t>Claims</t>
        </is>
      </c>
    </row>
    <row r="1642">
      <c r="A1642" t="n">
        <v/>
      </c>
      <c r="B1642" t="n">
        <v>1026162</v>
      </c>
      <c r="C1642" t="inlineStr">
        <is>
          <t>Docker</t>
        </is>
      </c>
      <c r="D1642" t="inlineStr">
        <is>
          <t>Secondary</t>
        </is>
      </c>
      <c r="E1642" t="inlineStr">
        <is>
          <t>Intermediate</t>
        </is>
      </c>
      <c r="F1642" t="n">
        <v>2.9</v>
      </c>
      <c r="G1642" t="inlineStr">
        <is>
          <t>Technical</t>
        </is>
      </c>
      <c r="H1642" t="inlineStr">
        <is>
          <t>Yes</t>
        </is>
      </c>
      <c r="I1642" t="inlineStr">
        <is>
          <t>2021-08-17</t>
        </is>
      </c>
      <c r="J1642" t="inlineStr">
        <is>
          <t>Claims</t>
        </is>
      </c>
    </row>
    <row r="1643">
      <c r="A1643" t="n">
        <v/>
      </c>
      <c r="B1643" t="n">
        <v>1026162</v>
      </c>
      <c r="C1643" t="inlineStr">
        <is>
          <t>Git</t>
        </is>
      </c>
      <c r="D1643" t="inlineStr">
        <is>
          <t>Secondary</t>
        </is>
      </c>
      <c r="E1643" t="inlineStr">
        <is>
          <t>Intermediate</t>
        </is>
      </c>
      <c r="F1643" t="n">
        <v>1.9</v>
      </c>
      <c r="G1643" t="inlineStr">
        <is>
          <t>Technical</t>
        </is>
      </c>
      <c r="H1643" t="inlineStr">
        <is>
          <t>Yes</t>
        </is>
      </c>
      <c r="I1643" t="inlineStr">
        <is>
          <t>2021-08-17</t>
        </is>
      </c>
      <c r="J1643" t="inlineStr">
        <is>
          <t>Claims</t>
        </is>
      </c>
    </row>
    <row r="1644">
      <c r="A1644" t="n">
        <v/>
      </c>
      <c r="B1644" t="n">
        <v>1025156</v>
      </c>
      <c r="C1644" t="inlineStr">
        <is>
          <t>QA Automation / SDET</t>
        </is>
      </c>
      <c r="D1644" t="inlineStr">
        <is>
          <t>Primary</t>
        </is>
      </c>
      <c r="E1644" t="inlineStr">
        <is>
          <t>Advanced</t>
        </is>
      </c>
      <c r="F1644" t="n">
        <v>6.7</v>
      </c>
      <c r="G1644" t="inlineStr">
        <is>
          <t>Technical</t>
        </is>
      </c>
      <c r="H1644" t="inlineStr">
        <is>
          <t>Yes</t>
        </is>
      </c>
      <c r="I1644" t="inlineStr">
        <is>
          <t>2021-04-30</t>
        </is>
      </c>
    </row>
    <row r="1645">
      <c r="A1645" t="n">
        <v/>
      </c>
      <c r="B1645" t="n">
        <v>1025156</v>
      </c>
      <c r="C1645" t="inlineStr">
        <is>
          <t>Selenium</t>
        </is>
      </c>
      <c r="D1645" t="inlineStr">
        <is>
          <t>Secondary</t>
        </is>
      </c>
      <c r="E1645" t="inlineStr">
        <is>
          <t>Intermediate</t>
        </is>
      </c>
      <c r="F1645" t="n">
        <v>4</v>
      </c>
      <c r="G1645" t="inlineStr">
        <is>
          <t>Technical</t>
        </is>
      </c>
      <c r="H1645" t="inlineStr">
        <is>
          <t>Yes</t>
        </is>
      </c>
      <c r="I1645" t="inlineStr">
        <is>
          <t>2021-04-30</t>
        </is>
      </c>
    </row>
    <row r="1646">
      <c r="A1646" t="n">
        <v/>
      </c>
      <c r="B1646" t="n">
        <v>1025156</v>
      </c>
      <c r="C1646" t="inlineStr">
        <is>
          <t>API Testing (Postman)</t>
        </is>
      </c>
      <c r="D1646" t="inlineStr">
        <is>
          <t>Secondary</t>
        </is>
      </c>
      <c r="E1646" t="inlineStr">
        <is>
          <t>Intermediate</t>
        </is>
      </c>
      <c r="F1646" t="n">
        <v>3</v>
      </c>
      <c r="G1646" t="inlineStr">
        <is>
          <t>Technical</t>
        </is>
      </c>
      <c r="H1646" t="inlineStr">
        <is>
          <t>Yes</t>
        </is>
      </c>
      <c r="I1646" t="inlineStr">
        <is>
          <t>2021-04-30</t>
        </is>
      </c>
    </row>
    <row r="1647">
      <c r="A1647" t="n">
        <v/>
      </c>
      <c r="B1647" t="n">
        <v>1025156</v>
      </c>
      <c r="C1647" t="inlineStr">
        <is>
          <t>TestNG</t>
        </is>
      </c>
      <c r="D1647" t="inlineStr">
        <is>
          <t>Secondary</t>
        </is>
      </c>
      <c r="E1647" t="inlineStr">
        <is>
          <t>Intermediate</t>
        </is>
      </c>
      <c r="F1647" t="n">
        <v>2</v>
      </c>
      <c r="G1647" t="inlineStr">
        <is>
          <t>Technical</t>
        </is>
      </c>
      <c r="H1647" t="inlineStr">
        <is>
          <t>Yes</t>
        </is>
      </c>
      <c r="I1647" t="inlineStr">
        <is>
          <t>2021-04-30</t>
        </is>
      </c>
    </row>
    <row r="1648">
      <c r="A1648" t="n">
        <v/>
      </c>
      <c r="B1648" t="n">
        <v>1033661</v>
      </c>
      <c r="C1648" t="inlineStr">
        <is>
          <t>Frontend (Angular / TypeScript)</t>
        </is>
      </c>
      <c r="D1648" t="inlineStr">
        <is>
          <t>Primary</t>
        </is>
      </c>
      <c r="E1648" t="inlineStr">
        <is>
          <t>Intermediate</t>
        </is>
      </c>
      <c r="F1648" t="n">
        <v>0.9</v>
      </c>
      <c r="G1648" t="inlineStr">
        <is>
          <t>Technical</t>
        </is>
      </c>
      <c r="H1648" t="inlineStr">
        <is>
          <t>Yes</t>
        </is>
      </c>
      <c r="I1648" t="inlineStr">
        <is>
          <t>2023-10-04</t>
        </is>
      </c>
    </row>
    <row r="1649">
      <c r="A1649" t="n">
        <v/>
      </c>
      <c r="B1649" t="n">
        <v>1033661</v>
      </c>
      <c r="C1649" t="inlineStr">
        <is>
          <t>TypeScript</t>
        </is>
      </c>
      <c r="D1649" t="inlineStr">
        <is>
          <t>Secondary</t>
        </is>
      </c>
      <c r="E1649" t="inlineStr">
        <is>
          <t>Beginner</t>
        </is>
      </c>
      <c r="F1649" t="n">
        <v>0.5</v>
      </c>
      <c r="G1649" t="inlineStr">
        <is>
          <t>Technical</t>
        </is>
      </c>
      <c r="H1649" t="inlineStr">
        <is>
          <t>Yes</t>
        </is>
      </c>
      <c r="I1649" t="inlineStr">
        <is>
          <t>2023-10-04</t>
        </is>
      </c>
    </row>
    <row r="1650">
      <c r="A1650" t="n">
        <v/>
      </c>
      <c r="B1650" t="n">
        <v>1033661</v>
      </c>
      <c r="C1650" t="inlineStr">
        <is>
          <t>JavaScript</t>
        </is>
      </c>
      <c r="D1650" t="inlineStr">
        <is>
          <t>Secondary</t>
        </is>
      </c>
      <c r="E1650" t="inlineStr">
        <is>
          <t>Beginner</t>
        </is>
      </c>
      <c r="F1650" t="n">
        <v>0.5</v>
      </c>
      <c r="G1650" t="inlineStr">
        <is>
          <t>Technical</t>
        </is>
      </c>
      <c r="H1650" t="inlineStr">
        <is>
          <t>Yes</t>
        </is>
      </c>
      <c r="I1650" t="inlineStr">
        <is>
          <t>2023-10-04</t>
        </is>
      </c>
    </row>
    <row r="1651">
      <c r="A1651" t="n">
        <v/>
      </c>
      <c r="B1651" t="n">
        <v>1026159</v>
      </c>
      <c r="C1651" t="inlineStr">
        <is>
          <t>Cloud &amp; DevOps (AWS / K8s)</t>
        </is>
      </c>
      <c r="D1651" t="inlineStr">
        <is>
          <t>Primary</t>
        </is>
      </c>
      <c r="E1651" t="inlineStr">
        <is>
          <t>Advanced</t>
        </is>
      </c>
      <c r="F1651" t="n">
        <v>6.4</v>
      </c>
      <c r="G1651" t="inlineStr">
        <is>
          <t>Technical</t>
        </is>
      </c>
      <c r="H1651" t="inlineStr">
        <is>
          <t>Yes</t>
        </is>
      </c>
      <c r="I1651" t="inlineStr">
        <is>
          <t>2021-08-17</t>
        </is>
      </c>
    </row>
    <row r="1652">
      <c r="A1652" t="n">
        <v/>
      </c>
      <c r="B1652" t="n">
        <v>1026159</v>
      </c>
      <c r="C1652" t="inlineStr">
        <is>
          <t>Docker</t>
        </is>
      </c>
      <c r="D1652" t="inlineStr">
        <is>
          <t>Secondary</t>
        </is>
      </c>
      <c r="E1652" t="inlineStr">
        <is>
          <t>Intermediate</t>
        </is>
      </c>
      <c r="F1652" t="n">
        <v>3.8</v>
      </c>
      <c r="G1652" t="inlineStr">
        <is>
          <t>Technical</t>
        </is>
      </c>
      <c r="H1652" t="inlineStr">
        <is>
          <t>Yes</t>
        </is>
      </c>
      <c r="I1652" t="inlineStr">
        <is>
          <t>2021-08-17</t>
        </is>
      </c>
    </row>
    <row r="1653">
      <c r="A1653" t="n">
        <v/>
      </c>
      <c r="B1653" t="n">
        <v>1026159</v>
      </c>
      <c r="C1653" t="inlineStr">
        <is>
          <t>Kubernetes</t>
        </is>
      </c>
      <c r="D1653" t="inlineStr">
        <is>
          <t>Secondary</t>
        </is>
      </c>
      <c r="E1653" t="inlineStr">
        <is>
          <t>Intermediate</t>
        </is>
      </c>
      <c r="F1653" t="n">
        <v>2.9</v>
      </c>
      <c r="G1653" t="inlineStr">
        <is>
          <t>Technical</t>
        </is>
      </c>
      <c r="H1653" t="inlineStr">
        <is>
          <t>Yes</t>
        </is>
      </c>
      <c r="I1653" t="inlineStr">
        <is>
          <t>2021-08-17</t>
        </is>
      </c>
    </row>
    <row r="1654">
      <c r="A1654" t="n">
        <v/>
      </c>
      <c r="B1654" t="n">
        <v>1026159</v>
      </c>
      <c r="C1654" t="inlineStr">
        <is>
          <t>Linux</t>
        </is>
      </c>
      <c r="D1654" t="inlineStr">
        <is>
          <t>Secondary</t>
        </is>
      </c>
      <c r="E1654" t="inlineStr">
        <is>
          <t>Intermediate</t>
        </is>
      </c>
      <c r="F1654" t="n">
        <v>1.9</v>
      </c>
      <c r="G1654" t="inlineStr">
        <is>
          <t>Technical</t>
        </is>
      </c>
      <c r="H1654" t="inlineStr">
        <is>
          <t>Yes</t>
        </is>
      </c>
      <c r="I1654" t="inlineStr">
        <is>
          <t>2021-08-17</t>
        </is>
      </c>
    </row>
    <row r="1655">
      <c r="A1655" t="n">
        <v/>
      </c>
      <c r="B1655" t="n">
        <v>1027222</v>
      </c>
      <c r="C1655" t="inlineStr">
        <is>
          <t>QA Automation / SDET</t>
        </is>
      </c>
      <c r="D1655" t="inlineStr">
        <is>
          <t>Primary</t>
        </is>
      </c>
      <c r="E1655" t="inlineStr">
        <is>
          <t>Advanced</t>
        </is>
      </c>
      <c r="F1655" t="n">
        <v>6.2</v>
      </c>
      <c r="G1655" t="inlineStr">
        <is>
          <t>Technical</t>
        </is>
      </c>
      <c r="H1655" t="inlineStr">
        <is>
          <t>Yes</t>
        </is>
      </c>
      <c r="I1655" t="inlineStr">
        <is>
          <t>2021-11-17</t>
        </is>
      </c>
    </row>
    <row r="1656">
      <c r="A1656" t="n">
        <v/>
      </c>
      <c r="B1656" t="n">
        <v>1027222</v>
      </c>
      <c r="C1656" t="inlineStr">
        <is>
          <t>Selenium</t>
        </is>
      </c>
      <c r="D1656" t="inlineStr">
        <is>
          <t>Secondary</t>
        </is>
      </c>
      <c r="E1656" t="inlineStr">
        <is>
          <t>Intermediate</t>
        </is>
      </c>
      <c r="F1656" t="n">
        <v>3.7</v>
      </c>
      <c r="G1656" t="inlineStr">
        <is>
          <t>Technical</t>
        </is>
      </c>
      <c r="H1656" t="inlineStr">
        <is>
          <t>Yes</t>
        </is>
      </c>
      <c r="I1656" t="inlineStr">
        <is>
          <t>2021-11-17</t>
        </is>
      </c>
    </row>
    <row r="1657">
      <c r="A1657" t="n">
        <v/>
      </c>
      <c r="B1657" t="n">
        <v>1027222</v>
      </c>
      <c r="C1657" t="inlineStr">
        <is>
          <t>API Testing (Postman)</t>
        </is>
      </c>
      <c r="D1657" t="inlineStr">
        <is>
          <t>Secondary</t>
        </is>
      </c>
      <c r="E1657" t="inlineStr">
        <is>
          <t>Intermediate</t>
        </is>
      </c>
      <c r="F1657" t="n">
        <v>2.8</v>
      </c>
      <c r="G1657" t="inlineStr">
        <is>
          <t>Technical</t>
        </is>
      </c>
      <c r="H1657" t="inlineStr">
        <is>
          <t>Yes</t>
        </is>
      </c>
      <c r="I1657" t="inlineStr">
        <is>
          <t>2021-11-17</t>
        </is>
      </c>
    </row>
    <row r="1658">
      <c r="A1658" t="n">
        <v/>
      </c>
      <c r="B1658" t="n">
        <v>1027222</v>
      </c>
      <c r="C1658" t="inlineStr">
        <is>
          <t>TestNG</t>
        </is>
      </c>
      <c r="D1658" t="inlineStr">
        <is>
          <t>Secondary</t>
        </is>
      </c>
      <c r="E1658" t="inlineStr">
        <is>
          <t>Intermediate</t>
        </is>
      </c>
      <c r="F1658" t="n">
        <v>1.9</v>
      </c>
      <c r="G1658" t="inlineStr">
        <is>
          <t>Technical</t>
        </is>
      </c>
      <c r="H1658" t="inlineStr">
        <is>
          <t>Yes</t>
        </is>
      </c>
      <c r="I1658" t="inlineStr">
        <is>
          <t>2021-11-17</t>
        </is>
      </c>
    </row>
    <row r="1659">
      <c r="A1659" t="n">
        <v/>
      </c>
      <c r="B1659" t="n">
        <v>1027407</v>
      </c>
      <c r="C1659" t="inlineStr">
        <is>
          <t>Fullstack Web (React / Node)</t>
        </is>
      </c>
      <c r="D1659" t="inlineStr">
        <is>
          <t>Primary</t>
        </is>
      </c>
      <c r="E1659" t="inlineStr">
        <is>
          <t>Advanced</t>
        </is>
      </c>
      <c r="F1659" t="n">
        <v>6.2</v>
      </c>
      <c r="G1659" t="inlineStr">
        <is>
          <t>Technical</t>
        </is>
      </c>
      <c r="H1659" t="inlineStr">
        <is>
          <t>Yes</t>
        </is>
      </c>
      <c r="I1659" t="inlineStr">
        <is>
          <t>2021-12-01</t>
        </is>
      </c>
    </row>
    <row r="1660">
      <c r="A1660" t="n">
        <v/>
      </c>
      <c r="B1660" t="n">
        <v>1027407</v>
      </c>
      <c r="C1660" t="inlineStr">
        <is>
          <t>JavaScript</t>
        </is>
      </c>
      <c r="D1660" t="inlineStr">
        <is>
          <t>Secondary</t>
        </is>
      </c>
      <c r="E1660" t="inlineStr">
        <is>
          <t>Intermediate</t>
        </is>
      </c>
      <c r="F1660" t="n">
        <v>3.7</v>
      </c>
      <c r="G1660" t="inlineStr">
        <is>
          <t>Technical</t>
        </is>
      </c>
      <c r="H1660" t="inlineStr">
        <is>
          <t>Yes</t>
        </is>
      </c>
      <c r="I1660" t="inlineStr">
        <is>
          <t>2021-12-01</t>
        </is>
      </c>
    </row>
    <row r="1661">
      <c r="A1661" t="n">
        <v/>
      </c>
      <c r="B1661" t="n">
        <v>1027407</v>
      </c>
      <c r="C1661" t="inlineStr">
        <is>
          <t>TypeScript</t>
        </is>
      </c>
      <c r="D1661" t="inlineStr">
        <is>
          <t>Secondary</t>
        </is>
      </c>
      <c r="E1661" t="inlineStr">
        <is>
          <t>Intermediate</t>
        </is>
      </c>
      <c r="F1661" t="n">
        <v>2.8</v>
      </c>
      <c r="G1661" t="inlineStr">
        <is>
          <t>Technical</t>
        </is>
      </c>
      <c r="H1661" t="inlineStr">
        <is>
          <t>Yes</t>
        </is>
      </c>
      <c r="I1661" t="inlineStr">
        <is>
          <t>2021-12-01</t>
        </is>
      </c>
    </row>
    <row r="1662">
      <c r="A1662" t="n">
        <v/>
      </c>
      <c r="B1662" t="n">
        <v>1027407</v>
      </c>
      <c r="C1662" t="inlineStr">
        <is>
          <t>CSS/HTML</t>
        </is>
      </c>
      <c r="D1662" t="inlineStr">
        <is>
          <t>Secondary</t>
        </is>
      </c>
      <c r="E1662" t="inlineStr">
        <is>
          <t>Intermediate</t>
        </is>
      </c>
      <c r="F1662" t="n">
        <v>1.9</v>
      </c>
      <c r="G1662" t="inlineStr">
        <is>
          <t>Technical</t>
        </is>
      </c>
      <c r="H1662" t="inlineStr">
        <is>
          <t>Yes</t>
        </is>
      </c>
      <c r="I1662" t="inlineStr">
        <is>
          <t>2021-12-01</t>
        </is>
      </c>
    </row>
    <row r="1663">
      <c r="A1663" t="n">
        <v/>
      </c>
      <c r="B1663" t="n">
        <v>1029530</v>
      </c>
      <c r="C1663" t="inlineStr">
        <is>
          <t>Python / Data Engineering</t>
        </is>
      </c>
      <c r="D1663" t="inlineStr">
        <is>
          <t>Primary</t>
        </is>
      </c>
      <c r="E1663" t="inlineStr">
        <is>
          <t>Intermediate</t>
        </is>
      </c>
      <c r="F1663" t="n">
        <v>2</v>
      </c>
      <c r="G1663" t="inlineStr">
        <is>
          <t>Technical</t>
        </is>
      </c>
      <c r="H1663" t="inlineStr">
        <is>
          <t>Yes</t>
        </is>
      </c>
      <c r="I1663" t="inlineStr">
        <is>
          <t>2022-07-15</t>
        </is>
      </c>
    </row>
    <row r="1664">
      <c r="A1664" t="n">
        <v/>
      </c>
      <c r="B1664" t="n">
        <v>1029530</v>
      </c>
      <c r="C1664" t="inlineStr">
        <is>
          <t>SQL</t>
        </is>
      </c>
      <c r="D1664" t="inlineStr">
        <is>
          <t>Secondary</t>
        </is>
      </c>
      <c r="E1664" t="inlineStr">
        <is>
          <t>Beginner</t>
        </is>
      </c>
      <c r="F1664" t="n">
        <v>1.2</v>
      </c>
      <c r="G1664" t="inlineStr">
        <is>
          <t>Technical</t>
        </is>
      </c>
      <c r="H1664" t="inlineStr">
        <is>
          <t>Yes</t>
        </is>
      </c>
      <c r="I1664" t="inlineStr">
        <is>
          <t>2022-07-15</t>
        </is>
      </c>
    </row>
    <row r="1665">
      <c r="A1665" t="n">
        <v/>
      </c>
      <c r="B1665" t="n">
        <v>1029530</v>
      </c>
      <c r="C1665" t="inlineStr">
        <is>
          <t>Docker</t>
        </is>
      </c>
      <c r="D1665" t="inlineStr">
        <is>
          <t>Secondary</t>
        </is>
      </c>
      <c r="E1665" t="inlineStr">
        <is>
          <t>Beginner</t>
        </is>
      </c>
      <c r="F1665" t="n">
        <v>0.9</v>
      </c>
      <c r="G1665" t="inlineStr">
        <is>
          <t>Technical</t>
        </is>
      </c>
      <c r="H1665" t="inlineStr">
        <is>
          <t>Yes</t>
        </is>
      </c>
      <c r="I1665" t="inlineStr">
        <is>
          <t>2022-07-15</t>
        </is>
      </c>
    </row>
    <row r="1666">
      <c r="A1666" t="n">
        <v/>
      </c>
      <c r="B1666" t="n">
        <v>1026933</v>
      </c>
      <c r="C1666" t="inlineStr">
        <is>
          <t>Operations &amp; IT Support</t>
        </is>
      </c>
      <c r="D1666" t="inlineStr">
        <is>
          <t>Primary</t>
        </is>
      </c>
      <c r="E1666" t="inlineStr">
        <is>
          <t>Advanced</t>
        </is>
      </c>
      <c r="F1666" t="n">
        <v>6.3</v>
      </c>
      <c r="G1666" t="inlineStr">
        <is>
          <t>Functional</t>
        </is>
      </c>
      <c r="H1666" t="inlineStr">
        <is>
          <t>Yes</t>
        </is>
      </c>
      <c r="I1666" t="inlineStr">
        <is>
          <t>2021-10-22</t>
        </is>
      </c>
    </row>
    <row r="1667">
      <c r="A1667" t="n">
        <v/>
      </c>
      <c r="B1667" t="n">
        <v>1026933</v>
      </c>
      <c r="C1667" t="inlineStr">
        <is>
          <t>IT Service Management</t>
        </is>
      </c>
      <c r="D1667" t="inlineStr">
        <is>
          <t>Secondary</t>
        </is>
      </c>
      <c r="E1667" t="inlineStr">
        <is>
          <t>Intermediate</t>
        </is>
      </c>
      <c r="F1667" t="n">
        <v>3.8</v>
      </c>
      <c r="G1667" t="inlineStr">
        <is>
          <t>Functional</t>
        </is>
      </c>
      <c r="H1667" t="inlineStr">
        <is>
          <t>Yes</t>
        </is>
      </c>
      <c r="I1667" t="inlineStr">
        <is>
          <t>2021-10-22</t>
        </is>
      </c>
    </row>
    <row r="1668">
      <c r="A1668" t="n">
        <v/>
      </c>
      <c r="B1668" t="n">
        <v>1026933</v>
      </c>
      <c r="C1668" t="inlineStr">
        <is>
          <t>Reporting</t>
        </is>
      </c>
      <c r="D1668" t="inlineStr">
        <is>
          <t>Secondary</t>
        </is>
      </c>
      <c r="E1668" t="inlineStr">
        <is>
          <t>Intermediate</t>
        </is>
      </c>
      <c r="F1668" t="n">
        <v>2.8</v>
      </c>
      <c r="G1668" t="inlineStr">
        <is>
          <t>Functional</t>
        </is>
      </c>
      <c r="H1668" t="inlineStr">
        <is>
          <t>Yes</t>
        </is>
      </c>
      <c r="I1668" t="inlineStr">
        <is>
          <t>2021-10-22</t>
        </is>
      </c>
    </row>
    <row r="1669">
      <c r="A1669" t="n">
        <v/>
      </c>
      <c r="B1669" t="n">
        <v>1026933</v>
      </c>
      <c r="C1669" t="inlineStr">
        <is>
          <t>Excel</t>
        </is>
      </c>
      <c r="D1669" t="inlineStr">
        <is>
          <t>Secondary</t>
        </is>
      </c>
      <c r="E1669" t="inlineStr">
        <is>
          <t>Intermediate</t>
        </is>
      </c>
      <c r="F1669" t="n">
        <v>1.9</v>
      </c>
      <c r="G1669" t="inlineStr">
        <is>
          <t>Functional</t>
        </is>
      </c>
      <c r="H1669" t="inlineStr">
        <is>
          <t>Yes</t>
        </is>
      </c>
      <c r="I1669" t="inlineStr">
        <is>
          <t>2021-10-22</t>
        </is>
      </c>
    </row>
    <row r="1670">
      <c r="A1670" t="n">
        <v/>
      </c>
      <c r="B1670" t="n">
        <v>1031661</v>
      </c>
      <c r="C1670" t="inlineStr">
        <is>
          <t>Frontend (Angular / TypeScript)</t>
        </is>
      </c>
      <c r="D1670" t="inlineStr">
        <is>
          <t>Primary</t>
        </is>
      </c>
      <c r="E1670" t="inlineStr">
        <is>
          <t>Advanced</t>
        </is>
      </c>
      <c r="F1670" t="n">
        <v>5.3</v>
      </c>
      <c r="G1670" t="inlineStr">
        <is>
          <t>Technical</t>
        </is>
      </c>
      <c r="H1670" t="inlineStr">
        <is>
          <t>Yes</t>
        </is>
      </c>
      <c r="I1670" t="inlineStr">
        <is>
          <t>2022-12-01</t>
        </is>
      </c>
    </row>
    <row r="1671">
      <c r="A1671" t="n">
        <v/>
      </c>
      <c r="B1671" t="n">
        <v>1031661</v>
      </c>
      <c r="C1671" t="inlineStr">
        <is>
          <t>TypeScript</t>
        </is>
      </c>
      <c r="D1671" t="inlineStr">
        <is>
          <t>Secondary</t>
        </is>
      </c>
      <c r="E1671" t="inlineStr">
        <is>
          <t>Intermediate</t>
        </is>
      </c>
      <c r="F1671" t="n">
        <v>3.2</v>
      </c>
      <c r="G1671" t="inlineStr">
        <is>
          <t>Technical</t>
        </is>
      </c>
      <c r="H1671" t="inlineStr">
        <is>
          <t>Yes</t>
        </is>
      </c>
      <c r="I1671" t="inlineStr">
        <is>
          <t>2022-12-01</t>
        </is>
      </c>
    </row>
    <row r="1672">
      <c r="A1672" t="n">
        <v/>
      </c>
      <c r="B1672" t="n">
        <v>1031661</v>
      </c>
      <c r="C1672" t="inlineStr">
        <is>
          <t>JavaScript</t>
        </is>
      </c>
      <c r="D1672" t="inlineStr">
        <is>
          <t>Secondary</t>
        </is>
      </c>
      <c r="E1672" t="inlineStr">
        <is>
          <t>Intermediate</t>
        </is>
      </c>
      <c r="F1672" t="n">
        <v>2.4</v>
      </c>
      <c r="G1672" t="inlineStr">
        <is>
          <t>Technical</t>
        </is>
      </c>
      <c r="H1672" t="inlineStr">
        <is>
          <t>Yes</t>
        </is>
      </c>
      <c r="I1672" t="inlineStr">
        <is>
          <t>2022-12-01</t>
        </is>
      </c>
    </row>
    <row r="1673">
      <c r="A1673" t="n">
        <v/>
      </c>
      <c r="B1673" t="n">
        <v>1031661</v>
      </c>
      <c r="C1673" t="inlineStr">
        <is>
          <t>HTML5</t>
        </is>
      </c>
      <c r="D1673" t="inlineStr">
        <is>
          <t>Secondary</t>
        </is>
      </c>
      <c r="E1673" t="inlineStr">
        <is>
          <t>Intermediate</t>
        </is>
      </c>
      <c r="F1673" t="n">
        <v>1.6</v>
      </c>
      <c r="G1673" t="inlineStr">
        <is>
          <t>Technical</t>
        </is>
      </c>
      <c r="H1673" t="inlineStr">
        <is>
          <t>Yes</t>
        </is>
      </c>
      <c r="I1673" t="inlineStr">
        <is>
          <t>2022-12-01</t>
        </is>
      </c>
    </row>
    <row r="1674">
      <c r="A1674" t="n">
        <v/>
      </c>
      <c r="B1674" t="n">
        <v>1029521</v>
      </c>
      <c r="C1674" t="inlineStr">
        <is>
          <t>Frontend (Angular / TypeScript)</t>
        </is>
      </c>
      <c r="D1674" t="inlineStr">
        <is>
          <t>Primary</t>
        </is>
      </c>
      <c r="E1674" t="inlineStr">
        <is>
          <t>Advanced</t>
        </is>
      </c>
      <c r="F1674" t="n">
        <v>5.6</v>
      </c>
      <c r="G1674" t="inlineStr">
        <is>
          <t>Technical</t>
        </is>
      </c>
      <c r="H1674" t="inlineStr">
        <is>
          <t>Yes</t>
        </is>
      </c>
      <c r="I1674" t="inlineStr">
        <is>
          <t>2022-07-15</t>
        </is>
      </c>
    </row>
    <row r="1675">
      <c r="A1675" t="n">
        <v/>
      </c>
      <c r="B1675" t="n">
        <v>1029521</v>
      </c>
      <c r="C1675" t="inlineStr">
        <is>
          <t>TypeScript</t>
        </is>
      </c>
      <c r="D1675" t="inlineStr">
        <is>
          <t>Secondary</t>
        </is>
      </c>
      <c r="E1675" t="inlineStr">
        <is>
          <t>Intermediate</t>
        </is>
      </c>
      <c r="F1675" t="n">
        <v>3.4</v>
      </c>
      <c r="G1675" t="inlineStr">
        <is>
          <t>Technical</t>
        </is>
      </c>
      <c r="H1675" t="inlineStr">
        <is>
          <t>Yes</t>
        </is>
      </c>
      <c r="I1675" t="inlineStr">
        <is>
          <t>2022-07-15</t>
        </is>
      </c>
    </row>
    <row r="1676">
      <c r="A1676" t="n">
        <v/>
      </c>
      <c r="B1676" t="n">
        <v>1029521</v>
      </c>
      <c r="C1676" t="inlineStr">
        <is>
          <t>JavaScript</t>
        </is>
      </c>
      <c r="D1676" t="inlineStr">
        <is>
          <t>Secondary</t>
        </is>
      </c>
      <c r="E1676" t="inlineStr">
        <is>
          <t>Intermediate</t>
        </is>
      </c>
      <c r="F1676" t="n">
        <v>2.5</v>
      </c>
      <c r="G1676" t="inlineStr">
        <is>
          <t>Technical</t>
        </is>
      </c>
      <c r="H1676" t="inlineStr">
        <is>
          <t>Yes</t>
        </is>
      </c>
      <c r="I1676" t="inlineStr">
        <is>
          <t>2022-07-15</t>
        </is>
      </c>
    </row>
    <row r="1677">
      <c r="A1677" t="n">
        <v/>
      </c>
      <c r="B1677" t="n">
        <v>1029521</v>
      </c>
      <c r="C1677" t="inlineStr">
        <is>
          <t>HTML5</t>
        </is>
      </c>
      <c r="D1677" t="inlineStr">
        <is>
          <t>Secondary</t>
        </is>
      </c>
      <c r="E1677" t="inlineStr">
        <is>
          <t>Intermediate</t>
        </is>
      </c>
      <c r="F1677" t="n">
        <v>1.7</v>
      </c>
      <c r="G1677" t="inlineStr">
        <is>
          <t>Technical</t>
        </is>
      </c>
      <c r="H1677" t="inlineStr">
        <is>
          <t>Yes</t>
        </is>
      </c>
      <c r="I1677" t="inlineStr">
        <is>
          <t>2022-07-15</t>
        </is>
      </c>
    </row>
    <row r="1678">
      <c r="A1678" t="n">
        <v/>
      </c>
      <c r="B1678" t="n">
        <v>1028086</v>
      </c>
      <c r="C1678" t="inlineStr">
        <is>
          <t>QA Automation / SDET</t>
        </is>
      </c>
      <c r="D1678" t="inlineStr">
        <is>
          <t>Primary</t>
        </is>
      </c>
      <c r="E1678" t="inlineStr">
        <is>
          <t>Advanced</t>
        </is>
      </c>
      <c r="F1678" t="n">
        <v>6</v>
      </c>
      <c r="G1678" t="inlineStr">
        <is>
          <t>Technical</t>
        </is>
      </c>
      <c r="H1678" t="inlineStr">
        <is>
          <t>Yes</t>
        </is>
      </c>
      <c r="I1678" t="inlineStr">
        <is>
          <t>2022-01-19</t>
        </is>
      </c>
    </row>
    <row r="1679">
      <c r="A1679" t="n">
        <v/>
      </c>
      <c r="B1679" t="n">
        <v>1028086</v>
      </c>
      <c r="C1679" t="inlineStr">
        <is>
          <t>Selenium</t>
        </is>
      </c>
      <c r="D1679" t="inlineStr">
        <is>
          <t>Secondary</t>
        </is>
      </c>
      <c r="E1679" t="inlineStr">
        <is>
          <t>Intermediate</t>
        </is>
      </c>
      <c r="F1679" t="n">
        <v>3.6</v>
      </c>
      <c r="G1679" t="inlineStr">
        <is>
          <t>Technical</t>
        </is>
      </c>
      <c r="H1679" t="inlineStr">
        <is>
          <t>Yes</t>
        </is>
      </c>
      <c r="I1679" t="inlineStr">
        <is>
          <t>2022-01-19</t>
        </is>
      </c>
    </row>
    <row r="1680">
      <c r="A1680" t="n">
        <v/>
      </c>
      <c r="B1680" t="n">
        <v>1028086</v>
      </c>
      <c r="C1680" t="inlineStr">
        <is>
          <t>API Testing (Postman)</t>
        </is>
      </c>
      <c r="D1680" t="inlineStr">
        <is>
          <t>Secondary</t>
        </is>
      </c>
      <c r="E1680" t="inlineStr">
        <is>
          <t>Intermediate</t>
        </is>
      </c>
      <c r="F1680" t="n">
        <v>2.7</v>
      </c>
      <c r="G1680" t="inlineStr">
        <is>
          <t>Technical</t>
        </is>
      </c>
      <c r="H1680" t="inlineStr">
        <is>
          <t>Yes</t>
        </is>
      </c>
      <c r="I1680" t="inlineStr">
        <is>
          <t>2022-01-19</t>
        </is>
      </c>
    </row>
    <row r="1681">
      <c r="A1681" t="n">
        <v/>
      </c>
      <c r="B1681" t="n">
        <v>1028086</v>
      </c>
      <c r="C1681" t="inlineStr">
        <is>
          <t>TestNG</t>
        </is>
      </c>
      <c r="D1681" t="inlineStr">
        <is>
          <t>Secondary</t>
        </is>
      </c>
      <c r="E1681" t="inlineStr">
        <is>
          <t>Intermediate</t>
        </is>
      </c>
      <c r="F1681" t="n">
        <v>1.8</v>
      </c>
      <c r="G1681" t="inlineStr">
        <is>
          <t>Technical</t>
        </is>
      </c>
      <c r="H1681" t="inlineStr">
        <is>
          <t>Yes</t>
        </is>
      </c>
      <c r="I1681" t="inlineStr">
        <is>
          <t>2022-01-19</t>
        </is>
      </c>
    </row>
    <row r="1682">
      <c r="A1682" t="n">
        <v/>
      </c>
      <c r="B1682" t="n">
        <v>1026247</v>
      </c>
      <c r="C1682" t="inlineStr">
        <is>
          <t>Fullstack Web (React / Node)</t>
        </is>
      </c>
      <c r="D1682" t="inlineStr">
        <is>
          <t>Primary</t>
        </is>
      </c>
      <c r="E1682" t="inlineStr">
        <is>
          <t>Advanced</t>
        </is>
      </c>
      <c r="F1682" t="n">
        <v>6.4</v>
      </c>
      <c r="G1682" t="inlineStr">
        <is>
          <t>Technical</t>
        </is>
      </c>
      <c r="H1682" t="inlineStr">
        <is>
          <t>Yes</t>
        </is>
      </c>
      <c r="I1682" t="inlineStr">
        <is>
          <t>2021-08-25</t>
        </is>
      </c>
    </row>
    <row r="1683">
      <c r="A1683" t="n">
        <v/>
      </c>
      <c r="B1683" t="n">
        <v>1026247</v>
      </c>
      <c r="C1683" t="inlineStr">
        <is>
          <t>JavaScript</t>
        </is>
      </c>
      <c r="D1683" t="inlineStr">
        <is>
          <t>Secondary</t>
        </is>
      </c>
      <c r="E1683" t="inlineStr">
        <is>
          <t>Intermediate</t>
        </is>
      </c>
      <c r="F1683" t="n">
        <v>3.8</v>
      </c>
      <c r="G1683" t="inlineStr">
        <is>
          <t>Technical</t>
        </is>
      </c>
      <c r="H1683" t="inlineStr">
        <is>
          <t>Yes</t>
        </is>
      </c>
      <c r="I1683" t="inlineStr">
        <is>
          <t>2021-08-25</t>
        </is>
      </c>
    </row>
    <row r="1684">
      <c r="A1684" t="n">
        <v/>
      </c>
      <c r="B1684" t="n">
        <v>1026247</v>
      </c>
      <c r="C1684" t="inlineStr">
        <is>
          <t>TypeScript</t>
        </is>
      </c>
      <c r="D1684" t="inlineStr">
        <is>
          <t>Secondary</t>
        </is>
      </c>
      <c r="E1684" t="inlineStr">
        <is>
          <t>Intermediate</t>
        </is>
      </c>
      <c r="F1684" t="n">
        <v>2.9</v>
      </c>
      <c r="G1684" t="inlineStr">
        <is>
          <t>Technical</t>
        </is>
      </c>
      <c r="H1684" t="inlineStr">
        <is>
          <t>Yes</t>
        </is>
      </c>
      <c r="I1684" t="inlineStr">
        <is>
          <t>2021-08-25</t>
        </is>
      </c>
    </row>
    <row r="1685">
      <c r="A1685" t="n">
        <v/>
      </c>
      <c r="B1685" t="n">
        <v>1026247</v>
      </c>
      <c r="C1685" t="inlineStr">
        <is>
          <t>CSS/HTML</t>
        </is>
      </c>
      <c r="D1685" t="inlineStr">
        <is>
          <t>Secondary</t>
        </is>
      </c>
      <c r="E1685" t="inlineStr">
        <is>
          <t>Intermediate</t>
        </is>
      </c>
      <c r="F1685" t="n">
        <v>1.9</v>
      </c>
      <c r="G1685" t="inlineStr">
        <is>
          <t>Technical</t>
        </is>
      </c>
      <c r="H1685" t="inlineStr">
        <is>
          <t>Yes</t>
        </is>
      </c>
      <c r="I1685" t="inlineStr">
        <is>
          <t>2021-08-25</t>
        </is>
      </c>
    </row>
    <row r="1686">
      <c r="A1686" t="n">
        <v/>
      </c>
      <c r="B1686" t="n">
        <v>1031066</v>
      </c>
      <c r="C1686" t="inlineStr">
        <is>
          <t>Frontend (Angular / TypeScript)</t>
        </is>
      </c>
      <c r="D1686" t="inlineStr">
        <is>
          <t>Primary</t>
        </is>
      </c>
      <c r="E1686" t="inlineStr">
        <is>
          <t>Intermediate</t>
        </is>
      </c>
      <c r="F1686" t="n">
        <v>1.7</v>
      </c>
      <c r="G1686" t="inlineStr">
        <is>
          <t>Technical</t>
        </is>
      </c>
      <c r="H1686" t="inlineStr">
        <is>
          <t>Yes</t>
        </is>
      </c>
      <c r="I1686" t="inlineStr">
        <is>
          <t>2022-11-24</t>
        </is>
      </c>
    </row>
    <row r="1687">
      <c r="A1687" t="n">
        <v/>
      </c>
      <c r="B1687" t="n">
        <v>1031066</v>
      </c>
      <c r="C1687" t="inlineStr">
        <is>
          <t>TypeScript</t>
        </is>
      </c>
      <c r="D1687" t="inlineStr">
        <is>
          <t>Secondary</t>
        </is>
      </c>
      <c r="E1687" t="inlineStr">
        <is>
          <t>Beginner</t>
        </is>
      </c>
      <c r="F1687" t="n">
        <v>1</v>
      </c>
      <c r="G1687" t="inlineStr">
        <is>
          <t>Technical</t>
        </is>
      </c>
      <c r="H1687" t="inlineStr">
        <is>
          <t>Yes</t>
        </is>
      </c>
      <c r="I1687" t="inlineStr">
        <is>
          <t>2022-11-24</t>
        </is>
      </c>
    </row>
    <row r="1688">
      <c r="A1688" t="n">
        <v/>
      </c>
      <c r="B1688" t="n">
        <v>1031066</v>
      </c>
      <c r="C1688" t="inlineStr">
        <is>
          <t>JavaScript</t>
        </is>
      </c>
      <c r="D1688" t="inlineStr">
        <is>
          <t>Secondary</t>
        </is>
      </c>
      <c r="E1688" t="inlineStr">
        <is>
          <t>Beginner</t>
        </is>
      </c>
      <c r="F1688" t="n">
        <v>0.8</v>
      </c>
      <c r="G1688" t="inlineStr">
        <is>
          <t>Technical</t>
        </is>
      </c>
      <c r="H1688" t="inlineStr">
        <is>
          <t>Yes</t>
        </is>
      </c>
      <c r="I1688" t="inlineStr">
        <is>
          <t>2022-11-24</t>
        </is>
      </c>
    </row>
    <row r="1689">
      <c r="A1689" t="n">
        <v/>
      </c>
      <c r="B1689" t="n">
        <v>1027410</v>
      </c>
      <c r="C1689" t="inlineStr">
        <is>
          <t>Java / Spring Boot</t>
        </is>
      </c>
      <c r="D1689" t="inlineStr">
        <is>
          <t>Primary</t>
        </is>
      </c>
      <c r="E1689" t="inlineStr">
        <is>
          <t>Intermediate</t>
        </is>
      </c>
      <c r="F1689" t="n">
        <v>2.6</v>
      </c>
      <c r="G1689" t="inlineStr">
        <is>
          <t>Technical</t>
        </is>
      </c>
      <c r="H1689" t="inlineStr">
        <is>
          <t>Yes</t>
        </is>
      </c>
      <c r="I1689" t="inlineStr">
        <is>
          <t>2021-12-01</t>
        </is>
      </c>
      <c r="J1689" t="inlineStr">
        <is>
          <t>Claims</t>
        </is>
      </c>
    </row>
    <row r="1690">
      <c r="A1690" t="n">
        <v/>
      </c>
      <c r="B1690" t="n">
        <v>1027410</v>
      </c>
      <c r="C1690" t="inlineStr">
        <is>
          <t>SQL</t>
        </is>
      </c>
      <c r="D1690" t="inlineStr">
        <is>
          <t>Secondary</t>
        </is>
      </c>
      <c r="E1690" t="inlineStr">
        <is>
          <t>Intermediate</t>
        </is>
      </c>
      <c r="F1690" t="n">
        <v>1.6</v>
      </c>
      <c r="G1690" t="inlineStr">
        <is>
          <t>Technical</t>
        </is>
      </c>
      <c r="H1690" t="inlineStr">
        <is>
          <t>Yes</t>
        </is>
      </c>
      <c r="I1690" t="inlineStr">
        <is>
          <t>2021-12-01</t>
        </is>
      </c>
      <c r="J1690" t="inlineStr">
        <is>
          <t>Claims</t>
        </is>
      </c>
    </row>
    <row r="1691">
      <c r="A1691" t="n">
        <v/>
      </c>
      <c r="B1691" t="n">
        <v>1027410</v>
      </c>
      <c r="C1691" t="inlineStr">
        <is>
          <t>Docker</t>
        </is>
      </c>
      <c r="D1691" t="inlineStr">
        <is>
          <t>Secondary</t>
        </is>
      </c>
      <c r="E1691" t="inlineStr">
        <is>
          <t>Beginner</t>
        </is>
      </c>
      <c r="F1691" t="n">
        <v>1.2</v>
      </c>
      <c r="G1691" t="inlineStr">
        <is>
          <t>Technical</t>
        </is>
      </c>
      <c r="H1691" t="inlineStr">
        <is>
          <t>Yes</t>
        </is>
      </c>
      <c r="I1691" t="inlineStr">
        <is>
          <t>2021-12-01</t>
        </is>
      </c>
      <c r="J1691" t="inlineStr">
        <is>
          <t>Claims</t>
        </is>
      </c>
    </row>
    <row r="1692">
      <c r="A1692" t="n">
        <v/>
      </c>
      <c r="B1692" t="n">
        <v>1024570</v>
      </c>
      <c r="C1692" t="inlineStr">
        <is>
          <t>QA Automation / SDET</t>
        </is>
      </c>
      <c r="D1692" t="inlineStr">
        <is>
          <t>Primary</t>
        </is>
      </c>
      <c r="E1692" t="inlineStr">
        <is>
          <t>Advanced</t>
        </is>
      </c>
      <c r="F1692" t="n">
        <v>6.9</v>
      </c>
      <c r="G1692" t="inlineStr">
        <is>
          <t>Technical</t>
        </is>
      </c>
      <c r="H1692" t="inlineStr">
        <is>
          <t>Yes</t>
        </is>
      </c>
      <c r="I1692" t="inlineStr">
        <is>
          <t>2021-02-19</t>
        </is>
      </c>
    </row>
    <row r="1693">
      <c r="A1693" t="n">
        <v/>
      </c>
      <c r="B1693" t="n">
        <v>1024570</v>
      </c>
      <c r="C1693" t="inlineStr">
        <is>
          <t>Selenium</t>
        </is>
      </c>
      <c r="D1693" t="inlineStr">
        <is>
          <t>Secondary</t>
        </is>
      </c>
      <c r="E1693" t="inlineStr">
        <is>
          <t>Intermediate</t>
        </is>
      </c>
      <c r="F1693" t="n">
        <v>4.1</v>
      </c>
      <c r="G1693" t="inlineStr">
        <is>
          <t>Technical</t>
        </is>
      </c>
      <c r="H1693" t="inlineStr">
        <is>
          <t>Yes</t>
        </is>
      </c>
      <c r="I1693" t="inlineStr">
        <is>
          <t>2021-02-19</t>
        </is>
      </c>
    </row>
    <row r="1694">
      <c r="A1694" t="n">
        <v/>
      </c>
      <c r="B1694" t="n">
        <v>1024570</v>
      </c>
      <c r="C1694" t="inlineStr">
        <is>
          <t>API Testing (Postman)</t>
        </is>
      </c>
      <c r="D1694" t="inlineStr">
        <is>
          <t>Secondary</t>
        </is>
      </c>
      <c r="E1694" t="inlineStr">
        <is>
          <t>Intermediate</t>
        </is>
      </c>
      <c r="F1694" t="n">
        <v>3.1</v>
      </c>
      <c r="G1694" t="inlineStr">
        <is>
          <t>Technical</t>
        </is>
      </c>
      <c r="H1694" t="inlineStr">
        <is>
          <t>Yes</t>
        </is>
      </c>
      <c r="I1694" t="inlineStr">
        <is>
          <t>2021-02-19</t>
        </is>
      </c>
    </row>
    <row r="1695">
      <c r="A1695" t="n">
        <v/>
      </c>
      <c r="B1695" t="n">
        <v>1024570</v>
      </c>
      <c r="C1695" t="inlineStr">
        <is>
          <t>TestNG</t>
        </is>
      </c>
      <c r="D1695" t="inlineStr">
        <is>
          <t>Secondary</t>
        </is>
      </c>
      <c r="E1695" t="inlineStr">
        <is>
          <t>Intermediate</t>
        </is>
      </c>
      <c r="F1695" t="n">
        <v>2.1</v>
      </c>
      <c r="G1695" t="inlineStr">
        <is>
          <t>Technical</t>
        </is>
      </c>
      <c r="H1695" t="inlineStr">
        <is>
          <t>Yes</t>
        </is>
      </c>
      <c r="I1695" t="inlineStr">
        <is>
          <t>2021-02-19</t>
        </is>
      </c>
    </row>
    <row r="1696">
      <c r="A1696" t="n">
        <v/>
      </c>
      <c r="B1696" t="n">
        <v>1024572</v>
      </c>
      <c r="C1696" t="inlineStr">
        <is>
          <t>QA Automation / SDET</t>
        </is>
      </c>
      <c r="D1696" t="inlineStr">
        <is>
          <t>Primary</t>
        </is>
      </c>
      <c r="E1696" t="inlineStr">
        <is>
          <t>Advanced</t>
        </is>
      </c>
      <c r="F1696" t="n">
        <v>6.9</v>
      </c>
      <c r="G1696" t="inlineStr">
        <is>
          <t>Technical</t>
        </is>
      </c>
      <c r="H1696" t="inlineStr">
        <is>
          <t>Yes</t>
        </is>
      </c>
      <c r="I1696" t="inlineStr">
        <is>
          <t>2021-02-19</t>
        </is>
      </c>
    </row>
    <row r="1697">
      <c r="A1697" t="n">
        <v/>
      </c>
      <c r="B1697" t="n">
        <v>1024572</v>
      </c>
      <c r="C1697" t="inlineStr">
        <is>
          <t>Selenium</t>
        </is>
      </c>
      <c r="D1697" t="inlineStr">
        <is>
          <t>Secondary</t>
        </is>
      </c>
      <c r="E1697" t="inlineStr">
        <is>
          <t>Intermediate</t>
        </is>
      </c>
      <c r="F1697" t="n">
        <v>4.1</v>
      </c>
      <c r="G1697" t="inlineStr">
        <is>
          <t>Technical</t>
        </is>
      </c>
      <c r="H1697" t="inlineStr">
        <is>
          <t>Yes</t>
        </is>
      </c>
      <c r="I1697" t="inlineStr">
        <is>
          <t>2021-02-19</t>
        </is>
      </c>
    </row>
    <row r="1698">
      <c r="A1698" t="n">
        <v/>
      </c>
      <c r="B1698" t="n">
        <v>1024572</v>
      </c>
      <c r="C1698" t="inlineStr">
        <is>
          <t>API Testing (Postman)</t>
        </is>
      </c>
      <c r="D1698" t="inlineStr">
        <is>
          <t>Secondary</t>
        </is>
      </c>
      <c r="E1698" t="inlineStr">
        <is>
          <t>Intermediate</t>
        </is>
      </c>
      <c r="F1698" t="n">
        <v>3.1</v>
      </c>
      <c r="G1698" t="inlineStr">
        <is>
          <t>Technical</t>
        </is>
      </c>
      <c r="H1698" t="inlineStr">
        <is>
          <t>Yes</t>
        </is>
      </c>
      <c r="I1698" t="inlineStr">
        <is>
          <t>2021-02-19</t>
        </is>
      </c>
    </row>
    <row r="1699">
      <c r="A1699" t="n">
        <v/>
      </c>
      <c r="B1699" t="n">
        <v>1024572</v>
      </c>
      <c r="C1699" t="inlineStr">
        <is>
          <t>TestNG</t>
        </is>
      </c>
      <c r="D1699" t="inlineStr">
        <is>
          <t>Secondary</t>
        </is>
      </c>
      <c r="E1699" t="inlineStr">
        <is>
          <t>Intermediate</t>
        </is>
      </c>
      <c r="F1699" t="n">
        <v>2.1</v>
      </c>
      <c r="G1699" t="inlineStr">
        <is>
          <t>Technical</t>
        </is>
      </c>
      <c r="H1699" t="inlineStr">
        <is>
          <t>Yes</t>
        </is>
      </c>
      <c r="I1699" t="inlineStr">
        <is>
          <t>2021-02-19</t>
        </is>
      </c>
    </row>
    <row r="1700">
      <c r="A1700" t="n">
        <v/>
      </c>
      <c r="B1700" t="n">
        <v>1026246</v>
      </c>
      <c r="C1700" t="inlineStr">
        <is>
          <t>Java / Spring Boot</t>
        </is>
      </c>
      <c r="D1700" t="inlineStr">
        <is>
          <t>Primary</t>
        </is>
      </c>
      <c r="E1700" t="inlineStr">
        <is>
          <t>Advanced</t>
        </is>
      </c>
      <c r="F1700" t="n">
        <v>6.4</v>
      </c>
      <c r="G1700" t="inlineStr">
        <is>
          <t>Technical</t>
        </is>
      </c>
      <c r="H1700" t="inlineStr">
        <is>
          <t>Yes</t>
        </is>
      </c>
      <c r="I1700" t="inlineStr">
        <is>
          <t>2021-08-25</t>
        </is>
      </c>
      <c r="J1700" t="inlineStr">
        <is>
          <t>Member</t>
        </is>
      </c>
    </row>
    <row r="1701">
      <c r="A1701" t="n">
        <v/>
      </c>
      <c r="B1701" t="n">
        <v>1026246</v>
      </c>
      <c r="C1701" t="inlineStr">
        <is>
          <t>SQL</t>
        </is>
      </c>
      <c r="D1701" t="inlineStr">
        <is>
          <t>Secondary</t>
        </is>
      </c>
      <c r="E1701" t="inlineStr">
        <is>
          <t>Intermediate</t>
        </is>
      </c>
      <c r="F1701" t="n">
        <v>3.8</v>
      </c>
      <c r="G1701" t="inlineStr">
        <is>
          <t>Technical</t>
        </is>
      </c>
      <c r="H1701" t="inlineStr">
        <is>
          <t>Yes</t>
        </is>
      </c>
      <c r="I1701" t="inlineStr">
        <is>
          <t>2021-08-25</t>
        </is>
      </c>
      <c r="J1701" t="inlineStr">
        <is>
          <t>Member</t>
        </is>
      </c>
    </row>
    <row r="1702">
      <c r="A1702" t="n">
        <v/>
      </c>
      <c r="B1702" t="n">
        <v>1026246</v>
      </c>
      <c r="C1702" t="inlineStr">
        <is>
          <t>Docker</t>
        </is>
      </c>
      <c r="D1702" t="inlineStr">
        <is>
          <t>Secondary</t>
        </is>
      </c>
      <c r="E1702" t="inlineStr">
        <is>
          <t>Intermediate</t>
        </is>
      </c>
      <c r="F1702" t="n">
        <v>2.9</v>
      </c>
      <c r="G1702" t="inlineStr">
        <is>
          <t>Technical</t>
        </is>
      </c>
      <c r="H1702" t="inlineStr">
        <is>
          <t>Yes</t>
        </is>
      </c>
      <c r="I1702" t="inlineStr">
        <is>
          <t>2021-08-25</t>
        </is>
      </c>
      <c r="J1702" t="inlineStr">
        <is>
          <t>Member</t>
        </is>
      </c>
    </row>
    <row r="1703">
      <c r="A1703" t="n">
        <v/>
      </c>
      <c r="B1703" t="n">
        <v>1026246</v>
      </c>
      <c r="C1703" t="inlineStr">
        <is>
          <t>Git</t>
        </is>
      </c>
      <c r="D1703" t="inlineStr">
        <is>
          <t>Secondary</t>
        </is>
      </c>
      <c r="E1703" t="inlineStr">
        <is>
          <t>Intermediate</t>
        </is>
      </c>
      <c r="F1703" t="n">
        <v>1.9</v>
      </c>
      <c r="G1703" t="inlineStr">
        <is>
          <t>Technical</t>
        </is>
      </c>
      <c r="H1703" t="inlineStr">
        <is>
          <t>Yes</t>
        </is>
      </c>
      <c r="I1703" t="inlineStr">
        <is>
          <t>2021-08-25</t>
        </is>
      </c>
      <c r="J1703" t="inlineStr">
        <is>
          <t>Member</t>
        </is>
      </c>
    </row>
    <row r="1704">
      <c r="A1704" t="n">
        <v/>
      </c>
      <c r="B1704" t="n">
        <v>1028935</v>
      </c>
      <c r="C1704" t="inlineStr">
        <is>
          <t>QA Automation / SDET</t>
        </is>
      </c>
      <c r="D1704" t="inlineStr">
        <is>
          <t>Primary</t>
        </is>
      </c>
      <c r="E1704" t="inlineStr">
        <is>
          <t>Advanced</t>
        </is>
      </c>
      <c r="F1704" t="n">
        <v>5.8</v>
      </c>
      <c r="G1704" t="inlineStr">
        <is>
          <t>Technical</t>
        </is>
      </c>
      <c r="H1704" t="inlineStr">
        <is>
          <t>Yes</t>
        </is>
      </c>
      <c r="I1704" t="inlineStr">
        <is>
          <t>2022-04-26</t>
        </is>
      </c>
    </row>
    <row r="1705">
      <c r="A1705" t="n">
        <v/>
      </c>
      <c r="B1705" t="n">
        <v>1028935</v>
      </c>
      <c r="C1705" t="inlineStr">
        <is>
          <t>Selenium</t>
        </is>
      </c>
      <c r="D1705" t="inlineStr">
        <is>
          <t>Secondary</t>
        </is>
      </c>
      <c r="E1705" t="inlineStr">
        <is>
          <t>Intermediate</t>
        </is>
      </c>
      <c r="F1705" t="n">
        <v>3.5</v>
      </c>
      <c r="G1705" t="inlineStr">
        <is>
          <t>Technical</t>
        </is>
      </c>
      <c r="H1705" t="inlineStr">
        <is>
          <t>Yes</t>
        </is>
      </c>
      <c r="I1705" t="inlineStr">
        <is>
          <t>2022-04-26</t>
        </is>
      </c>
    </row>
    <row r="1706">
      <c r="A1706" t="n">
        <v/>
      </c>
      <c r="B1706" t="n">
        <v>1028935</v>
      </c>
      <c r="C1706" t="inlineStr">
        <is>
          <t>API Testing (Postman)</t>
        </is>
      </c>
      <c r="D1706" t="inlineStr">
        <is>
          <t>Secondary</t>
        </is>
      </c>
      <c r="E1706" t="inlineStr">
        <is>
          <t>Intermediate</t>
        </is>
      </c>
      <c r="F1706" t="n">
        <v>2.6</v>
      </c>
      <c r="G1706" t="inlineStr">
        <is>
          <t>Technical</t>
        </is>
      </c>
      <c r="H1706" t="inlineStr">
        <is>
          <t>Yes</t>
        </is>
      </c>
      <c r="I1706" t="inlineStr">
        <is>
          <t>2022-04-26</t>
        </is>
      </c>
    </row>
    <row r="1707">
      <c r="A1707" t="n">
        <v/>
      </c>
      <c r="B1707" t="n">
        <v>1028935</v>
      </c>
      <c r="C1707" t="inlineStr">
        <is>
          <t>TestNG</t>
        </is>
      </c>
      <c r="D1707" t="inlineStr">
        <is>
          <t>Secondary</t>
        </is>
      </c>
      <c r="E1707" t="inlineStr">
        <is>
          <t>Intermediate</t>
        </is>
      </c>
      <c r="F1707" t="n">
        <v>1.7</v>
      </c>
      <c r="G1707" t="inlineStr">
        <is>
          <t>Technical</t>
        </is>
      </c>
      <c r="H1707" t="inlineStr">
        <is>
          <t>Yes</t>
        </is>
      </c>
      <c r="I1707" t="inlineStr">
        <is>
          <t>2022-04-26</t>
        </is>
      </c>
    </row>
    <row r="1708">
      <c r="A1708" t="n">
        <v/>
      </c>
      <c r="B1708" t="n">
        <v>1027411</v>
      </c>
      <c r="C1708" t="inlineStr">
        <is>
          <t>QA Automation / SDET</t>
        </is>
      </c>
      <c r="D1708" t="inlineStr">
        <is>
          <t>Primary</t>
        </is>
      </c>
      <c r="E1708" t="inlineStr">
        <is>
          <t>Advanced</t>
        </is>
      </c>
      <c r="F1708" t="n">
        <v>6.2</v>
      </c>
      <c r="G1708" t="inlineStr">
        <is>
          <t>Technical</t>
        </is>
      </c>
      <c r="H1708" t="inlineStr">
        <is>
          <t>Yes</t>
        </is>
      </c>
      <c r="I1708" t="inlineStr">
        <is>
          <t>2021-12-01</t>
        </is>
      </c>
    </row>
    <row r="1709">
      <c r="A1709" t="n">
        <v/>
      </c>
      <c r="B1709" t="n">
        <v>1027411</v>
      </c>
      <c r="C1709" t="inlineStr">
        <is>
          <t>Selenium</t>
        </is>
      </c>
      <c r="D1709" t="inlineStr">
        <is>
          <t>Secondary</t>
        </is>
      </c>
      <c r="E1709" t="inlineStr">
        <is>
          <t>Intermediate</t>
        </is>
      </c>
      <c r="F1709" t="n">
        <v>3.7</v>
      </c>
      <c r="G1709" t="inlineStr">
        <is>
          <t>Technical</t>
        </is>
      </c>
      <c r="H1709" t="inlineStr">
        <is>
          <t>Yes</t>
        </is>
      </c>
      <c r="I1709" t="inlineStr">
        <is>
          <t>2021-12-01</t>
        </is>
      </c>
    </row>
    <row r="1710">
      <c r="A1710" t="n">
        <v/>
      </c>
      <c r="B1710" t="n">
        <v>1027411</v>
      </c>
      <c r="C1710" t="inlineStr">
        <is>
          <t>API Testing (Postman)</t>
        </is>
      </c>
      <c r="D1710" t="inlineStr">
        <is>
          <t>Secondary</t>
        </is>
      </c>
      <c r="E1710" t="inlineStr">
        <is>
          <t>Intermediate</t>
        </is>
      </c>
      <c r="F1710" t="n">
        <v>2.8</v>
      </c>
      <c r="G1710" t="inlineStr">
        <is>
          <t>Technical</t>
        </is>
      </c>
      <c r="H1710" t="inlineStr">
        <is>
          <t>Yes</t>
        </is>
      </c>
      <c r="I1710" t="inlineStr">
        <is>
          <t>2021-12-01</t>
        </is>
      </c>
    </row>
    <row r="1711">
      <c r="A1711" t="n">
        <v/>
      </c>
      <c r="B1711" t="n">
        <v>1027411</v>
      </c>
      <c r="C1711" t="inlineStr">
        <is>
          <t>TestNG</t>
        </is>
      </c>
      <c r="D1711" t="inlineStr">
        <is>
          <t>Secondary</t>
        </is>
      </c>
      <c r="E1711" t="inlineStr">
        <is>
          <t>Intermediate</t>
        </is>
      </c>
      <c r="F1711" t="n">
        <v>1.9</v>
      </c>
      <c r="G1711" t="inlineStr">
        <is>
          <t>Technical</t>
        </is>
      </c>
      <c r="H1711" t="inlineStr">
        <is>
          <t>Yes</t>
        </is>
      </c>
      <c r="I1711" t="inlineStr">
        <is>
          <t>2021-12-01</t>
        </is>
      </c>
    </row>
    <row r="1712">
      <c r="A1712" t="n">
        <v/>
      </c>
      <c r="B1712" t="n">
        <v>1033575</v>
      </c>
      <c r="C1712" t="inlineStr">
        <is>
          <t>Python / Data Engineering</t>
        </is>
      </c>
      <c r="D1712" t="inlineStr">
        <is>
          <t>Primary</t>
        </is>
      </c>
      <c r="E1712" t="inlineStr">
        <is>
          <t>Advanced</t>
        </is>
      </c>
      <c r="F1712" t="n">
        <v>4.6</v>
      </c>
      <c r="G1712" t="inlineStr">
        <is>
          <t>Technical</t>
        </is>
      </c>
      <c r="H1712" t="inlineStr">
        <is>
          <t>Yes</t>
        </is>
      </c>
      <c r="I1712" t="inlineStr">
        <is>
          <t>2023-09-20</t>
        </is>
      </c>
    </row>
    <row r="1713">
      <c r="A1713" t="n">
        <v/>
      </c>
      <c r="B1713" t="n">
        <v>1033575</v>
      </c>
      <c r="C1713" t="inlineStr">
        <is>
          <t>SQL</t>
        </is>
      </c>
      <c r="D1713" t="inlineStr">
        <is>
          <t>Secondary</t>
        </is>
      </c>
      <c r="E1713" t="inlineStr">
        <is>
          <t>Intermediate</t>
        </is>
      </c>
      <c r="F1713" t="n">
        <v>2.8</v>
      </c>
      <c r="G1713" t="inlineStr">
        <is>
          <t>Technical</t>
        </is>
      </c>
      <c r="H1713" t="inlineStr">
        <is>
          <t>Yes</t>
        </is>
      </c>
      <c r="I1713" t="inlineStr">
        <is>
          <t>2023-09-20</t>
        </is>
      </c>
    </row>
    <row r="1714">
      <c r="A1714" t="n">
        <v/>
      </c>
      <c r="B1714" t="n">
        <v>1033575</v>
      </c>
      <c r="C1714" t="inlineStr">
        <is>
          <t>Docker</t>
        </is>
      </c>
      <c r="D1714" t="inlineStr">
        <is>
          <t>Secondary</t>
        </is>
      </c>
      <c r="E1714" t="inlineStr">
        <is>
          <t>Intermediate</t>
        </is>
      </c>
      <c r="F1714" t="n">
        <v>2.1</v>
      </c>
      <c r="G1714" t="inlineStr">
        <is>
          <t>Technical</t>
        </is>
      </c>
      <c r="H1714" t="inlineStr">
        <is>
          <t>Yes</t>
        </is>
      </c>
      <c r="I1714" t="inlineStr">
        <is>
          <t>2023-09-20</t>
        </is>
      </c>
    </row>
    <row r="1715">
      <c r="A1715" t="n">
        <v/>
      </c>
      <c r="B1715" t="n">
        <v>1033575</v>
      </c>
      <c r="C1715" t="inlineStr">
        <is>
          <t>Pandas</t>
        </is>
      </c>
      <c r="D1715" t="inlineStr">
        <is>
          <t>Secondary</t>
        </is>
      </c>
      <c r="E1715" t="inlineStr">
        <is>
          <t>Beginner</t>
        </is>
      </c>
      <c r="F1715" t="n">
        <v>1.4</v>
      </c>
      <c r="G1715" t="inlineStr">
        <is>
          <t>Technical</t>
        </is>
      </c>
      <c r="H1715" t="inlineStr">
        <is>
          <t>Yes</t>
        </is>
      </c>
      <c r="I1715" t="inlineStr">
        <is>
          <t>2023-09-20</t>
        </is>
      </c>
    </row>
    <row r="1716">
      <c r="A1716" t="n">
        <v/>
      </c>
      <c r="B1716" t="n">
        <v>1030259</v>
      </c>
      <c r="C1716" t="inlineStr">
        <is>
          <t>Cloud &amp; DevOps (AWS / K8s)</t>
        </is>
      </c>
      <c r="D1716" t="inlineStr">
        <is>
          <t>Primary</t>
        </is>
      </c>
      <c r="E1716" t="inlineStr">
        <is>
          <t>Intermediate</t>
        </is>
      </c>
      <c r="F1716" t="n">
        <v>1.9</v>
      </c>
      <c r="G1716" t="inlineStr">
        <is>
          <t>Technical</t>
        </is>
      </c>
      <c r="H1716" t="inlineStr">
        <is>
          <t>Yes</t>
        </is>
      </c>
      <c r="I1716" t="inlineStr">
        <is>
          <t>2022-09-15</t>
        </is>
      </c>
    </row>
    <row r="1717">
      <c r="A1717" t="n">
        <v/>
      </c>
      <c r="B1717" t="n">
        <v>1030259</v>
      </c>
      <c r="C1717" t="inlineStr">
        <is>
          <t>Linux</t>
        </is>
      </c>
      <c r="D1717" t="inlineStr">
        <is>
          <t>Secondary</t>
        </is>
      </c>
      <c r="E1717" t="inlineStr">
        <is>
          <t>Beginner</t>
        </is>
      </c>
      <c r="F1717" t="n">
        <v>1.1</v>
      </c>
      <c r="G1717" t="inlineStr">
        <is>
          <t>Technical</t>
        </is>
      </c>
      <c r="H1717" t="inlineStr">
        <is>
          <t>Yes</t>
        </is>
      </c>
      <c r="I1717" t="inlineStr">
        <is>
          <t>2022-09-15</t>
        </is>
      </c>
    </row>
    <row r="1718">
      <c r="A1718" t="n">
        <v/>
      </c>
      <c r="B1718" t="n">
        <v>1030259</v>
      </c>
      <c r="C1718" t="inlineStr">
        <is>
          <t>Docker</t>
        </is>
      </c>
      <c r="D1718" t="inlineStr">
        <is>
          <t>Secondary</t>
        </is>
      </c>
      <c r="E1718" t="inlineStr">
        <is>
          <t>Beginner</t>
        </is>
      </c>
      <c r="F1718" t="n">
        <v>0.9</v>
      </c>
      <c r="G1718" t="inlineStr">
        <is>
          <t>Technical</t>
        </is>
      </c>
      <c r="H1718" t="inlineStr">
        <is>
          <t>Yes</t>
        </is>
      </c>
      <c r="I1718" t="inlineStr">
        <is>
          <t>2022-09-15</t>
        </is>
      </c>
    </row>
    <row r="1719">
      <c r="A1719" t="n">
        <v/>
      </c>
      <c r="B1719" t="n">
        <v>1029890</v>
      </c>
      <c r="C1719" t="inlineStr">
        <is>
          <t>Python / Data Engineering</t>
        </is>
      </c>
      <c r="D1719" t="inlineStr">
        <is>
          <t>Primary</t>
        </is>
      </c>
      <c r="E1719" t="inlineStr">
        <is>
          <t>Intermediate</t>
        </is>
      </c>
      <c r="F1719" t="n">
        <v>1.9</v>
      </c>
      <c r="G1719" t="inlineStr">
        <is>
          <t>Technical</t>
        </is>
      </c>
      <c r="H1719" t="inlineStr">
        <is>
          <t>Yes</t>
        </is>
      </c>
      <c r="I1719" t="inlineStr">
        <is>
          <t>2022-08-18</t>
        </is>
      </c>
    </row>
    <row r="1720">
      <c r="A1720" t="n">
        <v/>
      </c>
      <c r="B1720" t="n">
        <v>1029890</v>
      </c>
      <c r="C1720" t="inlineStr">
        <is>
          <t>SQL</t>
        </is>
      </c>
      <c r="D1720" t="inlineStr">
        <is>
          <t>Secondary</t>
        </is>
      </c>
      <c r="E1720" t="inlineStr">
        <is>
          <t>Beginner</t>
        </is>
      </c>
      <c r="F1720" t="n">
        <v>1.1</v>
      </c>
      <c r="G1720" t="inlineStr">
        <is>
          <t>Technical</t>
        </is>
      </c>
      <c r="H1720" t="inlineStr">
        <is>
          <t>Yes</t>
        </is>
      </c>
      <c r="I1720" t="inlineStr">
        <is>
          <t>2022-08-18</t>
        </is>
      </c>
    </row>
    <row r="1721">
      <c r="A1721" t="n">
        <v/>
      </c>
      <c r="B1721" t="n">
        <v>1029890</v>
      </c>
      <c r="C1721" t="inlineStr">
        <is>
          <t>Docker</t>
        </is>
      </c>
      <c r="D1721" t="inlineStr">
        <is>
          <t>Secondary</t>
        </is>
      </c>
      <c r="E1721" t="inlineStr">
        <is>
          <t>Beginner</t>
        </is>
      </c>
      <c r="F1721" t="n">
        <v>0.9</v>
      </c>
      <c r="G1721" t="inlineStr">
        <is>
          <t>Technical</t>
        </is>
      </c>
      <c r="H1721" t="inlineStr">
        <is>
          <t>Yes</t>
        </is>
      </c>
      <c r="I1721" t="inlineStr">
        <is>
          <t>2022-08-18</t>
        </is>
      </c>
    </row>
    <row r="1722">
      <c r="A1722" t="n">
        <v/>
      </c>
      <c r="B1722" t="n">
        <v>1030909</v>
      </c>
      <c r="C1722" t="inlineStr">
        <is>
          <t>Cloud &amp; DevOps (AWS / K8s)</t>
        </is>
      </c>
      <c r="D1722" t="inlineStr">
        <is>
          <t>Primary</t>
        </is>
      </c>
      <c r="E1722" t="inlineStr">
        <is>
          <t>Intermediate</t>
        </is>
      </c>
      <c r="F1722" t="n">
        <v>1.7</v>
      </c>
      <c r="G1722" t="inlineStr">
        <is>
          <t>Technical</t>
        </is>
      </c>
      <c r="H1722" t="inlineStr">
        <is>
          <t>Yes</t>
        </is>
      </c>
      <c r="I1722" t="inlineStr">
        <is>
          <t>2022-11-11</t>
        </is>
      </c>
    </row>
    <row r="1723">
      <c r="A1723" t="n">
        <v/>
      </c>
      <c r="B1723" t="n">
        <v>1030909</v>
      </c>
      <c r="C1723" t="inlineStr">
        <is>
          <t>Linux</t>
        </is>
      </c>
      <c r="D1723" t="inlineStr">
        <is>
          <t>Secondary</t>
        </is>
      </c>
      <c r="E1723" t="inlineStr">
        <is>
          <t>Beginner</t>
        </is>
      </c>
      <c r="F1723" t="n">
        <v>1</v>
      </c>
      <c r="G1723" t="inlineStr">
        <is>
          <t>Technical</t>
        </is>
      </c>
      <c r="H1723" t="inlineStr">
        <is>
          <t>Yes</t>
        </is>
      </c>
      <c r="I1723" t="inlineStr">
        <is>
          <t>2022-11-11</t>
        </is>
      </c>
    </row>
    <row r="1724">
      <c r="A1724" t="n">
        <v/>
      </c>
      <c r="B1724" t="n">
        <v>1030909</v>
      </c>
      <c r="C1724" t="inlineStr">
        <is>
          <t>Docker</t>
        </is>
      </c>
      <c r="D1724" t="inlineStr">
        <is>
          <t>Secondary</t>
        </is>
      </c>
      <c r="E1724" t="inlineStr">
        <is>
          <t>Beginner</t>
        </is>
      </c>
      <c r="F1724" t="n">
        <v>0.8</v>
      </c>
      <c r="G1724" t="inlineStr">
        <is>
          <t>Technical</t>
        </is>
      </c>
      <c r="H1724" t="inlineStr">
        <is>
          <t>Yes</t>
        </is>
      </c>
      <c r="I1724" t="inlineStr">
        <is>
          <t>2022-11-11</t>
        </is>
      </c>
    </row>
    <row r="1725">
      <c r="A1725" t="n">
        <v/>
      </c>
      <c r="B1725" t="n">
        <v>1027409</v>
      </c>
      <c r="C1725" t="inlineStr">
        <is>
          <t>Cloud &amp; DevOps (AWS / K8s)</t>
        </is>
      </c>
      <c r="D1725" t="inlineStr">
        <is>
          <t>Primary</t>
        </is>
      </c>
      <c r="E1725" t="inlineStr">
        <is>
          <t>Advanced</t>
        </is>
      </c>
      <c r="F1725" t="n">
        <v>6.2</v>
      </c>
      <c r="G1725" t="inlineStr">
        <is>
          <t>Technical</t>
        </is>
      </c>
      <c r="H1725" t="inlineStr">
        <is>
          <t>Yes</t>
        </is>
      </c>
      <c r="I1725" t="inlineStr">
        <is>
          <t>2021-12-01</t>
        </is>
      </c>
    </row>
    <row r="1726">
      <c r="A1726" t="n">
        <v/>
      </c>
      <c r="B1726" t="n">
        <v>1027409</v>
      </c>
      <c r="C1726" t="inlineStr">
        <is>
          <t>Docker</t>
        </is>
      </c>
      <c r="D1726" t="inlineStr">
        <is>
          <t>Secondary</t>
        </is>
      </c>
      <c r="E1726" t="inlineStr">
        <is>
          <t>Intermediate</t>
        </is>
      </c>
      <c r="F1726" t="n">
        <v>3.7</v>
      </c>
      <c r="G1726" t="inlineStr">
        <is>
          <t>Technical</t>
        </is>
      </c>
      <c r="H1726" t="inlineStr">
        <is>
          <t>Yes</t>
        </is>
      </c>
      <c r="I1726" t="inlineStr">
        <is>
          <t>2021-12-01</t>
        </is>
      </c>
    </row>
    <row r="1727">
      <c r="A1727" t="n">
        <v/>
      </c>
      <c r="B1727" t="n">
        <v>1027409</v>
      </c>
      <c r="C1727" t="inlineStr">
        <is>
          <t>Kubernetes</t>
        </is>
      </c>
      <c r="D1727" t="inlineStr">
        <is>
          <t>Secondary</t>
        </is>
      </c>
      <c r="E1727" t="inlineStr">
        <is>
          <t>Intermediate</t>
        </is>
      </c>
      <c r="F1727" t="n">
        <v>2.8</v>
      </c>
      <c r="G1727" t="inlineStr">
        <is>
          <t>Technical</t>
        </is>
      </c>
      <c r="H1727" t="inlineStr">
        <is>
          <t>Yes</t>
        </is>
      </c>
      <c r="I1727" t="inlineStr">
        <is>
          <t>2021-12-01</t>
        </is>
      </c>
    </row>
    <row r="1728">
      <c r="A1728" t="n">
        <v/>
      </c>
      <c r="B1728" t="n">
        <v>1027409</v>
      </c>
      <c r="C1728" t="inlineStr">
        <is>
          <t>Linux</t>
        </is>
      </c>
      <c r="D1728" t="inlineStr">
        <is>
          <t>Secondary</t>
        </is>
      </c>
      <c r="E1728" t="inlineStr">
        <is>
          <t>Intermediate</t>
        </is>
      </c>
      <c r="F1728" t="n">
        <v>1.9</v>
      </c>
      <c r="G1728" t="inlineStr">
        <is>
          <t>Technical</t>
        </is>
      </c>
      <c r="H1728" t="inlineStr">
        <is>
          <t>Yes</t>
        </is>
      </c>
      <c r="I1728" t="inlineStr">
        <is>
          <t>2021-12-01</t>
        </is>
      </c>
    </row>
    <row r="1729">
      <c r="A1729" t="n">
        <v/>
      </c>
      <c r="B1729" t="n">
        <v>1026967</v>
      </c>
      <c r="C1729" t="inlineStr">
        <is>
          <t>QA Automation / SDET</t>
        </is>
      </c>
      <c r="D1729" t="inlineStr">
        <is>
          <t>Primary</t>
        </is>
      </c>
      <c r="E1729" t="inlineStr">
        <is>
          <t>Advanced</t>
        </is>
      </c>
      <c r="F1729" t="n">
        <v>6.3</v>
      </c>
      <c r="G1729" t="inlineStr">
        <is>
          <t>Technical</t>
        </is>
      </c>
      <c r="H1729" t="inlineStr">
        <is>
          <t>Yes</t>
        </is>
      </c>
      <c r="I1729" t="inlineStr">
        <is>
          <t>2021-10-25</t>
        </is>
      </c>
    </row>
    <row r="1730">
      <c r="A1730" t="n">
        <v/>
      </c>
      <c r="B1730" t="n">
        <v>1026967</v>
      </c>
      <c r="C1730" t="inlineStr">
        <is>
          <t>Selenium</t>
        </is>
      </c>
      <c r="D1730" t="inlineStr">
        <is>
          <t>Secondary</t>
        </is>
      </c>
      <c r="E1730" t="inlineStr">
        <is>
          <t>Intermediate</t>
        </is>
      </c>
      <c r="F1730" t="n">
        <v>3.8</v>
      </c>
      <c r="G1730" t="inlineStr">
        <is>
          <t>Technical</t>
        </is>
      </c>
      <c r="H1730" t="inlineStr">
        <is>
          <t>Yes</t>
        </is>
      </c>
      <c r="I1730" t="inlineStr">
        <is>
          <t>2021-10-25</t>
        </is>
      </c>
    </row>
    <row r="1731">
      <c r="A1731" t="n">
        <v/>
      </c>
      <c r="B1731" t="n">
        <v>1026967</v>
      </c>
      <c r="C1731" t="inlineStr">
        <is>
          <t>API Testing (Postman)</t>
        </is>
      </c>
      <c r="D1731" t="inlineStr">
        <is>
          <t>Secondary</t>
        </is>
      </c>
      <c r="E1731" t="inlineStr">
        <is>
          <t>Intermediate</t>
        </is>
      </c>
      <c r="F1731" t="n">
        <v>2.8</v>
      </c>
      <c r="G1731" t="inlineStr">
        <is>
          <t>Technical</t>
        </is>
      </c>
      <c r="H1731" t="inlineStr">
        <is>
          <t>Yes</t>
        </is>
      </c>
      <c r="I1731" t="inlineStr">
        <is>
          <t>2021-10-25</t>
        </is>
      </c>
    </row>
    <row r="1732">
      <c r="A1732" t="n">
        <v/>
      </c>
      <c r="B1732" t="n">
        <v>1026967</v>
      </c>
      <c r="C1732" t="inlineStr">
        <is>
          <t>TestNG</t>
        </is>
      </c>
      <c r="D1732" t="inlineStr">
        <is>
          <t>Secondary</t>
        </is>
      </c>
      <c r="E1732" t="inlineStr">
        <is>
          <t>Intermediate</t>
        </is>
      </c>
      <c r="F1732" t="n">
        <v>1.9</v>
      </c>
      <c r="G1732" t="inlineStr">
        <is>
          <t>Technical</t>
        </is>
      </c>
      <c r="H1732" t="inlineStr">
        <is>
          <t>Yes</t>
        </is>
      </c>
      <c r="I1732" t="inlineStr">
        <is>
          <t>2021-10-25</t>
        </is>
      </c>
    </row>
    <row r="1733">
      <c r="A1733" t="n">
        <v/>
      </c>
      <c r="B1733" t="n">
        <v>1029885</v>
      </c>
      <c r="C1733" t="inlineStr">
        <is>
          <t>Python / Data Engineering</t>
        </is>
      </c>
      <c r="D1733" t="inlineStr">
        <is>
          <t>Primary</t>
        </is>
      </c>
      <c r="E1733" t="inlineStr">
        <is>
          <t>Intermediate</t>
        </is>
      </c>
      <c r="F1733" t="n">
        <v>1.9</v>
      </c>
      <c r="G1733" t="inlineStr">
        <is>
          <t>Technical</t>
        </is>
      </c>
      <c r="H1733" t="inlineStr">
        <is>
          <t>Yes</t>
        </is>
      </c>
      <c r="I1733" t="inlineStr">
        <is>
          <t>2022-08-18</t>
        </is>
      </c>
    </row>
    <row r="1734">
      <c r="A1734" t="n">
        <v/>
      </c>
      <c r="B1734" t="n">
        <v>1029885</v>
      </c>
      <c r="C1734" t="inlineStr">
        <is>
          <t>SQL</t>
        </is>
      </c>
      <c r="D1734" t="inlineStr">
        <is>
          <t>Secondary</t>
        </is>
      </c>
      <c r="E1734" t="inlineStr">
        <is>
          <t>Beginner</t>
        </is>
      </c>
      <c r="F1734" t="n">
        <v>1.1</v>
      </c>
      <c r="G1734" t="inlineStr">
        <is>
          <t>Technical</t>
        </is>
      </c>
      <c r="H1734" t="inlineStr">
        <is>
          <t>Yes</t>
        </is>
      </c>
      <c r="I1734" t="inlineStr">
        <is>
          <t>2022-08-18</t>
        </is>
      </c>
    </row>
    <row r="1735">
      <c r="A1735" t="n">
        <v/>
      </c>
      <c r="B1735" t="n">
        <v>1029885</v>
      </c>
      <c r="C1735" t="inlineStr">
        <is>
          <t>Docker</t>
        </is>
      </c>
      <c r="D1735" t="inlineStr">
        <is>
          <t>Secondary</t>
        </is>
      </c>
      <c r="E1735" t="inlineStr">
        <is>
          <t>Beginner</t>
        </is>
      </c>
      <c r="F1735" t="n">
        <v>0.9</v>
      </c>
      <c r="G1735" t="inlineStr">
        <is>
          <t>Technical</t>
        </is>
      </c>
      <c r="H1735" t="inlineStr">
        <is>
          <t>Yes</t>
        </is>
      </c>
      <c r="I1735" t="inlineStr">
        <is>
          <t>2022-08-18</t>
        </is>
      </c>
    </row>
    <row r="1736">
      <c r="A1736" t="n">
        <v/>
      </c>
      <c r="B1736" t="n">
        <v>1027424</v>
      </c>
      <c r="C1736" t="inlineStr">
        <is>
          <t>Cloud &amp; DevOps (AWS / K8s)</t>
        </is>
      </c>
      <c r="D1736" t="inlineStr">
        <is>
          <t>Primary</t>
        </is>
      </c>
      <c r="E1736" t="inlineStr">
        <is>
          <t>Advanced</t>
        </is>
      </c>
      <c r="F1736" t="n">
        <v>6.2</v>
      </c>
      <c r="G1736" t="inlineStr">
        <is>
          <t>Technical</t>
        </is>
      </c>
      <c r="H1736" t="inlineStr">
        <is>
          <t>Yes</t>
        </is>
      </c>
      <c r="I1736" t="inlineStr">
        <is>
          <t>2021-12-01</t>
        </is>
      </c>
    </row>
    <row r="1737">
      <c r="A1737" t="n">
        <v/>
      </c>
      <c r="B1737" t="n">
        <v>1027424</v>
      </c>
      <c r="C1737" t="inlineStr">
        <is>
          <t>Docker</t>
        </is>
      </c>
      <c r="D1737" t="inlineStr">
        <is>
          <t>Secondary</t>
        </is>
      </c>
      <c r="E1737" t="inlineStr">
        <is>
          <t>Intermediate</t>
        </is>
      </c>
      <c r="F1737" t="n">
        <v>3.7</v>
      </c>
      <c r="G1737" t="inlineStr">
        <is>
          <t>Technical</t>
        </is>
      </c>
      <c r="H1737" t="inlineStr">
        <is>
          <t>Yes</t>
        </is>
      </c>
      <c r="I1737" t="inlineStr">
        <is>
          <t>2021-12-01</t>
        </is>
      </c>
    </row>
    <row r="1738">
      <c r="A1738" t="n">
        <v/>
      </c>
      <c r="B1738" t="n">
        <v>1027424</v>
      </c>
      <c r="C1738" t="inlineStr">
        <is>
          <t>Kubernetes</t>
        </is>
      </c>
      <c r="D1738" t="inlineStr">
        <is>
          <t>Secondary</t>
        </is>
      </c>
      <c r="E1738" t="inlineStr">
        <is>
          <t>Intermediate</t>
        </is>
      </c>
      <c r="F1738" t="n">
        <v>2.8</v>
      </c>
      <c r="G1738" t="inlineStr">
        <is>
          <t>Technical</t>
        </is>
      </c>
      <c r="H1738" t="inlineStr">
        <is>
          <t>Yes</t>
        </is>
      </c>
      <c r="I1738" t="inlineStr">
        <is>
          <t>2021-12-01</t>
        </is>
      </c>
    </row>
    <row r="1739">
      <c r="A1739" t="n">
        <v/>
      </c>
      <c r="B1739" t="n">
        <v>1027424</v>
      </c>
      <c r="C1739" t="inlineStr">
        <is>
          <t>Linux</t>
        </is>
      </c>
      <c r="D1739" t="inlineStr">
        <is>
          <t>Secondary</t>
        </is>
      </c>
      <c r="E1739" t="inlineStr">
        <is>
          <t>Intermediate</t>
        </is>
      </c>
      <c r="F1739" t="n">
        <v>1.9</v>
      </c>
      <c r="G1739" t="inlineStr">
        <is>
          <t>Technical</t>
        </is>
      </c>
      <c r="H1739" t="inlineStr">
        <is>
          <t>Yes</t>
        </is>
      </c>
      <c r="I1739" t="inlineStr">
        <is>
          <t>2021-12-01</t>
        </is>
      </c>
    </row>
    <row r="1740">
      <c r="A1740" t="n">
        <v/>
      </c>
      <c r="B1740" t="n">
        <v>1030922</v>
      </c>
      <c r="C1740" t="inlineStr">
        <is>
          <t>Fullstack Web (React / Node)</t>
        </is>
      </c>
      <c r="D1740" t="inlineStr">
        <is>
          <t>Primary</t>
        </is>
      </c>
      <c r="E1740" t="inlineStr">
        <is>
          <t>Intermediate</t>
        </is>
      </c>
      <c r="F1740" t="n">
        <v>1.7</v>
      </c>
      <c r="G1740" t="inlineStr">
        <is>
          <t>Technical</t>
        </is>
      </c>
      <c r="H1740" t="inlineStr">
        <is>
          <t>Yes</t>
        </is>
      </c>
      <c r="I1740" t="inlineStr">
        <is>
          <t>2022-11-11</t>
        </is>
      </c>
    </row>
    <row r="1741">
      <c r="A1741" t="n">
        <v/>
      </c>
      <c r="B1741" t="n">
        <v>1030922</v>
      </c>
      <c r="C1741" t="inlineStr">
        <is>
          <t>JavaScript</t>
        </is>
      </c>
      <c r="D1741" t="inlineStr">
        <is>
          <t>Secondary</t>
        </is>
      </c>
      <c r="E1741" t="inlineStr">
        <is>
          <t>Beginner</t>
        </is>
      </c>
      <c r="F1741" t="n">
        <v>1</v>
      </c>
      <c r="G1741" t="inlineStr">
        <is>
          <t>Technical</t>
        </is>
      </c>
      <c r="H1741" t="inlineStr">
        <is>
          <t>Yes</t>
        </is>
      </c>
      <c r="I1741" t="inlineStr">
        <is>
          <t>2022-11-11</t>
        </is>
      </c>
    </row>
    <row r="1742">
      <c r="A1742" t="n">
        <v/>
      </c>
      <c r="B1742" t="n">
        <v>1030922</v>
      </c>
      <c r="C1742" t="inlineStr">
        <is>
          <t>TypeScript</t>
        </is>
      </c>
      <c r="D1742" t="inlineStr">
        <is>
          <t>Secondary</t>
        </is>
      </c>
      <c r="E1742" t="inlineStr">
        <is>
          <t>Beginner</t>
        </is>
      </c>
      <c r="F1742" t="n">
        <v>0.8</v>
      </c>
      <c r="G1742" t="inlineStr">
        <is>
          <t>Technical</t>
        </is>
      </c>
      <c r="H1742" t="inlineStr">
        <is>
          <t>Yes</t>
        </is>
      </c>
      <c r="I1742" t="inlineStr">
        <is>
          <t>2022-11-11</t>
        </is>
      </c>
    </row>
    <row r="1743">
      <c r="A1743" t="n">
        <v/>
      </c>
      <c r="B1743" t="n">
        <v>1030908</v>
      </c>
      <c r="C1743" t="inlineStr">
        <is>
          <t>Java / Spring Boot</t>
        </is>
      </c>
      <c r="D1743" t="inlineStr">
        <is>
          <t>Primary</t>
        </is>
      </c>
      <c r="E1743" t="inlineStr">
        <is>
          <t>Intermediate</t>
        </is>
      </c>
      <c r="F1743" t="n">
        <v>1.7</v>
      </c>
      <c r="G1743" t="inlineStr">
        <is>
          <t>Technical</t>
        </is>
      </c>
      <c r="H1743" t="inlineStr">
        <is>
          <t>Yes</t>
        </is>
      </c>
      <c r="I1743" t="inlineStr">
        <is>
          <t>2022-11-11</t>
        </is>
      </c>
      <c r="J1743" t="inlineStr">
        <is>
          <t>Claims</t>
        </is>
      </c>
    </row>
    <row r="1744">
      <c r="A1744" t="n">
        <v/>
      </c>
      <c r="B1744" t="n">
        <v>1030908</v>
      </c>
      <c r="C1744" t="inlineStr">
        <is>
          <t>SQL</t>
        </is>
      </c>
      <c r="D1744" t="inlineStr">
        <is>
          <t>Secondary</t>
        </is>
      </c>
      <c r="E1744" t="inlineStr">
        <is>
          <t>Beginner</t>
        </is>
      </c>
      <c r="F1744" t="n">
        <v>1</v>
      </c>
      <c r="G1744" t="inlineStr">
        <is>
          <t>Technical</t>
        </is>
      </c>
      <c r="H1744" t="inlineStr">
        <is>
          <t>Yes</t>
        </is>
      </c>
      <c r="I1744" t="inlineStr">
        <is>
          <t>2022-11-11</t>
        </is>
      </c>
      <c r="J1744" t="inlineStr">
        <is>
          <t>Claims</t>
        </is>
      </c>
    </row>
    <row r="1745">
      <c r="A1745" t="n">
        <v/>
      </c>
      <c r="B1745" t="n">
        <v>1030908</v>
      </c>
      <c r="C1745" t="inlineStr">
        <is>
          <t>Docker</t>
        </is>
      </c>
      <c r="D1745" t="inlineStr">
        <is>
          <t>Secondary</t>
        </is>
      </c>
      <c r="E1745" t="inlineStr">
        <is>
          <t>Beginner</t>
        </is>
      </c>
      <c r="F1745" t="n">
        <v>0.8</v>
      </c>
      <c r="G1745" t="inlineStr">
        <is>
          <t>Technical</t>
        </is>
      </c>
      <c r="H1745" t="inlineStr">
        <is>
          <t>Yes</t>
        </is>
      </c>
      <c r="I1745" t="inlineStr">
        <is>
          <t>2022-11-11</t>
        </is>
      </c>
      <c r="J1745" t="inlineStr">
        <is>
          <t>Claims</t>
        </is>
      </c>
    </row>
    <row r="1746">
      <c r="A1746" t="n">
        <v/>
      </c>
      <c r="B1746" t="n">
        <v>1033268</v>
      </c>
      <c r="C1746" t="inlineStr">
        <is>
          <t>Database &amp; SQL Architecture</t>
        </is>
      </c>
      <c r="D1746" t="inlineStr">
        <is>
          <t>Primary</t>
        </is>
      </c>
      <c r="E1746" t="inlineStr">
        <is>
          <t>Intermediate</t>
        </is>
      </c>
      <c r="F1746" t="n">
        <v>1</v>
      </c>
      <c r="G1746" t="inlineStr">
        <is>
          <t>Technical</t>
        </is>
      </c>
      <c r="H1746" t="inlineStr">
        <is>
          <t>Yes</t>
        </is>
      </c>
      <c r="I1746" t="inlineStr">
        <is>
          <t>2023-08-17</t>
        </is>
      </c>
    </row>
    <row r="1747">
      <c r="A1747" t="n">
        <v/>
      </c>
      <c r="B1747" t="n">
        <v>1033268</v>
      </c>
      <c r="C1747" t="inlineStr">
        <is>
          <t>PostgreSQL</t>
        </is>
      </c>
      <c r="D1747" t="inlineStr">
        <is>
          <t>Secondary</t>
        </is>
      </c>
      <c r="E1747" t="inlineStr">
        <is>
          <t>Beginner</t>
        </is>
      </c>
      <c r="F1747" t="n">
        <v>0.6</v>
      </c>
      <c r="G1747" t="inlineStr">
        <is>
          <t>Technical</t>
        </is>
      </c>
      <c r="H1747" t="inlineStr">
        <is>
          <t>Yes</t>
        </is>
      </c>
      <c r="I1747" t="inlineStr">
        <is>
          <t>2023-08-17</t>
        </is>
      </c>
    </row>
    <row r="1748">
      <c r="A1748" t="n">
        <v/>
      </c>
      <c r="B1748" t="n">
        <v>1033268</v>
      </c>
      <c r="C1748" t="inlineStr">
        <is>
          <t>Oracle</t>
        </is>
      </c>
      <c r="D1748" t="inlineStr">
        <is>
          <t>Secondary</t>
        </is>
      </c>
      <c r="E1748" t="inlineStr">
        <is>
          <t>Beginner</t>
        </is>
      </c>
      <c r="F1748" t="n">
        <v>0.5</v>
      </c>
      <c r="G1748" t="inlineStr">
        <is>
          <t>Technical</t>
        </is>
      </c>
      <c r="H1748" t="inlineStr">
        <is>
          <t>Yes</t>
        </is>
      </c>
      <c r="I1748" t="inlineStr">
        <is>
          <t>2023-08-17</t>
        </is>
      </c>
    </row>
    <row r="1749">
      <c r="A1749" t="n">
        <v/>
      </c>
      <c r="B1749" t="n">
        <v>1027026</v>
      </c>
      <c r="C1749" t="inlineStr">
        <is>
          <t>QA Automation / SDET</t>
        </is>
      </c>
      <c r="D1749" t="inlineStr">
        <is>
          <t>Primary</t>
        </is>
      </c>
      <c r="E1749" t="inlineStr">
        <is>
          <t>Advanced</t>
        </is>
      </c>
      <c r="F1749" t="n">
        <v>6.3</v>
      </c>
      <c r="G1749" t="inlineStr">
        <is>
          <t>Technical</t>
        </is>
      </c>
      <c r="H1749" t="inlineStr">
        <is>
          <t>Yes</t>
        </is>
      </c>
      <c r="I1749" t="inlineStr">
        <is>
          <t>2021-10-29</t>
        </is>
      </c>
    </row>
    <row r="1750">
      <c r="A1750" t="n">
        <v/>
      </c>
      <c r="B1750" t="n">
        <v>1027026</v>
      </c>
      <c r="C1750" t="inlineStr">
        <is>
          <t>Selenium</t>
        </is>
      </c>
      <c r="D1750" t="inlineStr">
        <is>
          <t>Secondary</t>
        </is>
      </c>
      <c r="E1750" t="inlineStr">
        <is>
          <t>Intermediate</t>
        </is>
      </c>
      <c r="F1750" t="n">
        <v>3.8</v>
      </c>
      <c r="G1750" t="inlineStr">
        <is>
          <t>Technical</t>
        </is>
      </c>
      <c r="H1750" t="inlineStr">
        <is>
          <t>Yes</t>
        </is>
      </c>
      <c r="I1750" t="inlineStr">
        <is>
          <t>2021-10-29</t>
        </is>
      </c>
    </row>
    <row r="1751">
      <c r="A1751" t="n">
        <v/>
      </c>
      <c r="B1751" t="n">
        <v>1027026</v>
      </c>
      <c r="C1751" t="inlineStr">
        <is>
          <t>API Testing (Postman)</t>
        </is>
      </c>
      <c r="D1751" t="inlineStr">
        <is>
          <t>Secondary</t>
        </is>
      </c>
      <c r="E1751" t="inlineStr">
        <is>
          <t>Intermediate</t>
        </is>
      </c>
      <c r="F1751" t="n">
        <v>2.8</v>
      </c>
      <c r="G1751" t="inlineStr">
        <is>
          <t>Technical</t>
        </is>
      </c>
      <c r="H1751" t="inlineStr">
        <is>
          <t>Yes</t>
        </is>
      </c>
      <c r="I1751" t="inlineStr">
        <is>
          <t>2021-10-29</t>
        </is>
      </c>
    </row>
    <row r="1752">
      <c r="A1752" t="n">
        <v/>
      </c>
      <c r="B1752" t="n">
        <v>1027026</v>
      </c>
      <c r="C1752" t="inlineStr">
        <is>
          <t>TestNG</t>
        </is>
      </c>
      <c r="D1752" t="inlineStr">
        <is>
          <t>Secondary</t>
        </is>
      </c>
      <c r="E1752" t="inlineStr">
        <is>
          <t>Intermediate</t>
        </is>
      </c>
      <c r="F1752" t="n">
        <v>1.9</v>
      </c>
      <c r="G1752" t="inlineStr">
        <is>
          <t>Technical</t>
        </is>
      </c>
      <c r="H1752" t="inlineStr">
        <is>
          <t>Yes</t>
        </is>
      </c>
      <c r="I1752" t="inlineStr">
        <is>
          <t>2021-10-29</t>
        </is>
      </c>
    </row>
    <row r="1753">
      <c r="A1753" t="n">
        <v/>
      </c>
      <c r="B1753" t="n">
        <v>1029526</v>
      </c>
      <c r="C1753" t="inlineStr">
        <is>
          <t>Frontend (Angular / TypeScript)</t>
        </is>
      </c>
      <c r="D1753" t="inlineStr">
        <is>
          <t>Primary</t>
        </is>
      </c>
      <c r="E1753" t="inlineStr">
        <is>
          <t>Intermediate</t>
        </is>
      </c>
      <c r="F1753" t="n">
        <v>2</v>
      </c>
      <c r="G1753" t="inlineStr">
        <is>
          <t>Technical</t>
        </is>
      </c>
      <c r="H1753" t="inlineStr">
        <is>
          <t>Yes</t>
        </is>
      </c>
      <c r="I1753" t="inlineStr">
        <is>
          <t>2022-07-15</t>
        </is>
      </c>
    </row>
    <row r="1754">
      <c r="A1754" t="n">
        <v/>
      </c>
      <c r="B1754" t="n">
        <v>1029526</v>
      </c>
      <c r="C1754" t="inlineStr">
        <is>
          <t>TypeScript</t>
        </is>
      </c>
      <c r="D1754" t="inlineStr">
        <is>
          <t>Secondary</t>
        </is>
      </c>
      <c r="E1754" t="inlineStr">
        <is>
          <t>Beginner</t>
        </is>
      </c>
      <c r="F1754" t="n">
        <v>1.2</v>
      </c>
      <c r="G1754" t="inlineStr">
        <is>
          <t>Technical</t>
        </is>
      </c>
      <c r="H1754" t="inlineStr">
        <is>
          <t>Yes</t>
        </is>
      </c>
      <c r="I1754" t="inlineStr">
        <is>
          <t>2022-07-15</t>
        </is>
      </c>
    </row>
    <row r="1755">
      <c r="A1755" t="n">
        <v/>
      </c>
      <c r="B1755" t="n">
        <v>1029526</v>
      </c>
      <c r="C1755" t="inlineStr">
        <is>
          <t>JavaScript</t>
        </is>
      </c>
      <c r="D1755" t="inlineStr">
        <is>
          <t>Secondary</t>
        </is>
      </c>
      <c r="E1755" t="inlineStr">
        <is>
          <t>Beginner</t>
        </is>
      </c>
      <c r="F1755" t="n">
        <v>0.9</v>
      </c>
      <c r="G1755" t="inlineStr">
        <is>
          <t>Technical</t>
        </is>
      </c>
      <c r="H1755" t="inlineStr">
        <is>
          <t>Yes</t>
        </is>
      </c>
      <c r="I1755" t="inlineStr">
        <is>
          <t>2022-07-15</t>
        </is>
      </c>
    </row>
    <row r="1756">
      <c r="A1756" t="n">
        <v/>
      </c>
      <c r="B1756" t="n">
        <v>1031094</v>
      </c>
      <c r="C1756" t="inlineStr">
        <is>
          <t>Java / Spring Boot</t>
        </is>
      </c>
      <c r="D1756" t="inlineStr">
        <is>
          <t>Primary</t>
        </is>
      </c>
      <c r="E1756" t="inlineStr">
        <is>
          <t>Intermediate</t>
        </is>
      </c>
      <c r="F1756" t="n">
        <v>1.7</v>
      </c>
      <c r="G1756" t="inlineStr">
        <is>
          <t>Technical</t>
        </is>
      </c>
      <c r="H1756" t="inlineStr">
        <is>
          <t>Yes</t>
        </is>
      </c>
      <c r="I1756" t="inlineStr">
        <is>
          <t>2022-11-24</t>
        </is>
      </c>
      <c r="J1756" t="inlineStr">
        <is>
          <t>Claims</t>
        </is>
      </c>
    </row>
    <row r="1757">
      <c r="A1757" t="n">
        <v/>
      </c>
      <c r="B1757" t="n">
        <v>1031094</v>
      </c>
      <c r="C1757" t="inlineStr">
        <is>
          <t>SQL</t>
        </is>
      </c>
      <c r="D1757" t="inlineStr">
        <is>
          <t>Secondary</t>
        </is>
      </c>
      <c r="E1757" t="inlineStr">
        <is>
          <t>Beginner</t>
        </is>
      </c>
      <c r="F1757" t="n">
        <v>1</v>
      </c>
      <c r="G1757" t="inlineStr">
        <is>
          <t>Technical</t>
        </is>
      </c>
      <c r="H1757" t="inlineStr">
        <is>
          <t>Yes</t>
        </is>
      </c>
      <c r="I1757" t="inlineStr">
        <is>
          <t>2022-11-24</t>
        </is>
      </c>
      <c r="J1757" t="inlineStr">
        <is>
          <t>Claims</t>
        </is>
      </c>
    </row>
    <row r="1758">
      <c r="A1758" t="n">
        <v/>
      </c>
      <c r="B1758" t="n">
        <v>1031094</v>
      </c>
      <c r="C1758" t="inlineStr">
        <is>
          <t>Docker</t>
        </is>
      </c>
      <c r="D1758" t="inlineStr">
        <is>
          <t>Secondary</t>
        </is>
      </c>
      <c r="E1758" t="inlineStr">
        <is>
          <t>Beginner</t>
        </is>
      </c>
      <c r="F1758" t="n">
        <v>0.8</v>
      </c>
      <c r="G1758" t="inlineStr">
        <is>
          <t>Technical</t>
        </is>
      </c>
      <c r="H1758" t="inlineStr">
        <is>
          <t>Yes</t>
        </is>
      </c>
      <c r="I1758" t="inlineStr">
        <is>
          <t>2022-11-24</t>
        </is>
      </c>
      <c r="J1758" t="inlineStr">
        <is>
          <t>Claims</t>
        </is>
      </c>
    </row>
    <row r="1759">
      <c r="A1759" t="n">
        <v/>
      </c>
      <c r="B1759" t="n">
        <v>1029908</v>
      </c>
      <c r="C1759" t="inlineStr">
        <is>
          <t>Database &amp; SQL Architecture</t>
        </is>
      </c>
      <c r="D1759" t="inlineStr">
        <is>
          <t>Primary</t>
        </is>
      </c>
      <c r="E1759" t="inlineStr">
        <is>
          <t>Intermediate</t>
        </is>
      </c>
      <c r="F1759" t="n">
        <v>1.9</v>
      </c>
      <c r="G1759" t="inlineStr">
        <is>
          <t>Technical</t>
        </is>
      </c>
      <c r="H1759" t="inlineStr">
        <is>
          <t>Yes</t>
        </is>
      </c>
      <c r="I1759" t="inlineStr">
        <is>
          <t>2022-08-18</t>
        </is>
      </c>
    </row>
    <row r="1760">
      <c r="A1760" t="n">
        <v/>
      </c>
      <c r="B1760" t="n">
        <v>1029908</v>
      </c>
      <c r="C1760" t="inlineStr">
        <is>
          <t>PostgreSQL</t>
        </is>
      </c>
      <c r="D1760" t="inlineStr">
        <is>
          <t>Secondary</t>
        </is>
      </c>
      <c r="E1760" t="inlineStr">
        <is>
          <t>Beginner</t>
        </is>
      </c>
      <c r="F1760" t="n">
        <v>1.1</v>
      </c>
      <c r="G1760" t="inlineStr">
        <is>
          <t>Technical</t>
        </is>
      </c>
      <c r="H1760" t="inlineStr">
        <is>
          <t>Yes</t>
        </is>
      </c>
      <c r="I1760" t="inlineStr">
        <is>
          <t>2022-08-18</t>
        </is>
      </c>
    </row>
    <row r="1761">
      <c r="A1761" t="n">
        <v/>
      </c>
      <c r="B1761" t="n">
        <v>1029908</v>
      </c>
      <c r="C1761" t="inlineStr">
        <is>
          <t>Oracle</t>
        </is>
      </c>
      <c r="D1761" t="inlineStr">
        <is>
          <t>Secondary</t>
        </is>
      </c>
      <c r="E1761" t="inlineStr">
        <is>
          <t>Beginner</t>
        </is>
      </c>
      <c r="F1761" t="n">
        <v>0.9</v>
      </c>
      <c r="G1761" t="inlineStr">
        <is>
          <t>Technical</t>
        </is>
      </c>
      <c r="H1761" t="inlineStr">
        <is>
          <t>Yes</t>
        </is>
      </c>
      <c r="I1761" t="inlineStr">
        <is>
          <t>2022-08-18</t>
        </is>
      </c>
    </row>
    <row r="1762">
      <c r="A1762" t="n">
        <v/>
      </c>
      <c r="B1762" t="n">
        <v>1030946</v>
      </c>
      <c r="C1762" t="inlineStr">
        <is>
          <t>Frontend (Angular / TypeScript)</t>
        </is>
      </c>
      <c r="D1762" t="inlineStr">
        <is>
          <t>Primary</t>
        </is>
      </c>
      <c r="E1762" t="inlineStr">
        <is>
          <t>Intermediate</t>
        </is>
      </c>
      <c r="F1762" t="n">
        <v>1.7</v>
      </c>
      <c r="G1762" t="inlineStr">
        <is>
          <t>Technical</t>
        </is>
      </c>
      <c r="H1762" t="inlineStr">
        <is>
          <t>Yes</t>
        </is>
      </c>
      <c r="I1762" t="inlineStr">
        <is>
          <t>2022-11-11</t>
        </is>
      </c>
    </row>
    <row r="1763">
      <c r="A1763" t="n">
        <v/>
      </c>
      <c r="B1763" t="n">
        <v>1030946</v>
      </c>
      <c r="C1763" t="inlineStr">
        <is>
          <t>TypeScript</t>
        </is>
      </c>
      <c r="D1763" t="inlineStr">
        <is>
          <t>Secondary</t>
        </is>
      </c>
      <c r="E1763" t="inlineStr">
        <is>
          <t>Beginner</t>
        </is>
      </c>
      <c r="F1763" t="n">
        <v>1</v>
      </c>
      <c r="G1763" t="inlineStr">
        <is>
          <t>Technical</t>
        </is>
      </c>
      <c r="H1763" t="inlineStr">
        <is>
          <t>Yes</t>
        </is>
      </c>
      <c r="I1763" t="inlineStr">
        <is>
          <t>2022-11-11</t>
        </is>
      </c>
    </row>
    <row r="1764">
      <c r="A1764" t="n">
        <v/>
      </c>
      <c r="B1764" t="n">
        <v>1030946</v>
      </c>
      <c r="C1764" t="inlineStr">
        <is>
          <t>JavaScript</t>
        </is>
      </c>
      <c r="D1764" t="inlineStr">
        <is>
          <t>Secondary</t>
        </is>
      </c>
      <c r="E1764" t="inlineStr">
        <is>
          <t>Beginner</t>
        </is>
      </c>
      <c r="F1764" t="n">
        <v>0.8</v>
      </c>
      <c r="G1764" t="inlineStr">
        <is>
          <t>Technical</t>
        </is>
      </c>
      <c r="H1764" t="inlineStr">
        <is>
          <t>Yes</t>
        </is>
      </c>
      <c r="I1764" t="inlineStr">
        <is>
          <t>2022-11-11</t>
        </is>
      </c>
    </row>
    <row r="1765">
      <c r="A1765" t="n">
        <v/>
      </c>
      <c r="B1765" t="n">
        <v>1031095</v>
      </c>
      <c r="C1765" t="inlineStr">
        <is>
          <t>Python / Data Engineering</t>
        </is>
      </c>
      <c r="D1765" t="inlineStr">
        <is>
          <t>Primary</t>
        </is>
      </c>
      <c r="E1765" t="inlineStr">
        <is>
          <t>Intermediate</t>
        </is>
      </c>
      <c r="F1765" t="n">
        <v>1.7</v>
      </c>
      <c r="G1765" t="inlineStr">
        <is>
          <t>Technical</t>
        </is>
      </c>
      <c r="H1765" t="inlineStr">
        <is>
          <t>Yes</t>
        </is>
      </c>
      <c r="I1765" t="inlineStr">
        <is>
          <t>2022-11-24</t>
        </is>
      </c>
    </row>
    <row r="1766">
      <c r="A1766" t="n">
        <v/>
      </c>
      <c r="B1766" t="n">
        <v>1031095</v>
      </c>
      <c r="C1766" t="inlineStr">
        <is>
          <t>SQL</t>
        </is>
      </c>
      <c r="D1766" t="inlineStr">
        <is>
          <t>Secondary</t>
        </is>
      </c>
      <c r="E1766" t="inlineStr">
        <is>
          <t>Beginner</t>
        </is>
      </c>
      <c r="F1766" t="n">
        <v>1</v>
      </c>
      <c r="G1766" t="inlineStr">
        <is>
          <t>Technical</t>
        </is>
      </c>
      <c r="H1766" t="inlineStr">
        <is>
          <t>Yes</t>
        </is>
      </c>
      <c r="I1766" t="inlineStr">
        <is>
          <t>2022-11-24</t>
        </is>
      </c>
    </row>
    <row r="1767">
      <c r="A1767" t="n">
        <v/>
      </c>
      <c r="B1767" t="n">
        <v>1031095</v>
      </c>
      <c r="C1767" t="inlineStr">
        <is>
          <t>Docker</t>
        </is>
      </c>
      <c r="D1767" t="inlineStr">
        <is>
          <t>Secondary</t>
        </is>
      </c>
      <c r="E1767" t="inlineStr">
        <is>
          <t>Beginner</t>
        </is>
      </c>
      <c r="F1767" t="n">
        <v>0.8</v>
      </c>
      <c r="G1767" t="inlineStr">
        <is>
          <t>Technical</t>
        </is>
      </c>
      <c r="H1767" t="inlineStr">
        <is>
          <t>Yes</t>
        </is>
      </c>
      <c r="I1767" t="inlineStr">
        <is>
          <t>2022-11-24</t>
        </is>
      </c>
    </row>
    <row r="1768">
      <c r="A1768" t="n">
        <v/>
      </c>
      <c r="B1768" t="n">
        <v>1029531</v>
      </c>
      <c r="C1768" t="inlineStr">
        <is>
          <t>Frontend (Angular / TypeScript)</t>
        </is>
      </c>
      <c r="D1768" t="inlineStr">
        <is>
          <t>Primary</t>
        </is>
      </c>
      <c r="E1768" t="inlineStr">
        <is>
          <t>Intermediate</t>
        </is>
      </c>
      <c r="F1768" t="n">
        <v>2</v>
      </c>
      <c r="G1768" t="inlineStr">
        <is>
          <t>Technical</t>
        </is>
      </c>
      <c r="H1768" t="inlineStr">
        <is>
          <t>Yes</t>
        </is>
      </c>
      <c r="I1768" t="inlineStr">
        <is>
          <t>2022-07-15</t>
        </is>
      </c>
    </row>
    <row r="1769">
      <c r="A1769" t="n">
        <v/>
      </c>
      <c r="B1769" t="n">
        <v>1029531</v>
      </c>
      <c r="C1769" t="inlineStr">
        <is>
          <t>TypeScript</t>
        </is>
      </c>
      <c r="D1769" t="inlineStr">
        <is>
          <t>Secondary</t>
        </is>
      </c>
      <c r="E1769" t="inlineStr">
        <is>
          <t>Beginner</t>
        </is>
      </c>
      <c r="F1769" t="n">
        <v>1.2</v>
      </c>
      <c r="G1769" t="inlineStr">
        <is>
          <t>Technical</t>
        </is>
      </c>
      <c r="H1769" t="inlineStr">
        <is>
          <t>Yes</t>
        </is>
      </c>
      <c r="I1769" t="inlineStr">
        <is>
          <t>2022-07-15</t>
        </is>
      </c>
    </row>
    <row r="1770">
      <c r="A1770" t="n">
        <v/>
      </c>
      <c r="B1770" t="n">
        <v>1029531</v>
      </c>
      <c r="C1770" t="inlineStr">
        <is>
          <t>JavaScript</t>
        </is>
      </c>
      <c r="D1770" t="inlineStr">
        <is>
          <t>Secondary</t>
        </is>
      </c>
      <c r="E1770" t="inlineStr">
        <is>
          <t>Beginner</t>
        </is>
      </c>
      <c r="F1770" t="n">
        <v>0.9</v>
      </c>
      <c r="G1770" t="inlineStr">
        <is>
          <t>Technical</t>
        </is>
      </c>
      <c r="H1770" t="inlineStr">
        <is>
          <t>Yes</t>
        </is>
      </c>
      <c r="I1770" t="inlineStr">
        <is>
          <t>2022-07-15</t>
        </is>
      </c>
    </row>
    <row r="1771">
      <c r="A1771" t="n">
        <v/>
      </c>
      <c r="B1771" t="n">
        <v>1026156</v>
      </c>
      <c r="C1771" t="inlineStr">
        <is>
          <t>Java / Spring Boot</t>
        </is>
      </c>
      <c r="D1771" t="inlineStr">
        <is>
          <t>Primary</t>
        </is>
      </c>
      <c r="E1771" t="inlineStr">
        <is>
          <t>Advanced</t>
        </is>
      </c>
      <c r="F1771" t="n">
        <v>6.4</v>
      </c>
      <c r="G1771" t="inlineStr">
        <is>
          <t>Technical</t>
        </is>
      </c>
      <c r="H1771" t="inlineStr">
        <is>
          <t>Yes</t>
        </is>
      </c>
      <c r="I1771" t="inlineStr">
        <is>
          <t>2021-08-17</t>
        </is>
      </c>
      <c r="J1771" t="inlineStr">
        <is>
          <t>Claims</t>
        </is>
      </c>
    </row>
    <row r="1772">
      <c r="A1772" t="n">
        <v/>
      </c>
      <c r="B1772" t="n">
        <v>1026156</v>
      </c>
      <c r="C1772" t="inlineStr">
        <is>
          <t>SQL</t>
        </is>
      </c>
      <c r="D1772" t="inlineStr">
        <is>
          <t>Secondary</t>
        </is>
      </c>
      <c r="E1772" t="inlineStr">
        <is>
          <t>Intermediate</t>
        </is>
      </c>
      <c r="F1772" t="n">
        <v>3.8</v>
      </c>
      <c r="G1772" t="inlineStr">
        <is>
          <t>Technical</t>
        </is>
      </c>
      <c r="H1772" t="inlineStr">
        <is>
          <t>Yes</t>
        </is>
      </c>
      <c r="I1772" t="inlineStr">
        <is>
          <t>2021-08-17</t>
        </is>
      </c>
      <c r="J1772" t="inlineStr">
        <is>
          <t>Claims</t>
        </is>
      </c>
    </row>
    <row r="1773">
      <c r="A1773" t="n">
        <v/>
      </c>
      <c r="B1773" t="n">
        <v>1026156</v>
      </c>
      <c r="C1773" t="inlineStr">
        <is>
          <t>Docker</t>
        </is>
      </c>
      <c r="D1773" t="inlineStr">
        <is>
          <t>Secondary</t>
        </is>
      </c>
      <c r="E1773" t="inlineStr">
        <is>
          <t>Intermediate</t>
        </is>
      </c>
      <c r="F1773" t="n">
        <v>2.9</v>
      </c>
      <c r="G1773" t="inlineStr">
        <is>
          <t>Technical</t>
        </is>
      </c>
      <c r="H1773" t="inlineStr">
        <is>
          <t>Yes</t>
        </is>
      </c>
      <c r="I1773" t="inlineStr">
        <is>
          <t>2021-08-17</t>
        </is>
      </c>
      <c r="J1773" t="inlineStr">
        <is>
          <t>Claims</t>
        </is>
      </c>
    </row>
    <row r="1774">
      <c r="A1774" t="n">
        <v/>
      </c>
      <c r="B1774" t="n">
        <v>1026156</v>
      </c>
      <c r="C1774" t="inlineStr">
        <is>
          <t>Git</t>
        </is>
      </c>
      <c r="D1774" t="inlineStr">
        <is>
          <t>Secondary</t>
        </is>
      </c>
      <c r="E1774" t="inlineStr">
        <is>
          <t>Intermediate</t>
        </is>
      </c>
      <c r="F1774" t="n">
        <v>1.9</v>
      </c>
      <c r="G1774" t="inlineStr">
        <is>
          <t>Technical</t>
        </is>
      </c>
      <c r="H1774" t="inlineStr">
        <is>
          <t>Yes</t>
        </is>
      </c>
      <c r="I1774" t="inlineStr">
        <is>
          <t>2021-08-17</t>
        </is>
      </c>
      <c r="J1774" t="inlineStr">
        <is>
          <t>Claims</t>
        </is>
      </c>
    </row>
    <row r="1775">
      <c r="A1775" t="n">
        <v/>
      </c>
      <c r="B1775" t="n">
        <v>1028547</v>
      </c>
      <c r="C1775" t="inlineStr">
        <is>
          <t>QA Automation / SDET</t>
        </is>
      </c>
      <c r="D1775" t="inlineStr">
        <is>
          <t>Primary</t>
        </is>
      </c>
      <c r="E1775" t="inlineStr">
        <is>
          <t>Advanced</t>
        </is>
      </c>
      <c r="F1775" t="n">
        <v>5.9</v>
      </c>
      <c r="G1775" t="inlineStr">
        <is>
          <t>Technical</t>
        </is>
      </c>
      <c r="H1775" t="inlineStr">
        <is>
          <t>Yes</t>
        </is>
      </c>
      <c r="I1775" t="inlineStr">
        <is>
          <t>2022-03-09</t>
        </is>
      </c>
    </row>
    <row r="1776">
      <c r="A1776" t="n">
        <v/>
      </c>
      <c r="B1776" t="n">
        <v>1028547</v>
      </c>
      <c r="C1776" t="inlineStr">
        <is>
          <t>Selenium</t>
        </is>
      </c>
      <c r="D1776" t="inlineStr">
        <is>
          <t>Secondary</t>
        </is>
      </c>
      <c r="E1776" t="inlineStr">
        <is>
          <t>Intermediate</t>
        </is>
      </c>
      <c r="F1776" t="n">
        <v>3.5</v>
      </c>
      <c r="G1776" t="inlineStr">
        <is>
          <t>Technical</t>
        </is>
      </c>
      <c r="H1776" t="inlineStr">
        <is>
          <t>Yes</t>
        </is>
      </c>
      <c r="I1776" t="inlineStr">
        <is>
          <t>2022-03-09</t>
        </is>
      </c>
    </row>
    <row r="1777">
      <c r="A1777" t="n">
        <v/>
      </c>
      <c r="B1777" t="n">
        <v>1028547</v>
      </c>
      <c r="C1777" t="inlineStr">
        <is>
          <t>API Testing (Postman)</t>
        </is>
      </c>
      <c r="D1777" t="inlineStr">
        <is>
          <t>Secondary</t>
        </is>
      </c>
      <c r="E1777" t="inlineStr">
        <is>
          <t>Intermediate</t>
        </is>
      </c>
      <c r="F1777" t="n">
        <v>2.7</v>
      </c>
      <c r="G1777" t="inlineStr">
        <is>
          <t>Technical</t>
        </is>
      </c>
      <c r="H1777" t="inlineStr">
        <is>
          <t>Yes</t>
        </is>
      </c>
      <c r="I1777" t="inlineStr">
        <is>
          <t>2022-03-09</t>
        </is>
      </c>
    </row>
    <row r="1778">
      <c r="A1778" t="n">
        <v/>
      </c>
      <c r="B1778" t="n">
        <v>1028547</v>
      </c>
      <c r="C1778" t="inlineStr">
        <is>
          <t>TestNG</t>
        </is>
      </c>
      <c r="D1778" t="inlineStr">
        <is>
          <t>Secondary</t>
        </is>
      </c>
      <c r="E1778" t="inlineStr">
        <is>
          <t>Intermediate</t>
        </is>
      </c>
      <c r="F1778" t="n">
        <v>1.8</v>
      </c>
      <c r="G1778" t="inlineStr">
        <is>
          <t>Technical</t>
        </is>
      </c>
      <c r="H1778" t="inlineStr">
        <is>
          <t>Yes</t>
        </is>
      </c>
      <c r="I1778" t="inlineStr">
        <is>
          <t>2022-03-09</t>
        </is>
      </c>
    </row>
    <row r="1779">
      <c r="A1779" t="n">
        <v/>
      </c>
      <c r="B1779" t="n">
        <v>1027024</v>
      </c>
      <c r="C1779" t="inlineStr">
        <is>
          <t>QA Automation / SDET</t>
        </is>
      </c>
      <c r="D1779" t="inlineStr">
        <is>
          <t>Primary</t>
        </is>
      </c>
      <c r="E1779" t="inlineStr">
        <is>
          <t>Advanced</t>
        </is>
      </c>
      <c r="F1779" t="n">
        <v>6.3</v>
      </c>
      <c r="G1779" t="inlineStr">
        <is>
          <t>Technical</t>
        </is>
      </c>
      <c r="H1779" t="inlineStr">
        <is>
          <t>Yes</t>
        </is>
      </c>
      <c r="I1779" t="inlineStr">
        <is>
          <t>2021-10-29</t>
        </is>
      </c>
    </row>
    <row r="1780">
      <c r="A1780" t="n">
        <v/>
      </c>
      <c r="B1780" t="n">
        <v>1027024</v>
      </c>
      <c r="C1780" t="inlineStr">
        <is>
          <t>Selenium</t>
        </is>
      </c>
      <c r="D1780" t="inlineStr">
        <is>
          <t>Secondary</t>
        </is>
      </c>
      <c r="E1780" t="inlineStr">
        <is>
          <t>Intermediate</t>
        </is>
      </c>
      <c r="F1780" t="n">
        <v>3.8</v>
      </c>
      <c r="G1780" t="inlineStr">
        <is>
          <t>Technical</t>
        </is>
      </c>
      <c r="H1780" t="inlineStr">
        <is>
          <t>Yes</t>
        </is>
      </c>
      <c r="I1780" t="inlineStr">
        <is>
          <t>2021-10-29</t>
        </is>
      </c>
    </row>
    <row r="1781">
      <c r="A1781" t="n">
        <v/>
      </c>
      <c r="B1781" t="n">
        <v>1027024</v>
      </c>
      <c r="C1781" t="inlineStr">
        <is>
          <t>API Testing (Postman)</t>
        </is>
      </c>
      <c r="D1781" t="inlineStr">
        <is>
          <t>Secondary</t>
        </is>
      </c>
      <c r="E1781" t="inlineStr">
        <is>
          <t>Intermediate</t>
        </is>
      </c>
      <c r="F1781" t="n">
        <v>2.8</v>
      </c>
      <c r="G1781" t="inlineStr">
        <is>
          <t>Technical</t>
        </is>
      </c>
      <c r="H1781" t="inlineStr">
        <is>
          <t>Yes</t>
        </is>
      </c>
      <c r="I1781" t="inlineStr">
        <is>
          <t>2021-10-29</t>
        </is>
      </c>
    </row>
    <row r="1782">
      <c r="A1782" t="n">
        <v/>
      </c>
      <c r="B1782" t="n">
        <v>1027024</v>
      </c>
      <c r="C1782" t="inlineStr">
        <is>
          <t>TestNG</t>
        </is>
      </c>
      <c r="D1782" t="inlineStr">
        <is>
          <t>Secondary</t>
        </is>
      </c>
      <c r="E1782" t="inlineStr">
        <is>
          <t>Intermediate</t>
        </is>
      </c>
      <c r="F1782" t="n">
        <v>1.9</v>
      </c>
      <c r="G1782" t="inlineStr">
        <is>
          <t>Technical</t>
        </is>
      </c>
      <c r="H1782" t="inlineStr">
        <is>
          <t>Yes</t>
        </is>
      </c>
      <c r="I1782" t="inlineStr">
        <is>
          <t>2021-10-29</t>
        </is>
      </c>
    </row>
    <row r="1783">
      <c r="A1783" t="n">
        <v/>
      </c>
      <c r="B1783" t="n">
        <v>1033211</v>
      </c>
      <c r="C1783" t="inlineStr">
        <is>
          <t>Frontend (Angular / TypeScript)</t>
        </is>
      </c>
      <c r="D1783" t="inlineStr">
        <is>
          <t>Primary</t>
        </is>
      </c>
      <c r="E1783" t="inlineStr">
        <is>
          <t>Intermediate</t>
        </is>
      </c>
      <c r="F1783" t="n">
        <v>1</v>
      </c>
      <c r="G1783" t="inlineStr">
        <is>
          <t>Technical</t>
        </is>
      </c>
      <c r="H1783" t="inlineStr">
        <is>
          <t>Yes</t>
        </is>
      </c>
      <c r="I1783" t="inlineStr">
        <is>
          <t>2023-08-17</t>
        </is>
      </c>
    </row>
    <row r="1784">
      <c r="A1784" t="n">
        <v/>
      </c>
      <c r="B1784" t="n">
        <v>1033211</v>
      </c>
      <c r="C1784" t="inlineStr">
        <is>
          <t>TypeScript</t>
        </is>
      </c>
      <c r="D1784" t="inlineStr">
        <is>
          <t>Secondary</t>
        </is>
      </c>
      <c r="E1784" t="inlineStr">
        <is>
          <t>Beginner</t>
        </is>
      </c>
      <c r="F1784" t="n">
        <v>0.6</v>
      </c>
      <c r="G1784" t="inlineStr">
        <is>
          <t>Technical</t>
        </is>
      </c>
      <c r="H1784" t="inlineStr">
        <is>
          <t>Yes</t>
        </is>
      </c>
      <c r="I1784" t="inlineStr">
        <is>
          <t>2023-08-17</t>
        </is>
      </c>
    </row>
    <row r="1785">
      <c r="A1785" t="n">
        <v/>
      </c>
      <c r="B1785" t="n">
        <v>1033211</v>
      </c>
      <c r="C1785" t="inlineStr">
        <is>
          <t>JavaScript</t>
        </is>
      </c>
      <c r="D1785" t="inlineStr">
        <is>
          <t>Secondary</t>
        </is>
      </c>
      <c r="E1785" t="inlineStr">
        <is>
          <t>Beginner</t>
        </is>
      </c>
      <c r="F1785" t="n">
        <v>0.5</v>
      </c>
      <c r="G1785" t="inlineStr">
        <is>
          <t>Technical</t>
        </is>
      </c>
      <c r="H1785" t="inlineStr">
        <is>
          <t>Yes</t>
        </is>
      </c>
      <c r="I1785" t="inlineStr">
        <is>
          <t>2023-08-17</t>
        </is>
      </c>
    </row>
    <row r="1786">
      <c r="A1786" t="n">
        <v/>
      </c>
      <c r="B1786" t="n">
        <v>1028029</v>
      </c>
      <c r="C1786" t="inlineStr">
        <is>
          <t>Cloud &amp; DevOps (AWS / K8s)</t>
        </is>
      </c>
      <c r="D1786" t="inlineStr">
        <is>
          <t>Primary</t>
        </is>
      </c>
      <c r="E1786" t="inlineStr">
        <is>
          <t>Advanced</t>
        </is>
      </c>
      <c r="F1786" t="n">
        <v>6.1</v>
      </c>
      <c r="G1786" t="inlineStr">
        <is>
          <t>Technical</t>
        </is>
      </c>
      <c r="H1786" t="inlineStr">
        <is>
          <t>Yes</t>
        </is>
      </c>
      <c r="I1786" t="inlineStr">
        <is>
          <t>2022-01-13</t>
        </is>
      </c>
    </row>
    <row r="1787">
      <c r="A1787" t="n">
        <v/>
      </c>
      <c r="B1787" t="n">
        <v>1028029</v>
      </c>
      <c r="C1787" t="inlineStr">
        <is>
          <t>Docker</t>
        </is>
      </c>
      <c r="D1787" t="inlineStr">
        <is>
          <t>Secondary</t>
        </is>
      </c>
      <c r="E1787" t="inlineStr">
        <is>
          <t>Intermediate</t>
        </is>
      </c>
      <c r="F1787" t="n">
        <v>3.7</v>
      </c>
      <c r="G1787" t="inlineStr">
        <is>
          <t>Technical</t>
        </is>
      </c>
      <c r="H1787" t="inlineStr">
        <is>
          <t>Yes</t>
        </is>
      </c>
      <c r="I1787" t="inlineStr">
        <is>
          <t>2022-01-13</t>
        </is>
      </c>
    </row>
    <row r="1788">
      <c r="A1788" t="n">
        <v/>
      </c>
      <c r="B1788" t="n">
        <v>1028029</v>
      </c>
      <c r="C1788" t="inlineStr">
        <is>
          <t>Kubernetes</t>
        </is>
      </c>
      <c r="D1788" t="inlineStr">
        <is>
          <t>Secondary</t>
        </is>
      </c>
      <c r="E1788" t="inlineStr">
        <is>
          <t>Intermediate</t>
        </is>
      </c>
      <c r="F1788" t="n">
        <v>2.7</v>
      </c>
      <c r="G1788" t="inlineStr">
        <is>
          <t>Technical</t>
        </is>
      </c>
      <c r="H1788" t="inlineStr">
        <is>
          <t>Yes</t>
        </is>
      </c>
      <c r="I1788" t="inlineStr">
        <is>
          <t>2022-01-13</t>
        </is>
      </c>
    </row>
    <row r="1789">
      <c r="A1789" t="n">
        <v/>
      </c>
      <c r="B1789" t="n">
        <v>1028029</v>
      </c>
      <c r="C1789" t="inlineStr">
        <is>
          <t>Linux</t>
        </is>
      </c>
      <c r="D1789" t="inlineStr">
        <is>
          <t>Secondary</t>
        </is>
      </c>
      <c r="E1789" t="inlineStr">
        <is>
          <t>Intermediate</t>
        </is>
      </c>
      <c r="F1789" t="n">
        <v>1.8</v>
      </c>
      <c r="G1789" t="inlineStr">
        <is>
          <t>Technical</t>
        </is>
      </c>
      <c r="H1789" t="inlineStr">
        <is>
          <t>Yes</t>
        </is>
      </c>
      <c r="I1789" t="inlineStr">
        <is>
          <t>2022-01-13</t>
        </is>
      </c>
    </row>
    <row r="1790">
      <c r="A1790" t="n">
        <v/>
      </c>
      <c r="B1790" t="n">
        <v>1026160</v>
      </c>
      <c r="C1790" t="inlineStr">
        <is>
          <t>Python / Data Engineering</t>
        </is>
      </c>
      <c r="D1790" t="inlineStr">
        <is>
          <t>Primary</t>
        </is>
      </c>
      <c r="E1790" t="inlineStr">
        <is>
          <t>Advanced</t>
        </is>
      </c>
      <c r="F1790" t="n">
        <v>6.4</v>
      </c>
      <c r="G1790" t="inlineStr">
        <is>
          <t>Technical</t>
        </is>
      </c>
      <c r="H1790" t="inlineStr">
        <is>
          <t>Yes</t>
        </is>
      </c>
      <c r="I1790" t="inlineStr">
        <is>
          <t>2021-08-17</t>
        </is>
      </c>
    </row>
    <row r="1791">
      <c r="A1791" t="n">
        <v/>
      </c>
      <c r="B1791" t="n">
        <v>1026160</v>
      </c>
      <c r="C1791" t="inlineStr">
        <is>
          <t>SQL</t>
        </is>
      </c>
      <c r="D1791" t="inlineStr">
        <is>
          <t>Secondary</t>
        </is>
      </c>
      <c r="E1791" t="inlineStr">
        <is>
          <t>Intermediate</t>
        </is>
      </c>
      <c r="F1791" t="n">
        <v>3.8</v>
      </c>
      <c r="G1791" t="inlineStr">
        <is>
          <t>Technical</t>
        </is>
      </c>
      <c r="H1791" t="inlineStr">
        <is>
          <t>Yes</t>
        </is>
      </c>
      <c r="I1791" t="inlineStr">
        <is>
          <t>2021-08-17</t>
        </is>
      </c>
    </row>
    <row r="1792">
      <c r="A1792" t="n">
        <v/>
      </c>
      <c r="B1792" t="n">
        <v>1026160</v>
      </c>
      <c r="C1792" t="inlineStr">
        <is>
          <t>Docker</t>
        </is>
      </c>
      <c r="D1792" t="inlineStr">
        <is>
          <t>Secondary</t>
        </is>
      </c>
      <c r="E1792" t="inlineStr">
        <is>
          <t>Intermediate</t>
        </is>
      </c>
      <c r="F1792" t="n">
        <v>2.9</v>
      </c>
      <c r="G1792" t="inlineStr">
        <is>
          <t>Technical</t>
        </is>
      </c>
      <c r="H1792" t="inlineStr">
        <is>
          <t>Yes</t>
        </is>
      </c>
      <c r="I1792" t="inlineStr">
        <is>
          <t>2021-08-17</t>
        </is>
      </c>
    </row>
    <row r="1793">
      <c r="A1793" t="n">
        <v/>
      </c>
      <c r="B1793" t="n">
        <v>1026160</v>
      </c>
      <c r="C1793" t="inlineStr">
        <is>
          <t>Pandas</t>
        </is>
      </c>
      <c r="D1793" t="inlineStr">
        <is>
          <t>Secondary</t>
        </is>
      </c>
      <c r="E1793" t="inlineStr">
        <is>
          <t>Intermediate</t>
        </is>
      </c>
      <c r="F1793" t="n">
        <v>1.9</v>
      </c>
      <c r="G1793" t="inlineStr">
        <is>
          <t>Technical</t>
        </is>
      </c>
      <c r="H1793" t="inlineStr">
        <is>
          <t>Yes</t>
        </is>
      </c>
      <c r="I1793" t="inlineStr">
        <is>
          <t>2021-08-17</t>
        </is>
      </c>
    </row>
    <row r="1794">
      <c r="A1794" t="n">
        <v/>
      </c>
      <c r="B1794" t="n">
        <v>1026938</v>
      </c>
      <c r="C1794" t="inlineStr">
        <is>
          <t>QA Automation / SDET</t>
        </is>
      </c>
      <c r="D1794" t="inlineStr">
        <is>
          <t>Primary</t>
        </is>
      </c>
      <c r="E1794" t="inlineStr">
        <is>
          <t>Advanced</t>
        </is>
      </c>
      <c r="F1794" t="n">
        <v>6.3</v>
      </c>
      <c r="G1794" t="inlineStr">
        <is>
          <t>Technical</t>
        </is>
      </c>
      <c r="H1794" t="inlineStr">
        <is>
          <t>Yes</t>
        </is>
      </c>
      <c r="I1794" t="inlineStr">
        <is>
          <t>2021-10-22</t>
        </is>
      </c>
    </row>
    <row r="1795">
      <c r="A1795" t="n">
        <v/>
      </c>
      <c r="B1795" t="n">
        <v>1026938</v>
      </c>
      <c r="C1795" t="inlineStr">
        <is>
          <t>Selenium</t>
        </is>
      </c>
      <c r="D1795" t="inlineStr">
        <is>
          <t>Secondary</t>
        </is>
      </c>
      <c r="E1795" t="inlineStr">
        <is>
          <t>Intermediate</t>
        </is>
      </c>
      <c r="F1795" t="n">
        <v>3.8</v>
      </c>
      <c r="G1795" t="inlineStr">
        <is>
          <t>Technical</t>
        </is>
      </c>
      <c r="H1795" t="inlineStr">
        <is>
          <t>Yes</t>
        </is>
      </c>
      <c r="I1795" t="inlineStr">
        <is>
          <t>2021-10-22</t>
        </is>
      </c>
    </row>
    <row r="1796">
      <c r="A1796" t="n">
        <v/>
      </c>
      <c r="B1796" t="n">
        <v>1026938</v>
      </c>
      <c r="C1796" t="inlineStr">
        <is>
          <t>API Testing (Postman)</t>
        </is>
      </c>
      <c r="D1796" t="inlineStr">
        <is>
          <t>Secondary</t>
        </is>
      </c>
      <c r="E1796" t="inlineStr">
        <is>
          <t>Intermediate</t>
        </is>
      </c>
      <c r="F1796" t="n">
        <v>2.8</v>
      </c>
      <c r="G1796" t="inlineStr">
        <is>
          <t>Technical</t>
        </is>
      </c>
      <c r="H1796" t="inlineStr">
        <is>
          <t>Yes</t>
        </is>
      </c>
      <c r="I1796" t="inlineStr">
        <is>
          <t>2021-10-22</t>
        </is>
      </c>
    </row>
    <row r="1797">
      <c r="A1797" t="n">
        <v/>
      </c>
      <c r="B1797" t="n">
        <v>1026938</v>
      </c>
      <c r="C1797" t="inlineStr">
        <is>
          <t>TestNG</t>
        </is>
      </c>
      <c r="D1797" t="inlineStr">
        <is>
          <t>Secondary</t>
        </is>
      </c>
      <c r="E1797" t="inlineStr">
        <is>
          <t>Intermediate</t>
        </is>
      </c>
      <c r="F1797" t="n">
        <v>1.9</v>
      </c>
      <c r="G1797" t="inlineStr">
        <is>
          <t>Technical</t>
        </is>
      </c>
      <c r="H1797" t="inlineStr">
        <is>
          <t>Yes</t>
        </is>
      </c>
      <c r="I1797" t="inlineStr">
        <is>
          <t>2021-10-22</t>
        </is>
      </c>
    </row>
    <row r="1798">
      <c r="A1798" t="n">
        <v/>
      </c>
      <c r="B1798" t="n">
        <v>1030245</v>
      </c>
      <c r="C1798" t="inlineStr">
        <is>
          <t>Python / Data Engineering</t>
        </is>
      </c>
      <c r="D1798" t="inlineStr">
        <is>
          <t>Primary</t>
        </is>
      </c>
      <c r="E1798" t="inlineStr">
        <is>
          <t>Intermediate</t>
        </is>
      </c>
      <c r="F1798" t="n">
        <v>1.9</v>
      </c>
      <c r="G1798" t="inlineStr">
        <is>
          <t>Technical</t>
        </is>
      </c>
      <c r="H1798" t="inlineStr">
        <is>
          <t>Yes</t>
        </is>
      </c>
      <c r="I1798" t="inlineStr">
        <is>
          <t>2022-09-15</t>
        </is>
      </c>
    </row>
    <row r="1799">
      <c r="A1799" t="n">
        <v/>
      </c>
      <c r="B1799" t="n">
        <v>1030245</v>
      </c>
      <c r="C1799" t="inlineStr">
        <is>
          <t>SQL</t>
        </is>
      </c>
      <c r="D1799" t="inlineStr">
        <is>
          <t>Secondary</t>
        </is>
      </c>
      <c r="E1799" t="inlineStr">
        <is>
          <t>Beginner</t>
        </is>
      </c>
      <c r="F1799" t="n">
        <v>1.1</v>
      </c>
      <c r="G1799" t="inlineStr">
        <is>
          <t>Technical</t>
        </is>
      </c>
      <c r="H1799" t="inlineStr">
        <is>
          <t>Yes</t>
        </is>
      </c>
      <c r="I1799" t="inlineStr">
        <is>
          <t>2022-09-15</t>
        </is>
      </c>
    </row>
    <row r="1800">
      <c r="A1800" t="n">
        <v/>
      </c>
      <c r="B1800" t="n">
        <v>1030245</v>
      </c>
      <c r="C1800" t="inlineStr">
        <is>
          <t>Docker</t>
        </is>
      </c>
      <c r="D1800" t="inlineStr">
        <is>
          <t>Secondary</t>
        </is>
      </c>
      <c r="E1800" t="inlineStr">
        <is>
          <t>Beginner</t>
        </is>
      </c>
      <c r="F1800" t="n">
        <v>0.9</v>
      </c>
      <c r="G1800" t="inlineStr">
        <is>
          <t>Technical</t>
        </is>
      </c>
      <c r="H1800" t="inlineStr">
        <is>
          <t>Yes</t>
        </is>
      </c>
      <c r="I1800" t="inlineStr">
        <is>
          <t>2022-09-15</t>
        </is>
      </c>
    </row>
    <row r="1801">
      <c r="A1801" t="n">
        <v/>
      </c>
      <c r="B1801" t="n">
        <v>1027419</v>
      </c>
      <c r="C1801" t="inlineStr">
        <is>
          <t>Cloud &amp; DevOps (AWS / K8s)</t>
        </is>
      </c>
      <c r="D1801" t="inlineStr">
        <is>
          <t>Primary</t>
        </is>
      </c>
      <c r="E1801" t="inlineStr">
        <is>
          <t>Advanced</t>
        </is>
      </c>
      <c r="F1801" t="n">
        <v>6.2</v>
      </c>
      <c r="G1801" t="inlineStr">
        <is>
          <t>Technical</t>
        </is>
      </c>
      <c r="H1801" t="inlineStr">
        <is>
          <t>Yes</t>
        </is>
      </c>
      <c r="I1801" t="inlineStr">
        <is>
          <t>2021-12-01</t>
        </is>
      </c>
    </row>
    <row r="1802">
      <c r="A1802" t="n">
        <v/>
      </c>
      <c r="B1802" t="n">
        <v>1027419</v>
      </c>
      <c r="C1802" t="inlineStr">
        <is>
          <t>Docker</t>
        </is>
      </c>
      <c r="D1802" t="inlineStr">
        <is>
          <t>Secondary</t>
        </is>
      </c>
      <c r="E1802" t="inlineStr">
        <is>
          <t>Intermediate</t>
        </is>
      </c>
      <c r="F1802" t="n">
        <v>3.7</v>
      </c>
      <c r="G1802" t="inlineStr">
        <is>
          <t>Technical</t>
        </is>
      </c>
      <c r="H1802" t="inlineStr">
        <is>
          <t>Yes</t>
        </is>
      </c>
      <c r="I1802" t="inlineStr">
        <is>
          <t>2021-12-01</t>
        </is>
      </c>
    </row>
    <row r="1803">
      <c r="A1803" t="n">
        <v/>
      </c>
      <c r="B1803" t="n">
        <v>1027419</v>
      </c>
      <c r="C1803" t="inlineStr">
        <is>
          <t>Kubernetes</t>
        </is>
      </c>
      <c r="D1803" t="inlineStr">
        <is>
          <t>Secondary</t>
        </is>
      </c>
      <c r="E1803" t="inlineStr">
        <is>
          <t>Intermediate</t>
        </is>
      </c>
      <c r="F1803" t="n">
        <v>2.8</v>
      </c>
      <c r="G1803" t="inlineStr">
        <is>
          <t>Technical</t>
        </is>
      </c>
      <c r="H1803" t="inlineStr">
        <is>
          <t>Yes</t>
        </is>
      </c>
      <c r="I1803" t="inlineStr">
        <is>
          <t>2021-12-01</t>
        </is>
      </c>
    </row>
    <row r="1804">
      <c r="A1804" t="n">
        <v/>
      </c>
      <c r="B1804" t="n">
        <v>1027419</v>
      </c>
      <c r="C1804" t="inlineStr">
        <is>
          <t>Linux</t>
        </is>
      </c>
      <c r="D1804" t="inlineStr">
        <is>
          <t>Secondary</t>
        </is>
      </c>
      <c r="E1804" t="inlineStr">
        <is>
          <t>Intermediate</t>
        </is>
      </c>
      <c r="F1804" t="n">
        <v>1.9</v>
      </c>
      <c r="G1804" t="inlineStr">
        <is>
          <t>Technical</t>
        </is>
      </c>
      <c r="H1804" t="inlineStr">
        <is>
          <t>Yes</t>
        </is>
      </c>
      <c r="I1804" t="inlineStr">
        <is>
          <t>2021-12-01</t>
        </is>
      </c>
    </row>
    <row r="1805">
      <c r="A1805" t="n">
        <v/>
      </c>
      <c r="B1805" t="n">
        <v>1033210</v>
      </c>
      <c r="C1805" t="inlineStr">
        <is>
          <t>Python / Data Engineering</t>
        </is>
      </c>
      <c r="D1805" t="inlineStr">
        <is>
          <t>Primary</t>
        </is>
      </c>
      <c r="E1805" t="inlineStr">
        <is>
          <t>Intermediate</t>
        </is>
      </c>
      <c r="F1805" t="n">
        <v>1</v>
      </c>
      <c r="G1805" t="inlineStr">
        <is>
          <t>Technical</t>
        </is>
      </c>
      <c r="H1805" t="inlineStr">
        <is>
          <t>Yes</t>
        </is>
      </c>
      <c r="I1805" t="inlineStr">
        <is>
          <t>2023-08-17</t>
        </is>
      </c>
    </row>
    <row r="1806">
      <c r="A1806" t="n">
        <v/>
      </c>
      <c r="B1806" t="n">
        <v>1033210</v>
      </c>
      <c r="C1806" t="inlineStr">
        <is>
          <t>SQL</t>
        </is>
      </c>
      <c r="D1806" t="inlineStr">
        <is>
          <t>Secondary</t>
        </is>
      </c>
      <c r="E1806" t="inlineStr">
        <is>
          <t>Beginner</t>
        </is>
      </c>
      <c r="F1806" t="n">
        <v>0.6</v>
      </c>
      <c r="G1806" t="inlineStr">
        <is>
          <t>Technical</t>
        </is>
      </c>
      <c r="H1806" t="inlineStr">
        <is>
          <t>Yes</t>
        </is>
      </c>
      <c r="I1806" t="inlineStr">
        <is>
          <t>2023-08-17</t>
        </is>
      </c>
    </row>
    <row r="1807">
      <c r="A1807" t="n">
        <v/>
      </c>
      <c r="B1807" t="n">
        <v>1033210</v>
      </c>
      <c r="C1807" t="inlineStr">
        <is>
          <t>Docker</t>
        </is>
      </c>
      <c r="D1807" t="inlineStr">
        <is>
          <t>Secondary</t>
        </is>
      </c>
      <c r="E1807" t="inlineStr">
        <is>
          <t>Beginner</t>
        </is>
      </c>
      <c r="F1807" t="n">
        <v>0.5</v>
      </c>
      <c r="G1807" t="inlineStr">
        <is>
          <t>Technical</t>
        </is>
      </c>
      <c r="H1807" t="inlineStr">
        <is>
          <t>Yes</t>
        </is>
      </c>
      <c r="I1807" t="inlineStr">
        <is>
          <t>2023-08-17</t>
        </is>
      </c>
    </row>
    <row r="1808">
      <c r="A1808" t="n">
        <v/>
      </c>
      <c r="B1808" t="n">
        <v>1033247</v>
      </c>
      <c r="C1808" t="inlineStr">
        <is>
          <t>Fullstack Web (React / Node)</t>
        </is>
      </c>
      <c r="D1808" t="inlineStr">
        <is>
          <t>Primary</t>
        </is>
      </c>
      <c r="E1808" t="inlineStr">
        <is>
          <t>Intermediate</t>
        </is>
      </c>
      <c r="F1808" t="n">
        <v>1</v>
      </c>
      <c r="G1808" t="inlineStr">
        <is>
          <t>Technical</t>
        </is>
      </c>
      <c r="H1808" t="inlineStr">
        <is>
          <t>Yes</t>
        </is>
      </c>
      <c r="I1808" t="inlineStr">
        <is>
          <t>2023-08-17</t>
        </is>
      </c>
    </row>
    <row r="1809">
      <c r="A1809" t="n">
        <v/>
      </c>
      <c r="B1809" t="n">
        <v>1033247</v>
      </c>
      <c r="C1809" t="inlineStr">
        <is>
          <t>JavaScript</t>
        </is>
      </c>
      <c r="D1809" t="inlineStr">
        <is>
          <t>Secondary</t>
        </is>
      </c>
      <c r="E1809" t="inlineStr">
        <is>
          <t>Beginner</t>
        </is>
      </c>
      <c r="F1809" t="n">
        <v>0.6</v>
      </c>
      <c r="G1809" t="inlineStr">
        <is>
          <t>Technical</t>
        </is>
      </c>
      <c r="H1809" t="inlineStr">
        <is>
          <t>Yes</t>
        </is>
      </c>
      <c r="I1809" t="inlineStr">
        <is>
          <t>2023-08-17</t>
        </is>
      </c>
    </row>
    <row r="1810">
      <c r="A1810" t="n">
        <v/>
      </c>
      <c r="B1810" t="n">
        <v>1033247</v>
      </c>
      <c r="C1810" t="inlineStr">
        <is>
          <t>TypeScript</t>
        </is>
      </c>
      <c r="D1810" t="inlineStr">
        <is>
          <t>Secondary</t>
        </is>
      </c>
      <c r="E1810" t="inlineStr">
        <is>
          <t>Beginner</t>
        </is>
      </c>
      <c r="F1810" t="n">
        <v>0.5</v>
      </c>
      <c r="G1810" t="inlineStr">
        <is>
          <t>Technical</t>
        </is>
      </c>
      <c r="H1810" t="inlineStr">
        <is>
          <t>Yes</t>
        </is>
      </c>
      <c r="I1810" t="inlineStr">
        <is>
          <t>2023-08-17</t>
        </is>
      </c>
    </row>
    <row r="1811">
      <c r="A1811" t="n">
        <v/>
      </c>
      <c r="B1811" t="n">
        <v>1033831</v>
      </c>
      <c r="C1811" t="inlineStr">
        <is>
          <t>QA Automation / SDET</t>
        </is>
      </c>
      <c r="D1811" t="inlineStr">
        <is>
          <t>Primary</t>
        </is>
      </c>
      <c r="E1811" t="inlineStr">
        <is>
          <t>Beginner</t>
        </is>
      </c>
      <c r="F1811" t="n">
        <v>0.8</v>
      </c>
      <c r="G1811" t="inlineStr">
        <is>
          <t>Technical</t>
        </is>
      </c>
      <c r="H1811" t="inlineStr">
        <is>
          <t>Yes</t>
        </is>
      </c>
      <c r="I1811" t="inlineStr">
        <is>
          <t>2023-11-06</t>
        </is>
      </c>
    </row>
    <row r="1812">
      <c r="A1812" t="n">
        <v/>
      </c>
      <c r="B1812" t="n">
        <v>1033831</v>
      </c>
      <c r="C1812" t="inlineStr">
        <is>
          <t>Selenium</t>
        </is>
      </c>
      <c r="D1812" t="inlineStr">
        <is>
          <t>Secondary</t>
        </is>
      </c>
      <c r="E1812" t="inlineStr">
        <is>
          <t>Beginner</t>
        </is>
      </c>
      <c r="F1812" t="n">
        <v>0.5</v>
      </c>
      <c r="G1812" t="inlineStr">
        <is>
          <t>Technical</t>
        </is>
      </c>
      <c r="H1812" t="inlineStr">
        <is>
          <t>Yes</t>
        </is>
      </c>
      <c r="I1812" t="inlineStr">
        <is>
          <t>2023-11-06</t>
        </is>
      </c>
    </row>
    <row r="1813">
      <c r="A1813" t="n">
        <v/>
      </c>
      <c r="B1813" t="n">
        <v>1033831</v>
      </c>
      <c r="C1813" t="inlineStr">
        <is>
          <t>API Testing (Postman)</t>
        </is>
      </c>
      <c r="D1813" t="inlineStr">
        <is>
          <t>Secondary</t>
        </is>
      </c>
      <c r="E1813" t="inlineStr">
        <is>
          <t>Beginner</t>
        </is>
      </c>
      <c r="F1813" t="n">
        <v>0.5</v>
      </c>
      <c r="G1813" t="inlineStr">
        <is>
          <t>Technical</t>
        </is>
      </c>
      <c r="H1813" t="inlineStr">
        <is>
          <t>Yes</t>
        </is>
      </c>
      <c r="I1813" t="inlineStr">
        <is>
          <t>2023-11-06</t>
        </is>
      </c>
    </row>
    <row r="1814">
      <c r="A1814" t="n">
        <v/>
      </c>
      <c r="B1814" t="n">
        <v>1030906</v>
      </c>
      <c r="C1814" t="inlineStr">
        <is>
          <t>Frontend (Angular / TypeScript)</t>
        </is>
      </c>
      <c r="D1814" t="inlineStr">
        <is>
          <t>Primary</t>
        </is>
      </c>
      <c r="E1814" t="inlineStr">
        <is>
          <t>Intermediate</t>
        </is>
      </c>
      <c r="F1814" t="n">
        <v>1.7</v>
      </c>
      <c r="G1814" t="inlineStr">
        <is>
          <t>Technical</t>
        </is>
      </c>
      <c r="H1814" t="inlineStr">
        <is>
          <t>Yes</t>
        </is>
      </c>
      <c r="I1814" t="inlineStr">
        <is>
          <t>2022-11-11</t>
        </is>
      </c>
    </row>
    <row r="1815">
      <c r="A1815" t="n">
        <v/>
      </c>
      <c r="B1815" t="n">
        <v>1030906</v>
      </c>
      <c r="C1815" t="inlineStr">
        <is>
          <t>TypeScript</t>
        </is>
      </c>
      <c r="D1815" t="inlineStr">
        <is>
          <t>Secondary</t>
        </is>
      </c>
      <c r="E1815" t="inlineStr">
        <is>
          <t>Beginner</t>
        </is>
      </c>
      <c r="F1815" t="n">
        <v>1</v>
      </c>
      <c r="G1815" t="inlineStr">
        <is>
          <t>Technical</t>
        </is>
      </c>
      <c r="H1815" t="inlineStr">
        <is>
          <t>Yes</t>
        </is>
      </c>
      <c r="I1815" t="inlineStr">
        <is>
          <t>2022-11-11</t>
        </is>
      </c>
    </row>
    <row r="1816">
      <c r="A1816" t="n">
        <v/>
      </c>
      <c r="B1816" t="n">
        <v>1030906</v>
      </c>
      <c r="C1816" t="inlineStr">
        <is>
          <t>JavaScript</t>
        </is>
      </c>
      <c r="D1816" t="inlineStr">
        <is>
          <t>Secondary</t>
        </is>
      </c>
      <c r="E1816" t="inlineStr">
        <is>
          <t>Beginner</t>
        </is>
      </c>
      <c r="F1816" t="n">
        <v>0.8</v>
      </c>
      <c r="G1816" t="inlineStr">
        <is>
          <t>Technical</t>
        </is>
      </c>
      <c r="H1816" t="inlineStr">
        <is>
          <t>Yes</t>
        </is>
      </c>
      <c r="I1816" t="inlineStr">
        <is>
          <t>2022-11-11</t>
        </is>
      </c>
    </row>
    <row r="1817">
      <c r="A1817" t="n">
        <v/>
      </c>
      <c r="B1817" t="n">
        <v>1030949</v>
      </c>
      <c r="C1817" t="inlineStr">
        <is>
          <t>Cloud &amp; DevOps (AWS / K8s)</t>
        </is>
      </c>
      <c r="D1817" t="inlineStr">
        <is>
          <t>Primary</t>
        </is>
      </c>
      <c r="E1817" t="inlineStr">
        <is>
          <t>Intermediate</t>
        </is>
      </c>
      <c r="F1817" t="n">
        <v>1.7</v>
      </c>
      <c r="G1817" t="inlineStr">
        <is>
          <t>Technical</t>
        </is>
      </c>
      <c r="H1817" t="inlineStr">
        <is>
          <t>Yes</t>
        </is>
      </c>
      <c r="I1817" t="inlineStr">
        <is>
          <t>2022-11-11</t>
        </is>
      </c>
    </row>
    <row r="1818">
      <c r="A1818" t="n">
        <v/>
      </c>
      <c r="B1818" t="n">
        <v>1030949</v>
      </c>
      <c r="C1818" t="inlineStr">
        <is>
          <t>Docker</t>
        </is>
      </c>
      <c r="D1818" t="inlineStr">
        <is>
          <t>Secondary</t>
        </is>
      </c>
      <c r="E1818" t="inlineStr">
        <is>
          <t>Beginner</t>
        </is>
      </c>
      <c r="F1818" t="n">
        <v>1</v>
      </c>
      <c r="G1818" t="inlineStr">
        <is>
          <t>Technical</t>
        </is>
      </c>
      <c r="H1818" t="inlineStr">
        <is>
          <t>Yes</t>
        </is>
      </c>
      <c r="I1818" t="inlineStr">
        <is>
          <t>2022-11-11</t>
        </is>
      </c>
    </row>
    <row r="1819">
      <c r="A1819" t="n">
        <v/>
      </c>
      <c r="B1819" t="n">
        <v>1030949</v>
      </c>
      <c r="C1819" t="inlineStr">
        <is>
          <t>Kubernetes</t>
        </is>
      </c>
      <c r="D1819" t="inlineStr">
        <is>
          <t>Secondary</t>
        </is>
      </c>
      <c r="E1819" t="inlineStr">
        <is>
          <t>Beginner</t>
        </is>
      </c>
      <c r="F1819" t="n">
        <v>0.8</v>
      </c>
      <c r="G1819" t="inlineStr">
        <is>
          <t>Technical</t>
        </is>
      </c>
      <c r="H1819" t="inlineStr">
        <is>
          <t>Yes</t>
        </is>
      </c>
      <c r="I1819" t="inlineStr">
        <is>
          <t>2022-11-11</t>
        </is>
      </c>
    </row>
    <row r="1820">
      <c r="A1820" t="n">
        <v/>
      </c>
      <c r="B1820" t="n">
        <v>1033125</v>
      </c>
      <c r="C1820" t="inlineStr">
        <is>
          <t>Python / Data Engineering</t>
        </is>
      </c>
      <c r="D1820" t="inlineStr">
        <is>
          <t>Primary</t>
        </is>
      </c>
      <c r="E1820" t="inlineStr">
        <is>
          <t>Intermediate</t>
        </is>
      </c>
      <c r="F1820" t="n">
        <v>1.1</v>
      </c>
      <c r="G1820" t="inlineStr">
        <is>
          <t>Technical</t>
        </is>
      </c>
      <c r="H1820" t="inlineStr">
        <is>
          <t>Yes</t>
        </is>
      </c>
      <c r="I1820" t="inlineStr">
        <is>
          <t>2023-08-02</t>
        </is>
      </c>
    </row>
    <row r="1821">
      <c r="A1821" t="n">
        <v/>
      </c>
      <c r="B1821" t="n">
        <v>1033125</v>
      </c>
      <c r="C1821" t="inlineStr">
        <is>
          <t>SQL</t>
        </is>
      </c>
      <c r="D1821" t="inlineStr">
        <is>
          <t>Secondary</t>
        </is>
      </c>
      <c r="E1821" t="inlineStr">
        <is>
          <t>Beginner</t>
        </is>
      </c>
      <c r="F1821" t="n">
        <v>0.7</v>
      </c>
      <c r="G1821" t="inlineStr">
        <is>
          <t>Technical</t>
        </is>
      </c>
      <c r="H1821" t="inlineStr">
        <is>
          <t>Yes</t>
        </is>
      </c>
      <c r="I1821" t="inlineStr">
        <is>
          <t>2023-08-02</t>
        </is>
      </c>
    </row>
    <row r="1822">
      <c r="A1822" t="n">
        <v/>
      </c>
      <c r="B1822" t="n">
        <v>1033125</v>
      </c>
      <c r="C1822" t="inlineStr">
        <is>
          <t>Docker</t>
        </is>
      </c>
      <c r="D1822" t="inlineStr">
        <is>
          <t>Secondary</t>
        </is>
      </c>
      <c r="E1822" t="inlineStr">
        <is>
          <t>Beginner</t>
        </is>
      </c>
      <c r="F1822" t="n">
        <v>0.5</v>
      </c>
      <c r="G1822" t="inlineStr">
        <is>
          <t>Technical</t>
        </is>
      </c>
      <c r="H1822" t="inlineStr">
        <is>
          <t>Yes</t>
        </is>
      </c>
      <c r="I1822" t="inlineStr">
        <is>
          <t>2023-08-02</t>
        </is>
      </c>
    </row>
    <row r="1823">
      <c r="A1823" t="n">
        <v/>
      </c>
      <c r="B1823" t="n">
        <v>1030279</v>
      </c>
      <c r="C1823" t="inlineStr">
        <is>
          <t>Cloud &amp; DevOps (AWS / K8s)</t>
        </is>
      </c>
      <c r="D1823" t="inlineStr">
        <is>
          <t>Primary</t>
        </is>
      </c>
      <c r="E1823" t="inlineStr">
        <is>
          <t>Intermediate</t>
        </is>
      </c>
      <c r="F1823" t="n">
        <v>1.9</v>
      </c>
      <c r="G1823" t="inlineStr">
        <is>
          <t>Technical</t>
        </is>
      </c>
      <c r="H1823" t="inlineStr">
        <is>
          <t>Yes</t>
        </is>
      </c>
      <c r="I1823" t="inlineStr">
        <is>
          <t>2022-09-15</t>
        </is>
      </c>
    </row>
    <row r="1824">
      <c r="A1824" t="n">
        <v/>
      </c>
      <c r="B1824" t="n">
        <v>1030279</v>
      </c>
      <c r="C1824" t="inlineStr">
        <is>
          <t>Docker</t>
        </is>
      </c>
      <c r="D1824" t="inlineStr">
        <is>
          <t>Secondary</t>
        </is>
      </c>
      <c r="E1824" t="inlineStr">
        <is>
          <t>Beginner</t>
        </is>
      </c>
      <c r="F1824" t="n">
        <v>1.1</v>
      </c>
      <c r="G1824" t="inlineStr">
        <is>
          <t>Technical</t>
        </is>
      </c>
      <c r="H1824" t="inlineStr">
        <is>
          <t>Yes</t>
        </is>
      </c>
      <c r="I1824" t="inlineStr">
        <is>
          <t>2022-09-15</t>
        </is>
      </c>
    </row>
    <row r="1825">
      <c r="A1825" t="n">
        <v/>
      </c>
      <c r="B1825" t="n">
        <v>1030279</v>
      </c>
      <c r="C1825" t="inlineStr">
        <is>
          <t>Kubernetes</t>
        </is>
      </c>
      <c r="D1825" t="inlineStr">
        <is>
          <t>Secondary</t>
        </is>
      </c>
      <c r="E1825" t="inlineStr">
        <is>
          <t>Beginner</t>
        </is>
      </c>
      <c r="F1825" t="n">
        <v>0.9</v>
      </c>
      <c r="G1825" t="inlineStr">
        <is>
          <t>Technical</t>
        </is>
      </c>
      <c r="H1825" t="inlineStr">
        <is>
          <t>Yes</t>
        </is>
      </c>
      <c r="I1825" t="inlineStr">
        <is>
          <t>2022-09-15</t>
        </is>
      </c>
    </row>
    <row r="1826">
      <c r="A1826" t="n">
        <v/>
      </c>
      <c r="B1826" t="n">
        <v>1031071</v>
      </c>
      <c r="C1826" t="inlineStr">
        <is>
          <t>Frontend (Angular / TypeScript)</t>
        </is>
      </c>
      <c r="D1826" t="inlineStr">
        <is>
          <t>Primary</t>
        </is>
      </c>
      <c r="E1826" t="inlineStr">
        <is>
          <t>Intermediate</t>
        </is>
      </c>
      <c r="F1826" t="n">
        <v>1.7</v>
      </c>
      <c r="G1826" t="inlineStr">
        <is>
          <t>Technical</t>
        </is>
      </c>
      <c r="H1826" t="inlineStr">
        <is>
          <t>Yes</t>
        </is>
      </c>
      <c r="I1826" t="inlineStr">
        <is>
          <t>2022-11-24</t>
        </is>
      </c>
    </row>
    <row r="1827">
      <c r="A1827" t="n">
        <v/>
      </c>
      <c r="B1827" t="n">
        <v>1031071</v>
      </c>
      <c r="C1827" t="inlineStr">
        <is>
          <t>TypeScript</t>
        </is>
      </c>
      <c r="D1827" t="inlineStr">
        <is>
          <t>Secondary</t>
        </is>
      </c>
      <c r="E1827" t="inlineStr">
        <is>
          <t>Beginner</t>
        </is>
      </c>
      <c r="F1827" t="n">
        <v>1</v>
      </c>
      <c r="G1827" t="inlineStr">
        <is>
          <t>Technical</t>
        </is>
      </c>
      <c r="H1827" t="inlineStr">
        <is>
          <t>Yes</t>
        </is>
      </c>
      <c r="I1827" t="inlineStr">
        <is>
          <t>2022-11-24</t>
        </is>
      </c>
    </row>
    <row r="1828">
      <c r="A1828" t="n">
        <v/>
      </c>
      <c r="B1828" t="n">
        <v>1031071</v>
      </c>
      <c r="C1828" t="inlineStr">
        <is>
          <t>JavaScript</t>
        </is>
      </c>
      <c r="D1828" t="inlineStr">
        <is>
          <t>Secondary</t>
        </is>
      </c>
      <c r="E1828" t="inlineStr">
        <is>
          <t>Beginner</t>
        </is>
      </c>
      <c r="F1828" t="n">
        <v>0.8</v>
      </c>
      <c r="G1828" t="inlineStr">
        <is>
          <t>Technical</t>
        </is>
      </c>
      <c r="H1828" t="inlineStr">
        <is>
          <t>Yes</t>
        </is>
      </c>
      <c r="I1828" t="inlineStr">
        <is>
          <t>2022-11-24</t>
        </is>
      </c>
    </row>
    <row r="1829">
      <c r="A1829" t="n">
        <v/>
      </c>
      <c r="B1829" t="n">
        <v>1029866</v>
      </c>
      <c r="C1829" t="inlineStr">
        <is>
          <t>Frontend (Angular / TypeScript)</t>
        </is>
      </c>
      <c r="D1829" t="inlineStr">
        <is>
          <t>Primary</t>
        </is>
      </c>
      <c r="E1829" t="inlineStr">
        <is>
          <t>Intermediate</t>
        </is>
      </c>
      <c r="F1829" t="n">
        <v>1.9</v>
      </c>
      <c r="G1829" t="inlineStr">
        <is>
          <t>Technical</t>
        </is>
      </c>
      <c r="H1829" t="inlineStr">
        <is>
          <t>Yes</t>
        </is>
      </c>
      <c r="I1829" t="inlineStr">
        <is>
          <t>2022-08-18</t>
        </is>
      </c>
    </row>
    <row r="1830">
      <c r="A1830" t="n">
        <v/>
      </c>
      <c r="B1830" t="n">
        <v>1029866</v>
      </c>
      <c r="C1830" t="inlineStr">
        <is>
          <t>TypeScript</t>
        </is>
      </c>
      <c r="D1830" t="inlineStr">
        <is>
          <t>Secondary</t>
        </is>
      </c>
      <c r="E1830" t="inlineStr">
        <is>
          <t>Beginner</t>
        </is>
      </c>
      <c r="F1830" t="n">
        <v>1.1</v>
      </c>
      <c r="G1830" t="inlineStr">
        <is>
          <t>Technical</t>
        </is>
      </c>
      <c r="H1830" t="inlineStr">
        <is>
          <t>Yes</t>
        </is>
      </c>
      <c r="I1830" t="inlineStr">
        <is>
          <t>2022-08-18</t>
        </is>
      </c>
    </row>
    <row r="1831">
      <c r="A1831" t="n">
        <v/>
      </c>
      <c r="B1831" t="n">
        <v>1029866</v>
      </c>
      <c r="C1831" t="inlineStr">
        <is>
          <t>JavaScript</t>
        </is>
      </c>
      <c r="D1831" t="inlineStr">
        <is>
          <t>Secondary</t>
        </is>
      </c>
      <c r="E1831" t="inlineStr">
        <is>
          <t>Beginner</t>
        </is>
      </c>
      <c r="F1831" t="n">
        <v>0.9</v>
      </c>
      <c r="G1831" t="inlineStr">
        <is>
          <t>Technical</t>
        </is>
      </c>
      <c r="H1831" t="inlineStr">
        <is>
          <t>Yes</t>
        </is>
      </c>
      <c r="I1831" t="inlineStr">
        <is>
          <t>2022-08-18</t>
        </is>
      </c>
    </row>
    <row r="1832">
      <c r="A1832" t="n">
        <v/>
      </c>
      <c r="B1832" t="n">
        <v>1030250</v>
      </c>
      <c r="C1832" t="inlineStr">
        <is>
          <t>Python / Data Engineering</t>
        </is>
      </c>
      <c r="D1832" t="inlineStr">
        <is>
          <t>Primary</t>
        </is>
      </c>
      <c r="E1832" t="inlineStr">
        <is>
          <t>Intermediate</t>
        </is>
      </c>
      <c r="F1832" t="n">
        <v>1.9</v>
      </c>
      <c r="G1832" t="inlineStr">
        <is>
          <t>Technical</t>
        </is>
      </c>
      <c r="H1832" t="inlineStr">
        <is>
          <t>Yes</t>
        </is>
      </c>
      <c r="I1832" t="inlineStr">
        <is>
          <t>2022-09-15</t>
        </is>
      </c>
    </row>
    <row r="1833">
      <c r="A1833" t="n">
        <v/>
      </c>
      <c r="B1833" t="n">
        <v>1030250</v>
      </c>
      <c r="C1833" t="inlineStr">
        <is>
          <t>SQL</t>
        </is>
      </c>
      <c r="D1833" t="inlineStr">
        <is>
          <t>Secondary</t>
        </is>
      </c>
      <c r="E1833" t="inlineStr">
        <is>
          <t>Beginner</t>
        </is>
      </c>
      <c r="F1833" t="n">
        <v>1.1</v>
      </c>
      <c r="G1833" t="inlineStr">
        <is>
          <t>Technical</t>
        </is>
      </c>
      <c r="H1833" t="inlineStr">
        <is>
          <t>Yes</t>
        </is>
      </c>
      <c r="I1833" t="inlineStr">
        <is>
          <t>2022-09-15</t>
        </is>
      </c>
    </row>
    <row r="1834">
      <c r="A1834" t="n">
        <v/>
      </c>
      <c r="B1834" t="n">
        <v>1030250</v>
      </c>
      <c r="C1834" t="inlineStr">
        <is>
          <t>Docker</t>
        </is>
      </c>
      <c r="D1834" t="inlineStr">
        <is>
          <t>Secondary</t>
        </is>
      </c>
      <c r="E1834" t="inlineStr">
        <is>
          <t>Beginner</t>
        </is>
      </c>
      <c r="F1834" t="n">
        <v>0.9</v>
      </c>
      <c r="G1834" t="inlineStr">
        <is>
          <t>Technical</t>
        </is>
      </c>
      <c r="H1834" t="inlineStr">
        <is>
          <t>Yes</t>
        </is>
      </c>
      <c r="I1834" t="inlineStr">
        <is>
          <t>2022-09-15</t>
        </is>
      </c>
    </row>
    <row r="1835">
      <c r="A1835" t="n">
        <v/>
      </c>
      <c r="B1835" t="n">
        <v>1029874</v>
      </c>
      <c r="C1835" t="inlineStr">
        <is>
          <t>Cloud &amp; DevOps (AWS / K8s)</t>
        </is>
      </c>
      <c r="D1835" t="inlineStr">
        <is>
          <t>Primary</t>
        </is>
      </c>
      <c r="E1835" t="inlineStr">
        <is>
          <t>Intermediate</t>
        </is>
      </c>
      <c r="F1835" t="n">
        <v>1.9</v>
      </c>
      <c r="G1835" t="inlineStr">
        <is>
          <t>Technical</t>
        </is>
      </c>
      <c r="H1835" t="inlineStr">
        <is>
          <t>Yes</t>
        </is>
      </c>
      <c r="I1835" t="inlineStr">
        <is>
          <t>2022-08-18</t>
        </is>
      </c>
    </row>
    <row r="1836">
      <c r="A1836" t="n">
        <v/>
      </c>
      <c r="B1836" t="n">
        <v>1029874</v>
      </c>
      <c r="C1836" t="inlineStr">
        <is>
          <t>Docker</t>
        </is>
      </c>
      <c r="D1836" t="inlineStr">
        <is>
          <t>Secondary</t>
        </is>
      </c>
      <c r="E1836" t="inlineStr">
        <is>
          <t>Beginner</t>
        </is>
      </c>
      <c r="F1836" t="n">
        <v>1.1</v>
      </c>
      <c r="G1836" t="inlineStr">
        <is>
          <t>Technical</t>
        </is>
      </c>
      <c r="H1836" t="inlineStr">
        <is>
          <t>Yes</t>
        </is>
      </c>
      <c r="I1836" t="inlineStr">
        <is>
          <t>2022-08-18</t>
        </is>
      </c>
    </row>
    <row r="1837">
      <c r="A1837" t="n">
        <v/>
      </c>
      <c r="B1837" t="n">
        <v>1029874</v>
      </c>
      <c r="C1837" t="inlineStr">
        <is>
          <t>Kubernetes</t>
        </is>
      </c>
      <c r="D1837" t="inlineStr">
        <is>
          <t>Secondary</t>
        </is>
      </c>
      <c r="E1837" t="inlineStr">
        <is>
          <t>Beginner</t>
        </is>
      </c>
      <c r="F1837" t="n">
        <v>0.9</v>
      </c>
      <c r="G1837" t="inlineStr">
        <is>
          <t>Technical</t>
        </is>
      </c>
      <c r="H1837" t="inlineStr">
        <is>
          <t>Yes</t>
        </is>
      </c>
      <c r="I1837" t="inlineStr">
        <is>
          <t>2022-08-18</t>
        </is>
      </c>
    </row>
    <row r="1838">
      <c r="A1838" t="n">
        <v/>
      </c>
      <c r="B1838" t="n">
        <v>1029905</v>
      </c>
      <c r="C1838" t="inlineStr">
        <is>
          <t>Python / Data Engineering</t>
        </is>
      </c>
      <c r="D1838" t="inlineStr">
        <is>
          <t>Primary</t>
        </is>
      </c>
      <c r="E1838" t="inlineStr">
        <is>
          <t>Intermediate</t>
        </is>
      </c>
      <c r="F1838" t="n">
        <v>1.9</v>
      </c>
      <c r="G1838" t="inlineStr">
        <is>
          <t>Technical</t>
        </is>
      </c>
      <c r="H1838" t="inlineStr">
        <is>
          <t>Yes</t>
        </is>
      </c>
      <c r="I1838" t="inlineStr">
        <is>
          <t>2022-08-18</t>
        </is>
      </c>
    </row>
    <row r="1839">
      <c r="A1839" t="n">
        <v/>
      </c>
      <c r="B1839" t="n">
        <v>1029905</v>
      </c>
      <c r="C1839" t="inlineStr">
        <is>
          <t>SQL</t>
        </is>
      </c>
      <c r="D1839" t="inlineStr">
        <is>
          <t>Secondary</t>
        </is>
      </c>
      <c r="E1839" t="inlineStr">
        <is>
          <t>Beginner</t>
        </is>
      </c>
      <c r="F1839" t="n">
        <v>1.1</v>
      </c>
      <c r="G1839" t="inlineStr">
        <is>
          <t>Technical</t>
        </is>
      </c>
      <c r="H1839" t="inlineStr">
        <is>
          <t>Yes</t>
        </is>
      </c>
      <c r="I1839" t="inlineStr">
        <is>
          <t>2022-08-18</t>
        </is>
      </c>
    </row>
    <row r="1840">
      <c r="A1840" t="n">
        <v/>
      </c>
      <c r="B1840" t="n">
        <v>1029905</v>
      </c>
      <c r="C1840" t="inlineStr">
        <is>
          <t>Docker</t>
        </is>
      </c>
      <c r="D1840" t="inlineStr">
        <is>
          <t>Secondary</t>
        </is>
      </c>
      <c r="E1840" t="inlineStr">
        <is>
          <t>Beginner</t>
        </is>
      </c>
      <c r="F1840" t="n">
        <v>0.9</v>
      </c>
      <c r="G1840" t="inlineStr">
        <is>
          <t>Technical</t>
        </is>
      </c>
      <c r="H1840" t="inlineStr">
        <is>
          <t>Yes</t>
        </is>
      </c>
      <c r="I1840" t="inlineStr">
        <is>
          <t>2022-08-18</t>
        </is>
      </c>
    </row>
    <row r="1841">
      <c r="A1841" t="n">
        <v/>
      </c>
      <c r="B1841" t="n">
        <v>1027418</v>
      </c>
      <c r="C1841" t="inlineStr">
        <is>
          <t>Database &amp; SQL Architecture</t>
        </is>
      </c>
      <c r="D1841" t="inlineStr">
        <is>
          <t>Primary</t>
        </is>
      </c>
      <c r="E1841" t="inlineStr">
        <is>
          <t>Advanced</t>
        </is>
      </c>
      <c r="F1841" t="n">
        <v>6.2</v>
      </c>
      <c r="G1841" t="inlineStr">
        <is>
          <t>Technical</t>
        </is>
      </c>
      <c r="H1841" t="inlineStr">
        <is>
          <t>Yes</t>
        </is>
      </c>
      <c r="I1841" t="inlineStr">
        <is>
          <t>2021-12-01</t>
        </is>
      </c>
    </row>
    <row r="1842">
      <c r="A1842" t="n">
        <v/>
      </c>
      <c r="B1842" t="n">
        <v>1027418</v>
      </c>
      <c r="C1842" t="inlineStr">
        <is>
          <t>PostgreSQL</t>
        </is>
      </c>
      <c r="D1842" t="inlineStr">
        <is>
          <t>Secondary</t>
        </is>
      </c>
      <c r="E1842" t="inlineStr">
        <is>
          <t>Intermediate</t>
        </is>
      </c>
      <c r="F1842" t="n">
        <v>3.7</v>
      </c>
      <c r="G1842" t="inlineStr">
        <is>
          <t>Technical</t>
        </is>
      </c>
      <c r="H1842" t="inlineStr">
        <is>
          <t>Yes</t>
        </is>
      </c>
      <c r="I1842" t="inlineStr">
        <is>
          <t>2021-12-01</t>
        </is>
      </c>
    </row>
    <row r="1843">
      <c r="A1843" t="n">
        <v/>
      </c>
      <c r="B1843" t="n">
        <v>1027418</v>
      </c>
      <c r="C1843" t="inlineStr">
        <is>
          <t>Oracle</t>
        </is>
      </c>
      <c r="D1843" t="inlineStr">
        <is>
          <t>Secondary</t>
        </is>
      </c>
      <c r="E1843" t="inlineStr">
        <is>
          <t>Intermediate</t>
        </is>
      </c>
      <c r="F1843" t="n">
        <v>2.8</v>
      </c>
      <c r="G1843" t="inlineStr">
        <is>
          <t>Technical</t>
        </is>
      </c>
      <c r="H1843" t="inlineStr">
        <is>
          <t>Yes</t>
        </is>
      </c>
      <c r="I1843" t="inlineStr">
        <is>
          <t>2021-12-01</t>
        </is>
      </c>
    </row>
    <row r="1844">
      <c r="A1844" t="n">
        <v/>
      </c>
      <c r="B1844" t="n">
        <v>1027418</v>
      </c>
      <c r="C1844" t="inlineStr">
        <is>
          <t>Performance Tuning</t>
        </is>
      </c>
      <c r="D1844" t="inlineStr">
        <is>
          <t>Secondary</t>
        </is>
      </c>
      <c r="E1844" t="inlineStr">
        <is>
          <t>Intermediate</t>
        </is>
      </c>
      <c r="F1844" t="n">
        <v>1.9</v>
      </c>
      <c r="G1844" t="inlineStr">
        <is>
          <t>Technical</t>
        </is>
      </c>
      <c r="H1844" t="inlineStr">
        <is>
          <t>Yes</t>
        </is>
      </c>
      <c r="I1844" t="inlineStr">
        <is>
          <t>2021-12-01</t>
        </is>
      </c>
    </row>
    <row r="1845">
      <c r="A1845" t="n">
        <v/>
      </c>
      <c r="B1845" t="n">
        <v>1029872</v>
      </c>
      <c r="C1845" t="inlineStr">
        <is>
          <t>Fullstack Web (React / Node)</t>
        </is>
      </c>
      <c r="D1845" t="inlineStr">
        <is>
          <t>Primary</t>
        </is>
      </c>
      <c r="E1845" t="inlineStr">
        <is>
          <t>Intermediate</t>
        </is>
      </c>
      <c r="F1845" t="n">
        <v>1.9</v>
      </c>
      <c r="G1845" t="inlineStr">
        <is>
          <t>Technical</t>
        </is>
      </c>
      <c r="H1845" t="inlineStr">
        <is>
          <t>Yes</t>
        </is>
      </c>
      <c r="I1845" t="inlineStr">
        <is>
          <t>2022-08-18</t>
        </is>
      </c>
    </row>
    <row r="1846">
      <c r="A1846" t="n">
        <v/>
      </c>
      <c r="B1846" t="n">
        <v>1029872</v>
      </c>
      <c r="C1846" t="inlineStr">
        <is>
          <t>JavaScript</t>
        </is>
      </c>
      <c r="D1846" t="inlineStr">
        <is>
          <t>Secondary</t>
        </is>
      </c>
      <c r="E1846" t="inlineStr">
        <is>
          <t>Beginner</t>
        </is>
      </c>
      <c r="F1846" t="n">
        <v>1.1</v>
      </c>
      <c r="G1846" t="inlineStr">
        <is>
          <t>Technical</t>
        </is>
      </c>
      <c r="H1846" t="inlineStr">
        <is>
          <t>Yes</t>
        </is>
      </c>
      <c r="I1846" t="inlineStr">
        <is>
          <t>2022-08-18</t>
        </is>
      </c>
    </row>
    <row r="1847">
      <c r="A1847" t="n">
        <v/>
      </c>
      <c r="B1847" t="n">
        <v>1029872</v>
      </c>
      <c r="C1847" t="inlineStr">
        <is>
          <t>TypeScript</t>
        </is>
      </c>
      <c r="D1847" t="inlineStr">
        <is>
          <t>Secondary</t>
        </is>
      </c>
      <c r="E1847" t="inlineStr">
        <is>
          <t>Beginner</t>
        </is>
      </c>
      <c r="F1847" t="n">
        <v>0.9</v>
      </c>
      <c r="G1847" t="inlineStr">
        <is>
          <t>Technical</t>
        </is>
      </c>
      <c r="H1847" t="inlineStr">
        <is>
          <t>Yes</t>
        </is>
      </c>
      <c r="I1847" t="inlineStr">
        <is>
          <t>2022-08-18</t>
        </is>
      </c>
    </row>
    <row r="1848">
      <c r="A1848" t="n">
        <v/>
      </c>
      <c r="B1848" t="n">
        <v>1033270</v>
      </c>
      <c r="C1848" t="inlineStr">
        <is>
          <t>Python / Data Engineering</t>
        </is>
      </c>
      <c r="D1848" t="inlineStr">
        <is>
          <t>Primary</t>
        </is>
      </c>
      <c r="E1848" t="inlineStr">
        <is>
          <t>Intermediate</t>
        </is>
      </c>
      <c r="F1848" t="n">
        <v>1</v>
      </c>
      <c r="G1848" t="inlineStr">
        <is>
          <t>Technical</t>
        </is>
      </c>
      <c r="H1848" t="inlineStr">
        <is>
          <t>Yes</t>
        </is>
      </c>
      <c r="I1848" t="inlineStr">
        <is>
          <t>2023-08-17</t>
        </is>
      </c>
    </row>
    <row r="1849">
      <c r="A1849" t="n">
        <v/>
      </c>
      <c r="B1849" t="n">
        <v>1033270</v>
      </c>
      <c r="C1849" t="inlineStr">
        <is>
          <t>SQL</t>
        </is>
      </c>
      <c r="D1849" t="inlineStr">
        <is>
          <t>Secondary</t>
        </is>
      </c>
      <c r="E1849" t="inlineStr">
        <is>
          <t>Beginner</t>
        </is>
      </c>
      <c r="F1849" t="n">
        <v>0.6</v>
      </c>
      <c r="G1849" t="inlineStr">
        <is>
          <t>Technical</t>
        </is>
      </c>
      <c r="H1849" t="inlineStr">
        <is>
          <t>Yes</t>
        </is>
      </c>
      <c r="I1849" t="inlineStr">
        <is>
          <t>2023-08-17</t>
        </is>
      </c>
    </row>
    <row r="1850">
      <c r="A1850" t="n">
        <v/>
      </c>
      <c r="B1850" t="n">
        <v>1033270</v>
      </c>
      <c r="C1850" t="inlineStr">
        <is>
          <t>Docker</t>
        </is>
      </c>
      <c r="D1850" t="inlineStr">
        <is>
          <t>Secondary</t>
        </is>
      </c>
      <c r="E1850" t="inlineStr">
        <is>
          <t>Beginner</t>
        </is>
      </c>
      <c r="F1850" t="n">
        <v>0.5</v>
      </c>
      <c r="G1850" t="inlineStr">
        <is>
          <t>Technical</t>
        </is>
      </c>
      <c r="H1850" t="inlineStr">
        <is>
          <t>Yes</t>
        </is>
      </c>
      <c r="I1850" t="inlineStr">
        <is>
          <t>2023-08-17</t>
        </is>
      </c>
    </row>
    <row r="1851">
      <c r="A1851" t="n">
        <v/>
      </c>
      <c r="B1851" t="n">
        <v>1027417</v>
      </c>
      <c r="C1851" t="inlineStr">
        <is>
          <t>Fullstack Web (React / Node)</t>
        </is>
      </c>
      <c r="D1851" t="inlineStr">
        <is>
          <t>Primary</t>
        </is>
      </c>
      <c r="E1851" t="inlineStr">
        <is>
          <t>Intermediate</t>
        </is>
      </c>
      <c r="F1851" t="n">
        <v>2.6</v>
      </c>
      <c r="G1851" t="inlineStr">
        <is>
          <t>Technical</t>
        </is>
      </c>
      <c r="H1851" t="inlineStr">
        <is>
          <t>Yes</t>
        </is>
      </c>
      <c r="I1851" t="inlineStr">
        <is>
          <t>2021-12-01</t>
        </is>
      </c>
    </row>
    <row r="1852">
      <c r="A1852" t="n">
        <v/>
      </c>
      <c r="B1852" t="n">
        <v>1027417</v>
      </c>
      <c r="C1852" t="inlineStr">
        <is>
          <t>JavaScript</t>
        </is>
      </c>
      <c r="D1852" t="inlineStr">
        <is>
          <t>Secondary</t>
        </is>
      </c>
      <c r="E1852" t="inlineStr">
        <is>
          <t>Intermediate</t>
        </is>
      </c>
      <c r="F1852" t="n">
        <v>1.6</v>
      </c>
      <c r="G1852" t="inlineStr">
        <is>
          <t>Technical</t>
        </is>
      </c>
      <c r="H1852" t="inlineStr">
        <is>
          <t>Yes</t>
        </is>
      </c>
      <c r="I1852" t="inlineStr">
        <is>
          <t>2021-12-01</t>
        </is>
      </c>
    </row>
    <row r="1853">
      <c r="A1853" t="n">
        <v/>
      </c>
      <c r="B1853" t="n">
        <v>1027417</v>
      </c>
      <c r="C1853" t="inlineStr">
        <is>
          <t>TypeScript</t>
        </is>
      </c>
      <c r="D1853" t="inlineStr">
        <is>
          <t>Secondary</t>
        </is>
      </c>
      <c r="E1853" t="inlineStr">
        <is>
          <t>Beginner</t>
        </is>
      </c>
      <c r="F1853" t="n">
        <v>1.2</v>
      </c>
      <c r="G1853" t="inlineStr">
        <is>
          <t>Technical</t>
        </is>
      </c>
      <c r="H1853" t="inlineStr">
        <is>
          <t>Yes</t>
        </is>
      </c>
      <c r="I1853" t="inlineStr">
        <is>
          <t>2021-12-01</t>
        </is>
      </c>
    </row>
    <row r="1854">
      <c r="A1854" t="n">
        <v/>
      </c>
      <c r="B1854" t="n">
        <v>1029782</v>
      </c>
      <c r="C1854" t="inlineStr">
        <is>
          <t>Fullstack Web (React / Node)</t>
        </is>
      </c>
      <c r="D1854" t="inlineStr">
        <is>
          <t>Primary</t>
        </is>
      </c>
      <c r="E1854" t="inlineStr">
        <is>
          <t>Intermediate</t>
        </is>
      </c>
      <c r="F1854" t="n">
        <v>2</v>
      </c>
      <c r="G1854" t="inlineStr">
        <is>
          <t>Technical</t>
        </is>
      </c>
      <c r="H1854" t="inlineStr">
        <is>
          <t>Yes</t>
        </is>
      </c>
      <c r="I1854" t="inlineStr">
        <is>
          <t>2022-08-10</t>
        </is>
      </c>
    </row>
    <row r="1855">
      <c r="A1855" t="n">
        <v/>
      </c>
      <c r="B1855" t="n">
        <v>1029782</v>
      </c>
      <c r="C1855" t="inlineStr">
        <is>
          <t>JavaScript</t>
        </is>
      </c>
      <c r="D1855" t="inlineStr">
        <is>
          <t>Secondary</t>
        </is>
      </c>
      <c r="E1855" t="inlineStr">
        <is>
          <t>Beginner</t>
        </is>
      </c>
      <c r="F1855" t="n">
        <v>1.2</v>
      </c>
      <c r="G1855" t="inlineStr">
        <is>
          <t>Technical</t>
        </is>
      </c>
      <c r="H1855" t="inlineStr">
        <is>
          <t>Yes</t>
        </is>
      </c>
      <c r="I1855" t="inlineStr">
        <is>
          <t>2022-08-10</t>
        </is>
      </c>
    </row>
    <row r="1856">
      <c r="A1856" t="n">
        <v/>
      </c>
      <c r="B1856" t="n">
        <v>1029782</v>
      </c>
      <c r="C1856" t="inlineStr">
        <is>
          <t>TypeScript</t>
        </is>
      </c>
      <c r="D1856" t="inlineStr">
        <is>
          <t>Secondary</t>
        </is>
      </c>
      <c r="E1856" t="inlineStr">
        <is>
          <t>Beginner</t>
        </is>
      </c>
      <c r="F1856" t="n">
        <v>0.9</v>
      </c>
      <c r="G1856" t="inlineStr">
        <is>
          <t>Technical</t>
        </is>
      </c>
      <c r="H1856" t="inlineStr">
        <is>
          <t>Yes</t>
        </is>
      </c>
      <c r="I1856" t="inlineStr">
        <is>
          <t>2022-08-10</t>
        </is>
      </c>
    </row>
    <row r="1857">
      <c r="A1857" t="n">
        <v/>
      </c>
      <c r="B1857" t="n">
        <v>1026165</v>
      </c>
      <c r="C1857" t="inlineStr">
        <is>
          <t>Python / Data Engineering</t>
        </is>
      </c>
      <c r="D1857" t="inlineStr">
        <is>
          <t>Primary</t>
        </is>
      </c>
      <c r="E1857" t="inlineStr">
        <is>
          <t>Advanced</t>
        </is>
      </c>
      <c r="F1857" t="n">
        <v>6.4</v>
      </c>
      <c r="G1857" t="inlineStr">
        <is>
          <t>Technical</t>
        </is>
      </c>
      <c r="H1857" t="inlineStr">
        <is>
          <t>Yes</t>
        </is>
      </c>
      <c r="I1857" t="inlineStr">
        <is>
          <t>2021-08-17</t>
        </is>
      </c>
    </row>
    <row r="1858">
      <c r="A1858" t="n">
        <v/>
      </c>
      <c r="B1858" t="n">
        <v>1026165</v>
      </c>
      <c r="C1858" t="inlineStr">
        <is>
          <t>SQL</t>
        </is>
      </c>
      <c r="D1858" t="inlineStr">
        <is>
          <t>Secondary</t>
        </is>
      </c>
      <c r="E1858" t="inlineStr">
        <is>
          <t>Intermediate</t>
        </is>
      </c>
      <c r="F1858" t="n">
        <v>3.8</v>
      </c>
      <c r="G1858" t="inlineStr">
        <is>
          <t>Technical</t>
        </is>
      </c>
      <c r="H1858" t="inlineStr">
        <is>
          <t>Yes</t>
        </is>
      </c>
      <c r="I1858" t="inlineStr">
        <is>
          <t>2021-08-17</t>
        </is>
      </c>
    </row>
    <row r="1859">
      <c r="A1859" t="n">
        <v/>
      </c>
      <c r="B1859" t="n">
        <v>1026165</v>
      </c>
      <c r="C1859" t="inlineStr">
        <is>
          <t>Docker</t>
        </is>
      </c>
      <c r="D1859" t="inlineStr">
        <is>
          <t>Secondary</t>
        </is>
      </c>
      <c r="E1859" t="inlineStr">
        <is>
          <t>Intermediate</t>
        </is>
      </c>
      <c r="F1859" t="n">
        <v>2.9</v>
      </c>
      <c r="G1859" t="inlineStr">
        <is>
          <t>Technical</t>
        </is>
      </c>
      <c r="H1859" t="inlineStr">
        <is>
          <t>Yes</t>
        </is>
      </c>
      <c r="I1859" t="inlineStr">
        <is>
          <t>2021-08-17</t>
        </is>
      </c>
    </row>
    <row r="1860">
      <c r="A1860" t="n">
        <v/>
      </c>
      <c r="B1860" t="n">
        <v>1026165</v>
      </c>
      <c r="C1860" t="inlineStr">
        <is>
          <t>Pandas</t>
        </is>
      </c>
      <c r="D1860" t="inlineStr">
        <is>
          <t>Secondary</t>
        </is>
      </c>
      <c r="E1860" t="inlineStr">
        <is>
          <t>Intermediate</t>
        </is>
      </c>
      <c r="F1860" t="n">
        <v>1.9</v>
      </c>
      <c r="G1860" t="inlineStr">
        <is>
          <t>Technical</t>
        </is>
      </c>
      <c r="H1860" t="inlineStr">
        <is>
          <t>Yes</t>
        </is>
      </c>
      <c r="I1860" t="inlineStr">
        <is>
          <t>2021-08-17</t>
        </is>
      </c>
    </row>
    <row r="1861">
      <c r="A1861" t="n">
        <v/>
      </c>
      <c r="B1861" t="n">
        <v>1028027</v>
      </c>
      <c r="C1861" t="inlineStr">
        <is>
          <t>Fullstack Web (React / Node)</t>
        </is>
      </c>
      <c r="D1861" t="inlineStr">
        <is>
          <t>Primary</t>
        </is>
      </c>
      <c r="E1861" t="inlineStr">
        <is>
          <t>Advanced</t>
        </is>
      </c>
      <c r="F1861" t="n">
        <v>6.1</v>
      </c>
      <c r="G1861" t="inlineStr">
        <is>
          <t>Technical</t>
        </is>
      </c>
      <c r="H1861" t="inlineStr">
        <is>
          <t>Yes</t>
        </is>
      </c>
      <c r="I1861" t="inlineStr">
        <is>
          <t>2022-01-13</t>
        </is>
      </c>
    </row>
    <row r="1862">
      <c r="A1862" t="n">
        <v/>
      </c>
      <c r="B1862" t="n">
        <v>1028027</v>
      </c>
      <c r="C1862" t="inlineStr">
        <is>
          <t>JavaScript</t>
        </is>
      </c>
      <c r="D1862" t="inlineStr">
        <is>
          <t>Secondary</t>
        </is>
      </c>
      <c r="E1862" t="inlineStr">
        <is>
          <t>Intermediate</t>
        </is>
      </c>
      <c r="F1862" t="n">
        <v>3.7</v>
      </c>
      <c r="G1862" t="inlineStr">
        <is>
          <t>Technical</t>
        </is>
      </c>
      <c r="H1862" t="inlineStr">
        <is>
          <t>Yes</t>
        </is>
      </c>
      <c r="I1862" t="inlineStr">
        <is>
          <t>2022-01-13</t>
        </is>
      </c>
    </row>
    <row r="1863">
      <c r="A1863" t="n">
        <v/>
      </c>
      <c r="B1863" t="n">
        <v>1028027</v>
      </c>
      <c r="C1863" t="inlineStr">
        <is>
          <t>TypeScript</t>
        </is>
      </c>
      <c r="D1863" t="inlineStr">
        <is>
          <t>Secondary</t>
        </is>
      </c>
      <c r="E1863" t="inlineStr">
        <is>
          <t>Intermediate</t>
        </is>
      </c>
      <c r="F1863" t="n">
        <v>2.7</v>
      </c>
      <c r="G1863" t="inlineStr">
        <is>
          <t>Technical</t>
        </is>
      </c>
      <c r="H1863" t="inlineStr">
        <is>
          <t>Yes</t>
        </is>
      </c>
      <c r="I1863" t="inlineStr">
        <is>
          <t>2022-01-13</t>
        </is>
      </c>
    </row>
    <row r="1864">
      <c r="A1864" t="n">
        <v/>
      </c>
      <c r="B1864" t="n">
        <v>1028027</v>
      </c>
      <c r="C1864" t="inlineStr">
        <is>
          <t>CSS/HTML</t>
        </is>
      </c>
      <c r="D1864" t="inlineStr">
        <is>
          <t>Secondary</t>
        </is>
      </c>
      <c r="E1864" t="inlineStr">
        <is>
          <t>Intermediate</t>
        </is>
      </c>
      <c r="F1864" t="n">
        <v>1.8</v>
      </c>
      <c r="G1864" t="inlineStr">
        <is>
          <t>Technical</t>
        </is>
      </c>
      <c r="H1864" t="inlineStr">
        <is>
          <t>Yes</t>
        </is>
      </c>
      <c r="I1864" t="inlineStr">
        <is>
          <t>2022-01-13</t>
        </is>
      </c>
    </row>
    <row r="1865">
      <c r="A1865" t="n">
        <v/>
      </c>
      <c r="B1865" t="n">
        <v>1026940</v>
      </c>
      <c r="C1865" t="inlineStr">
        <is>
          <t>QA Automation / SDET</t>
        </is>
      </c>
      <c r="D1865" t="inlineStr">
        <is>
          <t>Primary</t>
        </is>
      </c>
      <c r="E1865" t="inlineStr">
        <is>
          <t>Advanced</t>
        </is>
      </c>
      <c r="F1865" t="n">
        <v>6.3</v>
      </c>
      <c r="G1865" t="inlineStr">
        <is>
          <t>Technical</t>
        </is>
      </c>
      <c r="H1865" t="inlineStr">
        <is>
          <t>Yes</t>
        </is>
      </c>
      <c r="I1865" t="inlineStr">
        <is>
          <t>2021-10-22</t>
        </is>
      </c>
    </row>
    <row r="1866">
      <c r="A1866" t="n">
        <v/>
      </c>
      <c r="B1866" t="n">
        <v>1026940</v>
      </c>
      <c r="C1866" t="inlineStr">
        <is>
          <t>Selenium</t>
        </is>
      </c>
      <c r="D1866" t="inlineStr">
        <is>
          <t>Secondary</t>
        </is>
      </c>
      <c r="E1866" t="inlineStr">
        <is>
          <t>Intermediate</t>
        </is>
      </c>
      <c r="F1866" t="n">
        <v>3.8</v>
      </c>
      <c r="G1866" t="inlineStr">
        <is>
          <t>Technical</t>
        </is>
      </c>
      <c r="H1866" t="inlineStr">
        <is>
          <t>Yes</t>
        </is>
      </c>
      <c r="I1866" t="inlineStr">
        <is>
          <t>2021-10-22</t>
        </is>
      </c>
    </row>
    <row r="1867">
      <c r="A1867" t="n">
        <v/>
      </c>
      <c r="B1867" t="n">
        <v>1026940</v>
      </c>
      <c r="C1867" t="inlineStr">
        <is>
          <t>API Testing (Postman)</t>
        </is>
      </c>
      <c r="D1867" t="inlineStr">
        <is>
          <t>Secondary</t>
        </is>
      </c>
      <c r="E1867" t="inlineStr">
        <is>
          <t>Intermediate</t>
        </is>
      </c>
      <c r="F1867" t="n">
        <v>2.8</v>
      </c>
      <c r="G1867" t="inlineStr">
        <is>
          <t>Technical</t>
        </is>
      </c>
      <c r="H1867" t="inlineStr">
        <is>
          <t>Yes</t>
        </is>
      </c>
      <c r="I1867" t="inlineStr">
        <is>
          <t>2021-10-22</t>
        </is>
      </c>
    </row>
    <row r="1868">
      <c r="A1868" t="n">
        <v/>
      </c>
      <c r="B1868" t="n">
        <v>1026940</v>
      </c>
      <c r="C1868" t="inlineStr">
        <is>
          <t>TestNG</t>
        </is>
      </c>
      <c r="D1868" t="inlineStr">
        <is>
          <t>Secondary</t>
        </is>
      </c>
      <c r="E1868" t="inlineStr">
        <is>
          <t>Intermediate</t>
        </is>
      </c>
      <c r="F1868" t="n">
        <v>1.9</v>
      </c>
      <c r="G1868" t="inlineStr">
        <is>
          <t>Technical</t>
        </is>
      </c>
      <c r="H1868" t="inlineStr">
        <is>
          <t>Yes</t>
        </is>
      </c>
      <c r="I1868" t="inlineStr">
        <is>
          <t>2021-10-22</t>
        </is>
      </c>
    </row>
    <row r="1869">
      <c r="A1869" t="n">
        <v/>
      </c>
      <c r="B1869" t="n">
        <v>1028776</v>
      </c>
      <c r="C1869" t="inlineStr">
        <is>
          <t>IT Application &amp; Operations Support</t>
        </is>
      </c>
      <c r="D1869" t="inlineStr">
        <is>
          <t>Primary</t>
        </is>
      </c>
      <c r="E1869" t="inlineStr">
        <is>
          <t>Intermediate</t>
        </is>
      </c>
      <c r="F1869" t="n">
        <v>2.3</v>
      </c>
      <c r="G1869" t="inlineStr">
        <is>
          <t>Functional</t>
        </is>
      </c>
      <c r="H1869" t="inlineStr">
        <is>
          <t>Yes</t>
        </is>
      </c>
      <c r="I1869" t="inlineStr">
        <is>
          <t>2022-04-06</t>
        </is>
      </c>
    </row>
    <row r="1870">
      <c r="A1870" t="n">
        <v/>
      </c>
      <c r="B1870" t="n">
        <v>1028776</v>
      </c>
      <c r="C1870" t="inlineStr">
        <is>
          <t>Incident Management</t>
        </is>
      </c>
      <c r="D1870" t="inlineStr">
        <is>
          <t>Secondary</t>
        </is>
      </c>
      <c r="E1870" t="inlineStr">
        <is>
          <t>Beginner</t>
        </is>
      </c>
      <c r="F1870" t="n">
        <v>1.4</v>
      </c>
      <c r="G1870" t="inlineStr">
        <is>
          <t>Functional</t>
        </is>
      </c>
      <c r="H1870" t="inlineStr">
        <is>
          <t>Yes</t>
        </is>
      </c>
      <c r="I1870" t="inlineStr">
        <is>
          <t>2022-04-06</t>
        </is>
      </c>
    </row>
    <row r="1871">
      <c r="A1871" t="n">
        <v/>
      </c>
      <c r="B1871" t="n">
        <v>1028776</v>
      </c>
      <c r="C1871" t="inlineStr">
        <is>
          <t>Production Support</t>
        </is>
      </c>
      <c r="D1871" t="inlineStr">
        <is>
          <t>Secondary</t>
        </is>
      </c>
      <c r="E1871" t="inlineStr">
        <is>
          <t>Beginner</t>
        </is>
      </c>
      <c r="F1871" t="n">
        <v>1</v>
      </c>
      <c r="G1871" t="inlineStr">
        <is>
          <t>Functional</t>
        </is>
      </c>
      <c r="H1871" t="inlineStr">
        <is>
          <t>Yes</t>
        </is>
      </c>
      <c r="I1871" t="inlineStr">
        <is>
          <t>2022-04-06</t>
        </is>
      </c>
    </row>
    <row r="1872">
      <c r="A1872" t="n">
        <v/>
      </c>
      <c r="B1872" t="n">
        <v>1033221</v>
      </c>
      <c r="C1872" t="inlineStr">
        <is>
          <t>Frontend (Angular / TypeScript)</t>
        </is>
      </c>
      <c r="D1872" t="inlineStr">
        <is>
          <t>Primary</t>
        </is>
      </c>
      <c r="E1872" t="inlineStr">
        <is>
          <t>Intermediate</t>
        </is>
      </c>
      <c r="F1872" t="n">
        <v>1</v>
      </c>
      <c r="G1872" t="inlineStr">
        <is>
          <t>Technical</t>
        </is>
      </c>
      <c r="H1872" t="inlineStr">
        <is>
          <t>Yes</t>
        </is>
      </c>
      <c r="I1872" t="inlineStr">
        <is>
          <t>2023-08-17</t>
        </is>
      </c>
    </row>
    <row r="1873">
      <c r="A1873" t="n">
        <v/>
      </c>
      <c r="B1873" t="n">
        <v>1033221</v>
      </c>
      <c r="C1873" t="inlineStr">
        <is>
          <t>TypeScript</t>
        </is>
      </c>
      <c r="D1873" t="inlineStr">
        <is>
          <t>Secondary</t>
        </is>
      </c>
      <c r="E1873" t="inlineStr">
        <is>
          <t>Beginner</t>
        </is>
      </c>
      <c r="F1873" t="n">
        <v>0.6</v>
      </c>
      <c r="G1873" t="inlineStr">
        <is>
          <t>Technical</t>
        </is>
      </c>
      <c r="H1873" t="inlineStr">
        <is>
          <t>Yes</t>
        </is>
      </c>
      <c r="I1873" t="inlineStr">
        <is>
          <t>2023-08-17</t>
        </is>
      </c>
    </row>
    <row r="1874">
      <c r="A1874" t="n">
        <v/>
      </c>
      <c r="B1874" t="n">
        <v>1033221</v>
      </c>
      <c r="C1874" t="inlineStr">
        <is>
          <t>JavaScript</t>
        </is>
      </c>
      <c r="D1874" t="inlineStr">
        <is>
          <t>Secondary</t>
        </is>
      </c>
      <c r="E1874" t="inlineStr">
        <is>
          <t>Beginner</t>
        </is>
      </c>
      <c r="F1874" t="n">
        <v>0.5</v>
      </c>
      <c r="G1874" t="inlineStr">
        <is>
          <t>Technical</t>
        </is>
      </c>
      <c r="H1874" t="inlineStr">
        <is>
          <t>Yes</t>
        </is>
      </c>
      <c r="I1874" t="inlineStr">
        <is>
          <t>2023-08-17</t>
        </is>
      </c>
    </row>
    <row r="1875">
      <c r="A1875" t="n">
        <v/>
      </c>
      <c r="B1875" t="n">
        <v>1029528</v>
      </c>
      <c r="C1875" t="inlineStr">
        <is>
          <t>Java / Spring Boot</t>
        </is>
      </c>
      <c r="D1875" t="inlineStr">
        <is>
          <t>Primary</t>
        </is>
      </c>
      <c r="E1875" t="inlineStr">
        <is>
          <t>Intermediate</t>
        </is>
      </c>
      <c r="F1875" t="n">
        <v>2</v>
      </c>
      <c r="G1875" t="inlineStr">
        <is>
          <t>Technical</t>
        </is>
      </c>
      <c r="H1875" t="inlineStr">
        <is>
          <t>Yes</t>
        </is>
      </c>
      <c r="I1875" t="inlineStr">
        <is>
          <t>2022-07-15</t>
        </is>
      </c>
      <c r="J1875" t="inlineStr">
        <is>
          <t>Provider</t>
        </is>
      </c>
    </row>
    <row r="1876">
      <c r="A1876" t="n">
        <v/>
      </c>
      <c r="B1876" t="n">
        <v>1029528</v>
      </c>
      <c r="C1876" t="inlineStr">
        <is>
          <t>SQL</t>
        </is>
      </c>
      <c r="D1876" t="inlineStr">
        <is>
          <t>Secondary</t>
        </is>
      </c>
      <c r="E1876" t="inlineStr">
        <is>
          <t>Beginner</t>
        </is>
      </c>
      <c r="F1876" t="n">
        <v>1.2</v>
      </c>
      <c r="G1876" t="inlineStr">
        <is>
          <t>Technical</t>
        </is>
      </c>
      <c r="H1876" t="inlineStr">
        <is>
          <t>Yes</t>
        </is>
      </c>
      <c r="I1876" t="inlineStr">
        <is>
          <t>2022-07-15</t>
        </is>
      </c>
      <c r="J1876" t="inlineStr">
        <is>
          <t>Provider</t>
        </is>
      </c>
    </row>
    <row r="1877">
      <c r="A1877" t="n">
        <v/>
      </c>
      <c r="B1877" t="n">
        <v>1029528</v>
      </c>
      <c r="C1877" t="inlineStr">
        <is>
          <t>Docker</t>
        </is>
      </c>
      <c r="D1877" t="inlineStr">
        <is>
          <t>Secondary</t>
        </is>
      </c>
      <c r="E1877" t="inlineStr">
        <is>
          <t>Beginner</t>
        </is>
      </c>
      <c r="F1877" t="n">
        <v>0.9</v>
      </c>
      <c r="G1877" t="inlineStr">
        <is>
          <t>Technical</t>
        </is>
      </c>
      <c r="H1877" t="inlineStr">
        <is>
          <t>Yes</t>
        </is>
      </c>
      <c r="I1877" t="inlineStr">
        <is>
          <t>2022-07-15</t>
        </is>
      </c>
      <c r="J1877" t="inlineStr">
        <is>
          <t>Provider</t>
        </is>
      </c>
    </row>
    <row r="1878">
      <c r="A1878" t="n">
        <v/>
      </c>
      <c r="B1878" t="n">
        <v>1030243</v>
      </c>
      <c r="C1878" t="inlineStr">
        <is>
          <t>Database &amp; SQL Architecture</t>
        </is>
      </c>
      <c r="D1878" t="inlineStr">
        <is>
          <t>Primary</t>
        </is>
      </c>
      <c r="E1878" t="inlineStr">
        <is>
          <t>Intermediate</t>
        </is>
      </c>
      <c r="F1878" t="n">
        <v>1.9</v>
      </c>
      <c r="G1878" t="inlineStr">
        <is>
          <t>Technical</t>
        </is>
      </c>
      <c r="H1878" t="inlineStr">
        <is>
          <t>Yes</t>
        </is>
      </c>
      <c r="I1878" t="inlineStr">
        <is>
          <t>2022-09-15</t>
        </is>
      </c>
    </row>
    <row r="1879">
      <c r="A1879" t="n">
        <v/>
      </c>
      <c r="B1879" t="n">
        <v>1030243</v>
      </c>
      <c r="C1879" t="inlineStr">
        <is>
          <t>PostgreSQL</t>
        </is>
      </c>
      <c r="D1879" t="inlineStr">
        <is>
          <t>Secondary</t>
        </is>
      </c>
      <c r="E1879" t="inlineStr">
        <is>
          <t>Beginner</t>
        </is>
      </c>
      <c r="F1879" t="n">
        <v>1.1</v>
      </c>
      <c r="G1879" t="inlineStr">
        <is>
          <t>Technical</t>
        </is>
      </c>
      <c r="H1879" t="inlineStr">
        <is>
          <t>Yes</t>
        </is>
      </c>
      <c r="I1879" t="inlineStr">
        <is>
          <t>2022-09-15</t>
        </is>
      </c>
    </row>
    <row r="1880">
      <c r="A1880" t="n">
        <v/>
      </c>
      <c r="B1880" t="n">
        <v>1030243</v>
      </c>
      <c r="C1880" t="inlineStr">
        <is>
          <t>Oracle</t>
        </is>
      </c>
      <c r="D1880" t="inlineStr">
        <is>
          <t>Secondary</t>
        </is>
      </c>
      <c r="E1880" t="inlineStr">
        <is>
          <t>Beginner</t>
        </is>
      </c>
      <c r="F1880" t="n">
        <v>0.9</v>
      </c>
      <c r="G1880" t="inlineStr">
        <is>
          <t>Technical</t>
        </is>
      </c>
      <c r="H1880" t="inlineStr">
        <is>
          <t>Yes</t>
        </is>
      </c>
      <c r="I1880" t="inlineStr">
        <is>
          <t>2022-09-15</t>
        </is>
      </c>
    </row>
    <row r="1881">
      <c r="A1881" t="n">
        <v/>
      </c>
      <c r="B1881" t="n">
        <v>1025610</v>
      </c>
      <c r="C1881" t="inlineStr">
        <is>
          <t>QA Automation / SDET</t>
        </is>
      </c>
      <c r="D1881" t="inlineStr">
        <is>
          <t>Primary</t>
        </is>
      </c>
      <c r="E1881" t="inlineStr">
        <is>
          <t>Advanced</t>
        </is>
      </c>
      <c r="F1881" t="n">
        <v>6.6</v>
      </c>
      <c r="G1881" t="inlineStr">
        <is>
          <t>Technical</t>
        </is>
      </c>
      <c r="H1881" t="inlineStr">
        <is>
          <t>Yes</t>
        </is>
      </c>
      <c r="I1881" t="inlineStr">
        <is>
          <t>2021-06-23</t>
        </is>
      </c>
    </row>
    <row r="1882">
      <c r="A1882" t="n">
        <v/>
      </c>
      <c r="B1882" t="n">
        <v>1025610</v>
      </c>
      <c r="C1882" t="inlineStr">
        <is>
          <t>Selenium</t>
        </is>
      </c>
      <c r="D1882" t="inlineStr">
        <is>
          <t>Secondary</t>
        </is>
      </c>
      <c r="E1882" t="inlineStr">
        <is>
          <t>Intermediate</t>
        </is>
      </c>
      <c r="F1882" t="n">
        <v>4</v>
      </c>
      <c r="G1882" t="inlineStr">
        <is>
          <t>Technical</t>
        </is>
      </c>
      <c r="H1882" t="inlineStr">
        <is>
          <t>Yes</t>
        </is>
      </c>
      <c r="I1882" t="inlineStr">
        <is>
          <t>2021-06-23</t>
        </is>
      </c>
    </row>
    <row r="1883">
      <c r="A1883" t="n">
        <v/>
      </c>
      <c r="B1883" t="n">
        <v>1025610</v>
      </c>
      <c r="C1883" t="inlineStr">
        <is>
          <t>API Testing (Postman)</t>
        </is>
      </c>
      <c r="D1883" t="inlineStr">
        <is>
          <t>Secondary</t>
        </is>
      </c>
      <c r="E1883" t="inlineStr">
        <is>
          <t>Intermediate</t>
        </is>
      </c>
      <c r="F1883" t="n">
        <v>3</v>
      </c>
      <c r="G1883" t="inlineStr">
        <is>
          <t>Technical</t>
        </is>
      </c>
      <c r="H1883" t="inlineStr">
        <is>
          <t>Yes</t>
        </is>
      </c>
      <c r="I1883" t="inlineStr">
        <is>
          <t>2021-06-23</t>
        </is>
      </c>
    </row>
    <row r="1884">
      <c r="A1884" t="n">
        <v/>
      </c>
      <c r="B1884" t="n">
        <v>1025610</v>
      </c>
      <c r="C1884" t="inlineStr">
        <is>
          <t>TestNG</t>
        </is>
      </c>
      <c r="D1884" t="inlineStr">
        <is>
          <t>Secondary</t>
        </is>
      </c>
      <c r="E1884" t="inlineStr">
        <is>
          <t>Intermediate</t>
        </is>
      </c>
      <c r="F1884" t="n">
        <v>2</v>
      </c>
      <c r="G1884" t="inlineStr">
        <is>
          <t>Technical</t>
        </is>
      </c>
      <c r="H1884" t="inlineStr">
        <is>
          <t>Yes</t>
        </is>
      </c>
      <c r="I1884" t="inlineStr">
        <is>
          <t>2021-06-23</t>
        </is>
      </c>
    </row>
    <row r="1885">
      <c r="A1885" t="n">
        <v/>
      </c>
      <c r="B1885" t="n">
        <v>1029525</v>
      </c>
      <c r="C1885" t="inlineStr">
        <is>
          <t>Python / Data Engineering</t>
        </is>
      </c>
      <c r="D1885" t="inlineStr">
        <is>
          <t>Primary</t>
        </is>
      </c>
      <c r="E1885" t="inlineStr">
        <is>
          <t>Intermediate</t>
        </is>
      </c>
      <c r="F1885" t="n">
        <v>2</v>
      </c>
      <c r="G1885" t="inlineStr">
        <is>
          <t>Technical</t>
        </is>
      </c>
      <c r="H1885" t="inlineStr">
        <is>
          <t>Yes</t>
        </is>
      </c>
      <c r="I1885" t="inlineStr">
        <is>
          <t>2022-07-15</t>
        </is>
      </c>
    </row>
    <row r="1886">
      <c r="A1886" t="n">
        <v/>
      </c>
      <c r="B1886" t="n">
        <v>1029525</v>
      </c>
      <c r="C1886" t="inlineStr">
        <is>
          <t>SQL</t>
        </is>
      </c>
      <c r="D1886" t="inlineStr">
        <is>
          <t>Secondary</t>
        </is>
      </c>
      <c r="E1886" t="inlineStr">
        <is>
          <t>Beginner</t>
        </is>
      </c>
      <c r="F1886" t="n">
        <v>1.2</v>
      </c>
      <c r="G1886" t="inlineStr">
        <is>
          <t>Technical</t>
        </is>
      </c>
      <c r="H1886" t="inlineStr">
        <is>
          <t>Yes</t>
        </is>
      </c>
      <c r="I1886" t="inlineStr">
        <is>
          <t>2022-07-15</t>
        </is>
      </c>
    </row>
    <row r="1887">
      <c r="A1887" t="n">
        <v/>
      </c>
      <c r="B1887" t="n">
        <v>1029525</v>
      </c>
      <c r="C1887" t="inlineStr">
        <is>
          <t>Docker</t>
        </is>
      </c>
      <c r="D1887" t="inlineStr">
        <is>
          <t>Secondary</t>
        </is>
      </c>
      <c r="E1887" t="inlineStr">
        <is>
          <t>Beginner</t>
        </is>
      </c>
      <c r="F1887" t="n">
        <v>0.9</v>
      </c>
      <c r="G1887" t="inlineStr">
        <is>
          <t>Technical</t>
        </is>
      </c>
      <c r="H1887" t="inlineStr">
        <is>
          <t>Yes</t>
        </is>
      </c>
      <c r="I1887" t="inlineStr">
        <is>
          <t>2022-07-15</t>
        </is>
      </c>
    </row>
    <row r="1888">
      <c r="A1888" t="n">
        <v/>
      </c>
      <c r="B1888" t="n">
        <v>1027420</v>
      </c>
      <c r="C1888" t="inlineStr">
        <is>
          <t>Cognos BI &amp; Analytics</t>
        </is>
      </c>
      <c r="D1888" t="inlineStr">
        <is>
          <t>Primary</t>
        </is>
      </c>
      <c r="E1888" t="inlineStr">
        <is>
          <t>Advanced</t>
        </is>
      </c>
      <c r="F1888" t="n">
        <v>6.2</v>
      </c>
      <c r="G1888" t="inlineStr">
        <is>
          <t>Technical</t>
        </is>
      </c>
      <c r="H1888" t="inlineStr">
        <is>
          <t>Yes</t>
        </is>
      </c>
      <c r="I1888" t="inlineStr">
        <is>
          <t>2021-12-01</t>
        </is>
      </c>
    </row>
    <row r="1889">
      <c r="A1889" t="n">
        <v/>
      </c>
      <c r="B1889" t="n">
        <v>1027420</v>
      </c>
      <c r="C1889" t="inlineStr">
        <is>
          <t>SQL</t>
        </is>
      </c>
      <c r="D1889" t="inlineStr">
        <is>
          <t>Secondary</t>
        </is>
      </c>
      <c r="E1889" t="inlineStr">
        <is>
          <t>Intermediate</t>
        </is>
      </c>
      <c r="F1889" t="n">
        <v>3.7</v>
      </c>
      <c r="G1889" t="inlineStr">
        <is>
          <t>Technical</t>
        </is>
      </c>
      <c r="H1889" t="inlineStr">
        <is>
          <t>Yes</t>
        </is>
      </c>
      <c r="I1889" t="inlineStr">
        <is>
          <t>2021-12-01</t>
        </is>
      </c>
    </row>
    <row r="1890">
      <c r="A1890" t="n">
        <v/>
      </c>
      <c r="B1890" t="n">
        <v>1027420</v>
      </c>
      <c r="C1890" t="inlineStr">
        <is>
          <t>Data Modeling</t>
        </is>
      </c>
      <c r="D1890" t="inlineStr">
        <is>
          <t>Secondary</t>
        </is>
      </c>
      <c r="E1890" t="inlineStr">
        <is>
          <t>Intermediate</t>
        </is>
      </c>
      <c r="F1890" t="n">
        <v>2.8</v>
      </c>
      <c r="G1890" t="inlineStr">
        <is>
          <t>Technical</t>
        </is>
      </c>
      <c r="H1890" t="inlineStr">
        <is>
          <t>Yes</t>
        </is>
      </c>
      <c r="I1890" t="inlineStr">
        <is>
          <t>2021-12-01</t>
        </is>
      </c>
    </row>
    <row r="1891">
      <c r="A1891" t="n">
        <v/>
      </c>
      <c r="B1891" t="n">
        <v>1027420</v>
      </c>
      <c r="C1891" t="inlineStr">
        <is>
          <t>Report Studio</t>
        </is>
      </c>
      <c r="D1891" t="inlineStr">
        <is>
          <t>Secondary</t>
        </is>
      </c>
      <c r="E1891" t="inlineStr">
        <is>
          <t>Intermediate</t>
        </is>
      </c>
      <c r="F1891" t="n">
        <v>1.9</v>
      </c>
      <c r="G1891" t="inlineStr">
        <is>
          <t>Technical</t>
        </is>
      </c>
      <c r="H1891" t="inlineStr">
        <is>
          <t>Yes</t>
        </is>
      </c>
      <c r="I1891" t="inlineStr">
        <is>
          <t>2021-12-01</t>
        </is>
      </c>
    </row>
    <row r="1892">
      <c r="A1892" t="n">
        <v/>
      </c>
      <c r="B1892" t="n">
        <v>1027412</v>
      </c>
      <c r="C1892" t="inlineStr">
        <is>
          <t>Fullstack Web (React / Node)</t>
        </is>
      </c>
      <c r="D1892" t="inlineStr">
        <is>
          <t>Primary</t>
        </is>
      </c>
      <c r="E1892" t="inlineStr">
        <is>
          <t>Advanced</t>
        </is>
      </c>
      <c r="F1892" t="n">
        <v>6.2</v>
      </c>
      <c r="G1892" t="inlineStr">
        <is>
          <t>Technical</t>
        </is>
      </c>
      <c r="H1892" t="inlineStr">
        <is>
          <t>Yes</t>
        </is>
      </c>
      <c r="I1892" t="inlineStr">
        <is>
          <t>2021-12-01</t>
        </is>
      </c>
    </row>
    <row r="1893">
      <c r="A1893" t="n">
        <v/>
      </c>
      <c r="B1893" t="n">
        <v>1027412</v>
      </c>
      <c r="C1893" t="inlineStr">
        <is>
          <t>JavaScript</t>
        </is>
      </c>
      <c r="D1893" t="inlineStr">
        <is>
          <t>Secondary</t>
        </is>
      </c>
      <c r="E1893" t="inlineStr">
        <is>
          <t>Intermediate</t>
        </is>
      </c>
      <c r="F1893" t="n">
        <v>3.7</v>
      </c>
      <c r="G1893" t="inlineStr">
        <is>
          <t>Technical</t>
        </is>
      </c>
      <c r="H1893" t="inlineStr">
        <is>
          <t>Yes</t>
        </is>
      </c>
      <c r="I1893" t="inlineStr">
        <is>
          <t>2021-12-01</t>
        </is>
      </c>
    </row>
    <row r="1894">
      <c r="A1894" t="n">
        <v/>
      </c>
      <c r="B1894" t="n">
        <v>1027412</v>
      </c>
      <c r="C1894" t="inlineStr">
        <is>
          <t>TypeScript</t>
        </is>
      </c>
      <c r="D1894" t="inlineStr">
        <is>
          <t>Secondary</t>
        </is>
      </c>
      <c r="E1894" t="inlineStr">
        <is>
          <t>Intermediate</t>
        </is>
      </c>
      <c r="F1894" t="n">
        <v>2.8</v>
      </c>
      <c r="G1894" t="inlineStr">
        <is>
          <t>Technical</t>
        </is>
      </c>
      <c r="H1894" t="inlineStr">
        <is>
          <t>Yes</t>
        </is>
      </c>
      <c r="I1894" t="inlineStr">
        <is>
          <t>2021-12-01</t>
        </is>
      </c>
    </row>
    <row r="1895">
      <c r="A1895" t="n">
        <v/>
      </c>
      <c r="B1895" t="n">
        <v>1027412</v>
      </c>
      <c r="C1895" t="inlineStr">
        <is>
          <t>CSS/HTML</t>
        </is>
      </c>
      <c r="D1895" t="inlineStr">
        <is>
          <t>Secondary</t>
        </is>
      </c>
      <c r="E1895" t="inlineStr">
        <is>
          <t>Intermediate</t>
        </is>
      </c>
      <c r="F1895" t="n">
        <v>1.9</v>
      </c>
      <c r="G1895" t="inlineStr">
        <is>
          <t>Technical</t>
        </is>
      </c>
      <c r="H1895" t="inlineStr">
        <is>
          <t>Yes</t>
        </is>
      </c>
      <c r="I1895" t="inlineStr">
        <is>
          <t>2021-12-01</t>
        </is>
      </c>
    </row>
    <row r="1896">
      <c r="A1896" t="n">
        <v/>
      </c>
      <c r="B1896" t="n">
        <v>1030253</v>
      </c>
      <c r="C1896" t="inlineStr">
        <is>
          <t>Database &amp; SQL Architecture</t>
        </is>
      </c>
      <c r="D1896" t="inlineStr">
        <is>
          <t>Primary</t>
        </is>
      </c>
      <c r="E1896" t="inlineStr">
        <is>
          <t>Intermediate</t>
        </is>
      </c>
      <c r="F1896" t="n">
        <v>1.9</v>
      </c>
      <c r="G1896" t="inlineStr">
        <is>
          <t>Technical</t>
        </is>
      </c>
      <c r="H1896" t="inlineStr">
        <is>
          <t>Yes</t>
        </is>
      </c>
      <c r="I1896" t="inlineStr">
        <is>
          <t>2022-09-15</t>
        </is>
      </c>
    </row>
    <row r="1897">
      <c r="A1897" t="n">
        <v/>
      </c>
      <c r="B1897" t="n">
        <v>1030253</v>
      </c>
      <c r="C1897" t="inlineStr">
        <is>
          <t>PostgreSQL</t>
        </is>
      </c>
      <c r="D1897" t="inlineStr">
        <is>
          <t>Secondary</t>
        </is>
      </c>
      <c r="E1897" t="inlineStr">
        <is>
          <t>Beginner</t>
        </is>
      </c>
      <c r="F1897" t="n">
        <v>1.1</v>
      </c>
      <c r="G1897" t="inlineStr">
        <is>
          <t>Technical</t>
        </is>
      </c>
      <c r="H1897" t="inlineStr">
        <is>
          <t>Yes</t>
        </is>
      </c>
      <c r="I1897" t="inlineStr">
        <is>
          <t>2022-09-15</t>
        </is>
      </c>
    </row>
    <row r="1898">
      <c r="A1898" t="n">
        <v/>
      </c>
      <c r="B1898" t="n">
        <v>1030253</v>
      </c>
      <c r="C1898" t="inlineStr">
        <is>
          <t>Oracle</t>
        </is>
      </c>
      <c r="D1898" t="inlineStr">
        <is>
          <t>Secondary</t>
        </is>
      </c>
      <c r="E1898" t="inlineStr">
        <is>
          <t>Beginner</t>
        </is>
      </c>
      <c r="F1898" t="n">
        <v>0.9</v>
      </c>
      <c r="G1898" t="inlineStr">
        <is>
          <t>Technical</t>
        </is>
      </c>
      <c r="H1898" t="inlineStr">
        <is>
          <t>Yes</t>
        </is>
      </c>
      <c r="I1898" t="inlineStr">
        <is>
          <t>2022-09-15</t>
        </is>
      </c>
    </row>
    <row r="1899">
      <c r="A1899" t="n">
        <v/>
      </c>
      <c r="B1899" t="n">
        <v>1030911</v>
      </c>
      <c r="C1899" t="inlineStr">
        <is>
          <t>Frontend (Angular / TypeScript)</t>
        </is>
      </c>
      <c r="D1899" t="inlineStr">
        <is>
          <t>Primary</t>
        </is>
      </c>
      <c r="E1899" t="inlineStr">
        <is>
          <t>Intermediate</t>
        </is>
      </c>
      <c r="F1899" t="n">
        <v>1.7</v>
      </c>
      <c r="G1899" t="inlineStr">
        <is>
          <t>Technical</t>
        </is>
      </c>
      <c r="H1899" t="inlineStr">
        <is>
          <t>Yes</t>
        </is>
      </c>
      <c r="I1899" t="inlineStr">
        <is>
          <t>2022-11-11</t>
        </is>
      </c>
    </row>
    <row r="1900">
      <c r="A1900" t="n">
        <v/>
      </c>
      <c r="B1900" t="n">
        <v>1030911</v>
      </c>
      <c r="C1900" t="inlineStr">
        <is>
          <t>TypeScript</t>
        </is>
      </c>
      <c r="D1900" t="inlineStr">
        <is>
          <t>Secondary</t>
        </is>
      </c>
      <c r="E1900" t="inlineStr">
        <is>
          <t>Beginner</t>
        </is>
      </c>
      <c r="F1900" t="n">
        <v>1</v>
      </c>
      <c r="G1900" t="inlineStr">
        <is>
          <t>Technical</t>
        </is>
      </c>
      <c r="H1900" t="inlineStr">
        <is>
          <t>Yes</t>
        </is>
      </c>
      <c r="I1900" t="inlineStr">
        <is>
          <t>2022-11-11</t>
        </is>
      </c>
    </row>
    <row r="1901">
      <c r="A1901" t="n">
        <v/>
      </c>
      <c r="B1901" t="n">
        <v>1030911</v>
      </c>
      <c r="C1901" t="inlineStr">
        <is>
          <t>JavaScript</t>
        </is>
      </c>
      <c r="D1901" t="inlineStr">
        <is>
          <t>Secondary</t>
        </is>
      </c>
      <c r="E1901" t="inlineStr">
        <is>
          <t>Beginner</t>
        </is>
      </c>
      <c r="F1901" t="n">
        <v>0.8</v>
      </c>
      <c r="G1901" t="inlineStr">
        <is>
          <t>Technical</t>
        </is>
      </c>
      <c r="H1901" t="inlineStr">
        <is>
          <t>Yes</t>
        </is>
      </c>
      <c r="I1901" t="inlineStr">
        <is>
          <t>2022-11-11</t>
        </is>
      </c>
    </row>
    <row r="1902">
      <c r="A1902" t="n">
        <v/>
      </c>
      <c r="B1902" t="n">
        <v>1027413</v>
      </c>
      <c r="C1902" t="inlineStr">
        <is>
          <t>Database &amp; SQL Architecture</t>
        </is>
      </c>
      <c r="D1902" t="inlineStr">
        <is>
          <t>Primary</t>
        </is>
      </c>
      <c r="E1902" t="inlineStr">
        <is>
          <t>Advanced</t>
        </is>
      </c>
      <c r="F1902" t="n">
        <v>6.2</v>
      </c>
      <c r="G1902" t="inlineStr">
        <is>
          <t>Technical</t>
        </is>
      </c>
      <c r="H1902" t="inlineStr">
        <is>
          <t>Yes</t>
        </is>
      </c>
      <c r="I1902" t="inlineStr">
        <is>
          <t>2021-12-01</t>
        </is>
      </c>
    </row>
    <row r="1903">
      <c r="A1903" t="n">
        <v/>
      </c>
      <c r="B1903" t="n">
        <v>1027413</v>
      </c>
      <c r="C1903" t="inlineStr">
        <is>
          <t>PostgreSQL</t>
        </is>
      </c>
      <c r="D1903" t="inlineStr">
        <is>
          <t>Secondary</t>
        </is>
      </c>
      <c r="E1903" t="inlineStr">
        <is>
          <t>Intermediate</t>
        </is>
      </c>
      <c r="F1903" t="n">
        <v>3.7</v>
      </c>
      <c r="G1903" t="inlineStr">
        <is>
          <t>Technical</t>
        </is>
      </c>
      <c r="H1903" t="inlineStr">
        <is>
          <t>Yes</t>
        </is>
      </c>
      <c r="I1903" t="inlineStr">
        <is>
          <t>2021-12-01</t>
        </is>
      </c>
    </row>
    <row r="1904">
      <c r="A1904" t="n">
        <v/>
      </c>
      <c r="B1904" t="n">
        <v>1027413</v>
      </c>
      <c r="C1904" t="inlineStr">
        <is>
          <t>Oracle</t>
        </is>
      </c>
      <c r="D1904" t="inlineStr">
        <is>
          <t>Secondary</t>
        </is>
      </c>
      <c r="E1904" t="inlineStr">
        <is>
          <t>Intermediate</t>
        </is>
      </c>
      <c r="F1904" t="n">
        <v>2.8</v>
      </c>
      <c r="G1904" t="inlineStr">
        <is>
          <t>Technical</t>
        </is>
      </c>
      <c r="H1904" t="inlineStr">
        <is>
          <t>Yes</t>
        </is>
      </c>
      <c r="I1904" t="inlineStr">
        <is>
          <t>2021-12-01</t>
        </is>
      </c>
    </row>
    <row r="1905">
      <c r="A1905" t="n">
        <v/>
      </c>
      <c r="B1905" t="n">
        <v>1027413</v>
      </c>
      <c r="C1905" t="inlineStr">
        <is>
          <t>Performance Tuning</t>
        </is>
      </c>
      <c r="D1905" t="inlineStr">
        <is>
          <t>Secondary</t>
        </is>
      </c>
      <c r="E1905" t="inlineStr">
        <is>
          <t>Intermediate</t>
        </is>
      </c>
      <c r="F1905" t="n">
        <v>1.9</v>
      </c>
      <c r="G1905" t="inlineStr">
        <is>
          <t>Technical</t>
        </is>
      </c>
      <c r="H1905" t="inlineStr">
        <is>
          <t>Yes</t>
        </is>
      </c>
      <c r="I1905" t="inlineStr">
        <is>
          <t>2021-12-01</t>
        </is>
      </c>
    </row>
    <row r="1906">
      <c r="A1906" t="n">
        <v/>
      </c>
      <c r="B1906" t="n">
        <v>1033216</v>
      </c>
      <c r="C1906" t="inlineStr">
        <is>
          <t>Frontend (Angular / TypeScript)</t>
        </is>
      </c>
      <c r="D1906" t="inlineStr">
        <is>
          <t>Primary</t>
        </is>
      </c>
      <c r="E1906" t="inlineStr">
        <is>
          <t>Intermediate</t>
        </is>
      </c>
      <c r="F1906" t="n">
        <v>1</v>
      </c>
      <c r="G1906" t="inlineStr">
        <is>
          <t>Technical</t>
        </is>
      </c>
      <c r="H1906" t="inlineStr">
        <is>
          <t>Yes</t>
        </is>
      </c>
      <c r="I1906" t="inlineStr">
        <is>
          <t>2023-08-17</t>
        </is>
      </c>
    </row>
    <row r="1907">
      <c r="A1907" t="n">
        <v/>
      </c>
      <c r="B1907" t="n">
        <v>1033216</v>
      </c>
      <c r="C1907" t="inlineStr">
        <is>
          <t>TypeScript</t>
        </is>
      </c>
      <c r="D1907" t="inlineStr">
        <is>
          <t>Secondary</t>
        </is>
      </c>
      <c r="E1907" t="inlineStr">
        <is>
          <t>Beginner</t>
        </is>
      </c>
      <c r="F1907" t="n">
        <v>0.6</v>
      </c>
      <c r="G1907" t="inlineStr">
        <is>
          <t>Technical</t>
        </is>
      </c>
      <c r="H1907" t="inlineStr">
        <is>
          <t>Yes</t>
        </is>
      </c>
      <c r="I1907" t="inlineStr">
        <is>
          <t>2023-08-17</t>
        </is>
      </c>
    </row>
    <row r="1908">
      <c r="A1908" t="n">
        <v/>
      </c>
      <c r="B1908" t="n">
        <v>1033216</v>
      </c>
      <c r="C1908" t="inlineStr">
        <is>
          <t>JavaScript</t>
        </is>
      </c>
      <c r="D1908" t="inlineStr">
        <is>
          <t>Secondary</t>
        </is>
      </c>
      <c r="E1908" t="inlineStr">
        <is>
          <t>Beginner</t>
        </is>
      </c>
      <c r="F1908" t="n">
        <v>0.5</v>
      </c>
      <c r="G1908" t="inlineStr">
        <is>
          <t>Technical</t>
        </is>
      </c>
      <c r="H1908" t="inlineStr">
        <is>
          <t>Yes</t>
        </is>
      </c>
      <c r="I1908" t="inlineStr">
        <is>
          <t>2023-08-17</t>
        </is>
      </c>
    </row>
    <row r="1909">
      <c r="A1909" t="n">
        <v/>
      </c>
      <c r="B1909" t="n">
        <v>1029869</v>
      </c>
      <c r="C1909" t="inlineStr">
        <is>
          <t>Cloud &amp; DevOps (AWS / K8s)</t>
        </is>
      </c>
      <c r="D1909" t="inlineStr">
        <is>
          <t>Primary</t>
        </is>
      </c>
      <c r="E1909" t="inlineStr">
        <is>
          <t>Intermediate</t>
        </is>
      </c>
      <c r="F1909" t="n">
        <v>1.9</v>
      </c>
      <c r="G1909" t="inlineStr">
        <is>
          <t>Technical</t>
        </is>
      </c>
      <c r="H1909" t="inlineStr">
        <is>
          <t>Yes</t>
        </is>
      </c>
      <c r="I1909" t="inlineStr">
        <is>
          <t>2022-08-18</t>
        </is>
      </c>
    </row>
    <row r="1910">
      <c r="A1910" t="n">
        <v/>
      </c>
      <c r="B1910" t="n">
        <v>1029869</v>
      </c>
      <c r="C1910" t="inlineStr">
        <is>
          <t>Docker</t>
        </is>
      </c>
      <c r="D1910" t="inlineStr">
        <is>
          <t>Secondary</t>
        </is>
      </c>
      <c r="E1910" t="inlineStr">
        <is>
          <t>Beginner</t>
        </is>
      </c>
      <c r="F1910" t="n">
        <v>1.1</v>
      </c>
      <c r="G1910" t="inlineStr">
        <is>
          <t>Technical</t>
        </is>
      </c>
      <c r="H1910" t="inlineStr">
        <is>
          <t>Yes</t>
        </is>
      </c>
      <c r="I1910" t="inlineStr">
        <is>
          <t>2022-08-18</t>
        </is>
      </c>
    </row>
    <row r="1911">
      <c r="A1911" t="n">
        <v/>
      </c>
      <c r="B1911" t="n">
        <v>1029869</v>
      </c>
      <c r="C1911" t="inlineStr">
        <is>
          <t>Kubernetes</t>
        </is>
      </c>
      <c r="D1911" t="inlineStr">
        <is>
          <t>Secondary</t>
        </is>
      </c>
      <c r="E1911" t="inlineStr">
        <is>
          <t>Beginner</t>
        </is>
      </c>
      <c r="F1911" t="n">
        <v>0.9</v>
      </c>
      <c r="G1911" t="inlineStr">
        <is>
          <t>Technical</t>
        </is>
      </c>
      <c r="H1911" t="inlineStr">
        <is>
          <t>Yes</t>
        </is>
      </c>
      <c r="I1911" t="inlineStr">
        <is>
          <t>2022-08-18</t>
        </is>
      </c>
    </row>
    <row r="1912">
      <c r="A1912" t="n">
        <v/>
      </c>
      <c r="B1912" t="n">
        <v>1026287</v>
      </c>
      <c r="C1912" t="inlineStr">
        <is>
          <t>Fullstack Web (React / Node)</t>
        </is>
      </c>
      <c r="D1912" t="inlineStr">
        <is>
          <t>Primary</t>
        </is>
      </c>
      <c r="E1912" t="inlineStr">
        <is>
          <t>Advanced</t>
        </is>
      </c>
      <c r="F1912" t="n">
        <v>6.4</v>
      </c>
      <c r="G1912" t="inlineStr">
        <is>
          <t>Technical</t>
        </is>
      </c>
      <c r="H1912" t="inlineStr">
        <is>
          <t>Yes</t>
        </is>
      </c>
      <c r="I1912" t="inlineStr">
        <is>
          <t>2021-08-30</t>
        </is>
      </c>
    </row>
    <row r="1913">
      <c r="A1913" t="n">
        <v/>
      </c>
      <c r="B1913" t="n">
        <v>1026287</v>
      </c>
      <c r="C1913" t="inlineStr">
        <is>
          <t>JavaScript</t>
        </is>
      </c>
      <c r="D1913" t="inlineStr">
        <is>
          <t>Secondary</t>
        </is>
      </c>
      <c r="E1913" t="inlineStr">
        <is>
          <t>Intermediate</t>
        </is>
      </c>
      <c r="F1913" t="n">
        <v>3.8</v>
      </c>
      <c r="G1913" t="inlineStr">
        <is>
          <t>Technical</t>
        </is>
      </c>
      <c r="H1913" t="inlineStr">
        <is>
          <t>Yes</t>
        </is>
      </c>
      <c r="I1913" t="inlineStr">
        <is>
          <t>2021-08-30</t>
        </is>
      </c>
    </row>
    <row r="1914">
      <c r="A1914" t="n">
        <v/>
      </c>
      <c r="B1914" t="n">
        <v>1026287</v>
      </c>
      <c r="C1914" t="inlineStr">
        <is>
          <t>TypeScript</t>
        </is>
      </c>
      <c r="D1914" t="inlineStr">
        <is>
          <t>Secondary</t>
        </is>
      </c>
      <c r="E1914" t="inlineStr">
        <is>
          <t>Intermediate</t>
        </is>
      </c>
      <c r="F1914" t="n">
        <v>2.9</v>
      </c>
      <c r="G1914" t="inlineStr">
        <is>
          <t>Technical</t>
        </is>
      </c>
      <c r="H1914" t="inlineStr">
        <is>
          <t>Yes</t>
        </is>
      </c>
      <c r="I1914" t="inlineStr">
        <is>
          <t>2021-08-30</t>
        </is>
      </c>
    </row>
    <row r="1915">
      <c r="A1915" t="n">
        <v/>
      </c>
      <c r="B1915" t="n">
        <v>1026287</v>
      </c>
      <c r="C1915" t="inlineStr">
        <is>
          <t>CSS/HTML</t>
        </is>
      </c>
      <c r="D1915" t="inlineStr">
        <is>
          <t>Secondary</t>
        </is>
      </c>
      <c r="E1915" t="inlineStr">
        <is>
          <t>Intermediate</t>
        </is>
      </c>
      <c r="F1915" t="n">
        <v>1.9</v>
      </c>
      <c r="G1915" t="inlineStr">
        <is>
          <t>Technical</t>
        </is>
      </c>
      <c r="H1915" t="inlineStr">
        <is>
          <t>Yes</t>
        </is>
      </c>
      <c r="I1915" t="inlineStr">
        <is>
          <t>2021-08-30</t>
        </is>
      </c>
    </row>
    <row r="1916">
      <c r="A1916" t="n">
        <v/>
      </c>
      <c r="B1916" t="n">
        <v>1029889</v>
      </c>
      <c r="C1916" t="inlineStr">
        <is>
          <t>Cloud &amp; DevOps (AWS / K8s)</t>
        </is>
      </c>
      <c r="D1916" t="inlineStr">
        <is>
          <t>Primary</t>
        </is>
      </c>
      <c r="E1916" t="inlineStr">
        <is>
          <t>Intermediate</t>
        </is>
      </c>
      <c r="F1916" t="n">
        <v>1.9</v>
      </c>
      <c r="G1916" t="inlineStr">
        <is>
          <t>Technical</t>
        </is>
      </c>
      <c r="H1916" t="inlineStr">
        <is>
          <t>Yes</t>
        </is>
      </c>
      <c r="I1916" t="inlineStr">
        <is>
          <t>2022-08-18</t>
        </is>
      </c>
    </row>
    <row r="1917">
      <c r="A1917" t="n">
        <v/>
      </c>
      <c r="B1917" t="n">
        <v>1029889</v>
      </c>
      <c r="C1917" t="inlineStr">
        <is>
          <t>Docker</t>
        </is>
      </c>
      <c r="D1917" t="inlineStr">
        <is>
          <t>Secondary</t>
        </is>
      </c>
      <c r="E1917" t="inlineStr">
        <is>
          <t>Beginner</t>
        </is>
      </c>
      <c r="F1917" t="n">
        <v>1.1</v>
      </c>
      <c r="G1917" t="inlineStr">
        <is>
          <t>Technical</t>
        </is>
      </c>
      <c r="H1917" t="inlineStr">
        <is>
          <t>Yes</t>
        </is>
      </c>
      <c r="I1917" t="inlineStr">
        <is>
          <t>2022-08-18</t>
        </is>
      </c>
    </row>
    <row r="1918">
      <c r="A1918" t="n">
        <v/>
      </c>
      <c r="B1918" t="n">
        <v>1029889</v>
      </c>
      <c r="C1918" t="inlineStr">
        <is>
          <t>Kubernetes</t>
        </is>
      </c>
      <c r="D1918" t="inlineStr">
        <is>
          <t>Secondary</t>
        </is>
      </c>
      <c r="E1918" t="inlineStr">
        <is>
          <t>Beginner</t>
        </is>
      </c>
      <c r="F1918" t="n">
        <v>0.9</v>
      </c>
      <c r="G1918" t="inlineStr">
        <is>
          <t>Technical</t>
        </is>
      </c>
      <c r="H1918" t="inlineStr">
        <is>
          <t>Yes</t>
        </is>
      </c>
      <c r="I1918" t="inlineStr">
        <is>
          <t>2022-08-18</t>
        </is>
      </c>
    </row>
    <row r="1919">
      <c r="A1919" t="n">
        <v/>
      </c>
      <c r="B1919" t="n">
        <v>1033205</v>
      </c>
      <c r="C1919" t="inlineStr">
        <is>
          <t>Python / Data Engineering</t>
        </is>
      </c>
      <c r="D1919" t="inlineStr">
        <is>
          <t>Primary</t>
        </is>
      </c>
      <c r="E1919" t="inlineStr">
        <is>
          <t>Intermediate</t>
        </is>
      </c>
      <c r="F1919" t="n">
        <v>1</v>
      </c>
      <c r="G1919" t="inlineStr">
        <is>
          <t>Technical</t>
        </is>
      </c>
      <c r="H1919" t="inlineStr">
        <is>
          <t>Yes</t>
        </is>
      </c>
      <c r="I1919" t="inlineStr">
        <is>
          <t>2023-08-17</t>
        </is>
      </c>
    </row>
    <row r="1920">
      <c r="A1920" t="n">
        <v/>
      </c>
      <c r="B1920" t="n">
        <v>1033205</v>
      </c>
      <c r="C1920" t="inlineStr">
        <is>
          <t>SQL</t>
        </is>
      </c>
      <c r="D1920" t="inlineStr">
        <is>
          <t>Secondary</t>
        </is>
      </c>
      <c r="E1920" t="inlineStr">
        <is>
          <t>Beginner</t>
        </is>
      </c>
      <c r="F1920" t="n">
        <v>0.6</v>
      </c>
      <c r="G1920" t="inlineStr">
        <is>
          <t>Technical</t>
        </is>
      </c>
      <c r="H1920" t="inlineStr">
        <is>
          <t>Yes</t>
        </is>
      </c>
      <c r="I1920" t="inlineStr">
        <is>
          <t>2023-08-17</t>
        </is>
      </c>
    </row>
    <row r="1921">
      <c r="A1921" t="n">
        <v/>
      </c>
      <c r="B1921" t="n">
        <v>1033205</v>
      </c>
      <c r="C1921" t="inlineStr">
        <is>
          <t>Docker</t>
        </is>
      </c>
      <c r="D1921" t="inlineStr">
        <is>
          <t>Secondary</t>
        </is>
      </c>
      <c r="E1921" t="inlineStr">
        <is>
          <t>Beginner</t>
        </is>
      </c>
      <c r="F1921" t="n">
        <v>0.5</v>
      </c>
      <c r="G1921" t="inlineStr">
        <is>
          <t>Technical</t>
        </is>
      </c>
      <c r="H1921" t="inlineStr">
        <is>
          <t>Yes</t>
        </is>
      </c>
      <c r="I1921" t="inlineStr">
        <is>
          <t>2023-08-17</t>
        </is>
      </c>
    </row>
    <row r="1922">
      <c r="A1922" t="n">
        <v/>
      </c>
      <c r="B1922" t="n">
        <v>1029302</v>
      </c>
      <c r="C1922" t="inlineStr">
        <is>
          <t>Fullstack Web (React / Node)</t>
        </is>
      </c>
      <c r="D1922" t="inlineStr">
        <is>
          <t>Primary</t>
        </is>
      </c>
      <c r="E1922" t="inlineStr">
        <is>
          <t>Intermediate</t>
        </is>
      </c>
      <c r="F1922" t="n">
        <v>2.1</v>
      </c>
      <c r="G1922" t="inlineStr">
        <is>
          <t>Technical</t>
        </is>
      </c>
      <c r="H1922" t="inlineStr">
        <is>
          <t>Yes</t>
        </is>
      </c>
      <c r="I1922" t="inlineStr">
        <is>
          <t>2022-06-17</t>
        </is>
      </c>
    </row>
    <row r="1923">
      <c r="A1923" t="n">
        <v/>
      </c>
      <c r="B1923" t="n">
        <v>1029302</v>
      </c>
      <c r="C1923" t="inlineStr">
        <is>
          <t>JavaScript</t>
        </is>
      </c>
      <c r="D1923" t="inlineStr">
        <is>
          <t>Secondary</t>
        </is>
      </c>
      <c r="E1923" t="inlineStr">
        <is>
          <t>Beginner</t>
        </is>
      </c>
      <c r="F1923" t="n">
        <v>1.3</v>
      </c>
      <c r="G1923" t="inlineStr">
        <is>
          <t>Technical</t>
        </is>
      </c>
      <c r="H1923" t="inlineStr">
        <is>
          <t>Yes</t>
        </is>
      </c>
      <c r="I1923" t="inlineStr">
        <is>
          <t>2022-06-17</t>
        </is>
      </c>
    </row>
    <row r="1924">
      <c r="A1924" t="n">
        <v/>
      </c>
      <c r="B1924" t="n">
        <v>1029302</v>
      </c>
      <c r="C1924" t="inlineStr">
        <is>
          <t>TypeScript</t>
        </is>
      </c>
      <c r="D1924" t="inlineStr">
        <is>
          <t>Secondary</t>
        </is>
      </c>
      <c r="E1924" t="inlineStr">
        <is>
          <t>Beginner</t>
        </is>
      </c>
      <c r="F1924" t="n">
        <v>0.9</v>
      </c>
      <c r="G1924" t="inlineStr">
        <is>
          <t>Technical</t>
        </is>
      </c>
      <c r="H1924" t="inlineStr">
        <is>
          <t>Yes</t>
        </is>
      </c>
      <c r="I1924" t="inlineStr">
        <is>
          <t>2022-06-17</t>
        </is>
      </c>
    </row>
    <row r="1925">
      <c r="A1925" t="n">
        <v/>
      </c>
      <c r="B1925" t="n">
        <v>1029783</v>
      </c>
      <c r="C1925" t="inlineStr">
        <is>
          <t>Database &amp; SQL Architecture</t>
        </is>
      </c>
      <c r="D1925" t="inlineStr">
        <is>
          <t>Primary</t>
        </is>
      </c>
      <c r="E1925" t="inlineStr">
        <is>
          <t>Intermediate</t>
        </is>
      </c>
      <c r="F1925" t="n">
        <v>2</v>
      </c>
      <c r="G1925" t="inlineStr">
        <is>
          <t>Technical</t>
        </is>
      </c>
      <c r="H1925" t="inlineStr">
        <is>
          <t>Yes</t>
        </is>
      </c>
      <c r="I1925" t="inlineStr">
        <is>
          <t>2022-08-10</t>
        </is>
      </c>
    </row>
    <row r="1926">
      <c r="A1926" t="n">
        <v/>
      </c>
      <c r="B1926" t="n">
        <v>1029783</v>
      </c>
      <c r="C1926" t="inlineStr">
        <is>
          <t>PostgreSQL</t>
        </is>
      </c>
      <c r="D1926" t="inlineStr">
        <is>
          <t>Secondary</t>
        </is>
      </c>
      <c r="E1926" t="inlineStr">
        <is>
          <t>Beginner</t>
        </is>
      </c>
      <c r="F1926" t="n">
        <v>1.2</v>
      </c>
      <c r="G1926" t="inlineStr">
        <is>
          <t>Technical</t>
        </is>
      </c>
      <c r="H1926" t="inlineStr">
        <is>
          <t>Yes</t>
        </is>
      </c>
      <c r="I1926" t="inlineStr">
        <is>
          <t>2022-08-10</t>
        </is>
      </c>
    </row>
    <row r="1927">
      <c r="A1927" t="n">
        <v/>
      </c>
      <c r="B1927" t="n">
        <v>1029783</v>
      </c>
      <c r="C1927" t="inlineStr">
        <is>
          <t>Oracle</t>
        </is>
      </c>
      <c r="D1927" t="inlineStr">
        <is>
          <t>Secondary</t>
        </is>
      </c>
      <c r="E1927" t="inlineStr">
        <is>
          <t>Beginner</t>
        </is>
      </c>
      <c r="F1927" t="n">
        <v>0.9</v>
      </c>
      <c r="G1927" t="inlineStr">
        <is>
          <t>Technical</t>
        </is>
      </c>
      <c r="H1927" t="inlineStr">
        <is>
          <t>Yes</t>
        </is>
      </c>
      <c r="I1927" t="inlineStr">
        <is>
          <t>2022-08-10</t>
        </is>
      </c>
    </row>
    <row r="1928">
      <c r="A1928" t="n">
        <v/>
      </c>
      <c r="B1928" t="n">
        <v>1033261</v>
      </c>
      <c r="C1928" t="inlineStr">
        <is>
          <t>Frontend (Angular / TypeScript)</t>
        </is>
      </c>
      <c r="D1928" t="inlineStr">
        <is>
          <t>Primary</t>
        </is>
      </c>
      <c r="E1928" t="inlineStr">
        <is>
          <t>Intermediate</t>
        </is>
      </c>
      <c r="F1928" t="n">
        <v>1</v>
      </c>
      <c r="G1928" t="inlineStr">
        <is>
          <t>Technical</t>
        </is>
      </c>
      <c r="H1928" t="inlineStr">
        <is>
          <t>Yes</t>
        </is>
      </c>
      <c r="I1928" t="inlineStr">
        <is>
          <t>2023-08-17</t>
        </is>
      </c>
    </row>
    <row r="1929">
      <c r="A1929" t="n">
        <v/>
      </c>
      <c r="B1929" t="n">
        <v>1033261</v>
      </c>
      <c r="C1929" t="inlineStr">
        <is>
          <t>TypeScript</t>
        </is>
      </c>
      <c r="D1929" t="inlineStr">
        <is>
          <t>Secondary</t>
        </is>
      </c>
      <c r="E1929" t="inlineStr">
        <is>
          <t>Beginner</t>
        </is>
      </c>
      <c r="F1929" t="n">
        <v>0.6</v>
      </c>
      <c r="G1929" t="inlineStr">
        <is>
          <t>Technical</t>
        </is>
      </c>
      <c r="H1929" t="inlineStr">
        <is>
          <t>Yes</t>
        </is>
      </c>
      <c r="I1929" t="inlineStr">
        <is>
          <t>2023-08-17</t>
        </is>
      </c>
    </row>
    <row r="1930">
      <c r="A1930" t="n">
        <v/>
      </c>
      <c r="B1930" t="n">
        <v>1033261</v>
      </c>
      <c r="C1930" t="inlineStr">
        <is>
          <t>JavaScript</t>
        </is>
      </c>
      <c r="D1930" t="inlineStr">
        <is>
          <t>Secondary</t>
        </is>
      </c>
      <c r="E1930" t="inlineStr">
        <is>
          <t>Beginner</t>
        </is>
      </c>
      <c r="F1930" t="n">
        <v>0.5</v>
      </c>
      <c r="G1930" t="inlineStr">
        <is>
          <t>Technical</t>
        </is>
      </c>
      <c r="H1930" t="inlineStr">
        <is>
          <t>Yes</t>
        </is>
      </c>
      <c r="I1930" t="inlineStr">
        <is>
          <t>2023-08-17</t>
        </is>
      </c>
    </row>
    <row r="1931">
      <c r="A1931" t="n">
        <v/>
      </c>
      <c r="B1931" t="n">
        <v>1029895</v>
      </c>
      <c r="C1931" t="inlineStr">
        <is>
          <t>Python / Data Engineering</t>
        </is>
      </c>
      <c r="D1931" t="inlineStr">
        <is>
          <t>Primary</t>
        </is>
      </c>
      <c r="E1931" t="inlineStr">
        <is>
          <t>Intermediate</t>
        </is>
      </c>
      <c r="F1931" t="n">
        <v>1.9</v>
      </c>
      <c r="G1931" t="inlineStr">
        <is>
          <t>Technical</t>
        </is>
      </c>
      <c r="H1931" t="inlineStr">
        <is>
          <t>Yes</t>
        </is>
      </c>
      <c r="I1931" t="inlineStr">
        <is>
          <t>2022-08-18</t>
        </is>
      </c>
    </row>
    <row r="1932">
      <c r="A1932" t="n">
        <v/>
      </c>
      <c r="B1932" t="n">
        <v>1029895</v>
      </c>
      <c r="C1932" t="inlineStr">
        <is>
          <t>SQL</t>
        </is>
      </c>
      <c r="D1932" t="inlineStr">
        <is>
          <t>Secondary</t>
        </is>
      </c>
      <c r="E1932" t="inlineStr">
        <is>
          <t>Beginner</t>
        </is>
      </c>
      <c r="F1932" t="n">
        <v>1.1</v>
      </c>
      <c r="G1932" t="inlineStr">
        <is>
          <t>Technical</t>
        </is>
      </c>
      <c r="H1932" t="inlineStr">
        <is>
          <t>Yes</t>
        </is>
      </c>
      <c r="I1932" t="inlineStr">
        <is>
          <t>2022-08-18</t>
        </is>
      </c>
    </row>
    <row r="1933">
      <c r="A1933" t="n">
        <v/>
      </c>
      <c r="B1933" t="n">
        <v>1029895</v>
      </c>
      <c r="C1933" t="inlineStr">
        <is>
          <t>Docker</t>
        </is>
      </c>
      <c r="D1933" t="inlineStr">
        <is>
          <t>Secondary</t>
        </is>
      </c>
      <c r="E1933" t="inlineStr">
        <is>
          <t>Beginner</t>
        </is>
      </c>
      <c r="F1933" t="n">
        <v>0.9</v>
      </c>
      <c r="G1933" t="inlineStr">
        <is>
          <t>Technical</t>
        </is>
      </c>
      <c r="H1933" t="inlineStr">
        <is>
          <t>Yes</t>
        </is>
      </c>
      <c r="I1933" t="inlineStr">
        <is>
          <t>2022-08-18</t>
        </is>
      </c>
    </row>
    <row r="1934">
      <c r="A1934" t="n">
        <v/>
      </c>
      <c r="B1934" t="n">
        <v>1033204</v>
      </c>
      <c r="C1934" t="inlineStr">
        <is>
          <t>Cloud &amp; DevOps (AWS / K8s)</t>
        </is>
      </c>
      <c r="D1934" t="inlineStr">
        <is>
          <t>Primary</t>
        </is>
      </c>
      <c r="E1934" t="inlineStr">
        <is>
          <t>Intermediate</t>
        </is>
      </c>
      <c r="F1934" t="n">
        <v>1</v>
      </c>
      <c r="G1934" t="inlineStr">
        <is>
          <t>Technical</t>
        </is>
      </c>
      <c r="H1934" t="inlineStr">
        <is>
          <t>Yes</t>
        </is>
      </c>
      <c r="I1934" t="inlineStr">
        <is>
          <t>2023-08-17</t>
        </is>
      </c>
    </row>
    <row r="1935">
      <c r="A1935" t="n">
        <v/>
      </c>
      <c r="B1935" t="n">
        <v>1033204</v>
      </c>
      <c r="C1935" t="inlineStr">
        <is>
          <t>Docker</t>
        </is>
      </c>
      <c r="D1935" t="inlineStr">
        <is>
          <t>Secondary</t>
        </is>
      </c>
      <c r="E1935" t="inlineStr">
        <is>
          <t>Beginner</t>
        </is>
      </c>
      <c r="F1935" t="n">
        <v>0.6</v>
      </c>
      <c r="G1935" t="inlineStr">
        <is>
          <t>Technical</t>
        </is>
      </c>
      <c r="H1935" t="inlineStr">
        <is>
          <t>Yes</t>
        </is>
      </c>
      <c r="I1935" t="inlineStr">
        <is>
          <t>2023-08-17</t>
        </is>
      </c>
    </row>
    <row r="1936">
      <c r="A1936" t="n">
        <v/>
      </c>
      <c r="B1936" t="n">
        <v>1033204</v>
      </c>
      <c r="C1936" t="inlineStr">
        <is>
          <t>Kubernetes</t>
        </is>
      </c>
      <c r="D1936" t="inlineStr">
        <is>
          <t>Secondary</t>
        </is>
      </c>
      <c r="E1936" t="inlineStr">
        <is>
          <t>Beginner</t>
        </is>
      </c>
      <c r="F1936" t="n">
        <v>0.5</v>
      </c>
      <c r="G1936" t="inlineStr">
        <is>
          <t>Technical</t>
        </is>
      </c>
      <c r="H1936" t="inlineStr">
        <is>
          <t>Yes</t>
        </is>
      </c>
      <c r="I1936" t="inlineStr">
        <is>
          <t>2023-08-17</t>
        </is>
      </c>
    </row>
    <row r="1937">
      <c r="A1937" t="n">
        <v/>
      </c>
      <c r="B1937" t="n">
        <v>1030216</v>
      </c>
      <c r="C1937" t="inlineStr">
        <is>
          <t>QA Automation / SDET</t>
        </is>
      </c>
      <c r="D1937" t="inlineStr">
        <is>
          <t>Primary</t>
        </is>
      </c>
      <c r="E1937" t="inlineStr">
        <is>
          <t>Intermediate</t>
        </is>
      </c>
      <c r="F1937" t="n">
        <v>1.9</v>
      </c>
      <c r="G1937" t="inlineStr">
        <is>
          <t>Technical</t>
        </is>
      </c>
      <c r="H1937" t="inlineStr">
        <is>
          <t>Yes</t>
        </is>
      </c>
      <c r="I1937" t="inlineStr">
        <is>
          <t>2022-09-15</t>
        </is>
      </c>
    </row>
    <row r="1938">
      <c r="A1938" t="n">
        <v/>
      </c>
      <c r="B1938" t="n">
        <v>1030216</v>
      </c>
      <c r="C1938" t="inlineStr">
        <is>
          <t>Selenium</t>
        </is>
      </c>
      <c r="D1938" t="inlineStr">
        <is>
          <t>Secondary</t>
        </is>
      </c>
      <c r="E1938" t="inlineStr">
        <is>
          <t>Beginner</t>
        </is>
      </c>
      <c r="F1938" t="n">
        <v>1.1</v>
      </c>
      <c r="G1938" t="inlineStr">
        <is>
          <t>Technical</t>
        </is>
      </c>
      <c r="H1938" t="inlineStr">
        <is>
          <t>Yes</t>
        </is>
      </c>
      <c r="I1938" t="inlineStr">
        <is>
          <t>2022-09-15</t>
        </is>
      </c>
    </row>
    <row r="1939">
      <c r="A1939" t="n">
        <v/>
      </c>
      <c r="B1939" t="n">
        <v>1030216</v>
      </c>
      <c r="C1939" t="inlineStr">
        <is>
          <t>API Testing (Postman)</t>
        </is>
      </c>
      <c r="D1939" t="inlineStr">
        <is>
          <t>Secondary</t>
        </is>
      </c>
      <c r="E1939" t="inlineStr">
        <is>
          <t>Beginner</t>
        </is>
      </c>
      <c r="F1939" t="n">
        <v>0.9</v>
      </c>
      <c r="G1939" t="inlineStr">
        <is>
          <t>Technical</t>
        </is>
      </c>
      <c r="H1939" t="inlineStr">
        <is>
          <t>Yes</t>
        </is>
      </c>
      <c r="I1939" t="inlineStr">
        <is>
          <t>2022-09-15</t>
        </is>
      </c>
    </row>
    <row r="1940">
      <c r="A1940" t="n">
        <v/>
      </c>
      <c r="B1940" t="n">
        <v>1030912</v>
      </c>
      <c r="C1940" t="inlineStr">
        <is>
          <t>Cloud &amp; DevOps (AWS / K8s)</t>
        </is>
      </c>
      <c r="D1940" t="inlineStr">
        <is>
          <t>Primary</t>
        </is>
      </c>
      <c r="E1940" t="inlineStr">
        <is>
          <t>Intermediate</t>
        </is>
      </c>
      <c r="F1940" t="n">
        <v>1.7</v>
      </c>
      <c r="G1940" t="inlineStr">
        <is>
          <t>Technical</t>
        </is>
      </c>
      <c r="H1940" t="inlineStr">
        <is>
          <t>Yes</t>
        </is>
      </c>
      <c r="I1940" t="inlineStr">
        <is>
          <t>2022-11-11</t>
        </is>
      </c>
    </row>
    <row r="1941">
      <c r="A1941" t="n">
        <v/>
      </c>
      <c r="B1941" t="n">
        <v>1030912</v>
      </c>
      <c r="C1941" t="inlineStr">
        <is>
          <t>Linux</t>
        </is>
      </c>
      <c r="D1941" t="inlineStr">
        <is>
          <t>Secondary</t>
        </is>
      </c>
      <c r="E1941" t="inlineStr">
        <is>
          <t>Beginner</t>
        </is>
      </c>
      <c r="F1941" t="n">
        <v>1</v>
      </c>
      <c r="G1941" t="inlineStr">
        <is>
          <t>Technical</t>
        </is>
      </c>
      <c r="H1941" t="inlineStr">
        <is>
          <t>Yes</t>
        </is>
      </c>
      <c r="I1941" t="inlineStr">
        <is>
          <t>2022-11-11</t>
        </is>
      </c>
    </row>
    <row r="1942">
      <c r="A1942" t="n">
        <v/>
      </c>
      <c r="B1942" t="n">
        <v>1030912</v>
      </c>
      <c r="C1942" t="inlineStr">
        <is>
          <t>Docker</t>
        </is>
      </c>
      <c r="D1942" t="inlineStr">
        <is>
          <t>Secondary</t>
        </is>
      </c>
      <c r="E1942" t="inlineStr">
        <is>
          <t>Beginner</t>
        </is>
      </c>
      <c r="F1942" t="n">
        <v>0.8</v>
      </c>
      <c r="G1942" t="inlineStr">
        <is>
          <t>Technical</t>
        </is>
      </c>
      <c r="H1942" t="inlineStr">
        <is>
          <t>Yes</t>
        </is>
      </c>
      <c r="I1942" t="inlineStr">
        <is>
          <t>2022-11-11</t>
        </is>
      </c>
    </row>
    <row r="1943">
      <c r="A1943" t="n">
        <v/>
      </c>
      <c r="B1943" t="n">
        <v>1029784</v>
      </c>
      <c r="C1943" t="inlineStr">
        <is>
          <t>Cloud &amp; DevOps (AWS / K8s)</t>
        </is>
      </c>
      <c r="D1943" t="inlineStr">
        <is>
          <t>Primary</t>
        </is>
      </c>
      <c r="E1943" t="inlineStr">
        <is>
          <t>Intermediate</t>
        </is>
      </c>
      <c r="F1943" t="n">
        <v>2</v>
      </c>
      <c r="G1943" t="inlineStr">
        <is>
          <t>Technical</t>
        </is>
      </c>
      <c r="H1943" t="inlineStr">
        <is>
          <t>Yes</t>
        </is>
      </c>
      <c r="I1943" t="inlineStr">
        <is>
          <t>2022-08-10</t>
        </is>
      </c>
    </row>
    <row r="1944">
      <c r="A1944" t="n">
        <v/>
      </c>
      <c r="B1944" t="n">
        <v>1029784</v>
      </c>
      <c r="C1944" t="inlineStr">
        <is>
          <t>Docker</t>
        </is>
      </c>
      <c r="D1944" t="inlineStr">
        <is>
          <t>Secondary</t>
        </is>
      </c>
      <c r="E1944" t="inlineStr">
        <is>
          <t>Beginner</t>
        </is>
      </c>
      <c r="F1944" t="n">
        <v>1.2</v>
      </c>
      <c r="G1944" t="inlineStr">
        <is>
          <t>Technical</t>
        </is>
      </c>
      <c r="H1944" t="inlineStr">
        <is>
          <t>Yes</t>
        </is>
      </c>
      <c r="I1944" t="inlineStr">
        <is>
          <t>2022-08-10</t>
        </is>
      </c>
    </row>
    <row r="1945">
      <c r="A1945" t="n">
        <v/>
      </c>
      <c r="B1945" t="n">
        <v>1029784</v>
      </c>
      <c r="C1945" t="inlineStr">
        <is>
          <t>Kubernetes</t>
        </is>
      </c>
      <c r="D1945" t="inlineStr">
        <is>
          <t>Secondary</t>
        </is>
      </c>
      <c r="E1945" t="inlineStr">
        <is>
          <t>Beginner</t>
        </is>
      </c>
      <c r="F1945" t="n">
        <v>0.9</v>
      </c>
      <c r="G1945" t="inlineStr">
        <is>
          <t>Technical</t>
        </is>
      </c>
      <c r="H1945" t="inlineStr">
        <is>
          <t>Yes</t>
        </is>
      </c>
      <c r="I1945" t="inlineStr">
        <is>
          <t>2022-08-10</t>
        </is>
      </c>
    </row>
    <row r="1946">
      <c r="A1946" t="n">
        <v/>
      </c>
      <c r="B1946" t="n">
        <v>1033134</v>
      </c>
      <c r="C1946" t="inlineStr">
        <is>
          <t>IT Application &amp; Operations Support</t>
        </is>
      </c>
      <c r="D1946" t="inlineStr">
        <is>
          <t>Primary</t>
        </is>
      </c>
      <c r="E1946" t="inlineStr">
        <is>
          <t>Intermediate</t>
        </is>
      </c>
      <c r="F1946" t="n">
        <v>1.1</v>
      </c>
      <c r="G1946" t="inlineStr">
        <is>
          <t>Functional</t>
        </is>
      </c>
      <c r="H1946" t="inlineStr">
        <is>
          <t>Yes</t>
        </is>
      </c>
      <c r="I1946" t="inlineStr">
        <is>
          <t>2023-08-02</t>
        </is>
      </c>
    </row>
    <row r="1947">
      <c r="A1947" t="n">
        <v/>
      </c>
      <c r="B1947" t="n">
        <v>1033134</v>
      </c>
      <c r="C1947" t="inlineStr">
        <is>
          <t>Incident Management</t>
        </is>
      </c>
      <c r="D1947" t="inlineStr">
        <is>
          <t>Secondary</t>
        </is>
      </c>
      <c r="E1947" t="inlineStr">
        <is>
          <t>Beginner</t>
        </is>
      </c>
      <c r="F1947" t="n">
        <v>0.7</v>
      </c>
      <c r="G1947" t="inlineStr">
        <is>
          <t>Functional</t>
        </is>
      </c>
      <c r="H1947" t="inlineStr">
        <is>
          <t>Yes</t>
        </is>
      </c>
      <c r="I1947" t="inlineStr">
        <is>
          <t>2023-08-02</t>
        </is>
      </c>
    </row>
    <row r="1948">
      <c r="A1948" t="n">
        <v/>
      </c>
      <c r="B1948" t="n">
        <v>1033134</v>
      </c>
      <c r="C1948" t="inlineStr">
        <is>
          <t>Production Support</t>
        </is>
      </c>
      <c r="D1948" t="inlineStr">
        <is>
          <t>Secondary</t>
        </is>
      </c>
      <c r="E1948" t="inlineStr">
        <is>
          <t>Beginner</t>
        </is>
      </c>
      <c r="F1948" t="n">
        <v>0.5</v>
      </c>
      <c r="G1948" t="inlineStr">
        <is>
          <t>Functional</t>
        </is>
      </c>
      <c r="H1948" t="inlineStr">
        <is>
          <t>Yes</t>
        </is>
      </c>
      <c r="I1948" t="inlineStr">
        <is>
          <t>2023-08-02</t>
        </is>
      </c>
    </row>
    <row r="1949">
      <c r="A1949" t="n">
        <v/>
      </c>
      <c r="B1949" t="n">
        <v>1032869</v>
      </c>
      <c r="C1949" t="inlineStr">
        <is>
          <t>Cloud &amp; DevOps (AWS / K8s)</t>
        </is>
      </c>
      <c r="D1949" t="inlineStr">
        <is>
          <t>Primary</t>
        </is>
      </c>
      <c r="E1949" t="inlineStr">
        <is>
          <t>Intermediate</t>
        </is>
      </c>
      <c r="F1949" t="n">
        <v>1.2</v>
      </c>
      <c r="G1949" t="inlineStr">
        <is>
          <t>Technical</t>
        </is>
      </c>
      <c r="H1949" t="inlineStr">
        <is>
          <t>Yes</t>
        </is>
      </c>
      <c r="I1949" t="inlineStr">
        <is>
          <t>2023-05-29</t>
        </is>
      </c>
    </row>
    <row r="1950">
      <c r="A1950" t="n">
        <v/>
      </c>
      <c r="B1950" t="n">
        <v>1032869</v>
      </c>
      <c r="C1950" t="inlineStr">
        <is>
          <t>Docker</t>
        </is>
      </c>
      <c r="D1950" t="inlineStr">
        <is>
          <t>Secondary</t>
        </is>
      </c>
      <c r="E1950" t="inlineStr">
        <is>
          <t>Beginner</t>
        </is>
      </c>
      <c r="F1950" t="n">
        <v>0.7</v>
      </c>
      <c r="G1950" t="inlineStr">
        <is>
          <t>Technical</t>
        </is>
      </c>
      <c r="H1950" t="inlineStr">
        <is>
          <t>Yes</t>
        </is>
      </c>
      <c r="I1950" t="inlineStr">
        <is>
          <t>2023-05-29</t>
        </is>
      </c>
    </row>
    <row r="1951">
      <c r="A1951" t="n">
        <v/>
      </c>
      <c r="B1951" t="n">
        <v>1032869</v>
      </c>
      <c r="C1951" t="inlineStr">
        <is>
          <t>Kubernetes</t>
        </is>
      </c>
      <c r="D1951" t="inlineStr">
        <is>
          <t>Secondary</t>
        </is>
      </c>
      <c r="E1951" t="inlineStr">
        <is>
          <t>Beginner</t>
        </is>
      </c>
      <c r="F1951" t="n">
        <v>0.5</v>
      </c>
      <c r="G1951" t="inlineStr">
        <is>
          <t>Technical</t>
        </is>
      </c>
      <c r="H1951" t="inlineStr">
        <is>
          <t>Yes</t>
        </is>
      </c>
      <c r="I1951" t="inlineStr">
        <is>
          <t>2023-05-29</t>
        </is>
      </c>
    </row>
    <row r="1952">
      <c r="A1952" t="n">
        <v/>
      </c>
      <c r="B1952" t="n">
        <v>1030219</v>
      </c>
      <c r="C1952" t="inlineStr">
        <is>
          <t>Cloud &amp; DevOps (AWS / K8s)</t>
        </is>
      </c>
      <c r="D1952" t="inlineStr">
        <is>
          <t>Primary</t>
        </is>
      </c>
      <c r="E1952" t="inlineStr">
        <is>
          <t>Intermediate</t>
        </is>
      </c>
      <c r="F1952" t="n">
        <v>1.9</v>
      </c>
      <c r="G1952" t="inlineStr">
        <is>
          <t>Technical</t>
        </is>
      </c>
      <c r="H1952" t="inlineStr">
        <is>
          <t>Yes</t>
        </is>
      </c>
      <c r="I1952" t="inlineStr">
        <is>
          <t>2022-09-15</t>
        </is>
      </c>
    </row>
    <row r="1953">
      <c r="A1953" t="n">
        <v/>
      </c>
      <c r="B1953" t="n">
        <v>1030219</v>
      </c>
      <c r="C1953" t="inlineStr">
        <is>
          <t>Docker</t>
        </is>
      </c>
      <c r="D1953" t="inlineStr">
        <is>
          <t>Secondary</t>
        </is>
      </c>
      <c r="E1953" t="inlineStr">
        <is>
          <t>Beginner</t>
        </is>
      </c>
      <c r="F1953" t="n">
        <v>1.1</v>
      </c>
      <c r="G1953" t="inlineStr">
        <is>
          <t>Technical</t>
        </is>
      </c>
      <c r="H1953" t="inlineStr">
        <is>
          <t>Yes</t>
        </is>
      </c>
      <c r="I1953" t="inlineStr">
        <is>
          <t>2022-09-15</t>
        </is>
      </c>
    </row>
    <row r="1954">
      <c r="A1954" t="n">
        <v/>
      </c>
      <c r="B1954" t="n">
        <v>1030219</v>
      </c>
      <c r="C1954" t="inlineStr">
        <is>
          <t>Kubernetes</t>
        </is>
      </c>
      <c r="D1954" t="inlineStr">
        <is>
          <t>Secondary</t>
        </is>
      </c>
      <c r="E1954" t="inlineStr">
        <is>
          <t>Beginner</t>
        </is>
      </c>
      <c r="F1954" t="n">
        <v>0.9</v>
      </c>
      <c r="G1954" t="inlineStr">
        <is>
          <t>Technical</t>
        </is>
      </c>
      <c r="H1954" t="inlineStr">
        <is>
          <t>Yes</t>
        </is>
      </c>
      <c r="I1954" t="inlineStr">
        <is>
          <t>2022-09-15</t>
        </is>
      </c>
    </row>
    <row r="1955">
      <c r="A1955" t="n">
        <v/>
      </c>
      <c r="B1955" t="n">
        <v>1029867</v>
      </c>
      <c r="C1955" t="inlineStr">
        <is>
          <t>Fullstack Web (React / Node)</t>
        </is>
      </c>
      <c r="D1955" t="inlineStr">
        <is>
          <t>Primary</t>
        </is>
      </c>
      <c r="E1955" t="inlineStr">
        <is>
          <t>Intermediate</t>
        </is>
      </c>
      <c r="F1955" t="n">
        <v>1.9</v>
      </c>
      <c r="G1955" t="inlineStr">
        <is>
          <t>Technical</t>
        </is>
      </c>
      <c r="H1955" t="inlineStr">
        <is>
          <t>Yes</t>
        </is>
      </c>
      <c r="I1955" t="inlineStr">
        <is>
          <t>2022-08-18</t>
        </is>
      </c>
    </row>
    <row r="1956">
      <c r="A1956" t="n">
        <v/>
      </c>
      <c r="B1956" t="n">
        <v>1029867</v>
      </c>
      <c r="C1956" t="inlineStr">
        <is>
          <t>JavaScript</t>
        </is>
      </c>
      <c r="D1956" t="inlineStr">
        <is>
          <t>Secondary</t>
        </is>
      </c>
      <c r="E1956" t="inlineStr">
        <is>
          <t>Beginner</t>
        </is>
      </c>
      <c r="F1956" t="n">
        <v>1.1</v>
      </c>
      <c r="G1956" t="inlineStr">
        <is>
          <t>Technical</t>
        </is>
      </c>
      <c r="H1956" t="inlineStr">
        <is>
          <t>Yes</t>
        </is>
      </c>
      <c r="I1956" t="inlineStr">
        <is>
          <t>2022-08-18</t>
        </is>
      </c>
    </row>
    <row r="1957">
      <c r="A1957" t="n">
        <v/>
      </c>
      <c r="B1957" t="n">
        <v>1029867</v>
      </c>
      <c r="C1957" t="inlineStr">
        <is>
          <t>TypeScript</t>
        </is>
      </c>
      <c r="D1957" t="inlineStr">
        <is>
          <t>Secondary</t>
        </is>
      </c>
      <c r="E1957" t="inlineStr">
        <is>
          <t>Beginner</t>
        </is>
      </c>
      <c r="F1957" t="n">
        <v>0.9</v>
      </c>
      <c r="G1957" t="inlineStr">
        <is>
          <t>Technical</t>
        </is>
      </c>
      <c r="H1957" t="inlineStr">
        <is>
          <t>Yes</t>
        </is>
      </c>
      <c r="I1957" t="inlineStr">
        <is>
          <t>2022-08-18</t>
        </is>
      </c>
    </row>
    <row r="1958">
      <c r="A1958" t="n">
        <v/>
      </c>
      <c r="B1958" t="n">
        <v>1029303</v>
      </c>
      <c r="C1958" t="inlineStr">
        <is>
          <t>Database &amp; SQL Architecture</t>
        </is>
      </c>
      <c r="D1958" t="inlineStr">
        <is>
          <t>Primary</t>
        </is>
      </c>
      <c r="E1958" t="inlineStr">
        <is>
          <t>Intermediate</t>
        </is>
      </c>
      <c r="F1958" t="n">
        <v>2.1</v>
      </c>
      <c r="G1958" t="inlineStr">
        <is>
          <t>Technical</t>
        </is>
      </c>
      <c r="H1958" t="inlineStr">
        <is>
          <t>Yes</t>
        </is>
      </c>
      <c r="I1958" t="inlineStr">
        <is>
          <t>2022-06-17</t>
        </is>
      </c>
    </row>
    <row r="1959">
      <c r="A1959" t="n">
        <v/>
      </c>
      <c r="B1959" t="n">
        <v>1029303</v>
      </c>
      <c r="C1959" t="inlineStr">
        <is>
          <t>PostgreSQL</t>
        </is>
      </c>
      <c r="D1959" t="inlineStr">
        <is>
          <t>Secondary</t>
        </is>
      </c>
      <c r="E1959" t="inlineStr">
        <is>
          <t>Beginner</t>
        </is>
      </c>
      <c r="F1959" t="n">
        <v>1.3</v>
      </c>
      <c r="G1959" t="inlineStr">
        <is>
          <t>Technical</t>
        </is>
      </c>
      <c r="H1959" t="inlineStr">
        <is>
          <t>Yes</t>
        </is>
      </c>
      <c r="I1959" t="inlineStr">
        <is>
          <t>2022-06-17</t>
        </is>
      </c>
    </row>
    <row r="1960">
      <c r="A1960" t="n">
        <v/>
      </c>
      <c r="B1960" t="n">
        <v>1029303</v>
      </c>
      <c r="C1960" t="inlineStr">
        <is>
          <t>Oracle</t>
        </is>
      </c>
      <c r="D1960" t="inlineStr">
        <is>
          <t>Secondary</t>
        </is>
      </c>
      <c r="E1960" t="inlineStr">
        <is>
          <t>Beginner</t>
        </is>
      </c>
      <c r="F1960" t="n">
        <v>0.9</v>
      </c>
      <c r="G1960" t="inlineStr">
        <is>
          <t>Technical</t>
        </is>
      </c>
      <c r="H1960" t="inlineStr">
        <is>
          <t>Yes</t>
        </is>
      </c>
      <c r="I1960" t="inlineStr">
        <is>
          <t>2022-06-17</t>
        </is>
      </c>
    </row>
    <row r="1961">
      <c r="A1961" t="n">
        <v/>
      </c>
      <c r="B1961" t="n">
        <v>1033232</v>
      </c>
      <c r="C1961" t="inlineStr">
        <is>
          <t>Fullstack Web (React / Node)</t>
        </is>
      </c>
      <c r="D1961" t="inlineStr">
        <is>
          <t>Primary</t>
        </is>
      </c>
      <c r="E1961" t="inlineStr">
        <is>
          <t>Intermediate</t>
        </is>
      </c>
      <c r="F1961" t="n">
        <v>1</v>
      </c>
      <c r="G1961" t="inlineStr">
        <is>
          <t>Technical</t>
        </is>
      </c>
      <c r="H1961" t="inlineStr">
        <is>
          <t>Yes</t>
        </is>
      </c>
      <c r="I1961" t="inlineStr">
        <is>
          <t>2023-08-17</t>
        </is>
      </c>
    </row>
    <row r="1962">
      <c r="A1962" t="n">
        <v/>
      </c>
      <c r="B1962" t="n">
        <v>1033232</v>
      </c>
      <c r="C1962" t="inlineStr">
        <is>
          <t>JavaScript</t>
        </is>
      </c>
      <c r="D1962" t="inlineStr">
        <is>
          <t>Secondary</t>
        </is>
      </c>
      <c r="E1962" t="inlineStr">
        <is>
          <t>Beginner</t>
        </is>
      </c>
      <c r="F1962" t="n">
        <v>0.6</v>
      </c>
      <c r="G1962" t="inlineStr">
        <is>
          <t>Technical</t>
        </is>
      </c>
      <c r="H1962" t="inlineStr">
        <is>
          <t>Yes</t>
        </is>
      </c>
      <c r="I1962" t="inlineStr">
        <is>
          <t>2023-08-17</t>
        </is>
      </c>
    </row>
    <row r="1963">
      <c r="A1963" t="n">
        <v/>
      </c>
      <c r="B1963" t="n">
        <v>1033232</v>
      </c>
      <c r="C1963" t="inlineStr">
        <is>
          <t>TypeScript</t>
        </is>
      </c>
      <c r="D1963" t="inlineStr">
        <is>
          <t>Secondary</t>
        </is>
      </c>
      <c r="E1963" t="inlineStr">
        <is>
          <t>Beginner</t>
        </is>
      </c>
      <c r="F1963" t="n">
        <v>0.5</v>
      </c>
      <c r="G1963" t="inlineStr">
        <is>
          <t>Technical</t>
        </is>
      </c>
      <c r="H1963" t="inlineStr">
        <is>
          <t>Yes</t>
        </is>
      </c>
      <c r="I1963" t="inlineStr">
        <is>
          <t>2023-08-17</t>
        </is>
      </c>
    </row>
    <row r="1964">
      <c r="A1964" t="n">
        <v/>
      </c>
      <c r="B1964" t="n">
        <v>1029909</v>
      </c>
      <c r="C1964" t="inlineStr">
        <is>
          <t>Cloud &amp; DevOps (AWS / K8s)</t>
        </is>
      </c>
      <c r="D1964" t="inlineStr">
        <is>
          <t>Primary</t>
        </is>
      </c>
      <c r="E1964" t="inlineStr">
        <is>
          <t>Intermediate</t>
        </is>
      </c>
      <c r="F1964" t="n">
        <v>1.9</v>
      </c>
      <c r="G1964" t="inlineStr">
        <is>
          <t>Technical</t>
        </is>
      </c>
      <c r="H1964" t="inlineStr">
        <is>
          <t>Yes</t>
        </is>
      </c>
      <c r="I1964" t="inlineStr">
        <is>
          <t>2022-08-18</t>
        </is>
      </c>
    </row>
    <row r="1965">
      <c r="A1965" t="n">
        <v/>
      </c>
      <c r="B1965" t="n">
        <v>1029909</v>
      </c>
      <c r="C1965" t="inlineStr">
        <is>
          <t>Docker</t>
        </is>
      </c>
      <c r="D1965" t="inlineStr">
        <is>
          <t>Secondary</t>
        </is>
      </c>
      <c r="E1965" t="inlineStr">
        <is>
          <t>Beginner</t>
        </is>
      </c>
      <c r="F1965" t="n">
        <v>1.1</v>
      </c>
      <c r="G1965" t="inlineStr">
        <is>
          <t>Technical</t>
        </is>
      </c>
      <c r="H1965" t="inlineStr">
        <is>
          <t>Yes</t>
        </is>
      </c>
      <c r="I1965" t="inlineStr">
        <is>
          <t>2022-08-18</t>
        </is>
      </c>
    </row>
    <row r="1966">
      <c r="A1966" t="n">
        <v/>
      </c>
      <c r="B1966" t="n">
        <v>1029909</v>
      </c>
      <c r="C1966" t="inlineStr">
        <is>
          <t>Kubernetes</t>
        </is>
      </c>
      <c r="D1966" t="inlineStr">
        <is>
          <t>Secondary</t>
        </is>
      </c>
      <c r="E1966" t="inlineStr">
        <is>
          <t>Beginner</t>
        </is>
      </c>
      <c r="F1966" t="n">
        <v>0.9</v>
      </c>
      <c r="G1966" t="inlineStr">
        <is>
          <t>Technical</t>
        </is>
      </c>
      <c r="H1966" t="inlineStr">
        <is>
          <t>Yes</t>
        </is>
      </c>
      <c r="I1966" t="inlineStr">
        <is>
          <t>2022-08-18</t>
        </is>
      </c>
    </row>
    <row r="1967">
      <c r="A1967" t="n">
        <v/>
      </c>
      <c r="B1967" t="n">
        <v>1029891</v>
      </c>
      <c r="C1967" t="inlineStr">
        <is>
          <t>Frontend (Angular / TypeScript)</t>
        </is>
      </c>
      <c r="D1967" t="inlineStr">
        <is>
          <t>Primary</t>
        </is>
      </c>
      <c r="E1967" t="inlineStr">
        <is>
          <t>Intermediate</t>
        </is>
      </c>
      <c r="F1967" t="n">
        <v>1.9</v>
      </c>
      <c r="G1967" t="inlineStr">
        <is>
          <t>Technical</t>
        </is>
      </c>
      <c r="H1967" t="inlineStr">
        <is>
          <t>Yes</t>
        </is>
      </c>
      <c r="I1967" t="inlineStr">
        <is>
          <t>2022-08-18</t>
        </is>
      </c>
    </row>
    <row r="1968">
      <c r="A1968" t="n">
        <v/>
      </c>
      <c r="B1968" t="n">
        <v>1029891</v>
      </c>
      <c r="C1968" t="inlineStr">
        <is>
          <t>TypeScript</t>
        </is>
      </c>
      <c r="D1968" t="inlineStr">
        <is>
          <t>Secondary</t>
        </is>
      </c>
      <c r="E1968" t="inlineStr">
        <is>
          <t>Beginner</t>
        </is>
      </c>
      <c r="F1968" t="n">
        <v>1.1</v>
      </c>
      <c r="G1968" t="inlineStr">
        <is>
          <t>Technical</t>
        </is>
      </c>
      <c r="H1968" t="inlineStr">
        <is>
          <t>Yes</t>
        </is>
      </c>
      <c r="I1968" t="inlineStr">
        <is>
          <t>2022-08-18</t>
        </is>
      </c>
    </row>
    <row r="1969">
      <c r="A1969" t="n">
        <v/>
      </c>
      <c r="B1969" t="n">
        <v>1029891</v>
      </c>
      <c r="C1969" t="inlineStr">
        <is>
          <t>JavaScript</t>
        </is>
      </c>
      <c r="D1969" t="inlineStr">
        <is>
          <t>Secondary</t>
        </is>
      </c>
      <c r="E1969" t="inlineStr">
        <is>
          <t>Beginner</t>
        </is>
      </c>
      <c r="F1969" t="n">
        <v>0.9</v>
      </c>
      <c r="G1969" t="inlineStr">
        <is>
          <t>Technical</t>
        </is>
      </c>
      <c r="H1969" t="inlineStr">
        <is>
          <t>Yes</t>
        </is>
      </c>
      <c r="I1969" t="inlineStr">
        <is>
          <t>2022-08-18</t>
        </is>
      </c>
    </row>
    <row r="1970">
      <c r="A1970" t="n">
        <v/>
      </c>
      <c r="B1970" t="n">
        <v>1033257</v>
      </c>
      <c r="C1970" t="inlineStr">
        <is>
          <t>Fullstack Web (React / Node)</t>
        </is>
      </c>
      <c r="D1970" t="inlineStr">
        <is>
          <t>Primary</t>
        </is>
      </c>
      <c r="E1970" t="inlineStr">
        <is>
          <t>Intermediate</t>
        </is>
      </c>
      <c r="F1970" t="n">
        <v>1</v>
      </c>
      <c r="G1970" t="inlineStr">
        <is>
          <t>Technical</t>
        </is>
      </c>
      <c r="H1970" t="inlineStr">
        <is>
          <t>Yes</t>
        </is>
      </c>
      <c r="I1970" t="inlineStr">
        <is>
          <t>2023-08-17</t>
        </is>
      </c>
    </row>
    <row r="1971">
      <c r="A1971" t="n">
        <v/>
      </c>
      <c r="B1971" t="n">
        <v>1033257</v>
      </c>
      <c r="C1971" t="inlineStr">
        <is>
          <t>JavaScript</t>
        </is>
      </c>
      <c r="D1971" t="inlineStr">
        <is>
          <t>Secondary</t>
        </is>
      </c>
      <c r="E1971" t="inlineStr">
        <is>
          <t>Beginner</t>
        </is>
      </c>
      <c r="F1971" t="n">
        <v>0.6</v>
      </c>
      <c r="G1971" t="inlineStr">
        <is>
          <t>Technical</t>
        </is>
      </c>
      <c r="H1971" t="inlineStr">
        <is>
          <t>Yes</t>
        </is>
      </c>
      <c r="I1971" t="inlineStr">
        <is>
          <t>2023-08-17</t>
        </is>
      </c>
    </row>
    <row r="1972">
      <c r="A1972" t="n">
        <v/>
      </c>
      <c r="B1972" t="n">
        <v>1033257</v>
      </c>
      <c r="C1972" t="inlineStr">
        <is>
          <t>TypeScript</t>
        </is>
      </c>
      <c r="D1972" t="inlineStr">
        <is>
          <t>Secondary</t>
        </is>
      </c>
      <c r="E1972" t="inlineStr">
        <is>
          <t>Beginner</t>
        </is>
      </c>
      <c r="F1972" t="n">
        <v>0.5</v>
      </c>
      <c r="G1972" t="inlineStr">
        <is>
          <t>Technical</t>
        </is>
      </c>
      <c r="H1972" t="inlineStr">
        <is>
          <t>Yes</t>
        </is>
      </c>
      <c r="I1972" t="inlineStr">
        <is>
          <t>2023-08-17</t>
        </is>
      </c>
    </row>
    <row r="1973">
      <c r="A1973" t="n">
        <v/>
      </c>
      <c r="B1973" t="n">
        <v>1030213</v>
      </c>
      <c r="C1973" t="inlineStr">
        <is>
          <t>Database &amp; SQL Architecture</t>
        </is>
      </c>
      <c r="D1973" t="inlineStr">
        <is>
          <t>Primary</t>
        </is>
      </c>
      <c r="E1973" t="inlineStr">
        <is>
          <t>Intermediate</t>
        </is>
      </c>
      <c r="F1973" t="n">
        <v>1.9</v>
      </c>
      <c r="G1973" t="inlineStr">
        <is>
          <t>Technical</t>
        </is>
      </c>
      <c r="H1973" t="inlineStr">
        <is>
          <t>Yes</t>
        </is>
      </c>
      <c r="I1973" t="inlineStr">
        <is>
          <t>2022-09-15</t>
        </is>
      </c>
    </row>
    <row r="1974">
      <c r="A1974" t="n">
        <v/>
      </c>
      <c r="B1974" t="n">
        <v>1030213</v>
      </c>
      <c r="C1974" t="inlineStr">
        <is>
          <t>PostgreSQL</t>
        </is>
      </c>
      <c r="D1974" t="inlineStr">
        <is>
          <t>Secondary</t>
        </is>
      </c>
      <c r="E1974" t="inlineStr">
        <is>
          <t>Beginner</t>
        </is>
      </c>
      <c r="F1974" t="n">
        <v>1.1</v>
      </c>
      <c r="G1974" t="inlineStr">
        <is>
          <t>Technical</t>
        </is>
      </c>
      <c r="H1974" t="inlineStr">
        <is>
          <t>Yes</t>
        </is>
      </c>
      <c r="I1974" t="inlineStr">
        <is>
          <t>2022-09-15</t>
        </is>
      </c>
    </row>
    <row r="1975">
      <c r="A1975" t="n">
        <v/>
      </c>
      <c r="B1975" t="n">
        <v>1030213</v>
      </c>
      <c r="C1975" t="inlineStr">
        <is>
          <t>Oracle</t>
        </is>
      </c>
      <c r="D1975" t="inlineStr">
        <is>
          <t>Secondary</t>
        </is>
      </c>
      <c r="E1975" t="inlineStr">
        <is>
          <t>Beginner</t>
        </is>
      </c>
      <c r="F1975" t="n">
        <v>0.9</v>
      </c>
      <c r="G1975" t="inlineStr">
        <is>
          <t>Technical</t>
        </is>
      </c>
      <c r="H1975" t="inlineStr">
        <is>
          <t>Yes</t>
        </is>
      </c>
      <c r="I1975" t="inlineStr">
        <is>
          <t>2022-09-15</t>
        </is>
      </c>
    </row>
    <row r="1976">
      <c r="A1976" t="n">
        <v/>
      </c>
      <c r="B1976" t="n">
        <v>1033258</v>
      </c>
      <c r="C1976" t="inlineStr">
        <is>
          <t>Database &amp; SQL Architecture</t>
        </is>
      </c>
      <c r="D1976" t="inlineStr">
        <is>
          <t>Primary</t>
        </is>
      </c>
      <c r="E1976" t="inlineStr">
        <is>
          <t>Intermediate</t>
        </is>
      </c>
      <c r="F1976" t="n">
        <v>1</v>
      </c>
      <c r="G1976" t="inlineStr">
        <is>
          <t>Technical</t>
        </is>
      </c>
      <c r="H1976" t="inlineStr">
        <is>
          <t>Yes</t>
        </is>
      </c>
      <c r="I1976" t="inlineStr">
        <is>
          <t>2023-08-17</t>
        </is>
      </c>
    </row>
    <row r="1977">
      <c r="A1977" t="n">
        <v/>
      </c>
      <c r="B1977" t="n">
        <v>1033258</v>
      </c>
      <c r="C1977" t="inlineStr">
        <is>
          <t>PostgreSQL</t>
        </is>
      </c>
      <c r="D1977" t="inlineStr">
        <is>
          <t>Secondary</t>
        </is>
      </c>
      <c r="E1977" t="inlineStr">
        <is>
          <t>Beginner</t>
        </is>
      </c>
      <c r="F1977" t="n">
        <v>0.6</v>
      </c>
      <c r="G1977" t="inlineStr">
        <is>
          <t>Technical</t>
        </is>
      </c>
      <c r="H1977" t="inlineStr">
        <is>
          <t>Yes</t>
        </is>
      </c>
      <c r="I1977" t="inlineStr">
        <is>
          <t>2023-08-17</t>
        </is>
      </c>
    </row>
    <row r="1978">
      <c r="A1978" t="n">
        <v/>
      </c>
      <c r="B1978" t="n">
        <v>1033258</v>
      </c>
      <c r="C1978" t="inlineStr">
        <is>
          <t>Oracle</t>
        </is>
      </c>
      <c r="D1978" t="inlineStr">
        <is>
          <t>Secondary</t>
        </is>
      </c>
      <c r="E1978" t="inlineStr">
        <is>
          <t>Beginner</t>
        </is>
      </c>
      <c r="F1978" t="n">
        <v>0.5</v>
      </c>
      <c r="G1978" t="inlineStr">
        <is>
          <t>Technical</t>
        </is>
      </c>
      <c r="H1978" t="inlineStr">
        <is>
          <t>Yes</t>
        </is>
      </c>
      <c r="I1978" t="inlineStr">
        <is>
          <t>2023-08-17</t>
        </is>
      </c>
    </row>
    <row r="1979">
      <c r="A1979" t="n">
        <v/>
      </c>
      <c r="B1979" t="n">
        <v>1033212</v>
      </c>
      <c r="C1979" t="inlineStr">
        <is>
          <t>Java / Spring Boot</t>
        </is>
      </c>
      <c r="D1979" t="inlineStr">
        <is>
          <t>Primary</t>
        </is>
      </c>
      <c r="E1979" t="inlineStr">
        <is>
          <t>Intermediate</t>
        </is>
      </c>
      <c r="F1979" t="n">
        <v>1</v>
      </c>
      <c r="G1979" t="inlineStr">
        <is>
          <t>Technical</t>
        </is>
      </c>
      <c r="H1979" t="inlineStr">
        <is>
          <t>Yes</t>
        </is>
      </c>
      <c r="I1979" t="inlineStr">
        <is>
          <t>2023-08-17</t>
        </is>
      </c>
      <c r="J1979" t="inlineStr">
        <is>
          <t>TMSIS</t>
        </is>
      </c>
    </row>
    <row r="1980">
      <c r="A1980" t="n">
        <v/>
      </c>
      <c r="B1980" t="n">
        <v>1033212</v>
      </c>
      <c r="C1980" t="inlineStr">
        <is>
          <t>SQL</t>
        </is>
      </c>
      <c r="D1980" t="inlineStr">
        <is>
          <t>Secondary</t>
        </is>
      </c>
      <c r="E1980" t="inlineStr">
        <is>
          <t>Beginner</t>
        </is>
      </c>
      <c r="F1980" t="n">
        <v>0.6</v>
      </c>
      <c r="G1980" t="inlineStr">
        <is>
          <t>Technical</t>
        </is>
      </c>
      <c r="H1980" t="inlineStr">
        <is>
          <t>Yes</t>
        </is>
      </c>
      <c r="I1980" t="inlineStr">
        <is>
          <t>2023-08-17</t>
        </is>
      </c>
      <c r="J1980" t="inlineStr">
        <is>
          <t>TMSIS</t>
        </is>
      </c>
    </row>
    <row r="1981">
      <c r="A1981" t="n">
        <v/>
      </c>
      <c r="B1981" t="n">
        <v>1033212</v>
      </c>
      <c r="C1981" t="inlineStr">
        <is>
          <t>Docker</t>
        </is>
      </c>
      <c r="D1981" t="inlineStr">
        <is>
          <t>Secondary</t>
        </is>
      </c>
      <c r="E1981" t="inlineStr">
        <is>
          <t>Beginner</t>
        </is>
      </c>
      <c r="F1981" t="n">
        <v>0.5</v>
      </c>
      <c r="G1981" t="inlineStr">
        <is>
          <t>Technical</t>
        </is>
      </c>
      <c r="H1981" t="inlineStr">
        <is>
          <t>Yes</t>
        </is>
      </c>
      <c r="I1981" t="inlineStr">
        <is>
          <t>2023-08-17</t>
        </is>
      </c>
      <c r="J1981" t="inlineStr">
        <is>
          <t>TMSIS</t>
        </is>
      </c>
    </row>
    <row r="1982">
      <c r="A1982" t="n">
        <v/>
      </c>
      <c r="B1982" t="n">
        <v>1027423</v>
      </c>
      <c r="C1982" t="inlineStr">
        <is>
          <t>Database &amp; SQL Architecture</t>
        </is>
      </c>
      <c r="D1982" t="inlineStr">
        <is>
          <t>Primary</t>
        </is>
      </c>
      <c r="E1982" t="inlineStr">
        <is>
          <t>Advanced</t>
        </is>
      </c>
      <c r="F1982" t="n">
        <v>6.2</v>
      </c>
      <c r="G1982" t="inlineStr">
        <is>
          <t>Technical</t>
        </is>
      </c>
      <c r="H1982" t="inlineStr">
        <is>
          <t>Yes</t>
        </is>
      </c>
      <c r="I1982" t="inlineStr">
        <is>
          <t>2021-12-01</t>
        </is>
      </c>
    </row>
    <row r="1983">
      <c r="A1983" t="n">
        <v/>
      </c>
      <c r="B1983" t="n">
        <v>1027423</v>
      </c>
      <c r="C1983" t="inlineStr">
        <is>
          <t>PostgreSQL</t>
        </is>
      </c>
      <c r="D1983" t="inlineStr">
        <is>
          <t>Secondary</t>
        </is>
      </c>
      <c r="E1983" t="inlineStr">
        <is>
          <t>Intermediate</t>
        </is>
      </c>
      <c r="F1983" t="n">
        <v>3.7</v>
      </c>
      <c r="G1983" t="inlineStr">
        <is>
          <t>Technical</t>
        </is>
      </c>
      <c r="H1983" t="inlineStr">
        <is>
          <t>Yes</t>
        </is>
      </c>
      <c r="I1983" t="inlineStr">
        <is>
          <t>2021-12-01</t>
        </is>
      </c>
    </row>
    <row r="1984">
      <c r="A1984" t="n">
        <v/>
      </c>
      <c r="B1984" t="n">
        <v>1027423</v>
      </c>
      <c r="C1984" t="inlineStr">
        <is>
          <t>Oracle</t>
        </is>
      </c>
      <c r="D1984" t="inlineStr">
        <is>
          <t>Secondary</t>
        </is>
      </c>
      <c r="E1984" t="inlineStr">
        <is>
          <t>Intermediate</t>
        </is>
      </c>
      <c r="F1984" t="n">
        <v>2.8</v>
      </c>
      <c r="G1984" t="inlineStr">
        <is>
          <t>Technical</t>
        </is>
      </c>
      <c r="H1984" t="inlineStr">
        <is>
          <t>Yes</t>
        </is>
      </c>
      <c r="I1984" t="inlineStr">
        <is>
          <t>2021-12-01</t>
        </is>
      </c>
    </row>
    <row r="1985">
      <c r="A1985" t="n">
        <v/>
      </c>
      <c r="B1985" t="n">
        <v>1027423</v>
      </c>
      <c r="C1985" t="inlineStr">
        <is>
          <t>Performance Tuning</t>
        </is>
      </c>
      <c r="D1985" t="inlineStr">
        <is>
          <t>Secondary</t>
        </is>
      </c>
      <c r="E1985" t="inlineStr">
        <is>
          <t>Intermediate</t>
        </is>
      </c>
      <c r="F1985" t="n">
        <v>1.9</v>
      </c>
      <c r="G1985" t="inlineStr">
        <is>
          <t>Technical</t>
        </is>
      </c>
      <c r="H1985" t="inlineStr">
        <is>
          <t>Yes</t>
        </is>
      </c>
      <c r="I1985" t="inlineStr">
        <is>
          <t>2021-12-01</t>
        </is>
      </c>
    </row>
    <row r="1986">
      <c r="A1986" t="n">
        <v/>
      </c>
      <c r="B1986" t="n">
        <v>1029524</v>
      </c>
      <c r="C1986" t="inlineStr">
        <is>
          <t>Cloud &amp; DevOps (AWS / K8s)</t>
        </is>
      </c>
      <c r="D1986" t="inlineStr">
        <is>
          <t>Primary</t>
        </is>
      </c>
      <c r="E1986" t="inlineStr">
        <is>
          <t>Intermediate</t>
        </is>
      </c>
      <c r="F1986" t="n">
        <v>2</v>
      </c>
      <c r="G1986" t="inlineStr">
        <is>
          <t>Technical</t>
        </is>
      </c>
      <c r="H1986" t="inlineStr">
        <is>
          <t>Yes</t>
        </is>
      </c>
      <c r="I1986" t="inlineStr">
        <is>
          <t>2022-07-15</t>
        </is>
      </c>
    </row>
    <row r="1987">
      <c r="A1987" t="n">
        <v/>
      </c>
      <c r="B1987" t="n">
        <v>1029524</v>
      </c>
      <c r="C1987" t="inlineStr">
        <is>
          <t>Docker</t>
        </is>
      </c>
      <c r="D1987" t="inlineStr">
        <is>
          <t>Secondary</t>
        </is>
      </c>
      <c r="E1987" t="inlineStr">
        <is>
          <t>Beginner</t>
        </is>
      </c>
      <c r="F1987" t="n">
        <v>1.2</v>
      </c>
      <c r="G1987" t="inlineStr">
        <is>
          <t>Technical</t>
        </is>
      </c>
      <c r="H1987" t="inlineStr">
        <is>
          <t>Yes</t>
        </is>
      </c>
      <c r="I1987" t="inlineStr">
        <is>
          <t>2022-07-15</t>
        </is>
      </c>
    </row>
    <row r="1988">
      <c r="A1988" t="n">
        <v/>
      </c>
      <c r="B1988" t="n">
        <v>1029524</v>
      </c>
      <c r="C1988" t="inlineStr">
        <is>
          <t>Kubernetes</t>
        </is>
      </c>
      <c r="D1988" t="inlineStr">
        <is>
          <t>Secondary</t>
        </is>
      </c>
      <c r="E1988" t="inlineStr">
        <is>
          <t>Beginner</t>
        </is>
      </c>
      <c r="F1988" t="n">
        <v>0.9</v>
      </c>
      <c r="G1988" t="inlineStr">
        <is>
          <t>Technical</t>
        </is>
      </c>
      <c r="H1988" t="inlineStr">
        <is>
          <t>Yes</t>
        </is>
      </c>
      <c r="I1988" t="inlineStr">
        <is>
          <t>2022-07-15</t>
        </is>
      </c>
    </row>
    <row r="1989">
      <c r="A1989" t="n">
        <v/>
      </c>
      <c r="B1989" t="n">
        <v>1029527</v>
      </c>
      <c r="C1989" t="inlineStr">
        <is>
          <t>Cognos BI &amp; Analytics</t>
        </is>
      </c>
      <c r="D1989" t="inlineStr">
        <is>
          <t>Primary</t>
        </is>
      </c>
      <c r="E1989" t="inlineStr">
        <is>
          <t>Intermediate</t>
        </is>
      </c>
      <c r="F1989" t="n">
        <v>2</v>
      </c>
      <c r="G1989" t="inlineStr">
        <is>
          <t>Technical</t>
        </is>
      </c>
      <c r="H1989" t="inlineStr">
        <is>
          <t>Yes</t>
        </is>
      </c>
      <c r="I1989" t="inlineStr">
        <is>
          <t>2022-07-15</t>
        </is>
      </c>
    </row>
    <row r="1990">
      <c r="A1990" t="n">
        <v/>
      </c>
      <c r="B1990" t="n">
        <v>1029527</v>
      </c>
      <c r="C1990" t="inlineStr">
        <is>
          <t>SQL</t>
        </is>
      </c>
      <c r="D1990" t="inlineStr">
        <is>
          <t>Secondary</t>
        </is>
      </c>
      <c r="E1990" t="inlineStr">
        <is>
          <t>Beginner</t>
        </is>
      </c>
      <c r="F1990" t="n">
        <v>1.2</v>
      </c>
      <c r="G1990" t="inlineStr">
        <is>
          <t>Technical</t>
        </is>
      </c>
      <c r="H1990" t="inlineStr">
        <is>
          <t>Yes</t>
        </is>
      </c>
      <c r="I1990" t="inlineStr">
        <is>
          <t>2022-07-15</t>
        </is>
      </c>
    </row>
    <row r="1991">
      <c r="A1991" t="n">
        <v/>
      </c>
      <c r="B1991" t="n">
        <v>1029527</v>
      </c>
      <c r="C1991" t="inlineStr">
        <is>
          <t>Data Modeling</t>
        </is>
      </c>
      <c r="D1991" t="inlineStr">
        <is>
          <t>Secondary</t>
        </is>
      </c>
      <c r="E1991" t="inlineStr">
        <is>
          <t>Beginner</t>
        </is>
      </c>
      <c r="F1991" t="n">
        <v>0.9</v>
      </c>
      <c r="G1991" t="inlineStr">
        <is>
          <t>Technical</t>
        </is>
      </c>
      <c r="H1991" t="inlineStr">
        <is>
          <t>Yes</t>
        </is>
      </c>
      <c r="I1991" t="inlineStr">
        <is>
          <t>2022-07-15</t>
        </is>
      </c>
    </row>
    <row r="1992">
      <c r="A1992" t="n">
        <v/>
      </c>
      <c r="B1992" t="n">
        <v>1030923</v>
      </c>
      <c r="C1992" t="inlineStr">
        <is>
          <t>Database &amp; SQL Architecture</t>
        </is>
      </c>
      <c r="D1992" t="inlineStr">
        <is>
          <t>Primary</t>
        </is>
      </c>
      <c r="E1992" t="inlineStr">
        <is>
          <t>Intermediate</t>
        </is>
      </c>
      <c r="F1992" t="n">
        <v>1.7</v>
      </c>
      <c r="G1992" t="inlineStr">
        <is>
          <t>Technical</t>
        </is>
      </c>
      <c r="H1992" t="inlineStr">
        <is>
          <t>Yes</t>
        </is>
      </c>
      <c r="I1992" t="inlineStr">
        <is>
          <t>2022-11-11</t>
        </is>
      </c>
    </row>
    <row r="1993">
      <c r="A1993" t="n">
        <v/>
      </c>
      <c r="B1993" t="n">
        <v>1030923</v>
      </c>
      <c r="C1993" t="inlineStr">
        <is>
          <t>PostgreSQL</t>
        </is>
      </c>
      <c r="D1993" t="inlineStr">
        <is>
          <t>Secondary</t>
        </is>
      </c>
      <c r="E1993" t="inlineStr">
        <is>
          <t>Beginner</t>
        </is>
      </c>
      <c r="F1993" t="n">
        <v>1</v>
      </c>
      <c r="G1993" t="inlineStr">
        <is>
          <t>Technical</t>
        </is>
      </c>
      <c r="H1993" t="inlineStr">
        <is>
          <t>Yes</t>
        </is>
      </c>
      <c r="I1993" t="inlineStr">
        <is>
          <t>2022-11-11</t>
        </is>
      </c>
    </row>
    <row r="1994">
      <c r="A1994" t="n">
        <v/>
      </c>
      <c r="B1994" t="n">
        <v>1030923</v>
      </c>
      <c r="C1994" t="inlineStr">
        <is>
          <t>Oracle</t>
        </is>
      </c>
      <c r="D1994" t="inlineStr">
        <is>
          <t>Secondary</t>
        </is>
      </c>
      <c r="E1994" t="inlineStr">
        <is>
          <t>Beginner</t>
        </is>
      </c>
      <c r="F1994" t="n">
        <v>0.8</v>
      </c>
      <c r="G1994" t="inlineStr">
        <is>
          <t>Technical</t>
        </is>
      </c>
      <c r="H1994" t="inlineStr">
        <is>
          <t>Yes</t>
        </is>
      </c>
      <c r="I1994" t="inlineStr">
        <is>
          <t>2022-11-11</t>
        </is>
      </c>
    </row>
    <row r="1995">
      <c r="A1995" t="n">
        <v/>
      </c>
      <c r="B1995" t="n">
        <v>1029883</v>
      </c>
      <c r="C1995" t="inlineStr">
        <is>
          <t>Database &amp; SQL Architecture</t>
        </is>
      </c>
      <c r="D1995" t="inlineStr">
        <is>
          <t>Primary</t>
        </is>
      </c>
      <c r="E1995" t="inlineStr">
        <is>
          <t>Intermediate</t>
        </is>
      </c>
      <c r="F1995" t="n">
        <v>1.9</v>
      </c>
      <c r="G1995" t="inlineStr">
        <is>
          <t>Technical</t>
        </is>
      </c>
      <c r="H1995" t="inlineStr">
        <is>
          <t>Yes</t>
        </is>
      </c>
      <c r="I1995" t="inlineStr">
        <is>
          <t>2022-08-18</t>
        </is>
      </c>
    </row>
    <row r="1996">
      <c r="A1996" t="n">
        <v/>
      </c>
      <c r="B1996" t="n">
        <v>1029883</v>
      </c>
      <c r="C1996" t="inlineStr">
        <is>
          <t>PostgreSQL</t>
        </is>
      </c>
      <c r="D1996" t="inlineStr">
        <is>
          <t>Secondary</t>
        </is>
      </c>
      <c r="E1996" t="inlineStr">
        <is>
          <t>Beginner</t>
        </is>
      </c>
      <c r="F1996" t="n">
        <v>1.1</v>
      </c>
      <c r="G1996" t="inlineStr">
        <is>
          <t>Technical</t>
        </is>
      </c>
      <c r="H1996" t="inlineStr">
        <is>
          <t>Yes</t>
        </is>
      </c>
      <c r="I1996" t="inlineStr">
        <is>
          <t>2022-08-18</t>
        </is>
      </c>
    </row>
    <row r="1997">
      <c r="A1997" t="n">
        <v/>
      </c>
      <c r="B1997" t="n">
        <v>1029883</v>
      </c>
      <c r="C1997" t="inlineStr">
        <is>
          <t>Oracle</t>
        </is>
      </c>
      <c r="D1997" t="inlineStr">
        <is>
          <t>Secondary</t>
        </is>
      </c>
      <c r="E1997" t="inlineStr">
        <is>
          <t>Beginner</t>
        </is>
      </c>
      <c r="F1997" t="n">
        <v>0.9</v>
      </c>
      <c r="G1997" t="inlineStr">
        <is>
          <t>Technical</t>
        </is>
      </c>
      <c r="H1997" t="inlineStr">
        <is>
          <t>Yes</t>
        </is>
      </c>
      <c r="I1997" t="inlineStr">
        <is>
          <t>2022-08-18</t>
        </is>
      </c>
    </row>
    <row r="1998">
      <c r="A1998" t="n">
        <v/>
      </c>
      <c r="B1998" t="n">
        <v>1033233</v>
      </c>
      <c r="C1998" t="inlineStr">
        <is>
          <t>Database &amp; SQL Architecture</t>
        </is>
      </c>
      <c r="D1998" t="inlineStr">
        <is>
          <t>Primary</t>
        </is>
      </c>
      <c r="E1998" t="inlineStr">
        <is>
          <t>Intermediate</t>
        </is>
      </c>
      <c r="F1998" t="n">
        <v>1</v>
      </c>
      <c r="G1998" t="inlineStr">
        <is>
          <t>Technical</t>
        </is>
      </c>
      <c r="H1998" t="inlineStr">
        <is>
          <t>Yes</t>
        </is>
      </c>
      <c r="I1998" t="inlineStr">
        <is>
          <t>2023-08-17</t>
        </is>
      </c>
    </row>
    <row r="1999">
      <c r="A1999" t="n">
        <v/>
      </c>
      <c r="B1999" t="n">
        <v>1033233</v>
      </c>
      <c r="C1999" t="inlineStr">
        <is>
          <t>PostgreSQL</t>
        </is>
      </c>
      <c r="D1999" t="inlineStr">
        <is>
          <t>Secondary</t>
        </is>
      </c>
      <c r="E1999" t="inlineStr">
        <is>
          <t>Beginner</t>
        </is>
      </c>
      <c r="F1999" t="n">
        <v>0.6</v>
      </c>
      <c r="G1999" t="inlineStr">
        <is>
          <t>Technical</t>
        </is>
      </c>
      <c r="H1999" t="inlineStr">
        <is>
          <t>Yes</t>
        </is>
      </c>
      <c r="I1999" t="inlineStr">
        <is>
          <t>2023-08-17</t>
        </is>
      </c>
    </row>
    <row r="2000">
      <c r="A2000" t="n">
        <v/>
      </c>
      <c r="B2000" t="n">
        <v>1033233</v>
      </c>
      <c r="C2000" t="inlineStr">
        <is>
          <t>Oracle</t>
        </is>
      </c>
      <c r="D2000" t="inlineStr">
        <is>
          <t>Secondary</t>
        </is>
      </c>
      <c r="E2000" t="inlineStr">
        <is>
          <t>Beginner</t>
        </is>
      </c>
      <c r="F2000" t="n">
        <v>0.5</v>
      </c>
      <c r="G2000" t="inlineStr">
        <is>
          <t>Technical</t>
        </is>
      </c>
      <c r="H2000" t="inlineStr">
        <is>
          <t>Yes</t>
        </is>
      </c>
      <c r="I2000" t="inlineStr">
        <is>
          <t>2023-08-17</t>
        </is>
      </c>
    </row>
    <row r="2001">
      <c r="A2001" t="n">
        <v/>
      </c>
      <c r="B2001" t="n">
        <v>1029306</v>
      </c>
      <c r="C2001" t="inlineStr">
        <is>
          <t>Java / Spring Boot</t>
        </is>
      </c>
      <c r="D2001" t="inlineStr">
        <is>
          <t>Primary</t>
        </is>
      </c>
      <c r="E2001" t="inlineStr">
        <is>
          <t>Intermediate</t>
        </is>
      </c>
      <c r="F2001" t="n">
        <v>2.1</v>
      </c>
      <c r="G2001" t="inlineStr">
        <is>
          <t>Technical</t>
        </is>
      </c>
      <c r="H2001" t="inlineStr">
        <is>
          <t>Yes</t>
        </is>
      </c>
      <c r="I2001" t="inlineStr">
        <is>
          <t>2022-06-17</t>
        </is>
      </c>
      <c r="J2001" t="inlineStr">
        <is>
          <t>Claims Financial</t>
        </is>
      </c>
    </row>
    <row r="2002">
      <c r="A2002" t="n">
        <v/>
      </c>
      <c r="B2002" t="n">
        <v>1029306</v>
      </c>
      <c r="C2002" t="inlineStr">
        <is>
          <t>SQL</t>
        </is>
      </c>
      <c r="D2002" t="inlineStr">
        <is>
          <t>Secondary</t>
        </is>
      </c>
      <c r="E2002" t="inlineStr">
        <is>
          <t>Beginner</t>
        </is>
      </c>
      <c r="F2002" t="n">
        <v>1.3</v>
      </c>
      <c r="G2002" t="inlineStr">
        <is>
          <t>Technical</t>
        </is>
      </c>
      <c r="H2002" t="inlineStr">
        <is>
          <t>Yes</t>
        </is>
      </c>
      <c r="I2002" t="inlineStr">
        <is>
          <t>2022-06-17</t>
        </is>
      </c>
      <c r="J2002" t="inlineStr">
        <is>
          <t>Claims Financial</t>
        </is>
      </c>
    </row>
    <row r="2003">
      <c r="A2003" t="n">
        <v/>
      </c>
      <c r="B2003" t="n">
        <v>1029306</v>
      </c>
      <c r="C2003" t="inlineStr">
        <is>
          <t>Docker</t>
        </is>
      </c>
      <c r="D2003" t="inlineStr">
        <is>
          <t>Secondary</t>
        </is>
      </c>
      <c r="E2003" t="inlineStr">
        <is>
          <t>Beginner</t>
        </is>
      </c>
      <c r="F2003" t="n">
        <v>0.9</v>
      </c>
      <c r="G2003" t="inlineStr">
        <is>
          <t>Technical</t>
        </is>
      </c>
      <c r="H2003" t="inlineStr">
        <is>
          <t>Yes</t>
        </is>
      </c>
      <c r="I2003" t="inlineStr">
        <is>
          <t>2022-06-17</t>
        </is>
      </c>
      <c r="J2003" t="inlineStr">
        <is>
          <t>Claims Financial</t>
        </is>
      </c>
    </row>
    <row r="2004">
      <c r="A2004" t="n">
        <v/>
      </c>
      <c r="B2004" t="n">
        <v>1029917</v>
      </c>
      <c r="C2004" t="inlineStr">
        <is>
          <t>Fullstack Web (React / Node)</t>
        </is>
      </c>
      <c r="D2004" t="inlineStr">
        <is>
          <t>Primary</t>
        </is>
      </c>
      <c r="E2004" t="inlineStr">
        <is>
          <t>Intermediate</t>
        </is>
      </c>
      <c r="F2004" t="n">
        <v>1.9</v>
      </c>
      <c r="G2004" t="inlineStr">
        <is>
          <t>Technical</t>
        </is>
      </c>
      <c r="H2004" t="inlineStr">
        <is>
          <t>Yes</t>
        </is>
      </c>
      <c r="I2004" t="inlineStr">
        <is>
          <t>2022-08-18</t>
        </is>
      </c>
    </row>
    <row r="2005">
      <c r="A2005" t="n">
        <v/>
      </c>
      <c r="B2005" t="n">
        <v>1029917</v>
      </c>
      <c r="C2005" t="inlineStr">
        <is>
          <t>JavaScript</t>
        </is>
      </c>
      <c r="D2005" t="inlineStr">
        <is>
          <t>Secondary</t>
        </is>
      </c>
      <c r="E2005" t="inlineStr">
        <is>
          <t>Beginner</t>
        </is>
      </c>
      <c r="F2005" t="n">
        <v>1.1</v>
      </c>
      <c r="G2005" t="inlineStr">
        <is>
          <t>Technical</t>
        </is>
      </c>
      <c r="H2005" t="inlineStr">
        <is>
          <t>Yes</t>
        </is>
      </c>
      <c r="I2005" t="inlineStr">
        <is>
          <t>2022-08-18</t>
        </is>
      </c>
    </row>
    <row r="2006">
      <c r="A2006" t="n">
        <v/>
      </c>
      <c r="B2006" t="n">
        <v>1029917</v>
      </c>
      <c r="C2006" t="inlineStr">
        <is>
          <t>TypeScript</t>
        </is>
      </c>
      <c r="D2006" t="inlineStr">
        <is>
          <t>Secondary</t>
        </is>
      </c>
      <c r="E2006" t="inlineStr">
        <is>
          <t>Beginner</t>
        </is>
      </c>
      <c r="F2006" t="n">
        <v>0.9</v>
      </c>
      <c r="G2006" t="inlineStr">
        <is>
          <t>Technical</t>
        </is>
      </c>
      <c r="H2006" t="inlineStr">
        <is>
          <t>Yes</t>
        </is>
      </c>
      <c r="I2006" t="inlineStr">
        <is>
          <t>2022-08-18</t>
        </is>
      </c>
    </row>
    <row r="2007">
      <c r="A2007" t="n">
        <v/>
      </c>
      <c r="B2007" t="n">
        <v>1033207</v>
      </c>
      <c r="C2007" t="inlineStr">
        <is>
          <t>Fullstack Web (React / Node)</t>
        </is>
      </c>
      <c r="D2007" t="inlineStr">
        <is>
          <t>Primary</t>
        </is>
      </c>
      <c r="E2007" t="inlineStr">
        <is>
          <t>Intermediate</t>
        </is>
      </c>
      <c r="F2007" t="n">
        <v>1</v>
      </c>
      <c r="G2007" t="inlineStr">
        <is>
          <t>Technical</t>
        </is>
      </c>
      <c r="H2007" t="inlineStr">
        <is>
          <t>Yes</t>
        </is>
      </c>
      <c r="I2007" t="inlineStr">
        <is>
          <t>2023-08-17</t>
        </is>
      </c>
    </row>
    <row r="2008">
      <c r="A2008" t="n">
        <v/>
      </c>
      <c r="B2008" t="n">
        <v>1033207</v>
      </c>
      <c r="C2008" t="inlineStr">
        <is>
          <t>JavaScript</t>
        </is>
      </c>
      <c r="D2008" t="inlineStr">
        <is>
          <t>Secondary</t>
        </is>
      </c>
      <c r="E2008" t="inlineStr">
        <is>
          <t>Beginner</t>
        </is>
      </c>
      <c r="F2008" t="n">
        <v>0.6</v>
      </c>
      <c r="G2008" t="inlineStr">
        <is>
          <t>Technical</t>
        </is>
      </c>
      <c r="H2008" t="inlineStr">
        <is>
          <t>Yes</t>
        </is>
      </c>
      <c r="I2008" t="inlineStr">
        <is>
          <t>2023-08-17</t>
        </is>
      </c>
    </row>
    <row r="2009">
      <c r="A2009" t="n">
        <v/>
      </c>
      <c r="B2009" t="n">
        <v>1033207</v>
      </c>
      <c r="C2009" t="inlineStr">
        <is>
          <t>TypeScript</t>
        </is>
      </c>
      <c r="D2009" t="inlineStr">
        <is>
          <t>Secondary</t>
        </is>
      </c>
      <c r="E2009" t="inlineStr">
        <is>
          <t>Beginner</t>
        </is>
      </c>
      <c r="F2009" t="n">
        <v>0.5</v>
      </c>
      <c r="G2009" t="inlineStr">
        <is>
          <t>Technical</t>
        </is>
      </c>
      <c r="H2009" t="inlineStr">
        <is>
          <t>Yes</t>
        </is>
      </c>
      <c r="I2009" t="inlineStr">
        <is>
          <t>2023-08-17</t>
        </is>
      </c>
    </row>
    <row r="2010">
      <c r="A2010" t="n">
        <v/>
      </c>
      <c r="B2010" t="n">
        <v>1033215</v>
      </c>
      <c r="C2010" t="inlineStr">
        <is>
          <t>Python / Data Engineering</t>
        </is>
      </c>
      <c r="D2010" t="inlineStr">
        <is>
          <t>Primary</t>
        </is>
      </c>
      <c r="E2010" t="inlineStr">
        <is>
          <t>Intermediate</t>
        </is>
      </c>
      <c r="F2010" t="n">
        <v>1</v>
      </c>
      <c r="G2010" t="inlineStr">
        <is>
          <t>Technical</t>
        </is>
      </c>
      <c r="H2010" t="inlineStr">
        <is>
          <t>Yes</t>
        </is>
      </c>
      <c r="I2010" t="inlineStr">
        <is>
          <t>2023-08-17</t>
        </is>
      </c>
    </row>
    <row r="2011">
      <c r="A2011" t="n">
        <v/>
      </c>
      <c r="B2011" t="n">
        <v>1033215</v>
      </c>
      <c r="C2011" t="inlineStr">
        <is>
          <t>SQL</t>
        </is>
      </c>
      <c r="D2011" t="inlineStr">
        <is>
          <t>Secondary</t>
        </is>
      </c>
      <c r="E2011" t="inlineStr">
        <is>
          <t>Beginner</t>
        </is>
      </c>
      <c r="F2011" t="n">
        <v>0.6</v>
      </c>
      <c r="G2011" t="inlineStr">
        <is>
          <t>Technical</t>
        </is>
      </c>
      <c r="H2011" t="inlineStr">
        <is>
          <t>Yes</t>
        </is>
      </c>
      <c r="I2011" t="inlineStr">
        <is>
          <t>2023-08-17</t>
        </is>
      </c>
    </row>
    <row r="2012">
      <c r="A2012" t="n">
        <v/>
      </c>
      <c r="B2012" t="n">
        <v>1033215</v>
      </c>
      <c r="C2012" t="inlineStr">
        <is>
          <t>Docker</t>
        </is>
      </c>
      <c r="D2012" t="inlineStr">
        <is>
          <t>Secondary</t>
        </is>
      </c>
      <c r="E2012" t="inlineStr">
        <is>
          <t>Beginner</t>
        </is>
      </c>
      <c r="F2012" t="n">
        <v>0.5</v>
      </c>
      <c r="G2012" t="inlineStr">
        <is>
          <t>Technical</t>
        </is>
      </c>
      <c r="H2012" t="inlineStr">
        <is>
          <t>Yes</t>
        </is>
      </c>
      <c r="I2012" t="inlineStr">
        <is>
          <t>2023-08-17</t>
        </is>
      </c>
    </row>
    <row r="2013">
      <c r="A2013" t="n">
        <v/>
      </c>
      <c r="B2013" t="n">
        <v>1030240</v>
      </c>
      <c r="C2013" t="inlineStr">
        <is>
          <t>Python / Data Engineering</t>
        </is>
      </c>
      <c r="D2013" t="inlineStr">
        <is>
          <t>Primary</t>
        </is>
      </c>
      <c r="E2013" t="inlineStr">
        <is>
          <t>Intermediate</t>
        </is>
      </c>
      <c r="F2013" t="n">
        <v>1.9</v>
      </c>
      <c r="G2013" t="inlineStr">
        <is>
          <t>Technical</t>
        </is>
      </c>
      <c r="H2013" t="inlineStr">
        <is>
          <t>Yes</t>
        </is>
      </c>
      <c r="I2013" t="inlineStr">
        <is>
          <t>2022-09-15</t>
        </is>
      </c>
    </row>
    <row r="2014">
      <c r="A2014" t="n">
        <v/>
      </c>
      <c r="B2014" t="n">
        <v>1030240</v>
      </c>
      <c r="C2014" t="inlineStr">
        <is>
          <t>SQL</t>
        </is>
      </c>
      <c r="D2014" t="inlineStr">
        <is>
          <t>Secondary</t>
        </is>
      </c>
      <c r="E2014" t="inlineStr">
        <is>
          <t>Beginner</t>
        </is>
      </c>
      <c r="F2014" t="n">
        <v>1.1</v>
      </c>
      <c r="G2014" t="inlineStr">
        <is>
          <t>Technical</t>
        </is>
      </c>
      <c r="H2014" t="inlineStr">
        <is>
          <t>Yes</t>
        </is>
      </c>
      <c r="I2014" t="inlineStr">
        <is>
          <t>2022-09-15</t>
        </is>
      </c>
    </row>
    <row r="2015">
      <c r="A2015" t="n">
        <v/>
      </c>
      <c r="B2015" t="n">
        <v>1030240</v>
      </c>
      <c r="C2015" t="inlineStr">
        <is>
          <t>Docker</t>
        </is>
      </c>
      <c r="D2015" t="inlineStr">
        <is>
          <t>Secondary</t>
        </is>
      </c>
      <c r="E2015" t="inlineStr">
        <is>
          <t>Beginner</t>
        </is>
      </c>
      <c r="F2015" t="n">
        <v>0.9</v>
      </c>
      <c r="G2015" t="inlineStr">
        <is>
          <t>Technical</t>
        </is>
      </c>
      <c r="H2015" t="inlineStr">
        <is>
          <t>Yes</t>
        </is>
      </c>
      <c r="I2015" t="inlineStr">
        <is>
          <t>2022-09-15</t>
        </is>
      </c>
    </row>
    <row r="2016">
      <c r="A2016" t="n">
        <v/>
      </c>
      <c r="B2016" t="n">
        <v>1033266</v>
      </c>
      <c r="C2016" t="inlineStr">
        <is>
          <t>Java / Spring Boot</t>
        </is>
      </c>
      <c r="D2016" t="inlineStr">
        <is>
          <t>Primary</t>
        </is>
      </c>
      <c r="E2016" t="inlineStr">
        <is>
          <t>Intermediate</t>
        </is>
      </c>
      <c r="F2016" t="n">
        <v>1</v>
      </c>
      <c r="G2016" t="inlineStr">
        <is>
          <t>Technical</t>
        </is>
      </c>
      <c r="H2016" t="inlineStr">
        <is>
          <t>Yes</t>
        </is>
      </c>
      <c r="I2016" t="inlineStr">
        <is>
          <t>2023-08-17</t>
        </is>
      </c>
      <c r="J2016" t="inlineStr">
        <is>
          <t>EDI</t>
        </is>
      </c>
    </row>
    <row r="2017">
      <c r="A2017" t="n">
        <v/>
      </c>
      <c r="B2017" t="n">
        <v>1033266</v>
      </c>
      <c r="C2017" t="inlineStr">
        <is>
          <t>SQL</t>
        </is>
      </c>
      <c r="D2017" t="inlineStr">
        <is>
          <t>Secondary</t>
        </is>
      </c>
      <c r="E2017" t="inlineStr">
        <is>
          <t>Beginner</t>
        </is>
      </c>
      <c r="F2017" t="n">
        <v>0.6</v>
      </c>
      <c r="G2017" t="inlineStr">
        <is>
          <t>Technical</t>
        </is>
      </c>
      <c r="H2017" t="inlineStr">
        <is>
          <t>Yes</t>
        </is>
      </c>
      <c r="I2017" t="inlineStr">
        <is>
          <t>2023-08-17</t>
        </is>
      </c>
      <c r="J2017" t="inlineStr">
        <is>
          <t>EDI</t>
        </is>
      </c>
    </row>
    <row r="2018">
      <c r="A2018" t="n">
        <v/>
      </c>
      <c r="B2018" t="n">
        <v>1033266</v>
      </c>
      <c r="C2018" t="inlineStr">
        <is>
          <t>Docker</t>
        </is>
      </c>
      <c r="D2018" t="inlineStr">
        <is>
          <t>Secondary</t>
        </is>
      </c>
      <c r="E2018" t="inlineStr">
        <is>
          <t>Beginner</t>
        </is>
      </c>
      <c r="F2018" t="n">
        <v>0.5</v>
      </c>
      <c r="G2018" t="inlineStr">
        <is>
          <t>Technical</t>
        </is>
      </c>
      <c r="H2018" t="inlineStr">
        <is>
          <t>Yes</t>
        </is>
      </c>
      <c r="I2018" t="inlineStr">
        <is>
          <t>2023-08-17</t>
        </is>
      </c>
      <c r="J2018" t="inlineStr">
        <is>
          <t>EDI</t>
        </is>
      </c>
    </row>
    <row r="2019">
      <c r="A2019" t="n">
        <v/>
      </c>
      <c r="B2019" t="n">
        <v>1027422</v>
      </c>
      <c r="C2019" t="inlineStr">
        <is>
          <t>Java / Spring Boot</t>
        </is>
      </c>
      <c r="D2019" t="inlineStr">
        <is>
          <t>Primary</t>
        </is>
      </c>
      <c r="E2019" t="inlineStr">
        <is>
          <t>Advanced</t>
        </is>
      </c>
      <c r="F2019" t="n">
        <v>6.2</v>
      </c>
      <c r="G2019" t="inlineStr">
        <is>
          <t>Technical</t>
        </is>
      </c>
      <c r="H2019" t="inlineStr">
        <is>
          <t>Yes</t>
        </is>
      </c>
      <c r="I2019" t="inlineStr">
        <is>
          <t>2021-12-01</t>
        </is>
      </c>
      <c r="J2019" t="inlineStr">
        <is>
          <t>Data Management</t>
        </is>
      </c>
    </row>
    <row r="2020">
      <c r="A2020" t="n">
        <v/>
      </c>
      <c r="B2020" t="n">
        <v>1027422</v>
      </c>
      <c r="C2020" t="inlineStr">
        <is>
          <t>SQL</t>
        </is>
      </c>
      <c r="D2020" t="inlineStr">
        <is>
          <t>Secondary</t>
        </is>
      </c>
      <c r="E2020" t="inlineStr">
        <is>
          <t>Intermediate</t>
        </is>
      </c>
      <c r="F2020" t="n">
        <v>3.7</v>
      </c>
      <c r="G2020" t="inlineStr">
        <is>
          <t>Technical</t>
        </is>
      </c>
      <c r="H2020" t="inlineStr">
        <is>
          <t>Yes</t>
        </is>
      </c>
      <c r="I2020" t="inlineStr">
        <is>
          <t>2021-12-01</t>
        </is>
      </c>
      <c r="J2020" t="inlineStr">
        <is>
          <t>Data Management</t>
        </is>
      </c>
    </row>
    <row r="2021">
      <c r="A2021" t="n">
        <v/>
      </c>
      <c r="B2021" t="n">
        <v>1027422</v>
      </c>
      <c r="C2021" t="inlineStr">
        <is>
          <t>Docker</t>
        </is>
      </c>
      <c r="D2021" t="inlineStr">
        <is>
          <t>Secondary</t>
        </is>
      </c>
      <c r="E2021" t="inlineStr">
        <is>
          <t>Intermediate</t>
        </is>
      </c>
      <c r="F2021" t="n">
        <v>2.8</v>
      </c>
      <c r="G2021" t="inlineStr">
        <is>
          <t>Technical</t>
        </is>
      </c>
      <c r="H2021" t="inlineStr">
        <is>
          <t>Yes</t>
        </is>
      </c>
      <c r="I2021" t="inlineStr">
        <is>
          <t>2021-12-01</t>
        </is>
      </c>
      <c r="J2021" t="inlineStr">
        <is>
          <t>Data Management</t>
        </is>
      </c>
    </row>
    <row r="2022">
      <c r="A2022" t="n">
        <v/>
      </c>
      <c r="B2022" t="n">
        <v>1027422</v>
      </c>
      <c r="C2022" t="inlineStr">
        <is>
          <t>Git</t>
        </is>
      </c>
      <c r="D2022" t="inlineStr">
        <is>
          <t>Secondary</t>
        </is>
      </c>
      <c r="E2022" t="inlineStr">
        <is>
          <t>Intermediate</t>
        </is>
      </c>
      <c r="F2022" t="n">
        <v>1.9</v>
      </c>
      <c r="G2022" t="inlineStr">
        <is>
          <t>Technical</t>
        </is>
      </c>
      <c r="H2022" t="inlineStr">
        <is>
          <t>Yes</t>
        </is>
      </c>
      <c r="I2022" t="inlineStr">
        <is>
          <t>2021-12-01</t>
        </is>
      </c>
      <c r="J2022" t="inlineStr">
        <is>
          <t>Data Management</t>
        </is>
      </c>
    </row>
    <row r="2023">
      <c r="A2023" t="n">
        <v/>
      </c>
      <c r="B2023" t="n">
        <v>1029901</v>
      </c>
      <c r="C2023" t="inlineStr">
        <is>
          <t>Frontend (Angular / TypeScript)</t>
        </is>
      </c>
      <c r="D2023" t="inlineStr">
        <is>
          <t>Primary</t>
        </is>
      </c>
      <c r="E2023" t="inlineStr">
        <is>
          <t>Intermediate</t>
        </is>
      </c>
      <c r="F2023" t="n">
        <v>1.9</v>
      </c>
      <c r="G2023" t="inlineStr">
        <is>
          <t>Technical</t>
        </is>
      </c>
      <c r="H2023" t="inlineStr">
        <is>
          <t>Yes</t>
        </is>
      </c>
      <c r="I2023" t="inlineStr">
        <is>
          <t>2022-08-18</t>
        </is>
      </c>
    </row>
    <row r="2024">
      <c r="A2024" t="n">
        <v/>
      </c>
      <c r="B2024" t="n">
        <v>1029901</v>
      </c>
      <c r="C2024" t="inlineStr">
        <is>
          <t>TypeScript</t>
        </is>
      </c>
      <c r="D2024" t="inlineStr">
        <is>
          <t>Secondary</t>
        </is>
      </c>
      <c r="E2024" t="inlineStr">
        <is>
          <t>Beginner</t>
        </is>
      </c>
      <c r="F2024" t="n">
        <v>1.1</v>
      </c>
      <c r="G2024" t="inlineStr">
        <is>
          <t>Technical</t>
        </is>
      </c>
      <c r="H2024" t="inlineStr">
        <is>
          <t>Yes</t>
        </is>
      </c>
      <c r="I2024" t="inlineStr">
        <is>
          <t>2022-08-18</t>
        </is>
      </c>
    </row>
    <row r="2025">
      <c r="A2025" t="n">
        <v/>
      </c>
      <c r="B2025" t="n">
        <v>1029901</v>
      </c>
      <c r="C2025" t="inlineStr">
        <is>
          <t>JavaScript</t>
        </is>
      </c>
      <c r="D2025" t="inlineStr">
        <is>
          <t>Secondary</t>
        </is>
      </c>
      <c r="E2025" t="inlineStr">
        <is>
          <t>Beginner</t>
        </is>
      </c>
      <c r="F2025" t="n">
        <v>0.9</v>
      </c>
      <c r="G2025" t="inlineStr">
        <is>
          <t>Technical</t>
        </is>
      </c>
      <c r="H2025" t="inlineStr">
        <is>
          <t>Yes</t>
        </is>
      </c>
      <c r="I2025" t="inlineStr">
        <is>
          <t>2022-08-18</t>
        </is>
      </c>
    </row>
    <row r="2026">
      <c r="A2026" t="n">
        <v/>
      </c>
      <c r="B2026" t="n">
        <v>1029876</v>
      </c>
      <c r="C2026" t="inlineStr">
        <is>
          <t>Java / Spring Boot</t>
        </is>
      </c>
      <c r="D2026" t="inlineStr">
        <is>
          <t>Primary</t>
        </is>
      </c>
      <c r="E2026" t="inlineStr">
        <is>
          <t>Intermediate</t>
        </is>
      </c>
      <c r="F2026" t="n">
        <v>1.9</v>
      </c>
      <c r="G2026" t="inlineStr">
        <is>
          <t>Technical</t>
        </is>
      </c>
      <c r="H2026" t="inlineStr">
        <is>
          <t>Yes</t>
        </is>
      </c>
      <c r="I2026" t="inlineStr">
        <is>
          <t>2022-08-18</t>
        </is>
      </c>
      <c r="J2026" t="inlineStr">
        <is>
          <t>TMSIS</t>
        </is>
      </c>
    </row>
    <row r="2027">
      <c r="A2027" t="n">
        <v/>
      </c>
      <c r="B2027" t="n">
        <v>1029876</v>
      </c>
      <c r="C2027" t="inlineStr">
        <is>
          <t>SQL</t>
        </is>
      </c>
      <c r="D2027" t="inlineStr">
        <is>
          <t>Secondary</t>
        </is>
      </c>
      <c r="E2027" t="inlineStr">
        <is>
          <t>Beginner</t>
        </is>
      </c>
      <c r="F2027" t="n">
        <v>1.1</v>
      </c>
      <c r="G2027" t="inlineStr">
        <is>
          <t>Technical</t>
        </is>
      </c>
      <c r="H2027" t="inlineStr">
        <is>
          <t>Yes</t>
        </is>
      </c>
      <c r="I2027" t="inlineStr">
        <is>
          <t>2022-08-18</t>
        </is>
      </c>
      <c r="J2027" t="inlineStr">
        <is>
          <t>TMSIS</t>
        </is>
      </c>
    </row>
    <row r="2028">
      <c r="A2028" t="n">
        <v/>
      </c>
      <c r="B2028" t="n">
        <v>1029876</v>
      </c>
      <c r="C2028" t="inlineStr">
        <is>
          <t>Docker</t>
        </is>
      </c>
      <c r="D2028" t="inlineStr">
        <is>
          <t>Secondary</t>
        </is>
      </c>
      <c r="E2028" t="inlineStr">
        <is>
          <t>Beginner</t>
        </is>
      </c>
      <c r="F2028" t="n">
        <v>0.9</v>
      </c>
      <c r="G2028" t="inlineStr">
        <is>
          <t>Technical</t>
        </is>
      </c>
      <c r="H2028" t="inlineStr">
        <is>
          <t>Yes</t>
        </is>
      </c>
      <c r="I2028" t="inlineStr">
        <is>
          <t>2022-08-18</t>
        </is>
      </c>
      <c r="J2028" t="inlineStr">
        <is>
          <t>TMSIS</t>
        </is>
      </c>
    </row>
    <row r="2029">
      <c r="A2029" t="n">
        <v/>
      </c>
      <c r="B2029" t="n">
        <v>1030295</v>
      </c>
      <c r="C2029" t="inlineStr">
        <is>
          <t>Cloud &amp; DevOps (AWS / K8s)</t>
        </is>
      </c>
      <c r="D2029" t="inlineStr">
        <is>
          <t>Primary</t>
        </is>
      </c>
      <c r="E2029" t="inlineStr">
        <is>
          <t>Intermediate</t>
        </is>
      </c>
      <c r="F2029" t="n">
        <v>1.9</v>
      </c>
      <c r="G2029" t="inlineStr">
        <is>
          <t>Technical</t>
        </is>
      </c>
      <c r="H2029" t="inlineStr">
        <is>
          <t>Yes</t>
        </is>
      </c>
      <c r="I2029" t="inlineStr">
        <is>
          <t>2022-09-15</t>
        </is>
      </c>
    </row>
    <row r="2030">
      <c r="A2030" t="n">
        <v/>
      </c>
      <c r="B2030" t="n">
        <v>1030295</v>
      </c>
      <c r="C2030" t="inlineStr">
        <is>
          <t>Linux</t>
        </is>
      </c>
      <c r="D2030" t="inlineStr">
        <is>
          <t>Secondary</t>
        </is>
      </c>
      <c r="E2030" t="inlineStr">
        <is>
          <t>Beginner</t>
        </is>
      </c>
      <c r="F2030" t="n">
        <v>1.1</v>
      </c>
      <c r="G2030" t="inlineStr">
        <is>
          <t>Technical</t>
        </is>
      </c>
      <c r="H2030" t="inlineStr">
        <is>
          <t>Yes</t>
        </is>
      </c>
      <c r="I2030" t="inlineStr">
        <is>
          <t>2022-09-15</t>
        </is>
      </c>
    </row>
    <row r="2031">
      <c r="A2031" t="n">
        <v/>
      </c>
      <c r="B2031" t="n">
        <v>1030295</v>
      </c>
      <c r="C2031" t="inlineStr">
        <is>
          <t>Docker</t>
        </is>
      </c>
      <c r="D2031" t="inlineStr">
        <is>
          <t>Secondary</t>
        </is>
      </c>
      <c r="E2031" t="inlineStr">
        <is>
          <t>Beginner</t>
        </is>
      </c>
      <c r="F2031" t="n">
        <v>0.9</v>
      </c>
      <c r="G2031" t="inlineStr">
        <is>
          <t>Technical</t>
        </is>
      </c>
      <c r="H2031" t="inlineStr">
        <is>
          <t>Yes</t>
        </is>
      </c>
      <c r="I2031" t="inlineStr">
        <is>
          <t>2022-09-15</t>
        </is>
      </c>
    </row>
    <row r="2032">
      <c r="A2032" t="n">
        <v/>
      </c>
      <c r="B2032" t="n">
        <v>1033214</v>
      </c>
      <c r="C2032" t="inlineStr">
        <is>
          <t>Cloud &amp; DevOps (AWS / K8s)</t>
        </is>
      </c>
      <c r="D2032" t="inlineStr">
        <is>
          <t>Primary</t>
        </is>
      </c>
      <c r="E2032" t="inlineStr">
        <is>
          <t>Intermediate</t>
        </is>
      </c>
      <c r="F2032" t="n">
        <v>1</v>
      </c>
      <c r="G2032" t="inlineStr">
        <is>
          <t>Technical</t>
        </is>
      </c>
      <c r="H2032" t="inlineStr">
        <is>
          <t>Yes</t>
        </is>
      </c>
      <c r="I2032" t="inlineStr">
        <is>
          <t>2023-08-17</t>
        </is>
      </c>
    </row>
    <row r="2033">
      <c r="A2033" t="n">
        <v/>
      </c>
      <c r="B2033" t="n">
        <v>1033214</v>
      </c>
      <c r="C2033" t="inlineStr">
        <is>
          <t>Docker</t>
        </is>
      </c>
      <c r="D2033" t="inlineStr">
        <is>
          <t>Secondary</t>
        </is>
      </c>
      <c r="E2033" t="inlineStr">
        <is>
          <t>Beginner</t>
        </is>
      </c>
      <c r="F2033" t="n">
        <v>0.6</v>
      </c>
      <c r="G2033" t="inlineStr">
        <is>
          <t>Technical</t>
        </is>
      </c>
      <c r="H2033" t="inlineStr">
        <is>
          <t>Yes</t>
        </is>
      </c>
      <c r="I2033" t="inlineStr">
        <is>
          <t>2023-08-17</t>
        </is>
      </c>
    </row>
    <row r="2034">
      <c r="A2034" t="n">
        <v/>
      </c>
      <c r="B2034" t="n">
        <v>1033214</v>
      </c>
      <c r="C2034" t="inlineStr">
        <is>
          <t>Kubernetes</t>
        </is>
      </c>
      <c r="D2034" t="inlineStr">
        <is>
          <t>Secondary</t>
        </is>
      </c>
      <c r="E2034" t="inlineStr">
        <is>
          <t>Beginner</t>
        </is>
      </c>
      <c r="F2034" t="n">
        <v>0.5</v>
      </c>
      <c r="G2034" t="inlineStr">
        <is>
          <t>Technical</t>
        </is>
      </c>
      <c r="H2034" t="inlineStr">
        <is>
          <t>Yes</t>
        </is>
      </c>
      <c r="I2034" t="inlineStr">
        <is>
          <t>2023-08-17</t>
        </is>
      </c>
    </row>
    <row r="2035">
      <c r="A2035" t="n">
        <v/>
      </c>
      <c r="B2035" t="n">
        <v>1030921</v>
      </c>
      <c r="C2035" t="inlineStr">
        <is>
          <t>Frontend (Angular / TypeScript)</t>
        </is>
      </c>
      <c r="D2035" t="inlineStr">
        <is>
          <t>Primary</t>
        </is>
      </c>
      <c r="E2035" t="inlineStr">
        <is>
          <t>Intermediate</t>
        </is>
      </c>
      <c r="F2035" t="n">
        <v>1.7</v>
      </c>
      <c r="G2035" t="inlineStr">
        <is>
          <t>Technical</t>
        </is>
      </c>
      <c r="H2035" t="inlineStr">
        <is>
          <t>Yes</t>
        </is>
      </c>
      <c r="I2035" t="inlineStr">
        <is>
          <t>2022-11-11</t>
        </is>
      </c>
    </row>
    <row r="2036">
      <c r="A2036" t="n">
        <v/>
      </c>
      <c r="B2036" t="n">
        <v>1030921</v>
      </c>
      <c r="C2036" t="inlineStr">
        <is>
          <t>TypeScript</t>
        </is>
      </c>
      <c r="D2036" t="inlineStr">
        <is>
          <t>Secondary</t>
        </is>
      </c>
      <c r="E2036" t="inlineStr">
        <is>
          <t>Beginner</t>
        </is>
      </c>
      <c r="F2036" t="n">
        <v>1</v>
      </c>
      <c r="G2036" t="inlineStr">
        <is>
          <t>Technical</t>
        </is>
      </c>
      <c r="H2036" t="inlineStr">
        <is>
          <t>Yes</t>
        </is>
      </c>
      <c r="I2036" t="inlineStr">
        <is>
          <t>2022-11-11</t>
        </is>
      </c>
    </row>
    <row r="2037">
      <c r="A2037" t="n">
        <v/>
      </c>
      <c r="B2037" t="n">
        <v>1030921</v>
      </c>
      <c r="C2037" t="inlineStr">
        <is>
          <t>JavaScript</t>
        </is>
      </c>
      <c r="D2037" t="inlineStr">
        <is>
          <t>Secondary</t>
        </is>
      </c>
      <c r="E2037" t="inlineStr">
        <is>
          <t>Beginner</t>
        </is>
      </c>
      <c r="F2037" t="n">
        <v>0.8</v>
      </c>
      <c r="G2037" t="inlineStr">
        <is>
          <t>Technical</t>
        </is>
      </c>
      <c r="H2037" t="inlineStr">
        <is>
          <t>Yes</t>
        </is>
      </c>
      <c r="I2037" t="inlineStr">
        <is>
          <t>2022-11-11</t>
        </is>
      </c>
    </row>
    <row r="2038">
      <c r="A2038" t="n">
        <v/>
      </c>
      <c r="B2038" t="n">
        <v>1030900</v>
      </c>
      <c r="C2038" t="inlineStr">
        <is>
          <t>Python / Data Engineering</t>
        </is>
      </c>
      <c r="D2038" t="inlineStr">
        <is>
          <t>Primary</t>
        </is>
      </c>
      <c r="E2038" t="inlineStr">
        <is>
          <t>Intermediate</t>
        </is>
      </c>
      <c r="F2038" t="n">
        <v>1.7</v>
      </c>
      <c r="G2038" t="inlineStr">
        <is>
          <t>Technical</t>
        </is>
      </c>
      <c r="H2038" t="inlineStr">
        <is>
          <t>Yes</t>
        </is>
      </c>
      <c r="I2038" t="inlineStr">
        <is>
          <t>2022-11-11</t>
        </is>
      </c>
    </row>
    <row r="2039">
      <c r="A2039" t="n">
        <v/>
      </c>
      <c r="B2039" t="n">
        <v>1030900</v>
      </c>
      <c r="C2039" t="inlineStr">
        <is>
          <t>SQL</t>
        </is>
      </c>
      <c r="D2039" t="inlineStr">
        <is>
          <t>Secondary</t>
        </is>
      </c>
      <c r="E2039" t="inlineStr">
        <is>
          <t>Beginner</t>
        </is>
      </c>
      <c r="F2039" t="n">
        <v>1</v>
      </c>
      <c r="G2039" t="inlineStr">
        <is>
          <t>Technical</t>
        </is>
      </c>
      <c r="H2039" t="inlineStr">
        <is>
          <t>Yes</t>
        </is>
      </c>
      <c r="I2039" t="inlineStr">
        <is>
          <t>2022-11-11</t>
        </is>
      </c>
    </row>
    <row r="2040">
      <c r="A2040" t="n">
        <v/>
      </c>
      <c r="B2040" t="n">
        <v>1030900</v>
      </c>
      <c r="C2040" t="inlineStr">
        <is>
          <t>Docker</t>
        </is>
      </c>
      <c r="D2040" t="inlineStr">
        <is>
          <t>Secondary</t>
        </is>
      </c>
      <c r="E2040" t="inlineStr">
        <is>
          <t>Beginner</t>
        </is>
      </c>
      <c r="F2040" t="n">
        <v>0.8</v>
      </c>
      <c r="G2040" t="inlineStr">
        <is>
          <t>Technical</t>
        </is>
      </c>
      <c r="H2040" t="inlineStr">
        <is>
          <t>Yes</t>
        </is>
      </c>
      <c r="I2040" t="inlineStr">
        <is>
          <t>2022-11-11</t>
        </is>
      </c>
    </row>
    <row r="2041">
      <c r="A2041" t="n">
        <v/>
      </c>
      <c r="B2041" t="n">
        <v>1033243</v>
      </c>
      <c r="C2041" t="inlineStr">
        <is>
          <t>Database &amp; SQL Architecture</t>
        </is>
      </c>
      <c r="D2041" t="inlineStr">
        <is>
          <t>Primary</t>
        </is>
      </c>
      <c r="E2041" t="inlineStr">
        <is>
          <t>Intermediate</t>
        </is>
      </c>
      <c r="F2041" t="n">
        <v>1</v>
      </c>
      <c r="G2041" t="inlineStr">
        <is>
          <t>Technical</t>
        </is>
      </c>
      <c r="H2041" t="inlineStr">
        <is>
          <t>Yes</t>
        </is>
      </c>
      <c r="I2041" t="inlineStr">
        <is>
          <t>2023-08-17</t>
        </is>
      </c>
    </row>
    <row r="2042">
      <c r="A2042" t="n">
        <v/>
      </c>
      <c r="B2042" t="n">
        <v>1033243</v>
      </c>
      <c r="C2042" t="inlineStr">
        <is>
          <t>PostgreSQL</t>
        </is>
      </c>
      <c r="D2042" t="inlineStr">
        <is>
          <t>Secondary</t>
        </is>
      </c>
      <c r="E2042" t="inlineStr">
        <is>
          <t>Beginner</t>
        </is>
      </c>
      <c r="F2042" t="n">
        <v>0.6</v>
      </c>
      <c r="G2042" t="inlineStr">
        <is>
          <t>Technical</t>
        </is>
      </c>
      <c r="H2042" t="inlineStr">
        <is>
          <t>Yes</t>
        </is>
      </c>
      <c r="I2042" t="inlineStr">
        <is>
          <t>2023-08-17</t>
        </is>
      </c>
    </row>
    <row r="2043">
      <c r="A2043" t="n">
        <v/>
      </c>
      <c r="B2043" t="n">
        <v>1033243</v>
      </c>
      <c r="C2043" t="inlineStr">
        <is>
          <t>Oracle</t>
        </is>
      </c>
      <c r="D2043" t="inlineStr">
        <is>
          <t>Secondary</t>
        </is>
      </c>
      <c r="E2043" t="inlineStr">
        <is>
          <t>Beginner</t>
        </is>
      </c>
      <c r="F2043" t="n">
        <v>0.5</v>
      </c>
      <c r="G2043" t="inlineStr">
        <is>
          <t>Technical</t>
        </is>
      </c>
      <c r="H2043" t="inlineStr">
        <is>
          <t>Yes</t>
        </is>
      </c>
      <c r="I2043" t="inlineStr">
        <is>
          <t>2023-08-17</t>
        </is>
      </c>
    </row>
    <row r="2044">
      <c r="A2044" t="n">
        <v/>
      </c>
      <c r="B2044" t="n">
        <v>1029529</v>
      </c>
      <c r="C2044" t="inlineStr">
        <is>
          <t>Cloud &amp; DevOps (AWS / K8s)</t>
        </is>
      </c>
      <c r="D2044" t="inlineStr">
        <is>
          <t>Primary</t>
        </is>
      </c>
      <c r="E2044" t="inlineStr">
        <is>
          <t>Intermediate</t>
        </is>
      </c>
      <c r="F2044" t="n">
        <v>2</v>
      </c>
      <c r="G2044" t="inlineStr">
        <is>
          <t>Technical</t>
        </is>
      </c>
      <c r="H2044" t="inlineStr">
        <is>
          <t>Yes</t>
        </is>
      </c>
      <c r="I2044" t="inlineStr">
        <is>
          <t>2022-07-15</t>
        </is>
      </c>
    </row>
    <row r="2045">
      <c r="A2045" t="n">
        <v/>
      </c>
      <c r="B2045" t="n">
        <v>1029529</v>
      </c>
      <c r="C2045" t="inlineStr">
        <is>
          <t>Docker</t>
        </is>
      </c>
      <c r="D2045" t="inlineStr">
        <is>
          <t>Secondary</t>
        </is>
      </c>
      <c r="E2045" t="inlineStr">
        <is>
          <t>Beginner</t>
        </is>
      </c>
      <c r="F2045" t="n">
        <v>1.2</v>
      </c>
      <c r="G2045" t="inlineStr">
        <is>
          <t>Technical</t>
        </is>
      </c>
      <c r="H2045" t="inlineStr">
        <is>
          <t>Yes</t>
        </is>
      </c>
      <c r="I2045" t="inlineStr">
        <is>
          <t>2022-07-15</t>
        </is>
      </c>
    </row>
    <row r="2046">
      <c r="A2046" t="n">
        <v/>
      </c>
      <c r="B2046" t="n">
        <v>1029529</v>
      </c>
      <c r="C2046" t="inlineStr">
        <is>
          <t>Kubernetes</t>
        </is>
      </c>
      <c r="D2046" t="inlineStr">
        <is>
          <t>Secondary</t>
        </is>
      </c>
      <c r="E2046" t="inlineStr">
        <is>
          <t>Beginner</t>
        </is>
      </c>
      <c r="F2046" t="n">
        <v>0.9</v>
      </c>
      <c r="G2046" t="inlineStr">
        <is>
          <t>Technical</t>
        </is>
      </c>
      <c r="H2046" t="inlineStr">
        <is>
          <t>Yes</t>
        </is>
      </c>
      <c r="I2046" t="inlineStr">
        <is>
          <t>2022-07-15</t>
        </is>
      </c>
    </row>
    <row r="2047">
      <c r="A2047" t="n">
        <v/>
      </c>
      <c r="B2047" t="n">
        <v>1029305</v>
      </c>
      <c r="C2047" t="inlineStr">
        <is>
          <t>Python / Data Engineering</t>
        </is>
      </c>
      <c r="D2047" t="inlineStr">
        <is>
          <t>Primary</t>
        </is>
      </c>
      <c r="E2047" t="inlineStr">
        <is>
          <t>Intermediate</t>
        </is>
      </c>
      <c r="F2047" t="n">
        <v>2.1</v>
      </c>
      <c r="G2047" t="inlineStr">
        <is>
          <t>Technical</t>
        </is>
      </c>
      <c r="H2047" t="inlineStr">
        <is>
          <t>Yes</t>
        </is>
      </c>
      <c r="I2047" t="inlineStr">
        <is>
          <t>2022-06-17</t>
        </is>
      </c>
    </row>
    <row r="2048">
      <c r="A2048" t="n">
        <v/>
      </c>
      <c r="B2048" t="n">
        <v>1029305</v>
      </c>
      <c r="C2048" t="inlineStr">
        <is>
          <t>SQL</t>
        </is>
      </c>
      <c r="D2048" t="inlineStr">
        <is>
          <t>Secondary</t>
        </is>
      </c>
      <c r="E2048" t="inlineStr">
        <is>
          <t>Beginner</t>
        </is>
      </c>
      <c r="F2048" t="n">
        <v>1.3</v>
      </c>
      <c r="G2048" t="inlineStr">
        <is>
          <t>Technical</t>
        </is>
      </c>
      <c r="H2048" t="inlineStr">
        <is>
          <t>Yes</t>
        </is>
      </c>
      <c r="I2048" t="inlineStr">
        <is>
          <t>2022-06-17</t>
        </is>
      </c>
    </row>
    <row r="2049">
      <c r="A2049" t="n">
        <v/>
      </c>
      <c r="B2049" t="n">
        <v>1029305</v>
      </c>
      <c r="C2049" t="inlineStr">
        <is>
          <t>Docker</t>
        </is>
      </c>
      <c r="D2049" t="inlineStr">
        <is>
          <t>Secondary</t>
        </is>
      </c>
      <c r="E2049" t="inlineStr">
        <is>
          <t>Beginner</t>
        </is>
      </c>
      <c r="F2049" t="n">
        <v>0.9</v>
      </c>
      <c r="G2049" t="inlineStr">
        <is>
          <t>Technical</t>
        </is>
      </c>
      <c r="H2049" t="inlineStr">
        <is>
          <t>Yes</t>
        </is>
      </c>
      <c r="I2049" t="inlineStr">
        <is>
          <t>2022-06-17</t>
        </is>
      </c>
    </row>
    <row r="2050">
      <c r="A2050" t="n">
        <v/>
      </c>
      <c r="B2050" t="n">
        <v>1029914</v>
      </c>
      <c r="C2050" t="inlineStr">
        <is>
          <t>Cloud &amp; DevOps (AWS / K8s)</t>
        </is>
      </c>
      <c r="D2050" t="inlineStr">
        <is>
          <t>Primary</t>
        </is>
      </c>
      <c r="E2050" t="inlineStr">
        <is>
          <t>Intermediate</t>
        </is>
      </c>
      <c r="F2050" t="n">
        <v>1.9</v>
      </c>
      <c r="G2050" t="inlineStr">
        <is>
          <t>Technical</t>
        </is>
      </c>
      <c r="H2050" t="inlineStr">
        <is>
          <t>Yes</t>
        </is>
      </c>
      <c r="I2050" t="inlineStr">
        <is>
          <t>2022-08-18</t>
        </is>
      </c>
    </row>
    <row r="2051">
      <c r="A2051" t="n">
        <v/>
      </c>
      <c r="B2051" t="n">
        <v>1029914</v>
      </c>
      <c r="C2051" t="inlineStr">
        <is>
          <t>Docker</t>
        </is>
      </c>
      <c r="D2051" t="inlineStr">
        <is>
          <t>Secondary</t>
        </is>
      </c>
      <c r="E2051" t="inlineStr">
        <is>
          <t>Beginner</t>
        </is>
      </c>
      <c r="F2051" t="n">
        <v>1.1</v>
      </c>
      <c r="G2051" t="inlineStr">
        <is>
          <t>Technical</t>
        </is>
      </c>
      <c r="H2051" t="inlineStr">
        <is>
          <t>Yes</t>
        </is>
      </c>
      <c r="I2051" t="inlineStr">
        <is>
          <t>2022-08-18</t>
        </is>
      </c>
    </row>
    <row r="2052">
      <c r="A2052" t="n">
        <v/>
      </c>
      <c r="B2052" t="n">
        <v>1029914</v>
      </c>
      <c r="C2052" t="inlineStr">
        <is>
          <t>Kubernetes</t>
        </is>
      </c>
      <c r="D2052" t="inlineStr">
        <is>
          <t>Secondary</t>
        </is>
      </c>
      <c r="E2052" t="inlineStr">
        <is>
          <t>Beginner</t>
        </is>
      </c>
      <c r="F2052" t="n">
        <v>0.9</v>
      </c>
      <c r="G2052" t="inlineStr">
        <is>
          <t>Technical</t>
        </is>
      </c>
      <c r="H2052" t="inlineStr">
        <is>
          <t>Yes</t>
        </is>
      </c>
      <c r="I2052" t="inlineStr">
        <is>
          <t>2022-08-18</t>
        </is>
      </c>
    </row>
    <row r="2053">
      <c r="A2053" t="n">
        <v/>
      </c>
      <c r="B2053" t="n">
        <v>1033208</v>
      </c>
      <c r="C2053" t="inlineStr">
        <is>
          <t>Database &amp; SQL Architecture</t>
        </is>
      </c>
      <c r="D2053" t="inlineStr">
        <is>
          <t>Primary</t>
        </is>
      </c>
      <c r="E2053" t="inlineStr">
        <is>
          <t>Intermediate</t>
        </is>
      </c>
      <c r="F2053" t="n">
        <v>1</v>
      </c>
      <c r="G2053" t="inlineStr">
        <is>
          <t>Technical</t>
        </is>
      </c>
      <c r="H2053" t="inlineStr">
        <is>
          <t>Yes</t>
        </is>
      </c>
      <c r="I2053" t="inlineStr">
        <is>
          <t>2023-08-17</t>
        </is>
      </c>
    </row>
    <row r="2054">
      <c r="A2054" t="n">
        <v/>
      </c>
      <c r="B2054" t="n">
        <v>1033208</v>
      </c>
      <c r="C2054" t="inlineStr">
        <is>
          <t>PostgreSQL</t>
        </is>
      </c>
      <c r="D2054" t="inlineStr">
        <is>
          <t>Secondary</t>
        </is>
      </c>
      <c r="E2054" t="inlineStr">
        <is>
          <t>Beginner</t>
        </is>
      </c>
      <c r="F2054" t="n">
        <v>0.6</v>
      </c>
      <c r="G2054" t="inlineStr">
        <is>
          <t>Technical</t>
        </is>
      </c>
      <c r="H2054" t="inlineStr">
        <is>
          <t>Yes</t>
        </is>
      </c>
      <c r="I2054" t="inlineStr">
        <is>
          <t>2023-08-17</t>
        </is>
      </c>
    </row>
    <row r="2055">
      <c r="A2055" t="n">
        <v/>
      </c>
      <c r="B2055" t="n">
        <v>1033208</v>
      </c>
      <c r="C2055" t="inlineStr">
        <is>
          <t>Oracle</t>
        </is>
      </c>
      <c r="D2055" t="inlineStr">
        <is>
          <t>Secondary</t>
        </is>
      </c>
      <c r="E2055" t="inlineStr">
        <is>
          <t>Beginner</t>
        </is>
      </c>
      <c r="F2055" t="n">
        <v>0.5</v>
      </c>
      <c r="G2055" t="inlineStr">
        <is>
          <t>Technical</t>
        </is>
      </c>
      <c r="H2055" t="inlineStr">
        <is>
          <t>Yes</t>
        </is>
      </c>
      <c r="I2055" t="inlineStr">
        <is>
          <t>2023-08-17</t>
        </is>
      </c>
    </row>
    <row r="2056">
      <c r="A2056" t="n">
        <v/>
      </c>
      <c r="B2056" t="n">
        <v>1029533</v>
      </c>
      <c r="C2056" t="inlineStr">
        <is>
          <t>Database &amp; SQL Architecture</t>
        </is>
      </c>
      <c r="D2056" t="inlineStr">
        <is>
          <t>Primary</t>
        </is>
      </c>
      <c r="E2056" t="inlineStr">
        <is>
          <t>Intermediate</t>
        </is>
      </c>
      <c r="F2056" t="n">
        <v>2</v>
      </c>
      <c r="G2056" t="inlineStr">
        <is>
          <t>Technical</t>
        </is>
      </c>
      <c r="H2056" t="inlineStr">
        <is>
          <t>Yes</t>
        </is>
      </c>
      <c r="I2056" t="inlineStr">
        <is>
          <t>2022-07-15</t>
        </is>
      </c>
    </row>
    <row r="2057">
      <c r="A2057" t="n">
        <v/>
      </c>
      <c r="B2057" t="n">
        <v>1029533</v>
      </c>
      <c r="C2057" t="inlineStr">
        <is>
          <t>PostgreSQL</t>
        </is>
      </c>
      <c r="D2057" t="inlineStr">
        <is>
          <t>Secondary</t>
        </is>
      </c>
      <c r="E2057" t="inlineStr">
        <is>
          <t>Beginner</t>
        </is>
      </c>
      <c r="F2057" t="n">
        <v>1.2</v>
      </c>
      <c r="G2057" t="inlineStr">
        <is>
          <t>Technical</t>
        </is>
      </c>
      <c r="H2057" t="inlineStr">
        <is>
          <t>Yes</t>
        </is>
      </c>
      <c r="I2057" t="inlineStr">
        <is>
          <t>2022-07-15</t>
        </is>
      </c>
    </row>
    <row r="2058">
      <c r="A2058" t="n">
        <v/>
      </c>
      <c r="B2058" t="n">
        <v>1029533</v>
      </c>
      <c r="C2058" t="inlineStr">
        <is>
          <t>Oracle</t>
        </is>
      </c>
      <c r="D2058" t="inlineStr">
        <is>
          <t>Secondary</t>
        </is>
      </c>
      <c r="E2058" t="inlineStr">
        <is>
          <t>Beginner</t>
        </is>
      </c>
      <c r="F2058" t="n">
        <v>0.9</v>
      </c>
      <c r="G2058" t="inlineStr">
        <is>
          <t>Technical</t>
        </is>
      </c>
      <c r="H2058" t="inlineStr">
        <is>
          <t>Yes</t>
        </is>
      </c>
      <c r="I2058" t="inlineStr">
        <is>
          <t>2022-07-15</t>
        </is>
      </c>
    </row>
    <row r="2059">
      <c r="A2059" t="n">
        <v/>
      </c>
      <c r="B2059" t="n">
        <v>1029868</v>
      </c>
      <c r="C2059" t="inlineStr">
        <is>
          <t>Database &amp; SQL Architecture</t>
        </is>
      </c>
      <c r="D2059" t="inlineStr">
        <is>
          <t>Primary</t>
        </is>
      </c>
      <c r="E2059" t="inlineStr">
        <is>
          <t>Intermediate</t>
        </is>
      </c>
      <c r="F2059" t="n">
        <v>1.9</v>
      </c>
      <c r="G2059" t="inlineStr">
        <is>
          <t>Technical</t>
        </is>
      </c>
      <c r="H2059" t="inlineStr">
        <is>
          <t>Yes</t>
        </is>
      </c>
      <c r="I2059" t="inlineStr">
        <is>
          <t>2022-08-18</t>
        </is>
      </c>
    </row>
    <row r="2060">
      <c r="A2060" t="n">
        <v/>
      </c>
      <c r="B2060" t="n">
        <v>1029868</v>
      </c>
      <c r="C2060" t="inlineStr">
        <is>
          <t>PostgreSQL</t>
        </is>
      </c>
      <c r="D2060" t="inlineStr">
        <is>
          <t>Secondary</t>
        </is>
      </c>
      <c r="E2060" t="inlineStr">
        <is>
          <t>Beginner</t>
        </is>
      </c>
      <c r="F2060" t="n">
        <v>1.1</v>
      </c>
      <c r="G2060" t="inlineStr">
        <is>
          <t>Technical</t>
        </is>
      </c>
      <c r="H2060" t="inlineStr">
        <is>
          <t>Yes</t>
        </is>
      </c>
      <c r="I2060" t="inlineStr">
        <is>
          <t>2022-08-18</t>
        </is>
      </c>
    </row>
    <row r="2061">
      <c r="A2061" t="n">
        <v/>
      </c>
      <c r="B2061" t="n">
        <v>1029868</v>
      </c>
      <c r="C2061" t="inlineStr">
        <is>
          <t>Oracle</t>
        </is>
      </c>
      <c r="D2061" t="inlineStr">
        <is>
          <t>Secondary</t>
        </is>
      </c>
      <c r="E2061" t="inlineStr">
        <is>
          <t>Beginner</t>
        </is>
      </c>
      <c r="F2061" t="n">
        <v>0.9</v>
      </c>
      <c r="G2061" t="inlineStr">
        <is>
          <t>Technical</t>
        </is>
      </c>
      <c r="H2061" t="inlineStr">
        <is>
          <t>Yes</t>
        </is>
      </c>
      <c r="I2061" t="inlineStr">
        <is>
          <t>2022-08-18</t>
        </is>
      </c>
    </row>
    <row r="2062">
      <c r="A2062" t="n">
        <v/>
      </c>
      <c r="B2062" t="n">
        <v>1033263</v>
      </c>
      <c r="C2062" t="inlineStr">
        <is>
          <t>Database &amp; SQL Architecture</t>
        </is>
      </c>
      <c r="D2062" t="inlineStr">
        <is>
          <t>Primary</t>
        </is>
      </c>
      <c r="E2062" t="inlineStr">
        <is>
          <t>Intermediate</t>
        </is>
      </c>
      <c r="F2062" t="n">
        <v>1</v>
      </c>
      <c r="G2062" t="inlineStr">
        <is>
          <t>Technical</t>
        </is>
      </c>
      <c r="H2062" t="inlineStr">
        <is>
          <t>Yes</t>
        </is>
      </c>
      <c r="I2062" t="inlineStr">
        <is>
          <t>2023-08-17</t>
        </is>
      </c>
    </row>
    <row r="2063">
      <c r="A2063" t="n">
        <v/>
      </c>
      <c r="B2063" t="n">
        <v>1033263</v>
      </c>
      <c r="C2063" t="inlineStr">
        <is>
          <t>PostgreSQL</t>
        </is>
      </c>
      <c r="D2063" t="inlineStr">
        <is>
          <t>Secondary</t>
        </is>
      </c>
      <c r="E2063" t="inlineStr">
        <is>
          <t>Beginner</t>
        </is>
      </c>
      <c r="F2063" t="n">
        <v>0.6</v>
      </c>
      <c r="G2063" t="inlineStr">
        <is>
          <t>Technical</t>
        </is>
      </c>
      <c r="H2063" t="inlineStr">
        <is>
          <t>Yes</t>
        </is>
      </c>
      <c r="I2063" t="inlineStr">
        <is>
          <t>2023-08-17</t>
        </is>
      </c>
    </row>
    <row r="2064">
      <c r="A2064" t="n">
        <v/>
      </c>
      <c r="B2064" t="n">
        <v>1033263</v>
      </c>
      <c r="C2064" t="inlineStr">
        <is>
          <t>Oracle</t>
        </is>
      </c>
      <c r="D2064" t="inlineStr">
        <is>
          <t>Secondary</t>
        </is>
      </c>
      <c r="E2064" t="inlineStr">
        <is>
          <t>Beginner</t>
        </is>
      </c>
      <c r="F2064" t="n">
        <v>0.5</v>
      </c>
      <c r="G2064" t="inlineStr">
        <is>
          <t>Technical</t>
        </is>
      </c>
      <c r="H2064" t="inlineStr">
        <is>
          <t>Yes</t>
        </is>
      </c>
      <c r="I2064" t="inlineStr">
        <is>
          <t>2023-08-17</t>
        </is>
      </c>
    </row>
    <row r="2065">
      <c r="A2065" t="n">
        <v/>
      </c>
      <c r="B2065" t="n">
        <v>1033225</v>
      </c>
      <c r="C2065" t="inlineStr">
        <is>
          <t>Python / Data Engineering</t>
        </is>
      </c>
      <c r="D2065" t="inlineStr">
        <is>
          <t>Primary</t>
        </is>
      </c>
      <c r="E2065" t="inlineStr">
        <is>
          <t>Intermediate</t>
        </is>
      </c>
      <c r="F2065" t="n">
        <v>1</v>
      </c>
      <c r="G2065" t="inlineStr">
        <is>
          <t>Technical</t>
        </is>
      </c>
      <c r="H2065" t="inlineStr">
        <is>
          <t>Yes</t>
        </is>
      </c>
      <c r="I2065" t="inlineStr">
        <is>
          <t>2023-08-17</t>
        </is>
      </c>
    </row>
    <row r="2066">
      <c r="A2066" t="n">
        <v/>
      </c>
      <c r="B2066" t="n">
        <v>1033225</v>
      </c>
      <c r="C2066" t="inlineStr">
        <is>
          <t>SQL</t>
        </is>
      </c>
      <c r="D2066" t="inlineStr">
        <is>
          <t>Secondary</t>
        </is>
      </c>
      <c r="E2066" t="inlineStr">
        <is>
          <t>Beginner</t>
        </is>
      </c>
      <c r="F2066" t="n">
        <v>0.6</v>
      </c>
      <c r="G2066" t="inlineStr">
        <is>
          <t>Technical</t>
        </is>
      </c>
      <c r="H2066" t="inlineStr">
        <is>
          <t>Yes</t>
        </is>
      </c>
      <c r="I2066" t="inlineStr">
        <is>
          <t>2023-08-17</t>
        </is>
      </c>
    </row>
    <row r="2067">
      <c r="A2067" t="n">
        <v/>
      </c>
      <c r="B2067" t="n">
        <v>1033225</v>
      </c>
      <c r="C2067" t="inlineStr">
        <is>
          <t>Docker</t>
        </is>
      </c>
      <c r="D2067" t="inlineStr">
        <is>
          <t>Secondary</t>
        </is>
      </c>
      <c r="E2067" t="inlineStr">
        <is>
          <t>Beginner</t>
        </is>
      </c>
      <c r="F2067" t="n">
        <v>0.5</v>
      </c>
      <c r="G2067" t="inlineStr">
        <is>
          <t>Technical</t>
        </is>
      </c>
      <c r="H2067" t="inlineStr">
        <is>
          <t>Yes</t>
        </is>
      </c>
      <c r="I2067" t="inlineStr">
        <is>
          <t>2023-08-17</t>
        </is>
      </c>
    </row>
    <row r="2068">
      <c r="A2068" t="n">
        <v/>
      </c>
      <c r="B2068" t="n">
        <v>1033249</v>
      </c>
      <c r="C2068" t="inlineStr">
        <is>
          <t>Cloud &amp; DevOps (AWS / K8s)</t>
        </is>
      </c>
      <c r="D2068" t="inlineStr">
        <is>
          <t>Primary</t>
        </is>
      </c>
      <c r="E2068" t="inlineStr">
        <is>
          <t>Intermediate</t>
        </is>
      </c>
      <c r="F2068" t="n">
        <v>1</v>
      </c>
      <c r="G2068" t="inlineStr">
        <is>
          <t>Technical</t>
        </is>
      </c>
      <c r="H2068" t="inlineStr">
        <is>
          <t>Yes</t>
        </is>
      </c>
      <c r="I2068" t="inlineStr">
        <is>
          <t>2023-08-17</t>
        </is>
      </c>
    </row>
    <row r="2069">
      <c r="A2069" t="n">
        <v/>
      </c>
      <c r="B2069" t="n">
        <v>1033249</v>
      </c>
      <c r="C2069" t="inlineStr">
        <is>
          <t>Docker</t>
        </is>
      </c>
      <c r="D2069" t="inlineStr">
        <is>
          <t>Secondary</t>
        </is>
      </c>
      <c r="E2069" t="inlineStr">
        <is>
          <t>Beginner</t>
        </is>
      </c>
      <c r="F2069" t="n">
        <v>0.6</v>
      </c>
      <c r="G2069" t="inlineStr">
        <is>
          <t>Technical</t>
        </is>
      </c>
      <c r="H2069" t="inlineStr">
        <is>
          <t>Yes</t>
        </is>
      </c>
      <c r="I2069" t="inlineStr">
        <is>
          <t>2023-08-17</t>
        </is>
      </c>
    </row>
    <row r="2070">
      <c r="A2070" t="n">
        <v/>
      </c>
      <c r="B2070" t="n">
        <v>1033249</v>
      </c>
      <c r="C2070" t="inlineStr">
        <is>
          <t>Kubernetes</t>
        </is>
      </c>
      <c r="D2070" t="inlineStr">
        <is>
          <t>Secondary</t>
        </is>
      </c>
      <c r="E2070" t="inlineStr">
        <is>
          <t>Beginner</t>
        </is>
      </c>
      <c r="F2070" t="n">
        <v>0.5</v>
      </c>
      <c r="G2070" t="inlineStr">
        <is>
          <t>Technical</t>
        </is>
      </c>
      <c r="H2070" t="inlineStr">
        <is>
          <t>Yes</t>
        </is>
      </c>
      <c r="I2070" t="inlineStr">
        <is>
          <t>2023-08-17</t>
        </is>
      </c>
    </row>
    <row r="2071">
      <c r="A2071" t="n">
        <v/>
      </c>
      <c r="B2071" t="n">
        <v>1033209</v>
      </c>
      <c r="C2071" t="inlineStr">
        <is>
          <t>Cloud &amp; DevOps (AWS / K8s)</t>
        </is>
      </c>
      <c r="D2071" t="inlineStr">
        <is>
          <t>Primary</t>
        </is>
      </c>
      <c r="E2071" t="inlineStr">
        <is>
          <t>Intermediate</t>
        </is>
      </c>
      <c r="F2071" t="n">
        <v>1</v>
      </c>
      <c r="G2071" t="inlineStr">
        <is>
          <t>Technical</t>
        </is>
      </c>
      <c r="H2071" t="inlineStr">
        <is>
          <t>Yes</t>
        </is>
      </c>
      <c r="I2071" t="inlineStr">
        <is>
          <t>2023-08-17</t>
        </is>
      </c>
    </row>
    <row r="2072">
      <c r="A2072" t="n">
        <v/>
      </c>
      <c r="B2072" t="n">
        <v>1033209</v>
      </c>
      <c r="C2072" t="inlineStr">
        <is>
          <t>Docker</t>
        </is>
      </c>
      <c r="D2072" t="inlineStr">
        <is>
          <t>Secondary</t>
        </is>
      </c>
      <c r="E2072" t="inlineStr">
        <is>
          <t>Beginner</t>
        </is>
      </c>
      <c r="F2072" t="n">
        <v>0.6</v>
      </c>
      <c r="G2072" t="inlineStr">
        <is>
          <t>Technical</t>
        </is>
      </c>
      <c r="H2072" t="inlineStr">
        <is>
          <t>Yes</t>
        </is>
      </c>
      <c r="I2072" t="inlineStr">
        <is>
          <t>2023-08-17</t>
        </is>
      </c>
    </row>
    <row r="2073">
      <c r="A2073" t="n">
        <v/>
      </c>
      <c r="B2073" t="n">
        <v>1033209</v>
      </c>
      <c r="C2073" t="inlineStr">
        <is>
          <t>Kubernetes</t>
        </is>
      </c>
      <c r="D2073" t="inlineStr">
        <is>
          <t>Secondary</t>
        </is>
      </c>
      <c r="E2073" t="inlineStr">
        <is>
          <t>Beginner</t>
        </is>
      </c>
      <c r="F2073" t="n">
        <v>0.5</v>
      </c>
      <c r="G2073" t="inlineStr">
        <is>
          <t>Technical</t>
        </is>
      </c>
      <c r="H2073" t="inlineStr">
        <is>
          <t>Yes</t>
        </is>
      </c>
      <c r="I2073" t="inlineStr">
        <is>
          <t>2023-08-17</t>
        </is>
      </c>
    </row>
    <row r="2074">
      <c r="A2074" t="n">
        <v/>
      </c>
      <c r="B2074" t="n">
        <v>1029906</v>
      </c>
      <c r="C2074" t="inlineStr">
        <is>
          <t>Java / Spring Boot</t>
        </is>
      </c>
      <c r="D2074" t="inlineStr">
        <is>
          <t>Primary</t>
        </is>
      </c>
      <c r="E2074" t="inlineStr">
        <is>
          <t>Intermediate</t>
        </is>
      </c>
      <c r="F2074" t="n">
        <v>1.9</v>
      </c>
      <c r="G2074" t="inlineStr">
        <is>
          <t>Technical</t>
        </is>
      </c>
      <c r="H2074" t="inlineStr">
        <is>
          <t>Yes</t>
        </is>
      </c>
      <c r="I2074" t="inlineStr">
        <is>
          <t>2022-08-18</t>
        </is>
      </c>
      <c r="J2074" t="inlineStr">
        <is>
          <t>Claims Payment</t>
        </is>
      </c>
    </row>
    <row r="2075">
      <c r="A2075" t="n">
        <v/>
      </c>
      <c r="B2075" t="n">
        <v>1029906</v>
      </c>
      <c r="C2075" t="inlineStr">
        <is>
          <t>SQL</t>
        </is>
      </c>
      <c r="D2075" t="inlineStr">
        <is>
          <t>Secondary</t>
        </is>
      </c>
      <c r="E2075" t="inlineStr">
        <is>
          <t>Beginner</t>
        </is>
      </c>
      <c r="F2075" t="n">
        <v>1.1</v>
      </c>
      <c r="G2075" t="inlineStr">
        <is>
          <t>Technical</t>
        </is>
      </c>
      <c r="H2075" t="inlineStr">
        <is>
          <t>Yes</t>
        </is>
      </c>
      <c r="I2075" t="inlineStr">
        <is>
          <t>2022-08-18</t>
        </is>
      </c>
      <c r="J2075" t="inlineStr">
        <is>
          <t>Claims Payment</t>
        </is>
      </c>
    </row>
    <row r="2076">
      <c r="A2076" t="n">
        <v/>
      </c>
      <c r="B2076" t="n">
        <v>1029906</v>
      </c>
      <c r="C2076" t="inlineStr">
        <is>
          <t>Docker</t>
        </is>
      </c>
      <c r="D2076" t="inlineStr">
        <is>
          <t>Secondary</t>
        </is>
      </c>
      <c r="E2076" t="inlineStr">
        <is>
          <t>Beginner</t>
        </is>
      </c>
      <c r="F2076" t="n">
        <v>0.9</v>
      </c>
      <c r="G2076" t="inlineStr">
        <is>
          <t>Technical</t>
        </is>
      </c>
      <c r="H2076" t="inlineStr">
        <is>
          <t>Yes</t>
        </is>
      </c>
      <c r="I2076" t="inlineStr">
        <is>
          <t>2022-08-18</t>
        </is>
      </c>
      <c r="J2076" t="inlineStr">
        <is>
          <t>Claims Payment</t>
        </is>
      </c>
    </row>
    <row r="2077">
      <c r="A2077" t="n">
        <v/>
      </c>
      <c r="B2077" t="n">
        <v>1033223</v>
      </c>
      <c r="C2077" t="inlineStr">
        <is>
          <t>Database &amp; SQL Architecture</t>
        </is>
      </c>
      <c r="D2077" t="inlineStr">
        <is>
          <t>Primary</t>
        </is>
      </c>
      <c r="E2077" t="inlineStr">
        <is>
          <t>Intermediate</t>
        </is>
      </c>
      <c r="F2077" t="n">
        <v>1</v>
      </c>
      <c r="G2077" t="inlineStr">
        <is>
          <t>Technical</t>
        </is>
      </c>
      <c r="H2077" t="inlineStr">
        <is>
          <t>Yes</t>
        </is>
      </c>
      <c r="I2077" t="inlineStr">
        <is>
          <t>2023-08-17</t>
        </is>
      </c>
    </row>
    <row r="2078">
      <c r="A2078" t="n">
        <v/>
      </c>
      <c r="B2078" t="n">
        <v>1033223</v>
      </c>
      <c r="C2078" t="inlineStr">
        <is>
          <t>PostgreSQL</t>
        </is>
      </c>
      <c r="D2078" t="inlineStr">
        <is>
          <t>Secondary</t>
        </is>
      </c>
      <c r="E2078" t="inlineStr">
        <is>
          <t>Beginner</t>
        </is>
      </c>
      <c r="F2078" t="n">
        <v>0.6</v>
      </c>
      <c r="G2078" t="inlineStr">
        <is>
          <t>Technical</t>
        </is>
      </c>
      <c r="H2078" t="inlineStr">
        <is>
          <t>Yes</t>
        </is>
      </c>
      <c r="I2078" t="inlineStr">
        <is>
          <t>2023-08-17</t>
        </is>
      </c>
    </row>
    <row r="2079">
      <c r="A2079" t="n">
        <v/>
      </c>
      <c r="B2079" t="n">
        <v>1033223</v>
      </c>
      <c r="C2079" t="inlineStr">
        <is>
          <t>Oracle</t>
        </is>
      </c>
      <c r="D2079" t="inlineStr">
        <is>
          <t>Secondary</t>
        </is>
      </c>
      <c r="E2079" t="inlineStr">
        <is>
          <t>Beginner</t>
        </is>
      </c>
      <c r="F2079" t="n">
        <v>0.5</v>
      </c>
      <c r="G2079" t="inlineStr">
        <is>
          <t>Technical</t>
        </is>
      </c>
      <c r="H2079" t="inlineStr">
        <is>
          <t>Yes</t>
        </is>
      </c>
      <c r="I2079" t="inlineStr">
        <is>
          <t>2023-08-17</t>
        </is>
      </c>
    </row>
    <row r="2080">
      <c r="A2080" t="n">
        <v/>
      </c>
      <c r="B2080" t="n">
        <v>1033264</v>
      </c>
      <c r="C2080" t="inlineStr">
        <is>
          <t>Cloud &amp; DevOps (AWS / K8s)</t>
        </is>
      </c>
      <c r="D2080" t="inlineStr">
        <is>
          <t>Primary</t>
        </is>
      </c>
      <c r="E2080" t="inlineStr">
        <is>
          <t>Intermediate</t>
        </is>
      </c>
      <c r="F2080" t="n">
        <v>1</v>
      </c>
      <c r="G2080" t="inlineStr">
        <is>
          <t>Technical</t>
        </is>
      </c>
      <c r="H2080" t="inlineStr">
        <is>
          <t>Yes</t>
        </is>
      </c>
      <c r="I2080" t="inlineStr">
        <is>
          <t>2023-08-17</t>
        </is>
      </c>
    </row>
    <row r="2081">
      <c r="A2081" t="n">
        <v/>
      </c>
      <c r="B2081" t="n">
        <v>1033264</v>
      </c>
      <c r="C2081" t="inlineStr">
        <is>
          <t>Docker</t>
        </is>
      </c>
      <c r="D2081" t="inlineStr">
        <is>
          <t>Secondary</t>
        </is>
      </c>
      <c r="E2081" t="inlineStr">
        <is>
          <t>Beginner</t>
        </is>
      </c>
      <c r="F2081" t="n">
        <v>0.6</v>
      </c>
      <c r="G2081" t="inlineStr">
        <is>
          <t>Technical</t>
        </is>
      </c>
      <c r="H2081" t="inlineStr">
        <is>
          <t>Yes</t>
        </is>
      </c>
      <c r="I2081" t="inlineStr">
        <is>
          <t>2023-08-17</t>
        </is>
      </c>
    </row>
    <row r="2082">
      <c r="A2082" t="n">
        <v/>
      </c>
      <c r="B2082" t="n">
        <v>1033264</v>
      </c>
      <c r="C2082" t="inlineStr">
        <is>
          <t>Kubernetes</t>
        </is>
      </c>
      <c r="D2082" t="inlineStr">
        <is>
          <t>Secondary</t>
        </is>
      </c>
      <c r="E2082" t="inlineStr">
        <is>
          <t>Beginner</t>
        </is>
      </c>
      <c r="F2082" t="n">
        <v>0.5</v>
      </c>
      <c r="G2082" t="inlineStr">
        <is>
          <t>Technical</t>
        </is>
      </c>
      <c r="H2082" t="inlineStr">
        <is>
          <t>Yes</t>
        </is>
      </c>
      <c r="I2082" t="inlineStr">
        <is>
          <t>2023-08-17</t>
        </is>
      </c>
    </row>
    <row r="2083">
      <c r="A2083" t="n">
        <v/>
      </c>
      <c r="B2083" t="n">
        <v>1033231</v>
      </c>
      <c r="C2083" t="inlineStr">
        <is>
          <t>Frontend (Angular / TypeScript)</t>
        </is>
      </c>
      <c r="D2083" t="inlineStr">
        <is>
          <t>Primary</t>
        </is>
      </c>
      <c r="E2083" t="inlineStr">
        <is>
          <t>Intermediate</t>
        </is>
      </c>
      <c r="F2083" t="n">
        <v>1</v>
      </c>
      <c r="G2083" t="inlineStr">
        <is>
          <t>Technical</t>
        </is>
      </c>
      <c r="H2083" t="inlineStr">
        <is>
          <t>Yes</t>
        </is>
      </c>
      <c r="I2083" t="inlineStr">
        <is>
          <t>2023-08-17</t>
        </is>
      </c>
    </row>
    <row r="2084">
      <c r="A2084" t="n">
        <v/>
      </c>
      <c r="B2084" t="n">
        <v>1033231</v>
      </c>
      <c r="C2084" t="inlineStr">
        <is>
          <t>TypeScript</t>
        </is>
      </c>
      <c r="D2084" t="inlineStr">
        <is>
          <t>Secondary</t>
        </is>
      </c>
      <c r="E2084" t="inlineStr">
        <is>
          <t>Beginner</t>
        </is>
      </c>
      <c r="F2084" t="n">
        <v>0.6</v>
      </c>
      <c r="G2084" t="inlineStr">
        <is>
          <t>Technical</t>
        </is>
      </c>
      <c r="H2084" t="inlineStr">
        <is>
          <t>Yes</t>
        </is>
      </c>
      <c r="I2084" t="inlineStr">
        <is>
          <t>2023-08-17</t>
        </is>
      </c>
    </row>
    <row r="2085">
      <c r="A2085" t="n">
        <v/>
      </c>
      <c r="B2085" t="n">
        <v>1033231</v>
      </c>
      <c r="C2085" t="inlineStr">
        <is>
          <t>JavaScript</t>
        </is>
      </c>
      <c r="D2085" t="inlineStr">
        <is>
          <t>Secondary</t>
        </is>
      </c>
      <c r="E2085" t="inlineStr">
        <is>
          <t>Beginner</t>
        </is>
      </c>
      <c r="F2085" t="n">
        <v>0.5</v>
      </c>
      <c r="G2085" t="inlineStr">
        <is>
          <t>Technical</t>
        </is>
      </c>
      <c r="H2085" t="inlineStr">
        <is>
          <t>Yes</t>
        </is>
      </c>
      <c r="I2085" t="inlineStr">
        <is>
          <t>2023-08-17</t>
        </is>
      </c>
    </row>
    <row r="2086">
      <c r="A2086" t="n">
        <v/>
      </c>
      <c r="B2086" t="n">
        <v>1033236</v>
      </c>
      <c r="C2086" t="inlineStr">
        <is>
          <t>Java / Spring Boot</t>
        </is>
      </c>
      <c r="D2086" t="inlineStr">
        <is>
          <t>Primary</t>
        </is>
      </c>
      <c r="E2086" t="inlineStr">
        <is>
          <t>Intermediate</t>
        </is>
      </c>
      <c r="F2086" t="n">
        <v>1</v>
      </c>
      <c r="G2086" t="inlineStr">
        <is>
          <t>Technical</t>
        </is>
      </c>
      <c r="H2086" t="inlineStr">
        <is>
          <t>Yes</t>
        </is>
      </c>
      <c r="I2086" t="inlineStr">
        <is>
          <t>2023-08-17</t>
        </is>
      </c>
      <c r="J2086" t="inlineStr">
        <is>
          <t>EDI</t>
        </is>
      </c>
    </row>
    <row r="2087">
      <c r="A2087" t="n">
        <v/>
      </c>
      <c r="B2087" t="n">
        <v>1033236</v>
      </c>
      <c r="C2087" t="inlineStr">
        <is>
          <t>SQL</t>
        </is>
      </c>
      <c r="D2087" t="inlineStr">
        <is>
          <t>Secondary</t>
        </is>
      </c>
      <c r="E2087" t="inlineStr">
        <is>
          <t>Beginner</t>
        </is>
      </c>
      <c r="F2087" t="n">
        <v>0.6</v>
      </c>
      <c r="G2087" t="inlineStr">
        <is>
          <t>Technical</t>
        </is>
      </c>
      <c r="H2087" t="inlineStr">
        <is>
          <t>Yes</t>
        </is>
      </c>
      <c r="I2087" t="inlineStr">
        <is>
          <t>2023-08-17</t>
        </is>
      </c>
      <c r="J2087" t="inlineStr">
        <is>
          <t>EDI</t>
        </is>
      </c>
    </row>
    <row r="2088">
      <c r="A2088" t="n">
        <v/>
      </c>
      <c r="B2088" t="n">
        <v>1033236</v>
      </c>
      <c r="C2088" t="inlineStr">
        <is>
          <t>Docker</t>
        </is>
      </c>
      <c r="D2088" t="inlineStr">
        <is>
          <t>Secondary</t>
        </is>
      </c>
      <c r="E2088" t="inlineStr">
        <is>
          <t>Beginner</t>
        </is>
      </c>
      <c r="F2088" t="n">
        <v>0.5</v>
      </c>
      <c r="G2088" t="inlineStr">
        <is>
          <t>Technical</t>
        </is>
      </c>
      <c r="H2088" t="inlineStr">
        <is>
          <t>Yes</t>
        </is>
      </c>
      <c r="I2088" t="inlineStr">
        <is>
          <t>2023-08-17</t>
        </is>
      </c>
      <c r="J2088" t="inlineStr">
        <is>
          <t>EDI</t>
        </is>
      </c>
    </row>
    <row r="2089">
      <c r="A2089" t="n">
        <v/>
      </c>
      <c r="B2089" t="n">
        <v>1033237</v>
      </c>
      <c r="C2089" t="inlineStr">
        <is>
          <t>Fullstack Web (React / Node)</t>
        </is>
      </c>
      <c r="D2089" t="inlineStr">
        <is>
          <t>Primary</t>
        </is>
      </c>
      <c r="E2089" t="inlineStr">
        <is>
          <t>Intermediate</t>
        </is>
      </c>
      <c r="F2089" t="n">
        <v>1</v>
      </c>
      <c r="G2089" t="inlineStr">
        <is>
          <t>Technical</t>
        </is>
      </c>
      <c r="H2089" t="inlineStr">
        <is>
          <t>Yes</t>
        </is>
      </c>
      <c r="I2089" t="inlineStr">
        <is>
          <t>2023-08-17</t>
        </is>
      </c>
    </row>
    <row r="2090">
      <c r="A2090" t="n">
        <v/>
      </c>
      <c r="B2090" t="n">
        <v>1033237</v>
      </c>
      <c r="C2090" t="inlineStr">
        <is>
          <t>JavaScript</t>
        </is>
      </c>
      <c r="D2090" t="inlineStr">
        <is>
          <t>Secondary</t>
        </is>
      </c>
      <c r="E2090" t="inlineStr">
        <is>
          <t>Beginner</t>
        </is>
      </c>
      <c r="F2090" t="n">
        <v>0.6</v>
      </c>
      <c r="G2090" t="inlineStr">
        <is>
          <t>Technical</t>
        </is>
      </c>
      <c r="H2090" t="inlineStr">
        <is>
          <t>Yes</t>
        </is>
      </c>
      <c r="I2090" t="inlineStr">
        <is>
          <t>2023-08-17</t>
        </is>
      </c>
    </row>
    <row r="2091">
      <c r="A2091" t="n">
        <v/>
      </c>
      <c r="B2091" t="n">
        <v>1033237</v>
      </c>
      <c r="C2091" t="inlineStr">
        <is>
          <t>TypeScript</t>
        </is>
      </c>
      <c r="D2091" t="inlineStr">
        <is>
          <t>Secondary</t>
        </is>
      </c>
      <c r="E2091" t="inlineStr">
        <is>
          <t>Beginner</t>
        </is>
      </c>
      <c r="F2091" t="n">
        <v>0.5</v>
      </c>
      <c r="G2091" t="inlineStr">
        <is>
          <t>Technical</t>
        </is>
      </c>
      <c r="H2091" t="inlineStr">
        <is>
          <t>Yes</t>
        </is>
      </c>
      <c r="I2091" t="inlineStr">
        <is>
          <t>2023-08-17</t>
        </is>
      </c>
    </row>
    <row r="2092">
      <c r="A2092" t="n">
        <v/>
      </c>
      <c r="B2092" t="n">
        <v>1033245</v>
      </c>
      <c r="C2092" t="inlineStr">
        <is>
          <t>Python / Data Engineering</t>
        </is>
      </c>
      <c r="D2092" t="inlineStr">
        <is>
          <t>Primary</t>
        </is>
      </c>
      <c r="E2092" t="inlineStr">
        <is>
          <t>Intermediate</t>
        </is>
      </c>
      <c r="F2092" t="n">
        <v>1</v>
      </c>
      <c r="G2092" t="inlineStr">
        <is>
          <t>Technical</t>
        </is>
      </c>
      <c r="H2092" t="inlineStr">
        <is>
          <t>Yes</t>
        </is>
      </c>
      <c r="I2092" t="inlineStr">
        <is>
          <t>2023-08-17</t>
        </is>
      </c>
    </row>
    <row r="2093">
      <c r="A2093" t="n">
        <v/>
      </c>
      <c r="B2093" t="n">
        <v>1033245</v>
      </c>
      <c r="C2093" t="inlineStr">
        <is>
          <t>SQL</t>
        </is>
      </c>
      <c r="D2093" t="inlineStr">
        <is>
          <t>Secondary</t>
        </is>
      </c>
      <c r="E2093" t="inlineStr">
        <is>
          <t>Beginner</t>
        </is>
      </c>
      <c r="F2093" t="n">
        <v>0.6</v>
      </c>
      <c r="G2093" t="inlineStr">
        <is>
          <t>Technical</t>
        </is>
      </c>
      <c r="H2093" t="inlineStr">
        <is>
          <t>Yes</t>
        </is>
      </c>
      <c r="I2093" t="inlineStr">
        <is>
          <t>2023-08-17</t>
        </is>
      </c>
    </row>
    <row r="2094">
      <c r="A2094" t="n">
        <v/>
      </c>
      <c r="B2094" t="n">
        <v>1033245</v>
      </c>
      <c r="C2094" t="inlineStr">
        <is>
          <t>Docker</t>
        </is>
      </c>
      <c r="D2094" t="inlineStr">
        <is>
          <t>Secondary</t>
        </is>
      </c>
      <c r="E2094" t="inlineStr">
        <is>
          <t>Beginner</t>
        </is>
      </c>
      <c r="F2094" t="n">
        <v>0.5</v>
      </c>
      <c r="G2094" t="inlineStr">
        <is>
          <t>Technical</t>
        </is>
      </c>
      <c r="H2094" t="inlineStr">
        <is>
          <t>Yes</t>
        </is>
      </c>
      <c r="I2094" t="inlineStr">
        <is>
          <t>2023-08-17</t>
        </is>
      </c>
    </row>
    <row r="2095">
      <c r="A2095" t="n">
        <v/>
      </c>
      <c r="B2095" t="n">
        <v>1033260</v>
      </c>
      <c r="C2095" t="inlineStr">
        <is>
          <t>Java / Spring Boot</t>
        </is>
      </c>
      <c r="D2095" t="inlineStr">
        <is>
          <t>Primary</t>
        </is>
      </c>
      <c r="E2095" t="inlineStr">
        <is>
          <t>Intermediate</t>
        </is>
      </c>
      <c r="F2095" t="n">
        <v>1</v>
      </c>
      <c r="G2095" t="inlineStr">
        <is>
          <t>Technical</t>
        </is>
      </c>
      <c r="H2095" t="inlineStr">
        <is>
          <t>Yes</t>
        </is>
      </c>
      <c r="I2095" t="inlineStr">
        <is>
          <t>2023-08-17</t>
        </is>
      </c>
      <c r="J2095" t="inlineStr">
        <is>
          <t>Data Management</t>
        </is>
      </c>
    </row>
    <row r="2096">
      <c r="A2096" t="n">
        <v/>
      </c>
      <c r="B2096" t="n">
        <v>1033260</v>
      </c>
      <c r="C2096" t="inlineStr">
        <is>
          <t>SQL</t>
        </is>
      </c>
      <c r="D2096" t="inlineStr">
        <is>
          <t>Secondary</t>
        </is>
      </c>
      <c r="E2096" t="inlineStr">
        <is>
          <t>Beginner</t>
        </is>
      </c>
      <c r="F2096" t="n">
        <v>0.6</v>
      </c>
      <c r="G2096" t="inlineStr">
        <is>
          <t>Technical</t>
        </is>
      </c>
      <c r="H2096" t="inlineStr">
        <is>
          <t>Yes</t>
        </is>
      </c>
      <c r="I2096" t="inlineStr">
        <is>
          <t>2023-08-17</t>
        </is>
      </c>
      <c r="J2096" t="inlineStr">
        <is>
          <t>Data Management</t>
        </is>
      </c>
    </row>
    <row r="2097">
      <c r="A2097" t="n">
        <v/>
      </c>
      <c r="B2097" t="n">
        <v>1033260</v>
      </c>
      <c r="C2097" t="inlineStr">
        <is>
          <t>Docker</t>
        </is>
      </c>
      <c r="D2097" t="inlineStr">
        <is>
          <t>Secondary</t>
        </is>
      </c>
      <c r="E2097" t="inlineStr">
        <is>
          <t>Beginner</t>
        </is>
      </c>
      <c r="F2097" t="n">
        <v>0.5</v>
      </c>
      <c r="G2097" t="inlineStr">
        <is>
          <t>Technical</t>
        </is>
      </c>
      <c r="H2097" t="inlineStr">
        <is>
          <t>Yes</t>
        </is>
      </c>
      <c r="I2097" t="inlineStr">
        <is>
          <t>2023-08-17</t>
        </is>
      </c>
      <c r="J2097" t="inlineStr">
        <is>
          <t>Data Management</t>
        </is>
      </c>
    </row>
    <row r="2098">
      <c r="A2098" t="n">
        <v/>
      </c>
      <c r="B2098" t="n">
        <v>1033213</v>
      </c>
      <c r="C2098" t="inlineStr">
        <is>
          <t>Database &amp; SQL Architecture</t>
        </is>
      </c>
      <c r="D2098" t="inlineStr">
        <is>
          <t>Primary</t>
        </is>
      </c>
      <c r="E2098" t="inlineStr">
        <is>
          <t>Intermediate</t>
        </is>
      </c>
      <c r="F2098" t="n">
        <v>1</v>
      </c>
      <c r="G2098" t="inlineStr">
        <is>
          <t>Technical</t>
        </is>
      </c>
      <c r="H2098" t="inlineStr">
        <is>
          <t>Yes</t>
        </is>
      </c>
      <c r="I2098" t="inlineStr">
        <is>
          <t>2023-08-17</t>
        </is>
      </c>
    </row>
    <row r="2099">
      <c r="A2099" t="n">
        <v/>
      </c>
      <c r="B2099" t="n">
        <v>1033213</v>
      </c>
      <c r="C2099" t="inlineStr">
        <is>
          <t>PostgreSQL</t>
        </is>
      </c>
      <c r="D2099" t="inlineStr">
        <is>
          <t>Secondary</t>
        </is>
      </c>
      <c r="E2099" t="inlineStr">
        <is>
          <t>Beginner</t>
        </is>
      </c>
      <c r="F2099" t="n">
        <v>0.6</v>
      </c>
      <c r="G2099" t="inlineStr">
        <is>
          <t>Technical</t>
        </is>
      </c>
      <c r="H2099" t="inlineStr">
        <is>
          <t>Yes</t>
        </is>
      </c>
      <c r="I2099" t="inlineStr">
        <is>
          <t>2023-08-17</t>
        </is>
      </c>
    </row>
    <row r="2100">
      <c r="A2100" t="n">
        <v/>
      </c>
      <c r="B2100" t="n">
        <v>1033213</v>
      </c>
      <c r="C2100" t="inlineStr">
        <is>
          <t>Oracle</t>
        </is>
      </c>
      <c r="D2100" t="inlineStr">
        <is>
          <t>Secondary</t>
        </is>
      </c>
      <c r="E2100" t="inlineStr">
        <is>
          <t>Beginner</t>
        </is>
      </c>
      <c r="F2100" t="n">
        <v>0.5</v>
      </c>
      <c r="G2100" t="inlineStr">
        <is>
          <t>Technical</t>
        </is>
      </c>
      <c r="H2100" t="inlineStr">
        <is>
          <t>Yes</t>
        </is>
      </c>
      <c r="I2100" t="inlineStr">
        <is>
          <t>2023-08-17</t>
        </is>
      </c>
    </row>
    <row r="2101">
      <c r="A2101" t="n">
        <v/>
      </c>
      <c r="B2101" t="n">
        <v>1033255</v>
      </c>
      <c r="C2101" t="inlineStr">
        <is>
          <t>Cognos BI &amp; Analytics</t>
        </is>
      </c>
      <c r="D2101" t="inlineStr">
        <is>
          <t>Primary</t>
        </is>
      </c>
      <c r="E2101" t="inlineStr">
        <is>
          <t>Intermediate</t>
        </is>
      </c>
      <c r="F2101" t="n">
        <v>1</v>
      </c>
      <c r="G2101" t="inlineStr">
        <is>
          <t>Technical</t>
        </is>
      </c>
      <c r="H2101" t="inlineStr">
        <is>
          <t>Yes</t>
        </is>
      </c>
      <c r="I2101" t="inlineStr">
        <is>
          <t>2023-08-17</t>
        </is>
      </c>
    </row>
    <row r="2102">
      <c r="A2102" t="n">
        <v/>
      </c>
      <c r="B2102" t="n">
        <v>1033255</v>
      </c>
      <c r="C2102" t="inlineStr">
        <is>
          <t>SQL</t>
        </is>
      </c>
      <c r="D2102" t="inlineStr">
        <is>
          <t>Secondary</t>
        </is>
      </c>
      <c r="E2102" t="inlineStr">
        <is>
          <t>Beginner</t>
        </is>
      </c>
      <c r="F2102" t="n">
        <v>0.6</v>
      </c>
      <c r="G2102" t="inlineStr">
        <is>
          <t>Technical</t>
        </is>
      </c>
      <c r="H2102" t="inlineStr">
        <is>
          <t>Yes</t>
        </is>
      </c>
      <c r="I2102" t="inlineStr">
        <is>
          <t>2023-08-17</t>
        </is>
      </c>
    </row>
    <row r="2103">
      <c r="A2103" t="n">
        <v/>
      </c>
      <c r="B2103" t="n">
        <v>1033255</v>
      </c>
      <c r="C2103" t="inlineStr">
        <is>
          <t>Data Modeling</t>
        </is>
      </c>
      <c r="D2103" t="inlineStr">
        <is>
          <t>Secondary</t>
        </is>
      </c>
      <c r="E2103" t="inlineStr">
        <is>
          <t>Beginner</t>
        </is>
      </c>
      <c r="F2103" t="n">
        <v>0.5</v>
      </c>
      <c r="G2103" t="inlineStr">
        <is>
          <t>Technical</t>
        </is>
      </c>
      <c r="H2103" t="inlineStr">
        <is>
          <t>Yes</t>
        </is>
      </c>
      <c r="I2103" t="inlineStr">
        <is>
          <t>2023-08-17</t>
        </is>
      </c>
    </row>
    <row r="2104">
      <c r="A2104" t="n">
        <v/>
      </c>
      <c r="B2104" t="n">
        <v>1033252</v>
      </c>
      <c r="C2104" t="inlineStr">
        <is>
          <t>Fullstack Web (React / Node)</t>
        </is>
      </c>
      <c r="D2104" t="inlineStr">
        <is>
          <t>Primary</t>
        </is>
      </c>
      <c r="E2104" t="inlineStr">
        <is>
          <t>Intermediate</t>
        </is>
      </c>
      <c r="F2104" t="n">
        <v>1</v>
      </c>
      <c r="G2104" t="inlineStr">
        <is>
          <t>Technical</t>
        </is>
      </c>
      <c r="H2104" t="inlineStr">
        <is>
          <t>Yes</t>
        </is>
      </c>
      <c r="I2104" t="inlineStr">
        <is>
          <t>2023-08-17</t>
        </is>
      </c>
    </row>
    <row r="2105">
      <c r="A2105" t="n">
        <v/>
      </c>
      <c r="B2105" t="n">
        <v>1033252</v>
      </c>
      <c r="C2105" t="inlineStr">
        <is>
          <t>JavaScript</t>
        </is>
      </c>
      <c r="D2105" t="inlineStr">
        <is>
          <t>Secondary</t>
        </is>
      </c>
      <c r="E2105" t="inlineStr">
        <is>
          <t>Beginner</t>
        </is>
      </c>
      <c r="F2105" t="n">
        <v>0.6</v>
      </c>
      <c r="G2105" t="inlineStr">
        <is>
          <t>Technical</t>
        </is>
      </c>
      <c r="H2105" t="inlineStr">
        <is>
          <t>Yes</t>
        </is>
      </c>
      <c r="I2105" t="inlineStr">
        <is>
          <t>2023-08-17</t>
        </is>
      </c>
    </row>
    <row r="2106">
      <c r="A2106" t="n">
        <v/>
      </c>
      <c r="B2106" t="n">
        <v>1033252</v>
      </c>
      <c r="C2106" t="inlineStr">
        <is>
          <t>TypeScript</t>
        </is>
      </c>
      <c r="D2106" t="inlineStr">
        <is>
          <t>Secondary</t>
        </is>
      </c>
      <c r="E2106" t="inlineStr">
        <is>
          <t>Beginner</t>
        </is>
      </c>
      <c r="F2106" t="n">
        <v>0.5</v>
      </c>
      <c r="G2106" t="inlineStr">
        <is>
          <t>Technical</t>
        </is>
      </c>
      <c r="H2106" t="inlineStr">
        <is>
          <t>Yes</t>
        </is>
      </c>
      <c r="I2106" t="inlineStr">
        <is>
          <t>2023-08-17</t>
        </is>
      </c>
    </row>
    <row r="2107">
      <c r="A2107" t="n">
        <v/>
      </c>
      <c r="B2107" t="n">
        <v>1033272</v>
      </c>
      <c r="C2107" t="inlineStr">
        <is>
          <t>Java / Spring Boot</t>
        </is>
      </c>
      <c r="D2107" t="inlineStr">
        <is>
          <t>Primary</t>
        </is>
      </c>
      <c r="E2107" t="inlineStr">
        <is>
          <t>Intermediate</t>
        </is>
      </c>
      <c r="F2107" t="n">
        <v>1</v>
      </c>
      <c r="G2107" t="inlineStr">
        <is>
          <t>Technical</t>
        </is>
      </c>
      <c r="H2107" t="inlineStr">
        <is>
          <t>Yes</t>
        </is>
      </c>
      <c r="I2107" t="inlineStr">
        <is>
          <t>2023-08-17</t>
        </is>
      </c>
      <c r="J2107" t="inlineStr">
        <is>
          <t>Claims Financial</t>
        </is>
      </c>
    </row>
    <row r="2108">
      <c r="A2108" t="n">
        <v/>
      </c>
      <c r="B2108" t="n">
        <v>1033272</v>
      </c>
      <c r="C2108" t="inlineStr">
        <is>
          <t>SQL</t>
        </is>
      </c>
      <c r="D2108" t="inlineStr">
        <is>
          <t>Secondary</t>
        </is>
      </c>
      <c r="E2108" t="inlineStr">
        <is>
          <t>Beginner</t>
        </is>
      </c>
      <c r="F2108" t="n">
        <v>0.6</v>
      </c>
      <c r="G2108" t="inlineStr">
        <is>
          <t>Technical</t>
        </is>
      </c>
      <c r="H2108" t="inlineStr">
        <is>
          <t>Yes</t>
        </is>
      </c>
      <c r="I2108" t="inlineStr">
        <is>
          <t>2023-08-17</t>
        </is>
      </c>
      <c r="J2108" t="inlineStr">
        <is>
          <t>Claims Financial</t>
        </is>
      </c>
    </row>
    <row r="2109">
      <c r="A2109" t="n">
        <v/>
      </c>
      <c r="B2109" t="n">
        <v>1033272</v>
      </c>
      <c r="C2109" t="inlineStr">
        <is>
          <t>Docker</t>
        </is>
      </c>
      <c r="D2109" t="inlineStr">
        <is>
          <t>Secondary</t>
        </is>
      </c>
      <c r="E2109" t="inlineStr">
        <is>
          <t>Beginner</t>
        </is>
      </c>
      <c r="F2109" t="n">
        <v>0.5</v>
      </c>
      <c r="G2109" t="inlineStr">
        <is>
          <t>Technical</t>
        </is>
      </c>
      <c r="H2109" t="inlineStr">
        <is>
          <t>Yes</t>
        </is>
      </c>
      <c r="I2109" t="inlineStr">
        <is>
          <t>2023-08-17</t>
        </is>
      </c>
      <c r="J2109" t="inlineStr">
        <is>
          <t>Claims Financial</t>
        </is>
      </c>
    </row>
    <row r="2110">
      <c r="A2110" t="n">
        <v/>
      </c>
      <c r="B2110" t="n">
        <v>1033229</v>
      </c>
      <c r="C2110" t="inlineStr">
        <is>
          <t>Cloud &amp; DevOps (AWS / K8s)</t>
        </is>
      </c>
      <c r="D2110" t="inlineStr">
        <is>
          <t>Primary</t>
        </is>
      </c>
      <c r="E2110" t="inlineStr">
        <is>
          <t>Intermediate</t>
        </is>
      </c>
      <c r="F2110" t="n">
        <v>1</v>
      </c>
      <c r="G2110" t="inlineStr">
        <is>
          <t>Technical</t>
        </is>
      </c>
      <c r="H2110" t="inlineStr">
        <is>
          <t>Yes</t>
        </is>
      </c>
      <c r="I2110" t="inlineStr">
        <is>
          <t>2023-08-17</t>
        </is>
      </c>
    </row>
    <row r="2111">
      <c r="A2111" t="n">
        <v/>
      </c>
      <c r="B2111" t="n">
        <v>1033229</v>
      </c>
      <c r="C2111" t="inlineStr">
        <is>
          <t>Docker</t>
        </is>
      </c>
      <c r="D2111" t="inlineStr">
        <is>
          <t>Secondary</t>
        </is>
      </c>
      <c r="E2111" t="inlineStr">
        <is>
          <t>Beginner</t>
        </is>
      </c>
      <c r="F2111" t="n">
        <v>0.6</v>
      </c>
      <c r="G2111" t="inlineStr">
        <is>
          <t>Technical</t>
        </is>
      </c>
      <c r="H2111" t="inlineStr">
        <is>
          <t>Yes</t>
        </is>
      </c>
      <c r="I2111" t="inlineStr">
        <is>
          <t>2023-08-17</t>
        </is>
      </c>
    </row>
    <row r="2112">
      <c r="A2112" t="n">
        <v/>
      </c>
      <c r="B2112" t="n">
        <v>1033229</v>
      </c>
      <c r="C2112" t="inlineStr">
        <is>
          <t>Kubernetes</t>
        </is>
      </c>
      <c r="D2112" t="inlineStr">
        <is>
          <t>Secondary</t>
        </is>
      </c>
      <c r="E2112" t="inlineStr">
        <is>
          <t>Beginner</t>
        </is>
      </c>
      <c r="F2112" t="n">
        <v>0.5</v>
      </c>
      <c r="G2112" t="inlineStr">
        <is>
          <t>Technical</t>
        </is>
      </c>
      <c r="H2112" t="inlineStr">
        <is>
          <t>Yes</t>
        </is>
      </c>
      <c r="I2112" t="inlineStr">
        <is>
          <t>2023-08-17</t>
        </is>
      </c>
    </row>
    <row r="2113">
      <c r="A2113" t="n">
        <v/>
      </c>
      <c r="B2113" t="n">
        <v>1033267</v>
      </c>
      <c r="C2113" t="inlineStr">
        <is>
          <t>Fullstack Web (React / Node)</t>
        </is>
      </c>
      <c r="D2113" t="inlineStr">
        <is>
          <t>Primary</t>
        </is>
      </c>
      <c r="E2113" t="inlineStr">
        <is>
          <t>Intermediate</t>
        </is>
      </c>
      <c r="F2113" t="n">
        <v>1</v>
      </c>
      <c r="G2113" t="inlineStr">
        <is>
          <t>Technical</t>
        </is>
      </c>
      <c r="H2113" t="inlineStr">
        <is>
          <t>Yes</t>
        </is>
      </c>
      <c r="I2113" t="inlineStr">
        <is>
          <t>2023-08-17</t>
        </is>
      </c>
    </row>
    <row r="2114">
      <c r="A2114" t="n">
        <v/>
      </c>
      <c r="B2114" t="n">
        <v>1033267</v>
      </c>
      <c r="C2114" t="inlineStr">
        <is>
          <t>JavaScript</t>
        </is>
      </c>
      <c r="D2114" t="inlineStr">
        <is>
          <t>Secondary</t>
        </is>
      </c>
      <c r="E2114" t="inlineStr">
        <is>
          <t>Beginner</t>
        </is>
      </c>
      <c r="F2114" t="n">
        <v>0.6</v>
      </c>
      <c r="G2114" t="inlineStr">
        <is>
          <t>Technical</t>
        </is>
      </c>
      <c r="H2114" t="inlineStr">
        <is>
          <t>Yes</t>
        </is>
      </c>
      <c r="I2114" t="inlineStr">
        <is>
          <t>2023-08-17</t>
        </is>
      </c>
    </row>
    <row r="2115">
      <c r="A2115" t="n">
        <v/>
      </c>
      <c r="B2115" t="n">
        <v>1033267</v>
      </c>
      <c r="C2115" t="inlineStr">
        <is>
          <t>TypeScript</t>
        </is>
      </c>
      <c r="D2115" t="inlineStr">
        <is>
          <t>Secondary</t>
        </is>
      </c>
      <c r="E2115" t="inlineStr">
        <is>
          <t>Beginner</t>
        </is>
      </c>
      <c r="F2115" t="n">
        <v>0.5</v>
      </c>
      <c r="G2115" t="inlineStr">
        <is>
          <t>Technical</t>
        </is>
      </c>
      <c r="H2115" t="inlineStr">
        <is>
          <t>Yes</t>
        </is>
      </c>
      <c r="I2115" t="inlineStr">
        <is>
          <t>2023-08-17</t>
        </is>
      </c>
    </row>
    <row r="2116">
      <c r="A2116" t="n">
        <v/>
      </c>
      <c r="B2116" t="n">
        <v>1033220</v>
      </c>
      <c r="C2116" t="inlineStr">
        <is>
          <t>Python / Data Engineering</t>
        </is>
      </c>
      <c r="D2116" t="inlineStr">
        <is>
          <t>Primary</t>
        </is>
      </c>
      <c r="E2116" t="inlineStr">
        <is>
          <t>Intermediate</t>
        </is>
      </c>
      <c r="F2116" t="n">
        <v>1</v>
      </c>
      <c r="G2116" t="inlineStr">
        <is>
          <t>Technical</t>
        </is>
      </c>
      <c r="H2116" t="inlineStr">
        <is>
          <t>Yes</t>
        </is>
      </c>
      <c r="I2116" t="inlineStr">
        <is>
          <t>2023-08-17</t>
        </is>
      </c>
    </row>
    <row r="2117">
      <c r="A2117" t="n">
        <v/>
      </c>
      <c r="B2117" t="n">
        <v>1033220</v>
      </c>
      <c r="C2117" t="inlineStr">
        <is>
          <t>SQL</t>
        </is>
      </c>
      <c r="D2117" t="inlineStr">
        <is>
          <t>Secondary</t>
        </is>
      </c>
      <c r="E2117" t="inlineStr">
        <is>
          <t>Beginner</t>
        </is>
      </c>
      <c r="F2117" t="n">
        <v>0.6</v>
      </c>
      <c r="G2117" t="inlineStr">
        <is>
          <t>Technical</t>
        </is>
      </c>
      <c r="H2117" t="inlineStr">
        <is>
          <t>Yes</t>
        </is>
      </c>
      <c r="I2117" t="inlineStr">
        <is>
          <t>2023-08-17</t>
        </is>
      </c>
    </row>
    <row r="2118">
      <c r="A2118" t="n">
        <v/>
      </c>
      <c r="B2118" t="n">
        <v>1033220</v>
      </c>
      <c r="C2118" t="inlineStr">
        <is>
          <t>Docker</t>
        </is>
      </c>
      <c r="D2118" t="inlineStr">
        <is>
          <t>Secondary</t>
        </is>
      </c>
      <c r="E2118" t="inlineStr">
        <is>
          <t>Beginner</t>
        </is>
      </c>
      <c r="F2118" t="n">
        <v>0.5</v>
      </c>
      <c r="G2118" t="inlineStr">
        <is>
          <t>Technical</t>
        </is>
      </c>
      <c r="H2118" t="inlineStr">
        <is>
          <t>Yes</t>
        </is>
      </c>
      <c r="I2118" t="inlineStr">
        <is>
          <t>2023-08-17</t>
        </is>
      </c>
    </row>
    <row r="2119">
      <c r="A2119" t="n">
        <v/>
      </c>
      <c r="B2119" t="n">
        <v>1033224</v>
      </c>
      <c r="C2119" t="inlineStr">
        <is>
          <t>Java / Spring Boot</t>
        </is>
      </c>
      <c r="D2119" t="inlineStr">
        <is>
          <t>Primary</t>
        </is>
      </c>
      <c r="E2119" t="inlineStr">
        <is>
          <t>Intermediate</t>
        </is>
      </c>
      <c r="F2119" t="n">
        <v>1</v>
      </c>
      <c r="G2119" t="inlineStr">
        <is>
          <t>Technical</t>
        </is>
      </c>
      <c r="H2119" t="inlineStr">
        <is>
          <t>Yes</t>
        </is>
      </c>
      <c r="I2119" t="inlineStr">
        <is>
          <t>2023-08-17</t>
        </is>
      </c>
      <c r="J2119" t="inlineStr">
        <is>
          <t>Claims Payment</t>
        </is>
      </c>
    </row>
    <row r="2120">
      <c r="A2120" t="n">
        <v/>
      </c>
      <c r="B2120" t="n">
        <v>1033224</v>
      </c>
      <c r="C2120" t="inlineStr">
        <is>
          <t>SQL</t>
        </is>
      </c>
      <c r="D2120" t="inlineStr">
        <is>
          <t>Secondary</t>
        </is>
      </c>
      <c r="E2120" t="inlineStr">
        <is>
          <t>Beginner</t>
        </is>
      </c>
      <c r="F2120" t="n">
        <v>0.6</v>
      </c>
      <c r="G2120" t="inlineStr">
        <is>
          <t>Technical</t>
        </is>
      </c>
      <c r="H2120" t="inlineStr">
        <is>
          <t>Yes</t>
        </is>
      </c>
      <c r="I2120" t="inlineStr">
        <is>
          <t>2023-08-17</t>
        </is>
      </c>
      <c r="J2120" t="inlineStr">
        <is>
          <t>Claims Payment</t>
        </is>
      </c>
    </row>
    <row r="2121">
      <c r="A2121" t="n">
        <v/>
      </c>
      <c r="B2121" t="n">
        <v>1033224</v>
      </c>
      <c r="C2121" t="inlineStr">
        <is>
          <t>Docker</t>
        </is>
      </c>
      <c r="D2121" t="inlineStr">
        <is>
          <t>Secondary</t>
        </is>
      </c>
      <c r="E2121" t="inlineStr">
        <is>
          <t>Beginner</t>
        </is>
      </c>
      <c r="F2121" t="n">
        <v>0.5</v>
      </c>
      <c r="G2121" t="inlineStr">
        <is>
          <t>Technical</t>
        </is>
      </c>
      <c r="H2121" t="inlineStr">
        <is>
          <t>Yes</t>
        </is>
      </c>
      <c r="I2121" t="inlineStr">
        <is>
          <t>2023-08-17</t>
        </is>
      </c>
      <c r="J2121" t="inlineStr">
        <is>
          <t>Claims Payment</t>
        </is>
      </c>
    </row>
    <row r="2122">
      <c r="A2122" t="n">
        <v/>
      </c>
      <c r="B2122" t="n">
        <v>1033271</v>
      </c>
      <c r="C2122" t="inlineStr">
        <is>
          <t>Cognos BI &amp; Analytics</t>
        </is>
      </c>
      <c r="D2122" t="inlineStr">
        <is>
          <t>Primary</t>
        </is>
      </c>
      <c r="E2122" t="inlineStr">
        <is>
          <t>Intermediate</t>
        </is>
      </c>
      <c r="F2122" t="n">
        <v>1</v>
      </c>
      <c r="G2122" t="inlineStr">
        <is>
          <t>Technical</t>
        </is>
      </c>
      <c r="H2122" t="inlineStr">
        <is>
          <t>Yes</t>
        </is>
      </c>
      <c r="I2122" t="inlineStr">
        <is>
          <t>2023-08-17</t>
        </is>
      </c>
    </row>
    <row r="2123">
      <c r="A2123" t="n">
        <v/>
      </c>
      <c r="B2123" t="n">
        <v>1033271</v>
      </c>
      <c r="C2123" t="inlineStr">
        <is>
          <t>SQL</t>
        </is>
      </c>
      <c r="D2123" t="inlineStr">
        <is>
          <t>Secondary</t>
        </is>
      </c>
      <c r="E2123" t="inlineStr">
        <is>
          <t>Beginner</t>
        </is>
      </c>
      <c r="F2123" t="n">
        <v>0.6</v>
      </c>
      <c r="G2123" t="inlineStr">
        <is>
          <t>Technical</t>
        </is>
      </c>
      <c r="H2123" t="inlineStr">
        <is>
          <t>Yes</t>
        </is>
      </c>
      <c r="I2123" t="inlineStr">
        <is>
          <t>2023-08-17</t>
        </is>
      </c>
    </row>
    <row r="2124">
      <c r="A2124" t="n">
        <v/>
      </c>
      <c r="B2124" t="n">
        <v>1033271</v>
      </c>
      <c r="C2124" t="inlineStr">
        <is>
          <t>Data Modeling</t>
        </is>
      </c>
      <c r="D2124" t="inlineStr">
        <is>
          <t>Secondary</t>
        </is>
      </c>
      <c r="E2124" t="inlineStr">
        <is>
          <t>Beginner</t>
        </is>
      </c>
      <c r="F2124" t="n">
        <v>0.5</v>
      </c>
      <c r="G2124" t="inlineStr">
        <is>
          <t>Technical</t>
        </is>
      </c>
      <c r="H2124" t="inlineStr">
        <is>
          <t>Yes</t>
        </is>
      </c>
      <c r="I2124" t="inlineStr">
        <is>
          <t>2023-08-17</t>
        </is>
      </c>
    </row>
    <row r="2125">
      <c r="A2125" t="n">
        <v/>
      </c>
      <c r="B2125" t="n">
        <v>1033230</v>
      </c>
      <c r="C2125" t="inlineStr">
        <is>
          <t>Java / Spring Boot</t>
        </is>
      </c>
      <c r="D2125" t="inlineStr">
        <is>
          <t>Primary</t>
        </is>
      </c>
      <c r="E2125" t="inlineStr">
        <is>
          <t>Intermediate</t>
        </is>
      </c>
      <c r="F2125" t="n">
        <v>1</v>
      </c>
      <c r="G2125" t="inlineStr">
        <is>
          <t>Technical</t>
        </is>
      </c>
      <c r="H2125" t="inlineStr">
        <is>
          <t>Yes</t>
        </is>
      </c>
      <c r="I2125" t="inlineStr">
        <is>
          <t>2023-08-17</t>
        </is>
      </c>
      <c r="J2125" t="inlineStr">
        <is>
          <t>Data Management</t>
        </is>
      </c>
    </row>
    <row r="2126">
      <c r="A2126" t="n">
        <v/>
      </c>
      <c r="B2126" t="n">
        <v>1033230</v>
      </c>
      <c r="C2126" t="inlineStr">
        <is>
          <t>SQL</t>
        </is>
      </c>
      <c r="D2126" t="inlineStr">
        <is>
          <t>Secondary</t>
        </is>
      </c>
      <c r="E2126" t="inlineStr">
        <is>
          <t>Beginner</t>
        </is>
      </c>
      <c r="F2126" t="n">
        <v>0.6</v>
      </c>
      <c r="G2126" t="inlineStr">
        <is>
          <t>Technical</t>
        </is>
      </c>
      <c r="H2126" t="inlineStr">
        <is>
          <t>Yes</t>
        </is>
      </c>
      <c r="I2126" t="inlineStr">
        <is>
          <t>2023-08-17</t>
        </is>
      </c>
      <c r="J2126" t="inlineStr">
        <is>
          <t>Data Management</t>
        </is>
      </c>
    </row>
    <row r="2127">
      <c r="A2127" t="n">
        <v/>
      </c>
      <c r="B2127" t="n">
        <v>1033230</v>
      </c>
      <c r="C2127" t="inlineStr">
        <is>
          <t>Docker</t>
        </is>
      </c>
      <c r="D2127" t="inlineStr">
        <is>
          <t>Secondary</t>
        </is>
      </c>
      <c r="E2127" t="inlineStr">
        <is>
          <t>Beginner</t>
        </is>
      </c>
      <c r="F2127" t="n">
        <v>0.5</v>
      </c>
      <c r="G2127" t="inlineStr">
        <is>
          <t>Technical</t>
        </is>
      </c>
      <c r="H2127" t="inlineStr">
        <is>
          <t>Yes</t>
        </is>
      </c>
      <c r="I2127" t="inlineStr">
        <is>
          <t>2023-08-17</t>
        </is>
      </c>
      <c r="J2127" t="inlineStr">
        <is>
          <t>Data Management</t>
        </is>
      </c>
    </row>
    <row r="2128">
      <c r="A2128" t="n">
        <v/>
      </c>
      <c r="B2128" t="n">
        <v>1033234</v>
      </c>
      <c r="C2128" t="inlineStr">
        <is>
          <t>Cloud &amp; DevOps (AWS / K8s)</t>
        </is>
      </c>
      <c r="D2128" t="inlineStr">
        <is>
          <t>Primary</t>
        </is>
      </c>
      <c r="E2128" t="inlineStr">
        <is>
          <t>Intermediate</t>
        </is>
      </c>
      <c r="F2128" t="n">
        <v>1</v>
      </c>
      <c r="G2128" t="inlineStr">
        <is>
          <t>Technical</t>
        </is>
      </c>
      <c r="H2128" t="inlineStr">
        <is>
          <t>Yes</t>
        </is>
      </c>
      <c r="I2128" t="inlineStr">
        <is>
          <t>2023-08-17</t>
        </is>
      </c>
    </row>
    <row r="2129">
      <c r="A2129" t="n">
        <v/>
      </c>
      <c r="B2129" t="n">
        <v>1033234</v>
      </c>
      <c r="C2129" t="inlineStr">
        <is>
          <t>Docker</t>
        </is>
      </c>
      <c r="D2129" t="inlineStr">
        <is>
          <t>Secondary</t>
        </is>
      </c>
      <c r="E2129" t="inlineStr">
        <is>
          <t>Beginner</t>
        </is>
      </c>
      <c r="F2129" t="n">
        <v>0.6</v>
      </c>
      <c r="G2129" t="inlineStr">
        <is>
          <t>Technical</t>
        </is>
      </c>
      <c r="H2129" t="inlineStr">
        <is>
          <t>Yes</t>
        </is>
      </c>
      <c r="I2129" t="inlineStr">
        <is>
          <t>2023-08-17</t>
        </is>
      </c>
    </row>
    <row r="2130">
      <c r="A2130" t="n">
        <v/>
      </c>
      <c r="B2130" t="n">
        <v>1033234</v>
      </c>
      <c r="C2130" t="inlineStr">
        <is>
          <t>Kubernetes</t>
        </is>
      </c>
      <c r="D2130" t="inlineStr">
        <is>
          <t>Secondary</t>
        </is>
      </c>
      <c r="E2130" t="inlineStr">
        <is>
          <t>Beginner</t>
        </is>
      </c>
      <c r="F2130" t="n">
        <v>0.5</v>
      </c>
      <c r="G2130" t="inlineStr">
        <is>
          <t>Technical</t>
        </is>
      </c>
      <c r="H2130" t="inlineStr">
        <is>
          <t>Yes</t>
        </is>
      </c>
      <c r="I2130" t="inlineStr">
        <is>
          <t>2023-08-17</t>
        </is>
      </c>
    </row>
    <row r="2131">
      <c r="A2131" t="n">
        <v/>
      </c>
      <c r="B2131" t="n">
        <v>1033254</v>
      </c>
      <c r="C2131" t="inlineStr">
        <is>
          <t>Java / Spring Boot</t>
        </is>
      </c>
      <c r="D2131" t="inlineStr">
        <is>
          <t>Primary</t>
        </is>
      </c>
      <c r="E2131" t="inlineStr">
        <is>
          <t>Intermediate</t>
        </is>
      </c>
      <c r="F2131" t="n">
        <v>1</v>
      </c>
      <c r="G2131" t="inlineStr">
        <is>
          <t>Technical</t>
        </is>
      </c>
      <c r="H2131" t="inlineStr">
        <is>
          <t>Yes</t>
        </is>
      </c>
      <c r="I2131" t="inlineStr">
        <is>
          <t>2023-08-17</t>
        </is>
      </c>
      <c r="J2131" t="inlineStr">
        <is>
          <t>Claims Financial</t>
        </is>
      </c>
    </row>
    <row r="2132">
      <c r="A2132" t="n">
        <v/>
      </c>
      <c r="B2132" t="n">
        <v>1033254</v>
      </c>
      <c r="C2132" t="inlineStr">
        <is>
          <t>SQL</t>
        </is>
      </c>
      <c r="D2132" t="inlineStr">
        <is>
          <t>Secondary</t>
        </is>
      </c>
      <c r="E2132" t="inlineStr">
        <is>
          <t>Beginner</t>
        </is>
      </c>
      <c r="F2132" t="n">
        <v>0.6</v>
      </c>
      <c r="G2132" t="inlineStr">
        <is>
          <t>Technical</t>
        </is>
      </c>
      <c r="H2132" t="inlineStr">
        <is>
          <t>Yes</t>
        </is>
      </c>
      <c r="I2132" t="inlineStr">
        <is>
          <t>2023-08-17</t>
        </is>
      </c>
      <c r="J2132" t="inlineStr">
        <is>
          <t>Claims Financial</t>
        </is>
      </c>
    </row>
    <row r="2133">
      <c r="A2133" t="n">
        <v/>
      </c>
      <c r="B2133" t="n">
        <v>1033254</v>
      </c>
      <c r="C2133" t="inlineStr">
        <is>
          <t>Docker</t>
        </is>
      </c>
      <c r="D2133" t="inlineStr">
        <is>
          <t>Secondary</t>
        </is>
      </c>
      <c r="E2133" t="inlineStr">
        <is>
          <t>Beginner</t>
        </is>
      </c>
      <c r="F2133" t="n">
        <v>0.5</v>
      </c>
      <c r="G2133" t="inlineStr">
        <is>
          <t>Technical</t>
        </is>
      </c>
      <c r="H2133" t="inlineStr">
        <is>
          <t>Yes</t>
        </is>
      </c>
      <c r="I2133" t="inlineStr">
        <is>
          <t>2023-08-17</t>
        </is>
      </c>
      <c r="J2133" t="inlineStr">
        <is>
          <t>Claims Financial</t>
        </is>
      </c>
    </row>
    <row r="2134">
      <c r="A2134" t="n">
        <v/>
      </c>
      <c r="B2134" t="n">
        <v>1033235</v>
      </c>
      <c r="C2134" t="inlineStr">
        <is>
          <t>Python / Data Engineering</t>
        </is>
      </c>
      <c r="D2134" t="inlineStr">
        <is>
          <t>Primary</t>
        </is>
      </c>
      <c r="E2134" t="inlineStr">
        <is>
          <t>Intermediate</t>
        </is>
      </c>
      <c r="F2134" t="n">
        <v>1</v>
      </c>
      <c r="G2134" t="inlineStr">
        <is>
          <t>Technical</t>
        </is>
      </c>
      <c r="H2134" t="inlineStr">
        <is>
          <t>Yes</t>
        </is>
      </c>
      <c r="I2134" t="inlineStr">
        <is>
          <t>2023-08-17</t>
        </is>
      </c>
    </row>
    <row r="2135">
      <c r="A2135" t="n">
        <v/>
      </c>
      <c r="B2135" t="n">
        <v>1033235</v>
      </c>
      <c r="C2135" t="inlineStr">
        <is>
          <t>SQL</t>
        </is>
      </c>
      <c r="D2135" t="inlineStr">
        <is>
          <t>Secondary</t>
        </is>
      </c>
      <c r="E2135" t="inlineStr">
        <is>
          <t>Beginner</t>
        </is>
      </c>
      <c r="F2135" t="n">
        <v>0.6</v>
      </c>
      <c r="G2135" t="inlineStr">
        <is>
          <t>Technical</t>
        </is>
      </c>
      <c r="H2135" t="inlineStr">
        <is>
          <t>Yes</t>
        </is>
      </c>
      <c r="I2135" t="inlineStr">
        <is>
          <t>2023-08-17</t>
        </is>
      </c>
    </row>
    <row r="2136">
      <c r="A2136" t="n">
        <v/>
      </c>
      <c r="B2136" t="n">
        <v>1033235</v>
      </c>
      <c r="C2136" t="inlineStr">
        <is>
          <t>Docker</t>
        </is>
      </c>
      <c r="D2136" t="inlineStr">
        <is>
          <t>Secondary</t>
        </is>
      </c>
      <c r="E2136" t="inlineStr">
        <is>
          <t>Beginner</t>
        </is>
      </c>
      <c r="F2136" t="n">
        <v>0.5</v>
      </c>
      <c r="G2136" t="inlineStr">
        <is>
          <t>Technical</t>
        </is>
      </c>
      <c r="H2136" t="inlineStr">
        <is>
          <t>Yes</t>
        </is>
      </c>
      <c r="I2136" t="inlineStr">
        <is>
          <t>2023-08-17</t>
        </is>
      </c>
    </row>
    <row r="2137">
      <c r="A2137" t="n">
        <v/>
      </c>
      <c r="B2137" t="n">
        <v>1033259</v>
      </c>
      <c r="C2137" t="inlineStr">
        <is>
          <t>Cloud &amp; DevOps (AWS / K8s)</t>
        </is>
      </c>
      <c r="D2137" t="inlineStr">
        <is>
          <t>Primary</t>
        </is>
      </c>
      <c r="E2137" t="inlineStr">
        <is>
          <t>Intermediate</t>
        </is>
      </c>
      <c r="F2137" t="n">
        <v>1</v>
      </c>
      <c r="G2137" t="inlineStr">
        <is>
          <t>Technical</t>
        </is>
      </c>
      <c r="H2137" t="inlineStr">
        <is>
          <t>Yes</t>
        </is>
      </c>
      <c r="I2137" t="inlineStr">
        <is>
          <t>2023-08-17</t>
        </is>
      </c>
    </row>
    <row r="2138">
      <c r="A2138" t="n">
        <v/>
      </c>
      <c r="B2138" t="n">
        <v>1033259</v>
      </c>
      <c r="C2138" t="inlineStr">
        <is>
          <t>Docker</t>
        </is>
      </c>
      <c r="D2138" t="inlineStr">
        <is>
          <t>Secondary</t>
        </is>
      </c>
      <c r="E2138" t="inlineStr">
        <is>
          <t>Beginner</t>
        </is>
      </c>
      <c r="F2138" t="n">
        <v>0.6</v>
      </c>
      <c r="G2138" t="inlineStr">
        <is>
          <t>Technical</t>
        </is>
      </c>
      <c r="H2138" t="inlineStr">
        <is>
          <t>Yes</t>
        </is>
      </c>
      <c r="I2138" t="inlineStr">
        <is>
          <t>2023-08-17</t>
        </is>
      </c>
    </row>
    <row r="2139">
      <c r="A2139" t="n">
        <v/>
      </c>
      <c r="B2139" t="n">
        <v>1033259</v>
      </c>
      <c r="C2139" t="inlineStr">
        <is>
          <t>Kubernetes</t>
        </is>
      </c>
      <c r="D2139" t="inlineStr">
        <is>
          <t>Secondary</t>
        </is>
      </c>
      <c r="E2139" t="inlineStr">
        <is>
          <t>Beginner</t>
        </is>
      </c>
      <c r="F2139" t="n">
        <v>0.5</v>
      </c>
      <c r="G2139" t="inlineStr">
        <is>
          <t>Technical</t>
        </is>
      </c>
      <c r="H2139" t="inlineStr">
        <is>
          <t>Yes</t>
        </is>
      </c>
      <c r="I2139" t="inlineStr">
        <is>
          <t>2023-08-17</t>
        </is>
      </c>
    </row>
    <row r="2140">
      <c r="A2140" t="n">
        <v/>
      </c>
      <c r="B2140" t="n">
        <v>1033242</v>
      </c>
      <c r="C2140" t="inlineStr">
        <is>
          <t>Java / Spring Boot</t>
        </is>
      </c>
      <c r="D2140" t="inlineStr">
        <is>
          <t>Primary</t>
        </is>
      </c>
      <c r="E2140" t="inlineStr">
        <is>
          <t>Intermediate</t>
        </is>
      </c>
      <c r="F2140" t="n">
        <v>1</v>
      </c>
      <c r="G2140" t="inlineStr">
        <is>
          <t>Technical</t>
        </is>
      </c>
      <c r="H2140" t="inlineStr">
        <is>
          <t>Yes</t>
        </is>
      </c>
      <c r="I2140" t="inlineStr">
        <is>
          <t>2023-08-17</t>
        </is>
      </c>
      <c r="J2140" t="inlineStr">
        <is>
          <t>Security</t>
        </is>
      </c>
    </row>
    <row r="2141">
      <c r="A2141" t="n">
        <v/>
      </c>
      <c r="B2141" t="n">
        <v>1033242</v>
      </c>
      <c r="C2141" t="inlineStr">
        <is>
          <t>SQL</t>
        </is>
      </c>
      <c r="D2141" t="inlineStr">
        <is>
          <t>Secondary</t>
        </is>
      </c>
      <c r="E2141" t="inlineStr">
        <is>
          <t>Beginner</t>
        </is>
      </c>
      <c r="F2141" t="n">
        <v>0.6</v>
      </c>
      <c r="G2141" t="inlineStr">
        <is>
          <t>Technical</t>
        </is>
      </c>
      <c r="H2141" t="inlineStr">
        <is>
          <t>Yes</t>
        </is>
      </c>
      <c r="I2141" t="inlineStr">
        <is>
          <t>2023-08-17</t>
        </is>
      </c>
      <c r="J2141" t="inlineStr">
        <is>
          <t>Security</t>
        </is>
      </c>
    </row>
    <row r="2142">
      <c r="A2142" t="n">
        <v/>
      </c>
      <c r="B2142" t="n">
        <v>1033242</v>
      </c>
      <c r="C2142" t="inlineStr">
        <is>
          <t>Docker</t>
        </is>
      </c>
      <c r="D2142" t="inlineStr">
        <is>
          <t>Secondary</t>
        </is>
      </c>
      <c r="E2142" t="inlineStr">
        <is>
          <t>Beginner</t>
        </is>
      </c>
      <c r="F2142" t="n">
        <v>0.5</v>
      </c>
      <c r="G2142" t="inlineStr">
        <is>
          <t>Technical</t>
        </is>
      </c>
      <c r="H2142" t="inlineStr">
        <is>
          <t>Yes</t>
        </is>
      </c>
      <c r="I2142" t="inlineStr">
        <is>
          <t>2023-08-17</t>
        </is>
      </c>
      <c r="J2142" t="inlineStr">
        <is>
          <t>Security</t>
        </is>
      </c>
    </row>
    <row r="2143">
      <c r="A2143" t="n">
        <v/>
      </c>
      <c r="B2143" t="n">
        <v>1033253</v>
      </c>
      <c r="C2143" t="inlineStr">
        <is>
          <t>Database &amp; SQL Architecture</t>
        </is>
      </c>
      <c r="D2143" t="inlineStr">
        <is>
          <t>Primary</t>
        </is>
      </c>
      <c r="E2143" t="inlineStr">
        <is>
          <t>Intermediate</t>
        </is>
      </c>
      <c r="F2143" t="n">
        <v>1</v>
      </c>
      <c r="G2143" t="inlineStr">
        <is>
          <t>Technical</t>
        </is>
      </c>
      <c r="H2143" t="inlineStr">
        <is>
          <t>Yes</t>
        </is>
      </c>
      <c r="I2143" t="inlineStr">
        <is>
          <t>2023-08-17</t>
        </is>
      </c>
    </row>
    <row r="2144">
      <c r="A2144" t="n">
        <v/>
      </c>
      <c r="B2144" t="n">
        <v>1033253</v>
      </c>
      <c r="C2144" t="inlineStr">
        <is>
          <t>PostgreSQL</t>
        </is>
      </c>
      <c r="D2144" t="inlineStr">
        <is>
          <t>Secondary</t>
        </is>
      </c>
      <c r="E2144" t="inlineStr">
        <is>
          <t>Beginner</t>
        </is>
      </c>
      <c r="F2144" t="n">
        <v>0.6</v>
      </c>
      <c r="G2144" t="inlineStr">
        <is>
          <t>Technical</t>
        </is>
      </c>
      <c r="H2144" t="inlineStr">
        <is>
          <t>Yes</t>
        </is>
      </c>
      <c r="I2144" t="inlineStr">
        <is>
          <t>2023-08-17</t>
        </is>
      </c>
    </row>
    <row r="2145">
      <c r="A2145" t="n">
        <v/>
      </c>
      <c r="B2145" t="n">
        <v>1033253</v>
      </c>
      <c r="C2145" t="inlineStr">
        <is>
          <t>Oracle</t>
        </is>
      </c>
      <c r="D2145" t="inlineStr">
        <is>
          <t>Secondary</t>
        </is>
      </c>
      <c r="E2145" t="inlineStr">
        <is>
          <t>Beginner</t>
        </is>
      </c>
      <c r="F2145" t="n">
        <v>0.5</v>
      </c>
      <c r="G2145" t="inlineStr">
        <is>
          <t>Technical</t>
        </is>
      </c>
      <c r="H2145" t="inlineStr">
        <is>
          <t>Yes</t>
        </is>
      </c>
      <c r="I2145" t="inlineStr">
        <is>
          <t>2023-08-17</t>
        </is>
      </c>
    </row>
    <row r="2146">
      <c r="A2146" t="n">
        <v/>
      </c>
      <c r="B2146" t="n">
        <v>1033265</v>
      </c>
      <c r="C2146" t="inlineStr">
        <is>
          <t>Python / Data Engineering</t>
        </is>
      </c>
      <c r="D2146" t="inlineStr">
        <is>
          <t>Primary</t>
        </is>
      </c>
      <c r="E2146" t="inlineStr">
        <is>
          <t>Intermediate</t>
        </is>
      </c>
      <c r="F2146" t="n">
        <v>1</v>
      </c>
      <c r="G2146" t="inlineStr">
        <is>
          <t>Technical</t>
        </is>
      </c>
      <c r="H2146" t="inlineStr">
        <is>
          <t>Yes</t>
        </is>
      </c>
      <c r="I2146" t="inlineStr">
        <is>
          <t>2023-08-17</t>
        </is>
      </c>
    </row>
    <row r="2147">
      <c r="A2147" t="n">
        <v/>
      </c>
      <c r="B2147" t="n">
        <v>1033265</v>
      </c>
      <c r="C2147" t="inlineStr">
        <is>
          <t>SQL</t>
        </is>
      </c>
      <c r="D2147" t="inlineStr">
        <is>
          <t>Secondary</t>
        </is>
      </c>
      <c r="E2147" t="inlineStr">
        <is>
          <t>Beginner</t>
        </is>
      </c>
      <c r="F2147" t="n">
        <v>0.6</v>
      </c>
      <c r="G2147" t="inlineStr">
        <is>
          <t>Technical</t>
        </is>
      </c>
      <c r="H2147" t="inlineStr">
        <is>
          <t>Yes</t>
        </is>
      </c>
      <c r="I2147" t="inlineStr">
        <is>
          <t>2023-08-17</t>
        </is>
      </c>
    </row>
    <row r="2148">
      <c r="A2148" t="n">
        <v/>
      </c>
      <c r="B2148" t="n">
        <v>1033265</v>
      </c>
      <c r="C2148" t="inlineStr">
        <is>
          <t>Docker</t>
        </is>
      </c>
      <c r="D2148" t="inlineStr">
        <is>
          <t>Secondary</t>
        </is>
      </c>
      <c r="E2148" t="inlineStr">
        <is>
          <t>Beginner</t>
        </is>
      </c>
      <c r="F2148" t="n">
        <v>0.5</v>
      </c>
      <c r="G2148" t="inlineStr">
        <is>
          <t>Technical</t>
        </is>
      </c>
      <c r="H2148" t="inlineStr">
        <is>
          <t>Yes</t>
        </is>
      </c>
      <c r="I2148" t="inlineStr">
        <is>
          <t>2023-08-17</t>
        </is>
      </c>
    </row>
    <row r="2149">
      <c r="A2149" t="n">
        <v/>
      </c>
      <c r="B2149" t="n">
        <v>1033262</v>
      </c>
      <c r="C2149" t="inlineStr">
        <is>
          <t>Fullstack Web (React / Node)</t>
        </is>
      </c>
      <c r="D2149" t="inlineStr">
        <is>
          <t>Primary</t>
        </is>
      </c>
      <c r="E2149" t="inlineStr">
        <is>
          <t>Intermediate</t>
        </is>
      </c>
      <c r="F2149" t="n">
        <v>1</v>
      </c>
      <c r="G2149" t="inlineStr">
        <is>
          <t>Technical</t>
        </is>
      </c>
      <c r="H2149" t="inlineStr">
        <is>
          <t>Yes</t>
        </is>
      </c>
      <c r="I2149" t="inlineStr">
        <is>
          <t>2023-08-17</t>
        </is>
      </c>
    </row>
    <row r="2150">
      <c r="A2150" t="n">
        <v/>
      </c>
      <c r="B2150" t="n">
        <v>1033262</v>
      </c>
      <c r="C2150" t="inlineStr">
        <is>
          <t>JavaScript</t>
        </is>
      </c>
      <c r="D2150" t="inlineStr">
        <is>
          <t>Secondary</t>
        </is>
      </c>
      <c r="E2150" t="inlineStr">
        <is>
          <t>Beginner</t>
        </is>
      </c>
      <c r="F2150" t="n">
        <v>0.6</v>
      </c>
      <c r="G2150" t="inlineStr">
        <is>
          <t>Technical</t>
        </is>
      </c>
      <c r="H2150" t="inlineStr">
        <is>
          <t>Yes</t>
        </is>
      </c>
      <c r="I2150" t="inlineStr">
        <is>
          <t>2023-08-17</t>
        </is>
      </c>
    </row>
    <row r="2151">
      <c r="A2151" t="n">
        <v/>
      </c>
      <c r="B2151" t="n">
        <v>1033262</v>
      </c>
      <c r="C2151" t="inlineStr">
        <is>
          <t>TypeScript</t>
        </is>
      </c>
      <c r="D2151" t="inlineStr">
        <is>
          <t>Secondary</t>
        </is>
      </c>
      <c r="E2151" t="inlineStr">
        <is>
          <t>Beginner</t>
        </is>
      </c>
      <c r="F2151" t="n">
        <v>0.5</v>
      </c>
      <c r="G2151" t="inlineStr">
        <is>
          <t>Technical</t>
        </is>
      </c>
      <c r="H2151" t="inlineStr">
        <is>
          <t>Yes</t>
        </is>
      </c>
      <c r="I2151" t="inlineStr">
        <is>
          <t>2023-08-17</t>
        </is>
      </c>
    </row>
    <row r="2152">
      <c r="A2152" t="n">
        <v/>
      </c>
      <c r="B2152" t="n">
        <v>1033227</v>
      </c>
      <c r="C2152" t="inlineStr">
        <is>
          <t>Cognos BI &amp; Analytics</t>
        </is>
      </c>
      <c r="D2152" t="inlineStr">
        <is>
          <t>Primary</t>
        </is>
      </c>
      <c r="E2152" t="inlineStr">
        <is>
          <t>Intermediate</t>
        </is>
      </c>
      <c r="F2152" t="n">
        <v>1</v>
      </c>
      <c r="G2152" t="inlineStr">
        <is>
          <t>Technical</t>
        </is>
      </c>
      <c r="H2152" t="inlineStr">
        <is>
          <t>Yes</t>
        </is>
      </c>
      <c r="I2152" t="inlineStr">
        <is>
          <t>2023-08-17</t>
        </is>
      </c>
    </row>
    <row r="2153">
      <c r="A2153" t="n">
        <v/>
      </c>
      <c r="B2153" t="n">
        <v>1033227</v>
      </c>
      <c r="C2153" t="inlineStr">
        <is>
          <t>SQL</t>
        </is>
      </c>
      <c r="D2153" t="inlineStr">
        <is>
          <t>Secondary</t>
        </is>
      </c>
      <c r="E2153" t="inlineStr">
        <is>
          <t>Beginner</t>
        </is>
      </c>
      <c r="F2153" t="n">
        <v>0.6</v>
      </c>
      <c r="G2153" t="inlineStr">
        <is>
          <t>Technical</t>
        </is>
      </c>
      <c r="H2153" t="inlineStr">
        <is>
          <t>Yes</t>
        </is>
      </c>
      <c r="I2153" t="inlineStr">
        <is>
          <t>2023-08-17</t>
        </is>
      </c>
    </row>
    <row r="2154">
      <c r="A2154" t="n">
        <v/>
      </c>
      <c r="B2154" t="n">
        <v>1033227</v>
      </c>
      <c r="C2154" t="inlineStr">
        <is>
          <t>Data Modeling</t>
        </is>
      </c>
      <c r="D2154" t="inlineStr">
        <is>
          <t>Secondary</t>
        </is>
      </c>
      <c r="E2154" t="inlineStr">
        <is>
          <t>Beginner</t>
        </is>
      </c>
      <c r="F2154" t="n">
        <v>0.5</v>
      </c>
      <c r="G2154" t="inlineStr">
        <is>
          <t>Technical</t>
        </is>
      </c>
      <c r="H2154" t="inlineStr">
        <is>
          <t>Yes</t>
        </is>
      </c>
      <c r="I2154" t="inlineStr">
        <is>
          <t>2023-08-17</t>
        </is>
      </c>
    </row>
    <row r="2155">
      <c r="A2155" t="n">
        <v/>
      </c>
      <c r="B2155" t="n">
        <v>1033241</v>
      </c>
      <c r="C2155" t="inlineStr">
        <is>
          <t>Frontend (Angular / TypeScript)</t>
        </is>
      </c>
      <c r="D2155" t="inlineStr">
        <is>
          <t>Primary</t>
        </is>
      </c>
      <c r="E2155" t="inlineStr">
        <is>
          <t>Intermediate</t>
        </is>
      </c>
      <c r="F2155" t="n">
        <v>1</v>
      </c>
      <c r="G2155" t="inlineStr">
        <is>
          <t>Technical</t>
        </is>
      </c>
      <c r="H2155" t="inlineStr">
        <is>
          <t>Yes</t>
        </is>
      </c>
      <c r="I2155" t="inlineStr">
        <is>
          <t>2023-08-17</t>
        </is>
      </c>
    </row>
    <row r="2156">
      <c r="A2156" t="n">
        <v/>
      </c>
      <c r="B2156" t="n">
        <v>1033241</v>
      </c>
      <c r="C2156" t="inlineStr">
        <is>
          <t>TypeScript</t>
        </is>
      </c>
      <c r="D2156" t="inlineStr">
        <is>
          <t>Secondary</t>
        </is>
      </c>
      <c r="E2156" t="inlineStr">
        <is>
          <t>Beginner</t>
        </is>
      </c>
      <c r="F2156" t="n">
        <v>0.6</v>
      </c>
      <c r="G2156" t="inlineStr">
        <is>
          <t>Technical</t>
        </is>
      </c>
      <c r="H2156" t="inlineStr">
        <is>
          <t>Yes</t>
        </is>
      </c>
      <c r="I2156" t="inlineStr">
        <is>
          <t>2023-08-17</t>
        </is>
      </c>
    </row>
    <row r="2157">
      <c r="A2157" t="n">
        <v/>
      </c>
      <c r="B2157" t="n">
        <v>1033241</v>
      </c>
      <c r="C2157" t="inlineStr">
        <is>
          <t>JavaScript</t>
        </is>
      </c>
      <c r="D2157" t="inlineStr">
        <is>
          <t>Secondary</t>
        </is>
      </c>
      <c r="E2157" t="inlineStr">
        <is>
          <t>Beginner</t>
        </is>
      </c>
      <c r="F2157" t="n">
        <v>0.5</v>
      </c>
      <c r="G2157" t="inlineStr">
        <is>
          <t>Technical</t>
        </is>
      </c>
      <c r="H2157" t="inlineStr">
        <is>
          <t>Yes</t>
        </is>
      </c>
      <c r="I2157" t="inlineStr">
        <is>
          <t>2023-08-17</t>
        </is>
      </c>
    </row>
    <row r="2158">
      <c r="A2158" t="n">
        <v/>
      </c>
      <c r="B2158" t="n">
        <v>1033246</v>
      </c>
      <c r="C2158" t="inlineStr">
        <is>
          <t>Frontend (Angular / TypeScript)</t>
        </is>
      </c>
      <c r="D2158" t="inlineStr">
        <is>
          <t>Primary</t>
        </is>
      </c>
      <c r="E2158" t="inlineStr">
        <is>
          <t>Intermediate</t>
        </is>
      </c>
      <c r="F2158" t="n">
        <v>1</v>
      </c>
      <c r="G2158" t="inlineStr">
        <is>
          <t>Technical</t>
        </is>
      </c>
      <c r="H2158" t="inlineStr">
        <is>
          <t>Yes</t>
        </is>
      </c>
      <c r="I2158" t="inlineStr">
        <is>
          <t>2023-08-17</t>
        </is>
      </c>
    </row>
    <row r="2159">
      <c r="A2159" t="n">
        <v/>
      </c>
      <c r="B2159" t="n">
        <v>1033246</v>
      </c>
      <c r="C2159" t="inlineStr">
        <is>
          <t>TypeScript</t>
        </is>
      </c>
      <c r="D2159" t="inlineStr">
        <is>
          <t>Secondary</t>
        </is>
      </c>
      <c r="E2159" t="inlineStr">
        <is>
          <t>Beginner</t>
        </is>
      </c>
      <c r="F2159" t="n">
        <v>0.6</v>
      </c>
      <c r="G2159" t="inlineStr">
        <is>
          <t>Technical</t>
        </is>
      </c>
      <c r="H2159" t="inlineStr">
        <is>
          <t>Yes</t>
        </is>
      </c>
      <c r="I2159" t="inlineStr">
        <is>
          <t>2023-08-17</t>
        </is>
      </c>
    </row>
    <row r="2160">
      <c r="A2160" t="n">
        <v/>
      </c>
      <c r="B2160" t="n">
        <v>1033246</v>
      </c>
      <c r="C2160" t="inlineStr">
        <is>
          <t>JavaScript</t>
        </is>
      </c>
      <c r="D2160" t="inlineStr">
        <is>
          <t>Secondary</t>
        </is>
      </c>
      <c r="E2160" t="inlineStr">
        <is>
          <t>Beginner</t>
        </is>
      </c>
      <c r="F2160" t="n">
        <v>0.5</v>
      </c>
      <c r="G2160" t="inlineStr">
        <is>
          <t>Technical</t>
        </is>
      </c>
      <c r="H2160" t="inlineStr">
        <is>
          <t>Yes</t>
        </is>
      </c>
      <c r="I2160" t="inlineStr">
        <is>
          <t>2023-08-17</t>
        </is>
      </c>
    </row>
    <row r="2161">
      <c r="A2161" t="n">
        <v/>
      </c>
      <c r="B2161" t="n">
        <v>1033244</v>
      </c>
      <c r="C2161" t="inlineStr">
        <is>
          <t>Cognos BI &amp; Analytics</t>
        </is>
      </c>
      <c r="D2161" t="inlineStr">
        <is>
          <t>Primary</t>
        </is>
      </c>
      <c r="E2161" t="inlineStr">
        <is>
          <t>Intermediate</t>
        </is>
      </c>
      <c r="F2161" t="n">
        <v>1</v>
      </c>
      <c r="G2161" t="inlineStr">
        <is>
          <t>Technical</t>
        </is>
      </c>
      <c r="H2161" t="inlineStr">
        <is>
          <t>Yes</t>
        </is>
      </c>
      <c r="I2161" t="inlineStr">
        <is>
          <t>2023-08-17</t>
        </is>
      </c>
    </row>
    <row r="2162">
      <c r="A2162" t="n">
        <v/>
      </c>
      <c r="B2162" t="n">
        <v>1033244</v>
      </c>
      <c r="C2162" t="inlineStr">
        <is>
          <t>SQL</t>
        </is>
      </c>
      <c r="D2162" t="inlineStr">
        <is>
          <t>Secondary</t>
        </is>
      </c>
      <c r="E2162" t="inlineStr">
        <is>
          <t>Beginner</t>
        </is>
      </c>
      <c r="F2162" t="n">
        <v>0.6</v>
      </c>
      <c r="G2162" t="inlineStr">
        <is>
          <t>Technical</t>
        </is>
      </c>
      <c r="H2162" t="inlineStr">
        <is>
          <t>Yes</t>
        </is>
      </c>
      <c r="I2162" t="inlineStr">
        <is>
          <t>2023-08-17</t>
        </is>
      </c>
    </row>
    <row r="2163">
      <c r="A2163" t="n">
        <v/>
      </c>
      <c r="B2163" t="n">
        <v>1033244</v>
      </c>
      <c r="C2163" t="inlineStr">
        <is>
          <t>Data Modeling</t>
        </is>
      </c>
      <c r="D2163" t="inlineStr">
        <is>
          <t>Secondary</t>
        </is>
      </c>
      <c r="E2163" t="inlineStr">
        <is>
          <t>Beginner</t>
        </is>
      </c>
      <c r="F2163" t="n">
        <v>0.5</v>
      </c>
      <c r="G2163" t="inlineStr">
        <is>
          <t>Technical</t>
        </is>
      </c>
      <c r="H2163" t="inlineStr">
        <is>
          <t>Yes</t>
        </is>
      </c>
      <c r="I2163" t="inlineStr">
        <is>
          <t>2023-08-17</t>
        </is>
      </c>
    </row>
    <row r="2164">
      <c r="A2164" t="n">
        <v/>
      </c>
      <c r="B2164" t="n">
        <v>1033240</v>
      </c>
      <c r="C2164" t="inlineStr">
        <is>
          <t>Python / Data Engineering</t>
        </is>
      </c>
      <c r="D2164" t="inlineStr">
        <is>
          <t>Primary</t>
        </is>
      </c>
      <c r="E2164" t="inlineStr">
        <is>
          <t>Intermediate</t>
        </is>
      </c>
      <c r="F2164" t="n">
        <v>1</v>
      </c>
      <c r="G2164" t="inlineStr">
        <is>
          <t>Technical</t>
        </is>
      </c>
      <c r="H2164" t="inlineStr">
        <is>
          <t>Yes</t>
        </is>
      </c>
      <c r="I2164" t="inlineStr">
        <is>
          <t>2023-08-17</t>
        </is>
      </c>
    </row>
    <row r="2165">
      <c r="A2165" t="n">
        <v/>
      </c>
      <c r="B2165" t="n">
        <v>1033240</v>
      </c>
      <c r="C2165" t="inlineStr">
        <is>
          <t>SQL</t>
        </is>
      </c>
      <c r="D2165" t="inlineStr">
        <is>
          <t>Secondary</t>
        </is>
      </c>
      <c r="E2165" t="inlineStr">
        <is>
          <t>Beginner</t>
        </is>
      </c>
      <c r="F2165" t="n">
        <v>0.6</v>
      </c>
      <c r="G2165" t="inlineStr">
        <is>
          <t>Technical</t>
        </is>
      </c>
      <c r="H2165" t="inlineStr">
        <is>
          <t>Yes</t>
        </is>
      </c>
      <c r="I2165" t="inlineStr">
        <is>
          <t>2023-08-17</t>
        </is>
      </c>
    </row>
    <row r="2166">
      <c r="A2166" t="n">
        <v/>
      </c>
      <c r="B2166" t="n">
        <v>1033240</v>
      </c>
      <c r="C2166" t="inlineStr">
        <is>
          <t>Docker</t>
        </is>
      </c>
      <c r="D2166" t="inlineStr">
        <is>
          <t>Secondary</t>
        </is>
      </c>
      <c r="E2166" t="inlineStr">
        <is>
          <t>Beginner</t>
        </is>
      </c>
      <c r="F2166" t="n">
        <v>0.5</v>
      </c>
      <c r="G2166" t="inlineStr">
        <is>
          <t>Technical</t>
        </is>
      </c>
      <c r="H2166" t="inlineStr">
        <is>
          <t>Yes</t>
        </is>
      </c>
      <c r="I2166" t="inlineStr">
        <is>
          <t>2023-08-17</t>
        </is>
      </c>
    </row>
    <row r="2167">
      <c r="A2167" t="n">
        <v/>
      </c>
      <c r="B2167" t="n">
        <v>1033217</v>
      </c>
      <c r="C2167" t="inlineStr">
        <is>
          <t>Fullstack Web (React / Node)</t>
        </is>
      </c>
      <c r="D2167" t="inlineStr">
        <is>
          <t>Primary</t>
        </is>
      </c>
      <c r="E2167" t="inlineStr">
        <is>
          <t>Intermediate</t>
        </is>
      </c>
      <c r="F2167" t="n">
        <v>1</v>
      </c>
      <c r="G2167" t="inlineStr">
        <is>
          <t>Technical</t>
        </is>
      </c>
      <c r="H2167" t="inlineStr">
        <is>
          <t>Yes</t>
        </is>
      </c>
      <c r="I2167" t="inlineStr">
        <is>
          <t>2023-08-17</t>
        </is>
      </c>
    </row>
    <row r="2168">
      <c r="A2168" t="n">
        <v/>
      </c>
      <c r="B2168" t="n">
        <v>1033217</v>
      </c>
      <c r="C2168" t="inlineStr">
        <is>
          <t>JavaScript</t>
        </is>
      </c>
      <c r="D2168" t="inlineStr">
        <is>
          <t>Secondary</t>
        </is>
      </c>
      <c r="E2168" t="inlineStr">
        <is>
          <t>Beginner</t>
        </is>
      </c>
      <c r="F2168" t="n">
        <v>0.6</v>
      </c>
      <c r="G2168" t="inlineStr">
        <is>
          <t>Technical</t>
        </is>
      </c>
      <c r="H2168" t="inlineStr">
        <is>
          <t>Yes</t>
        </is>
      </c>
      <c r="I2168" t="inlineStr">
        <is>
          <t>2023-08-17</t>
        </is>
      </c>
    </row>
    <row r="2169">
      <c r="A2169" t="n">
        <v/>
      </c>
      <c r="B2169" t="n">
        <v>1033217</v>
      </c>
      <c r="C2169" t="inlineStr">
        <is>
          <t>TypeScript</t>
        </is>
      </c>
      <c r="D2169" t="inlineStr">
        <is>
          <t>Secondary</t>
        </is>
      </c>
      <c r="E2169" t="inlineStr">
        <is>
          <t>Beginner</t>
        </is>
      </c>
      <c r="F2169" t="n">
        <v>0.5</v>
      </c>
      <c r="G2169" t="inlineStr">
        <is>
          <t>Technical</t>
        </is>
      </c>
      <c r="H2169" t="inlineStr">
        <is>
          <t>Yes</t>
        </is>
      </c>
      <c r="I2169" t="inlineStr">
        <is>
          <t>2023-08-17</t>
        </is>
      </c>
    </row>
    <row r="2170">
      <c r="A2170" t="n">
        <v/>
      </c>
      <c r="B2170" t="n">
        <v>1033250</v>
      </c>
      <c r="C2170" t="inlineStr">
        <is>
          <t>Python / Data Engineering</t>
        </is>
      </c>
      <c r="D2170" t="inlineStr">
        <is>
          <t>Primary</t>
        </is>
      </c>
      <c r="E2170" t="inlineStr">
        <is>
          <t>Intermediate</t>
        </is>
      </c>
      <c r="F2170" t="n">
        <v>1</v>
      </c>
      <c r="G2170" t="inlineStr">
        <is>
          <t>Technical</t>
        </is>
      </c>
      <c r="H2170" t="inlineStr">
        <is>
          <t>Yes</t>
        </is>
      </c>
      <c r="I2170" t="inlineStr">
        <is>
          <t>2023-08-17</t>
        </is>
      </c>
    </row>
    <row r="2171">
      <c r="A2171" t="n">
        <v/>
      </c>
      <c r="B2171" t="n">
        <v>1033250</v>
      </c>
      <c r="C2171" t="inlineStr">
        <is>
          <t>SQL</t>
        </is>
      </c>
      <c r="D2171" t="inlineStr">
        <is>
          <t>Secondary</t>
        </is>
      </c>
      <c r="E2171" t="inlineStr">
        <is>
          <t>Beginner</t>
        </is>
      </c>
      <c r="F2171" t="n">
        <v>0.6</v>
      </c>
      <c r="G2171" t="inlineStr">
        <is>
          <t>Technical</t>
        </is>
      </c>
      <c r="H2171" t="inlineStr">
        <is>
          <t>Yes</t>
        </is>
      </c>
      <c r="I2171" t="inlineStr">
        <is>
          <t>2023-08-17</t>
        </is>
      </c>
    </row>
    <row r="2172">
      <c r="A2172" t="n">
        <v/>
      </c>
      <c r="B2172" t="n">
        <v>1033250</v>
      </c>
      <c r="C2172" t="inlineStr">
        <is>
          <t>Docker</t>
        </is>
      </c>
      <c r="D2172" t="inlineStr">
        <is>
          <t>Secondary</t>
        </is>
      </c>
      <c r="E2172" t="inlineStr">
        <is>
          <t>Beginner</t>
        </is>
      </c>
      <c r="F2172" t="n">
        <v>0.5</v>
      </c>
      <c r="G2172" t="inlineStr">
        <is>
          <t>Technical</t>
        </is>
      </c>
      <c r="H2172" t="inlineStr">
        <is>
          <t>Yes</t>
        </is>
      </c>
      <c r="I2172" t="inlineStr">
        <is>
          <t>2023-08-17</t>
        </is>
      </c>
    </row>
    <row r="2173">
      <c r="A2173" t="n">
        <v/>
      </c>
      <c r="B2173" t="n">
        <v>1033251</v>
      </c>
      <c r="C2173" t="inlineStr">
        <is>
          <t>Frontend (Angular / TypeScript)</t>
        </is>
      </c>
      <c r="D2173" t="inlineStr">
        <is>
          <t>Primary</t>
        </is>
      </c>
      <c r="E2173" t="inlineStr">
        <is>
          <t>Intermediate</t>
        </is>
      </c>
      <c r="F2173" t="n">
        <v>1</v>
      </c>
      <c r="G2173" t="inlineStr">
        <is>
          <t>Technical</t>
        </is>
      </c>
      <c r="H2173" t="inlineStr">
        <is>
          <t>Yes</t>
        </is>
      </c>
      <c r="I2173" t="inlineStr">
        <is>
          <t>2023-08-17</t>
        </is>
      </c>
    </row>
    <row r="2174">
      <c r="A2174" t="n">
        <v/>
      </c>
      <c r="B2174" t="n">
        <v>1033251</v>
      </c>
      <c r="C2174" t="inlineStr">
        <is>
          <t>TypeScript</t>
        </is>
      </c>
      <c r="D2174" t="inlineStr">
        <is>
          <t>Secondary</t>
        </is>
      </c>
      <c r="E2174" t="inlineStr">
        <is>
          <t>Beginner</t>
        </is>
      </c>
      <c r="F2174" t="n">
        <v>0.6</v>
      </c>
      <c r="G2174" t="inlineStr">
        <is>
          <t>Technical</t>
        </is>
      </c>
      <c r="H2174" t="inlineStr">
        <is>
          <t>Yes</t>
        </is>
      </c>
      <c r="I2174" t="inlineStr">
        <is>
          <t>2023-08-17</t>
        </is>
      </c>
    </row>
    <row r="2175">
      <c r="A2175" t="n">
        <v/>
      </c>
      <c r="B2175" t="n">
        <v>1033251</v>
      </c>
      <c r="C2175" t="inlineStr">
        <is>
          <t>JavaScript</t>
        </is>
      </c>
      <c r="D2175" t="inlineStr">
        <is>
          <t>Secondary</t>
        </is>
      </c>
      <c r="E2175" t="inlineStr">
        <is>
          <t>Beginner</t>
        </is>
      </c>
      <c r="F2175" t="n">
        <v>0.5</v>
      </c>
      <c r="G2175" t="inlineStr">
        <is>
          <t>Technical</t>
        </is>
      </c>
      <c r="H2175" t="inlineStr">
        <is>
          <t>Yes</t>
        </is>
      </c>
      <c r="I2175" t="inlineStr">
        <is>
          <t>2023-08-17</t>
        </is>
      </c>
    </row>
    <row r="2176">
      <c r="A2176" t="n">
        <v/>
      </c>
      <c r="B2176" t="n">
        <v>1033218</v>
      </c>
      <c r="C2176" t="inlineStr">
        <is>
          <t>Java / Spring Boot</t>
        </is>
      </c>
      <c r="D2176" t="inlineStr">
        <is>
          <t>Primary</t>
        </is>
      </c>
      <c r="E2176" t="inlineStr">
        <is>
          <t>Intermediate</t>
        </is>
      </c>
      <c r="F2176" t="n">
        <v>1</v>
      </c>
      <c r="G2176" t="inlineStr">
        <is>
          <t>Technical</t>
        </is>
      </c>
      <c r="H2176" t="inlineStr">
        <is>
          <t>Yes</t>
        </is>
      </c>
      <c r="I2176" t="inlineStr">
        <is>
          <t>2023-08-17</t>
        </is>
      </c>
      <c r="J2176" t="inlineStr">
        <is>
          <t>Data Management</t>
        </is>
      </c>
    </row>
    <row r="2177">
      <c r="A2177" t="n">
        <v/>
      </c>
      <c r="B2177" t="n">
        <v>1033218</v>
      </c>
      <c r="C2177" t="inlineStr">
        <is>
          <t>SQL</t>
        </is>
      </c>
      <c r="D2177" t="inlineStr">
        <is>
          <t>Secondary</t>
        </is>
      </c>
      <c r="E2177" t="inlineStr">
        <is>
          <t>Beginner</t>
        </is>
      </c>
      <c r="F2177" t="n">
        <v>0.6</v>
      </c>
      <c r="G2177" t="inlineStr">
        <is>
          <t>Technical</t>
        </is>
      </c>
      <c r="H2177" t="inlineStr">
        <is>
          <t>Yes</t>
        </is>
      </c>
      <c r="I2177" t="inlineStr">
        <is>
          <t>2023-08-17</t>
        </is>
      </c>
      <c r="J2177" t="inlineStr">
        <is>
          <t>Data Management</t>
        </is>
      </c>
    </row>
    <row r="2178">
      <c r="A2178" t="n">
        <v/>
      </c>
      <c r="B2178" t="n">
        <v>1033218</v>
      </c>
      <c r="C2178" t="inlineStr">
        <is>
          <t>Docker</t>
        </is>
      </c>
      <c r="D2178" t="inlineStr">
        <is>
          <t>Secondary</t>
        </is>
      </c>
      <c r="E2178" t="inlineStr">
        <is>
          <t>Beginner</t>
        </is>
      </c>
      <c r="F2178" t="n">
        <v>0.5</v>
      </c>
      <c r="G2178" t="inlineStr">
        <is>
          <t>Technical</t>
        </is>
      </c>
      <c r="H2178" t="inlineStr">
        <is>
          <t>Yes</t>
        </is>
      </c>
      <c r="I2178" t="inlineStr">
        <is>
          <t>2023-08-17</t>
        </is>
      </c>
      <c r="J2178" t="inlineStr">
        <is>
          <t>Data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indzara</dc:creator>
  <dcterms:created xmlns:dcterms="http://purl.org/dc/terms/" xmlns:xsi="http://www.w3.org/2001/XMLSchema-instance" xsi:type="dcterms:W3CDTF">2019-08-13T02:06:43Z</dcterms:created>
  <dcterms:modified xmlns:dcterms="http://purl.org/dc/terms/" xmlns:xsi="http://www.w3.org/2001/XMLSchema-instance" xsi:type="dcterms:W3CDTF">2026-09-10T13:38:25Z</dcterms:modified>
  <cp:lastModifiedBy>Pavan Kumar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0x0101007B85A0F60B1E4C45ACE2D8AB71AB084F</vt:lpwstr>
  </property>
  <property name="MediaServiceImageTags" fmtid="{D5CDD505-2E9C-101B-9397-08002B2CF9AE}" pid="3">
    <vt:lpwstr xmlns:vt="http://schemas.openxmlformats.org/officeDocument/2006/docPropsVTypes"/>
  </property>
</Properties>
</file>